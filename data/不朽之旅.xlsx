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6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29" autoFilterDateGrouping="1"/>
  </bookViews>
  <sheets>
    <sheet xmlns:r="http://schemas.openxmlformats.org/officeDocument/2006/relationships" name="#上陣" sheetId="1" state="visible" r:id="rId1"/>
    <sheet xmlns:r="http://schemas.openxmlformats.org/officeDocument/2006/relationships" name="#基本說明" sheetId="2" state="visible" r:id="rId2"/>
    <sheet xmlns:r="http://schemas.openxmlformats.org/officeDocument/2006/relationships" name="#職業" sheetId="3" state="visible" r:id="rId3"/>
    <sheet xmlns:r="http://schemas.openxmlformats.org/officeDocument/2006/relationships" name="#副本玩法" sheetId="4" state="visible" r:id="rId4"/>
    <sheet xmlns:r="http://schemas.openxmlformats.org/officeDocument/2006/relationships" name="#向性" sheetId="5" state="visible" r:id="rId5"/>
    <sheet xmlns:r="http://schemas.openxmlformats.org/officeDocument/2006/relationships" name="#lock" sheetId="6" state="visible" r:id="rId6"/>
    <sheet xmlns:r="http://schemas.openxmlformats.org/officeDocument/2006/relationships" name="character" sheetId="7" state="visible" r:id="rId7"/>
    <sheet xmlns:r="http://schemas.openxmlformats.org/officeDocument/2006/relationships" name="nature" sheetId="8" state="visible" r:id="rId8"/>
    <sheet xmlns:r="http://schemas.openxmlformats.org/officeDocument/2006/relationships" name="skill" sheetId="9" state="visible" r:id="rId9"/>
    <sheet xmlns:r="http://schemas.openxmlformats.org/officeDocument/2006/relationships" name="buff" sheetId="10" state="visible" r:id="rId10"/>
    <sheet xmlns:r="http://schemas.openxmlformats.org/officeDocument/2006/relationships" name="card" sheetId="11" state="visible" r:id="rId11"/>
    <sheet xmlns:r="http://schemas.openxmlformats.org/officeDocument/2006/relationships" name="maplist" sheetId="12" state="visible" r:id="rId12"/>
    <sheet xmlns:r="http://schemas.openxmlformats.org/officeDocument/2006/relationships" name="mapdata" sheetId="13" state="visible" r:id="rId13"/>
    <sheet xmlns:r="http://schemas.openxmlformats.org/officeDocument/2006/relationships" name="dungeonprefeb" sheetId="14" state="visible" r:id="rId14"/>
    <sheet xmlns:r="http://schemas.openxmlformats.org/officeDocument/2006/relationships" name="text" sheetId="15" state="visible" r:id="rId15"/>
    <sheet xmlns:r="http://schemas.openxmlformats.org/officeDocument/2006/relationships" name="dungeon" sheetId="16" state="visible" r:id="rId16"/>
    <sheet xmlns:r="http://schemas.openxmlformats.org/officeDocument/2006/relationships" name="equipment" sheetId="17" state="visible" r:id="rId17"/>
    <sheet xmlns:r="http://schemas.openxmlformats.org/officeDocument/2006/relationships" name="build" sheetId="18" state="visible" r:id="rId18"/>
    <sheet xmlns:r="http://schemas.openxmlformats.org/officeDocument/2006/relationships" name="start_gift" sheetId="19" state="visible" r:id="rId19"/>
    <sheet xmlns:r="http://schemas.openxmlformats.org/officeDocument/2006/relationships" name="item" sheetId="20" state="visible" r:id="rId20"/>
    <sheet xmlns:r="http://schemas.openxmlformats.org/officeDocument/2006/relationships" name="idlezone" sheetId="21" state="visible" r:id="rId21"/>
    <sheet xmlns:r="http://schemas.openxmlformats.org/officeDocument/2006/relationships" name="refine" sheetId="22" state="visible" r:id="rId22"/>
    <sheet xmlns:r="http://schemas.openxmlformats.org/officeDocument/2006/relationships" name="cost" sheetId="23" state="visible" r:id="rId23"/>
    <sheet xmlns:r="http://schemas.openxmlformats.org/officeDocument/2006/relationships" name="taglist" sheetId="24" state="visible" r:id="rId24"/>
    <sheet xmlns:r="http://schemas.openxmlformats.org/officeDocument/2006/relationships" name="talentlist" sheetId="25" state="visible" r:id="rId25"/>
    <sheet xmlns:r="http://schemas.openxmlformats.org/officeDocument/2006/relationships" name="talent" sheetId="26" state="visible" r:id="rId26"/>
    <sheet xmlns:r="http://schemas.openxmlformats.org/officeDocument/2006/relationships" name="levelcurve" sheetId="27" state="visible" r:id="rId27"/>
    <sheet xmlns:r="http://schemas.openxmlformats.org/officeDocument/2006/relationships" name="curve" sheetId="28" state="visible" r:id="rId28"/>
    <sheet xmlns:r="http://schemas.openxmlformats.org/officeDocument/2006/relationships" name="gacha" sheetId="29" state="visible" r:id="rId29"/>
    <sheet xmlns:r="http://schemas.openxmlformats.org/officeDocument/2006/relationships" name="gachalist" sheetId="30" state="visible" r:id="rId3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m\-d"/>
    <numFmt numFmtId="165" formatCode="0.000%"/>
    <numFmt numFmtId="166" formatCode="0.0%"/>
    <numFmt numFmtId="167" formatCode="yyyy/m/d\ h:mm"/>
  </numFmts>
  <fonts count="37">
    <font>
      <name val="Arial"/>
      <charset val="1"/>
      <color rgb="FF000000"/>
      <sz val="10"/>
    </font>
    <font>
      <name val="Arial"/>
      <charset val="1"/>
      <color theme="1"/>
      <sz val="11"/>
    </font>
    <font>
      <name val="Noto Sans CJK SC"/>
      <family val="2"/>
      <color theme="1"/>
      <sz val="11"/>
    </font>
    <font>
      <name val="Arial"/>
      <family val="2"/>
      <strike val="1"/>
      <color theme="1"/>
      <sz val="11"/>
    </font>
    <font>
      <name val="Noto Sans CJK SC"/>
      <family val="2"/>
      <strike val="1"/>
      <color theme="1"/>
      <sz val="11"/>
    </font>
    <font>
      <name val="Noto Sans CJK SC"/>
      <family val="2"/>
      <b val="1"/>
      <color theme="1"/>
      <sz val="11"/>
    </font>
    <font>
      <name val="新細明體"/>
      <charset val="136"/>
      <family val="1"/>
      <color rgb="FF000000"/>
      <sz val="12"/>
    </font>
    <font>
      <name val="Noto Sans CJK SC"/>
      <family val="2"/>
      <color rgb="FF000000"/>
      <sz val="12"/>
    </font>
    <font>
      <name val="Noto Sans CJK SC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b val="1"/>
      <color rgb="FF1F1F1F"/>
      <sz val="12"/>
    </font>
    <font>
      <name val="Noto Sans CJK SC"/>
      <family val="2"/>
      <color rgb="FF1F1F1F"/>
      <sz val="12"/>
    </font>
    <font>
      <name val="Arial"/>
      <family val="2"/>
      <color rgb="FF1F1F1F"/>
      <sz val="12"/>
    </font>
    <font>
      <name val="Noto Sans CJK SC"/>
      <family val="2"/>
      <sz val="10"/>
    </font>
    <font>
      <name val="Arial"/>
      <family val="2"/>
      <sz val="10"/>
    </font>
    <font>
      <name val="Google Sans Text"/>
      <charset val="1"/>
      <color rgb="FF1F1F1F"/>
      <sz val="11"/>
    </font>
    <font>
      <name val="Noto Sans CJK SC"/>
      <family val="2"/>
      <color rgb="FF1F1F1F"/>
      <sz val="11"/>
    </font>
    <font>
      <name val="&quot;Google Sans Text&quot;"/>
      <charset val="1"/>
      <color rgb="FF1F1F1F"/>
      <sz val="11"/>
    </font>
    <font>
      <name val="Arial"/>
      <family val="2"/>
      <color theme="1"/>
      <sz val="10"/>
    </font>
    <font>
      <name val="Noto Sans CJK SC"/>
      <family val="2"/>
      <color theme="1"/>
      <sz val="10"/>
    </font>
    <font>
      <name val="Arial"/>
      <family val="2"/>
      <color rgb="FFEFEFEF"/>
      <sz val="11"/>
    </font>
    <font>
      <name val="新細明體"/>
      <charset val="136"/>
      <family val="1"/>
      <color rgb="FF000000"/>
      <sz val="10"/>
    </font>
    <font>
      <name val="Noto Sans CJK SC"/>
      <family val="2"/>
      <color rgb="FFFF0000"/>
      <sz val="11"/>
    </font>
    <font>
      <name val="Noto Sans CJK SC"/>
      <family val="2"/>
      <color rgb="FF000000"/>
      <sz val="10"/>
    </font>
    <font>
      <name val="&quot;Google Sans Text&quot;"/>
      <charset val="136"/>
      <family val="1"/>
      <b val="1"/>
      <color rgb="FF1F1F1F"/>
      <sz val="11"/>
    </font>
    <font>
      <name val="&quot;Google Sans Text&quot;"/>
      <charset val="136"/>
      <family val="1"/>
      <color rgb="FF444746"/>
      <sz val="11"/>
    </font>
    <font>
      <name val="Arial"/>
      <family val="2"/>
      <color rgb="FF0000FF"/>
      <sz val="11"/>
    </font>
    <font>
      <name val="Noto Sans CJK SC"/>
      <family val="2"/>
      <color rgb="FF0000FF"/>
      <sz val="11"/>
    </font>
    <font>
      <name val="Arial"/>
      <family val="2"/>
      <b val="1"/>
      <color theme="1"/>
      <sz val="11"/>
    </font>
    <font>
      <name val="Ui-sans-serif"/>
      <charset val="1"/>
      <color theme="1"/>
      <sz val="11"/>
    </font>
    <font>
      <name val="Arial"/>
      <family val="2"/>
      <color theme="1"/>
      <sz val="11"/>
    </font>
    <font>
      <name val="&quot;Google Sans Text&quot;"/>
      <charset val="136"/>
      <family val="1"/>
      <color rgb="FF1F1F1F"/>
      <sz val="11"/>
    </font>
    <font>
      <name val="Arial"/>
      <family val="2"/>
      <color rgb="FF000000"/>
      <sz val="10"/>
    </font>
    <font>
      <name val="細明體"/>
      <charset val="136"/>
      <family val="3"/>
      <sz val="9"/>
    </font>
    <font>
      <name val="微軟正黑體"/>
      <charset val="136"/>
      <family val="2"/>
      <color theme="1"/>
      <sz val="11"/>
    </font>
    <font>
      <name val="Noto Sans CJK SC"/>
      <charset val="136"/>
      <family val="2"/>
      <color theme="1"/>
      <sz val="11"/>
    </font>
    <font>
      <name val="微軟正黑體"/>
      <charset val="136"/>
      <family val="2"/>
      <color rgb="FF0000FF"/>
      <sz val="11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1" fillId="0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2" borderId="1" pivotButton="0" quotePrefix="0" xfId="0"/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2" fillId="0" borderId="1" applyAlignment="1" pivotButton="0" quotePrefix="0" xfId="0">
      <alignment horizontal="center"/>
    </xf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9" fontId="1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9" fontId="1" fillId="0" borderId="1" pivotButton="0" quotePrefix="0" xfId="0"/>
    <xf numFmtId="0" fontId="1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1" fillId="2" borderId="1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left"/>
    </xf>
    <xf numFmtId="0" fontId="6" fillId="0" borderId="1" pivotButton="0" quotePrefix="0" xfId="0"/>
    <xf numFmtId="0" fontId="8" fillId="0" borderId="1" pivotButton="0" quotePrefix="0" xfId="0"/>
    <xf numFmtId="0" fontId="9" fillId="0" borderId="0" pivotButton="0" quotePrefix="0" xfId="0"/>
    <xf numFmtId="9" fontId="9" fillId="0" borderId="0" pivotButton="0" quotePrefix="0" xfId="0"/>
    <xf numFmtId="0" fontId="8" fillId="0" borderId="0" pivotButton="0" quotePrefix="0" xfId="0"/>
    <xf numFmtId="0" fontId="9" fillId="0" borderId="1" pivotButton="0" quotePrefix="0" xfId="0"/>
    <xf numFmtId="0" fontId="6" fillId="0" borderId="1" applyAlignment="1" pivotButton="0" quotePrefix="0" xfId="0">
      <alignment horizontal="center"/>
    </xf>
    <xf numFmtId="0" fontId="10" fillId="0" borderId="0" pivotButton="0" quotePrefix="0" xfId="0"/>
    <xf numFmtId="0" fontId="6" fillId="0" borderId="0" pivotButton="0" quotePrefix="0" xfId="0"/>
    <xf numFmtId="0" fontId="11" fillId="0" borderId="1" pivotButton="0" quotePrefix="0" xfId="0"/>
    <xf numFmtId="0" fontId="12" fillId="0" borderId="0" pivotButton="0" quotePrefix="0" xfId="0"/>
    <xf numFmtId="0" fontId="11" fillId="0" borderId="0" pivotButton="0" quotePrefix="0" xfId="0"/>
    <xf numFmtId="9" fontId="12" fillId="0" borderId="1" pivotButton="0" quotePrefix="0" xfId="0"/>
    <xf numFmtId="0" fontId="1" fillId="3" borderId="0" pivotButton="0" quotePrefix="0" xfId="0"/>
    <xf numFmtId="0" fontId="1" fillId="2" borderId="1" applyAlignment="1" pivotButton="0" quotePrefix="0" xfId="0">
      <alignment horizontal="center"/>
    </xf>
    <xf numFmtId="0" fontId="1" fillId="4" borderId="1" pivotButton="0" quotePrefix="0" xfId="0"/>
    <xf numFmtId="10" fontId="1" fillId="0" borderId="1" pivotButton="0" quotePrefix="0" xfId="0"/>
    <xf numFmtId="165" fontId="1" fillId="0" borderId="1" pivotButton="0" quotePrefix="0" xfId="0"/>
    <xf numFmtId="166" fontId="1" fillId="0" borderId="1" pivotButton="0" quotePrefix="0" xfId="0"/>
    <xf numFmtId="0" fontId="1" fillId="0" borderId="0" applyAlignment="1" pivotButton="0" quotePrefix="0" xfId="0">
      <alignment horizontal="center"/>
    </xf>
    <xf numFmtId="1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1" fontId="1" fillId="2" borderId="1" pivotButton="0" quotePrefix="0" xfId="0"/>
    <xf numFmtId="0" fontId="1" fillId="2" borderId="1" applyAlignment="1" pivotButton="0" quotePrefix="0" xfId="0">
      <alignment horizontal="left"/>
    </xf>
    <xf numFmtId="1" fontId="1" fillId="0" borderId="1" pivotButton="0" quotePrefix="0" xfId="0"/>
    <xf numFmtId="0" fontId="1" fillId="0" borderId="1" applyAlignment="1" pivotButton="0" quotePrefix="0" xfId="0">
      <alignment horizontal="left"/>
    </xf>
    <xf numFmtId="0" fontId="15" fillId="0" borderId="1" pivotButton="0" quotePrefix="0" xfId="0"/>
    <xf numFmtId="0" fontId="16" fillId="0" borderId="1" pivotButton="0" quotePrefix="0" xfId="0"/>
    <xf numFmtId="0" fontId="17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0" borderId="1" pivotButton="0" quotePrefix="0" xfId="0"/>
    <xf numFmtId="0" fontId="2" fillId="2" borderId="1" applyAlignment="1" pivotButton="0" quotePrefix="0" xfId="0">
      <alignment horizontal="left"/>
    </xf>
    <xf numFmtId="1" fontId="1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9" fontId="1" fillId="0" borderId="1" applyAlignment="1" pivotButton="0" quotePrefix="0" xfId="0">
      <alignment horizontal="center"/>
    </xf>
    <xf numFmtId="9" fontId="1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0" fontId="18" fillId="0" borderId="1" applyAlignment="1" pivotButton="0" quotePrefix="0" xfId="0">
      <alignment horizontal="center"/>
    </xf>
    <xf numFmtId="1" fontId="1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20" fillId="0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0" fontId="2" fillId="5" borderId="1" applyAlignment="1" pivotButton="0" quotePrefix="0" xfId="0">
      <alignment horizontal="left"/>
    </xf>
    <xf numFmtId="0" fontId="20" fillId="5" borderId="1" applyAlignment="1" pivotButton="0" quotePrefix="0" xfId="0">
      <alignment horizontal="left"/>
    </xf>
    <xf numFmtId="0" fontId="18" fillId="5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0" fontId="22" fillId="0" borderId="0" pivotButton="0" quotePrefix="0" xfId="0"/>
    <xf numFmtId="0" fontId="22" fillId="0" borderId="1" pivotButton="0" quotePrefix="0" xfId="0"/>
    <xf numFmtId="0" fontId="23" fillId="0" borderId="0" pivotButton="0" quotePrefix="0" xfId="0"/>
    <xf numFmtId="167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left"/>
    </xf>
    <xf numFmtId="0" fontId="24" fillId="0" borderId="0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wrapText="1"/>
    </xf>
    <xf numFmtId="0" fontId="25" fillId="0" borderId="0" pivotButton="0" quotePrefix="0" xfId="0"/>
    <xf numFmtId="0" fontId="25" fillId="0" borderId="0" applyAlignment="1" pivotButton="0" quotePrefix="0" xfId="0">
      <alignment wrapText="1"/>
    </xf>
    <xf numFmtId="3" fontId="1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2" borderId="0" pivotButton="0" quotePrefix="0" xfId="0"/>
    <xf numFmtId="0" fontId="2" fillId="2" borderId="0" pivotButton="0" quotePrefix="0" xfId="0"/>
    <xf numFmtId="0" fontId="1" fillId="2" borderId="0" applyAlignment="1" pivotButton="0" quotePrefix="0" xfId="0">
      <alignment wrapText="1"/>
    </xf>
    <xf numFmtId="164" fontId="2" fillId="0" borderId="0" pivotButton="0" quotePrefix="0" xfId="0"/>
    <xf numFmtId="0" fontId="1" fillId="5" borderId="0" pivotButton="0" quotePrefix="0" xfId="0"/>
    <xf numFmtId="0" fontId="17" fillId="5" borderId="0" pivotButton="0" quotePrefix="0" xfId="0"/>
    <xf numFmtId="0" fontId="17" fillId="5" borderId="0" applyAlignment="1" pivotButton="0" quotePrefix="0" xfId="0">
      <alignment wrapText="1"/>
    </xf>
    <xf numFmtId="0" fontId="1" fillId="5" borderId="0" applyAlignment="1" pivotButton="0" quotePrefix="0" xfId="0">
      <alignment horizontal="left"/>
    </xf>
    <xf numFmtId="0" fontId="2" fillId="5" borderId="0" applyAlignment="1" pivotButton="0" quotePrefix="0" xfId="0">
      <alignment horizontal="left"/>
    </xf>
    <xf numFmtId="0" fontId="1" fillId="6" borderId="0" pivotButton="0" quotePrefix="0" xfId="0"/>
    <xf numFmtId="0" fontId="25" fillId="6" borderId="0" pivotButton="0" quotePrefix="0" xfId="0"/>
    <xf numFmtId="0" fontId="25" fillId="6" borderId="0" applyAlignment="1" pivotButton="0" quotePrefix="0" xfId="0">
      <alignment wrapText="1"/>
    </xf>
    <xf numFmtId="0" fontId="1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left"/>
    </xf>
    <xf numFmtId="0" fontId="1" fillId="7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26" fillId="0" borderId="0" pivotButton="0" quotePrefix="0" xfId="0"/>
    <xf numFmtId="0" fontId="23" fillId="0" borderId="0" applyAlignment="1" pivotButton="0" quotePrefix="0" xfId="0">
      <alignment wrapText="1"/>
    </xf>
    <xf numFmtId="1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8" borderId="0" pivotButton="0" quotePrefix="0" xfId="0"/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1" fillId="11" borderId="1" applyAlignment="1" pivotButton="0" quotePrefix="0" xfId="0">
      <alignment horizontal="center"/>
    </xf>
    <xf numFmtId="0" fontId="1" fillId="10" borderId="0" pivotButton="0" quotePrefix="0" xfId="0"/>
    <xf numFmtId="0" fontId="1" fillId="9" borderId="0" pivotButton="0" quotePrefix="0" xfId="0"/>
    <xf numFmtId="0" fontId="1" fillId="9" borderId="1" pivotButton="0" quotePrefix="0" xfId="0"/>
    <xf numFmtId="0" fontId="1" fillId="11" borderId="1" pivotButton="0" quotePrefix="0" xfId="0"/>
    <xf numFmtId="0" fontId="7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 wrapText="1"/>
    </xf>
    <xf numFmtId="0" fontId="28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29" fillId="0" borderId="8" applyAlignment="1" pivotButton="0" quotePrefix="0" xfId="0">
      <alignment horizontal="center"/>
    </xf>
    <xf numFmtId="3" fontId="29" fillId="0" borderId="8" applyAlignment="1" pivotButton="0" quotePrefix="0" xfId="0">
      <alignment horizontal="center"/>
    </xf>
    <xf numFmtId="0" fontId="35" fillId="0" borderId="0" applyAlignment="1" pivotButton="0" quotePrefix="0" xfId="0">
      <alignment wrapText="1"/>
    </xf>
    <xf numFmtId="0" fontId="30" fillId="0" borderId="0" pivotButton="0" quotePrefix="0" xfId="0"/>
    <xf numFmtId="0" fontId="2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left"/>
    </xf>
    <xf numFmtId="0" fontId="34" fillId="0" borderId="1" pivotButton="0" quotePrefix="0" xfId="0"/>
    <xf numFmtId="0" fontId="1" fillId="0" borderId="1" applyAlignment="1" pivotButton="0" quotePrefix="0" xfId="0">
      <alignment horizontal="center"/>
    </xf>
    <xf numFmtId="0" fontId="2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7" fillId="0" borderId="0" pivotButton="0" quotePrefix="0" xfId="0"/>
    <xf numFmtId="0" fontId="2" fillId="0" borderId="9" pivotButton="0" quotePrefix="0" xfId="0"/>
    <xf numFmtId="0" fontId="1" fillId="0" borderId="1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left"/>
    </xf>
    <xf numFmtId="165" fontId="1" fillId="0" borderId="1" pivotButton="0" quotePrefix="0" xfId="0"/>
    <xf numFmtId="166" fontId="1" fillId="0" borderId="1" pivotButton="0" quotePrefix="0" xfId="0"/>
    <xf numFmtId="167" fontId="1" fillId="0" borderId="1" applyAlignment="1" pivotButton="0" quotePrefix="0" xfId="0">
      <alignment horizontal="center"/>
    </xf>
    <xf numFmtId="164" fontId="2" fillId="0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係數一定都會增加；但效果額外換技能製作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Q2" authorId="0" shapeId="0">
      <text>
        <t>沒填機率=1
填了取代機率</t>
      </text>
    </comment>
    <comment ref="Q12" authorId="0" shapeId="0">
      <text>
        <t>沒填機率=1
填了取代機率</t>
      </text>
    </comment>
    <comment ref="Q45" authorId="0" shapeId="0">
      <text>
        <t>沒填機率=1
填了取代機率</t>
      </text>
    </comment>
    <comment ref="Q78" authorId="0" shapeId="0">
      <text>
        <t>沒填機率=1
填了取代機率</t>
      </text>
    </comment>
    <comment ref="Q87" authorId="0" shapeId="0">
      <text>
        <t>沒填機率=1
填了取代機率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G1" authorId="0" shapeId="0">
      <text>
        <t>1=水
2=火
3=風</t>
      </text>
    </comment>
    <comment ref="Z1" authorId="0" shapeId="0">
      <text>
        <t>如果有填才啟動，回合開始時該BUFF生效(配合invisible欄位；生效後改為可見的buff)
不填不啟動</t>
      </text>
    </comment>
    <comment ref="AA1" authorId="0" shapeId="0">
      <text>
        <t>如果有填才啟動，回合開始時當現有HP達大於X%時
(配合invisible欄位；生效後改為可見的buff)
不填不啟動</t>
      </text>
    </comment>
    <comment ref="AB1" authorId="0" shapeId="0">
      <text>
        <t>如果有填才啟動，回合開始時當現有HP達小於X%時
(配合invisible欄位；生效後改為可見的buff)
不填不啟動</t>
      </text>
    </comment>
    <comment ref="G16" authorId="0" shapeId="0">
      <text>
        <t>1=水
2=火
3=風</t>
      </text>
    </comment>
    <comment ref="Z16" authorId="0" shapeId="0">
      <text>
        <t>如果有填才啟動，回合開始時該BUFF生效(配合invisible欄位；生效後改為可見的buff)
不填不啟動</t>
      </text>
    </comment>
    <comment ref="AA16" authorId="0" shapeId="0">
      <text>
        <t>如果有填才啟動，回合開始時當現有HP達大於X%時
(配合invisible欄位；生效後改為可見的buff)
不填不啟動</t>
      </text>
    </comment>
    <comment ref="AB16" authorId="0" shapeId="0">
      <text>
        <t>如果有填才啟動，回合開始時當現有HP達小於X%時
(配合invisible欄位；生效後改為可見的buff)
不填不啟動</t>
      </text>
    </comment>
    <comment ref="G30" authorId="0" shapeId="0">
      <text>
        <t>1=水
2=火
3=風</t>
      </text>
    </comment>
    <comment ref="Z30" authorId="0" shapeId="0">
      <text>
        <t>如果有填才啟動，回合開始時該BUFF生效(配合invisible欄位；生效後改為可見的buff)
不填不啟動</t>
      </text>
    </comment>
    <comment ref="AA30" authorId="0" shapeId="0">
      <text>
        <t>如果有填才啟動，回合開始時當現有HP達大於X%時
(配合invisible欄位；生效後改為可見的buff)
不填不啟動</t>
      </text>
    </comment>
    <comment ref="AB30" authorId="0" shapeId="0">
      <text>
        <t>如果有填才啟動，回合開始時當現有HP達小於X%時
(配合invisible欄位；生效後改為可見的buff)
不填不啟動</t>
      </text>
    </comment>
    <comment ref="G36" authorId="0" shapeId="0">
      <text>
        <t>1=水
2=火
3=風</t>
      </text>
    </comment>
    <comment ref="Z36" authorId="0" shapeId="0">
      <text>
        <t>如果有填才啟動，回合開始時該BUFF生效(配合invisible欄位；生效後改為可見的buff)
不填不啟動</t>
      </text>
    </comment>
    <comment ref="AA36" authorId="0" shapeId="0">
      <text>
        <t>如果有填才啟動，回合開始時當現有HP達大於X%時
(配合invisible欄位；生效後改為可見的buff)
不填不啟動</t>
      </text>
    </comment>
    <comment ref="AB36" authorId="0" shapeId="0">
      <text>
        <t>如果有填才啟動，回合開始時當現有HP達小於X%時
(配合invisible欄位；生效後改為可見的buff)
不填不啟動</t>
      </text>
    </comment>
    <comment ref="B37" authorId="0" shapeId="0">
      <text>
        <t>特例</t>
      </text>
    </comment>
    <comment ref="B38" authorId="0" shapeId="0">
      <text>
        <t>特例</t>
      </text>
    </comment>
    <comment ref="G58" authorId="0" shapeId="0">
      <text>
        <t>1=水
2=火
3=風</t>
      </text>
    </comment>
    <comment ref="Z58" authorId="0" shapeId="0">
      <text>
        <t>如果有填才啟動，回合開始時該BUFF生效(配合invisible欄位；生效後改為可見的buff)
不填不啟動</t>
      </text>
    </comment>
    <comment ref="AA58" authorId="0" shapeId="0">
      <text>
        <t>如果有填才啟動，回合開始時當現有HP達大於X%時
(配合invisible欄位；生效後改為可見的buff)
不填不啟動</t>
      </text>
    </comment>
    <comment ref="AB58" authorId="0" shapeId="0">
      <text>
        <t>如果有填才啟動，回合開始時當現有HP達小於X%時
(配合invisible欄位；生效後改為可見的buff)
不填不啟動</t>
      </text>
    </comment>
    <comment ref="B59" authorId="0" shapeId="0">
      <text>
        <t>特例</t>
      </text>
    </comment>
    <comment ref="B60" authorId="0" shapeId="0">
      <text>
        <t>特例</t>
      </text>
    </comment>
    <comment ref="B61" authorId="0" shapeId="0">
      <text>
        <t>特例</t>
      </text>
    </comment>
    <comment ref="B62" authorId="0" shapeId="0">
      <text>
        <t>特例</t>
      </text>
    </comment>
    <comment ref="E65" authorId="0" shapeId="0">
      <text>
        <t>buff時間到消失時；如有填入表，則進入下一個狀態</t>
      </text>
    </comment>
    <comment ref="G65" authorId="0" shapeId="0">
      <text>
        <t>1=水
2=火
3=風</t>
      </text>
    </comment>
    <comment ref="Z65" authorId="0" shapeId="0">
      <text>
        <t>如果有填才啟動，回合開始時該BUFF生效(配合invisible欄位；生效後改為可見的buff)
不填不啟動</t>
      </text>
    </comment>
    <comment ref="AA65" authorId="0" shapeId="0">
      <text>
        <t>如果有填才啟動，回合開始時當現有HP達大於X%時
(配合invisible欄位；生效後改為可見的buff)
不填不啟動</t>
      </text>
    </comment>
    <comment ref="AB65" authorId="0" shapeId="0">
      <text>
        <t>如果有填才啟動，回合開始時當現有HP達小於X%時
(配合invisible欄位；生效後改為可見的buff)
不填不啟動</t>
      </text>
    </comment>
    <comment ref="B66" authorId="0" shapeId="0">
      <text>
        <t xml:space="preserve"> 特殊規格(全部做完)</t>
      </text>
    </comment>
    <comment ref="B67" authorId="0" shapeId="0">
      <text>
        <t>特殊規格+填表</t>
      </text>
    </comment>
    <comment ref="B68" authorId="0" shapeId="0">
      <text>
        <t>特殊規格(全部做完)</t>
      </text>
    </comment>
    <comment ref="B69" authorId="0" shapeId="0">
      <text>
        <t>特殊規格+填表</t>
      </text>
    </comment>
    <comment ref="B70" authorId="0" shapeId="0">
      <text>
        <t>特殊規格(無法行動+最終傷害)+填表</t>
      </text>
    </comment>
    <comment ref="B71" authorId="0" shapeId="0">
      <text>
        <t>特殊規格(無法行動+最終傷害)+填表</t>
      </text>
    </comment>
    <comment ref="G73" authorId="0" shapeId="0">
      <text>
        <t>1=水
2=火
3=風</t>
      </text>
    </comment>
    <comment ref="Z73" authorId="0" shapeId="0">
      <text>
        <t>如果有填才啟動，回合開始時該BUFF生效(配合invisible欄位；生效後改為可見的buff)
不填不啟動</t>
      </text>
    </comment>
    <comment ref="AA73" authorId="0" shapeId="0">
      <text>
        <t>如果有填才啟動，回合開始時當現有HP達大於X%時
(配合invisible欄位；生效後改為可見的buff)
不填不啟動</t>
      </text>
    </comment>
    <comment ref="AB73" authorId="0" shapeId="0">
      <text>
        <t>如果有填才啟動，回合開始時當現有HP達小於X%時
(配合invisible欄位；生效後改為可見的buff)
不填不啟動</t>
      </text>
    </comment>
    <comment ref="G107" authorId="0" shapeId="0">
      <text>
        <t>1=水
2=火
3=風</t>
      </text>
    </comment>
    <comment ref="G191" authorId="0" shapeId="0">
      <text>
        <t>1=水
2=火
3=風</t>
      </text>
    </comment>
    <comment ref="Z191" authorId="0" shapeId="0">
      <text>
        <t>如果有填才啟動，回合開始時該BUFF生效(配合invisible欄位；生效後改為可見的buff)
不填不啟動</t>
      </text>
    </comment>
    <comment ref="AA191" authorId="0" shapeId="0">
      <text>
        <t>如果有填才啟動，回合開始時當現有HP達大於X%時
(配合invisible欄位；生效後改為可見的buff)
不填不啟動</t>
      </text>
    </comment>
    <comment ref="AB191" authorId="0" shapeId="0">
      <text>
        <t>如果有填才啟動，回合開始時當現有HP達小於X%時
(配合invisible欄位；生效後改為可見的buff)
不填不啟動</t>
      </text>
    </comment>
    <comment ref="G293" authorId="0" shapeId="0">
      <text>
        <t>1=水
2=火
3=風</t>
      </text>
    </comment>
    <comment ref="Z293" authorId="0" shapeId="0">
      <text>
        <t>如果有填才啟動，回合開始時該BUFF生效(配合invisible欄位；生效後改為可見的buff)
不填不啟動</t>
      </text>
    </comment>
    <comment ref="AA293" authorId="0" shapeId="0">
      <text>
        <t>如果有填才啟動，回合開始時當現有HP達大於X%時
(配合invisible欄位；生效後改為可見的buff)
不填不啟動</t>
      </text>
    </comment>
    <comment ref="AB293" authorId="0" shapeId="0">
      <text>
        <t>如果有填才啟動，回合開始時當現有HP達小於X%時
(配合invisible欄位；生效後改為可見的buff)
不填不啟動</t>
      </text>
    </comment>
    <comment ref="G311" authorId="0" shapeId="0">
      <text>
        <t>1=水
2=火
3=風</t>
      </text>
    </comment>
    <comment ref="Z311" authorId="0" shapeId="0">
      <text>
        <t>如果有填才啟動，回合開始時該BUFF生效(配合invisible欄位；生效後改為可見的buff)
不填不啟動</t>
      </text>
    </comment>
    <comment ref="AA311" authorId="0" shapeId="0">
      <text>
        <t>如果有填才啟動，回合開始時當現有HP達大於X%時
(配合invisible欄位；生效後改為可見的buff)
不填不啟動</t>
      </text>
    </comment>
    <comment ref="AB311" authorId="0" shapeId="0">
      <text>
        <t>如果有填才啟動，回合開始時當現有HP達小於X%時
(配合invisible欄位；生效後改為可見的buff)
不填不啟動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F2" authorId="0" shapeId="0">
      <text>
        <t>gem        =1
weapon	=2
head	=3
armor	=4
shoe	=5
weapon	=6
cloak	=7
Pants	=8</t>
      </text>
    </comment>
    <comment ref="L2" authorId="0" shapeId="0">
      <text>
        <t>1=水
2=火
3=木</t>
      </text>
    </comment>
    <comment ref="M2" authorId="0" shapeId="0">
      <text>
        <t>type=role才生效
依照倍率玩家可以加乘至整個隊伍
五維倍率</t>
      </text>
    </comment>
    <comment ref="Z2" authorId="0" shapeId="0">
      <text>
        <t>900	SSR武器升星-物攻1
901	SSR武器升星-魔攻1
902	SR武器升星-物攻1
903	SR武器升星-魔攻1
904	R武器升星-物攻1
905	R武器升星-魔攻1</t>
      </text>
    </comment>
    <comment ref="F35" authorId="0" shapeId="0">
      <text>
        <t>gem        =1
weapon	=2
head	=3
armor	=4
shoe	=5
weapon	=6
cloak	=7
Pants	=8</t>
      </text>
    </comment>
    <comment ref="L35" authorId="0" shapeId="0">
      <text>
        <t>1=水
2=火
3=風</t>
      </text>
    </comment>
    <comment ref="M35" authorId="0" shapeId="0">
      <text>
        <t>type=role才生效
依照倍率玩家可以加乘%*職業等級至整個隊伍
五維倍率</t>
      </text>
    </comment>
    <comment ref="F53" authorId="0" shapeId="0">
      <text>
        <t>gem        =1
weapon	=2
head	=3
armor	=4
shoe	=5
weapon	=6
cloak	=7
Pants	=8</t>
      </text>
    </comment>
    <comment ref="L53" authorId="0" shapeId="0">
      <text>
        <t>1=水
2=火
3=風</t>
      </text>
    </comment>
    <comment ref="M53" authorId="0" shapeId="0">
      <text>
        <t>type=role才生效
依照倍率玩家可以加乘至整個隊伍
五維倍率</t>
      </text>
    </comment>
    <comment ref="F144" authorId="0" shapeId="0">
      <text>
        <t>gem        =1
weapon	=2
head	=3
armor	=4
shoe	=5
weapon	=6
cloak	=7
Pants	=8</t>
      </text>
    </comment>
    <comment ref="L144" authorId="0" shapeId="0">
      <text>
        <t>1=水
2=火
3=風</t>
      </text>
    </comment>
    <comment ref="M144" authorId="0" shapeId="0">
      <text>
        <t>type=role才生效
依照倍率玩家可以加乘至整個隊伍
五維倍率</t>
      </text>
    </comment>
    <comment ref="F163" authorId="0" shapeId="0">
      <text>
        <t>gem        =1
weapon	=2
head	=3
armor	=4
shoe	=5
weapon	=6
cloak	=7
Pants	=8</t>
      </text>
    </comment>
    <comment ref="L163" authorId="0" shapeId="0">
      <text>
        <t>1=水
2=火
3=風</t>
      </text>
    </comment>
    <comment ref="M163" authorId="0" shapeId="0">
      <text>
        <t>type=role才生效
依照倍率玩家可以加乘至整個隊伍
五維倍率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E1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" authorId="0" shapeId="0">
      <text>
        <t>{id:-1} = 可上陣英雄數量(我方)</t>
      </text>
    </comment>
    <comment ref="H1" authorId="0" shapeId="0">
      <text>
        <t>進入前要不要布陣，要=1</t>
      </text>
    </comment>
    <comment ref="I1" authorId="0" shapeId="0">
      <text>
        <t>推薦戰力</t>
      </text>
    </comment>
    <comment ref="N1" authorId="0" shapeId="0">
      <text>
        <t>-1=我方全隊
1=敵方全隊
不填=全場效果</t>
      </text>
    </comment>
    <comment ref="T1" authorId="0" shapeId="0">
      <text>
        <t>-1=我方全隊
1=敵方全隊
不填=全場效果</t>
      </text>
    </comment>
    <comment ref="E18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8" authorId="0" shapeId="0">
      <text>
        <t>{id:-1} = 可上陣英雄數量(我方)</t>
      </text>
    </comment>
    <comment ref="N18" authorId="0" shapeId="0">
      <text>
        <t>-1=我方全隊
1=敵方全隊
不填=全場效果</t>
      </text>
    </comment>
    <comment ref="T18" authorId="0" shapeId="0">
      <text>
        <t>-1=我方全隊
1=敵方全隊
不填=全場效果</t>
      </text>
    </comment>
    <comment ref="E81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81" authorId="0" shapeId="0">
      <text>
        <t>{id:-1} = 可上陣英雄數量(我方)</t>
      </text>
    </comment>
    <comment ref="N81" authorId="0" shapeId="0">
      <text>
        <t>-1=我方全隊
1=敵方全隊
不填=全場效果</t>
      </text>
    </comment>
    <comment ref="T81" authorId="0" shapeId="0">
      <text>
        <t>-1=我方全隊
1=敵方全隊
不填=全場效果</t>
      </text>
    </comment>
    <comment ref="E122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22" authorId="0" shapeId="0">
      <text>
        <t>{id:-1} = 可上陣英雄數量(我方)</t>
      </text>
    </comment>
    <comment ref="N122" authorId="0" shapeId="0">
      <text>
        <t>-1=我方全隊
1=敵方全隊
不填=全場效果</t>
      </text>
    </comment>
    <comment ref="T122" authorId="0" shapeId="0">
      <text>
        <t>-1=我方全隊
1=敵方全隊
不填=全場效果</t>
      </text>
    </comment>
    <comment ref="E129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29" authorId="0" shapeId="0">
      <text>
        <t>{id:-1} = 可上陣英雄數量(我方)</t>
      </text>
    </comment>
    <comment ref="N129" authorId="0" shapeId="0">
      <text>
        <t>-1=我方全隊
1=敵方全隊
不填=全場效果</t>
      </text>
    </comment>
    <comment ref="T129" authorId="0" shapeId="0">
      <text>
        <t>-1=我方全隊
1=敵方全隊
不填=全場效果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B1" authorId="0" shapeId="0">
      <text>
        <t>story=劇情喔放模式
guild=無關的引導劇情模式
不填=call function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B1" authorId="0" shapeId="0">
      <text>
        <t>初始每場直接過關機率=20%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1" authorId="0" shapeId="0">
      <text>
        <t>武器、腳201,202,203,204
頭、身205,206,207,208
褲、批209,210,211,212</t>
      </text>
    </comment>
    <comment ref="D1" authorId="0" shapeId="0">
      <text>
        <t>武器 腳
攻 魔攻 魔力 技能傷害抵抗
攻 魔攻 魔力 爆擊率
攻 魔攻 魔力 護盾量
攻 魔攻 魔力 貫穿</t>
      </text>
    </comment>
    <comment ref="X1" authorId="0" shapeId="0">
      <text>
        <t>偏移值
正負%數(0.1=10%)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C1" authorId="0" shapeId="0">
      <text>
        <t>99=貨幣
1=消耗品
100=card碎片
9999=帳號經驗</t>
      </text>
    </comment>
  </commentList>
</comments>
</file>

<file path=xl/comments/comment11.xml><?xml version="1.0" encoding="utf-8"?>
<comments xmlns="http://schemas.openxmlformats.org/spreadsheetml/2006/main">
  <authors>
    <author>Unknown Author</author>
  </authors>
  <commentList>
    <comment ref="C1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D1" authorId="0" shapeId="0">
      <text>
        <t>每5分鐘獲得一次獎勵
填入多個ID的話 平分機率</t>
      </text>
    </comment>
  </commentList>
</comments>
</file>

<file path=xl/comments/comment12.xml><?xml version="1.0" encoding="utf-8"?>
<comments xmlns="http://schemas.openxmlformats.org/spreadsheetml/2006/main">
  <authors>
    <author>Unknown Author</author>
  </authors>
  <commentList>
    <comment ref="A1" authorId="0" shapeId="0">
      <text>
        <t>800=寶石強化
900=裝備升星</t>
      </text>
    </comment>
    <comment ref="F45" authorId="0" shapeId="0">
      <text>
        <t>900	SSR武器升星-物攻1
901	SSR武器升星-魔攻1
902	SR武器升星-物攻1
903	SR武器升星-魔攻1
904	R武器升星-物攻1
905	R武器升星-魔攻1</t>
      </text>
    </comment>
  </commentList>
</comments>
</file>

<file path=xl/comments/comment13.xml><?xml version="1.0" encoding="utf-8"?>
<comments xmlns="http://schemas.openxmlformats.org/spreadsheetml/2006/main">
  <authors>
    <author>Unknown Author</author>
  </authors>
  <commentList>
    <comment ref="A1" authorId="0" shapeId="0">
      <text>
        <t>800=裝備
700=寶石強化
900=裝備升星</t>
      </text>
    </comment>
  </commentList>
</comments>
</file>

<file path=xl/comments/comment14.xml><?xml version="1.0" encoding="utf-8"?>
<comments xmlns="http://schemas.openxmlformats.org/spreadsheetml/2006/main">
  <authors>
    <author>Unknown Author</author>
  </authors>
  <commentList>
    <comment ref="A1" authorId="0" shapeId="0">
      <text>
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ref="C1" authorId="0" shapeId="0">
      <text>
        <t>card中的role_id決定開啟條件</t>
      </text>
    </comment>
  </commentList>
</comments>
</file>

<file path=xl/comments/comment15.xml><?xml version="1.0" encoding="utf-8"?>
<comments xmlns="http://schemas.openxmlformats.org/spreadsheetml/2006/main">
  <authors>
    <author>Unknown Author</author>
  </authors>
  <commentList>
    <comment ref="B5" authorId="0" shapeId="0">
      <text>
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/comment16.xml><?xml version="1.0" encoding="utf-8"?>
<comments xmlns="http://schemas.openxmlformats.org/spreadsheetml/2006/main">
  <authors>
    <author>Unknown Author</author>
  </authors>
  <commentList>
    <comment ref="B1" authorId="0" shapeId="0">
      <text>
        <t>level x 等於小於時； 每等級給予的天賦點數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7" t="inlineStr">
        <is>
          <t>UI參考</t>
        </is>
      </c>
    </row>
    <row r="6">
      <c r="B6" s="135" t="inlineStr">
        <is>
          <t>HERO</t>
        </is>
      </c>
      <c r="C6" s="144" t="n"/>
      <c r="D6" s="144" t="n"/>
      <c r="E6" s="144" t="n"/>
      <c r="F6" s="145" t="n"/>
    </row>
    <row r="7">
      <c r="B7" s="146" t="n"/>
      <c r="C7" s="147" t="n"/>
      <c r="D7" s="147" t="n"/>
      <c r="E7" s="147" t="n"/>
      <c r="F7" s="148" t="n"/>
    </row>
    <row r="8" ht="14.25" customHeight="1" s="142">
      <c r="B8" s="8" t="inlineStr">
        <is>
          <t>兵員1(敵方)</t>
        </is>
      </c>
      <c r="C8" s="8" t="inlineStr">
        <is>
          <t>兵員2(敵方)</t>
        </is>
      </c>
      <c r="D8" s="8" t="inlineStr">
        <is>
          <t>兵員3(敵方)</t>
        </is>
      </c>
      <c r="E8" s="8" t="inlineStr">
        <is>
          <t>兵員4(敵方)</t>
        </is>
      </c>
      <c r="F8" s="8" t="inlineStr">
        <is>
          <t>兵員5(敵方)</t>
        </is>
      </c>
    </row>
    <row r="9" ht="14.25" customHeight="1" s="142">
      <c r="B9" s="9" t="n"/>
      <c r="C9" s="10" t="n"/>
      <c r="D9" s="10" t="n"/>
      <c r="E9" s="10" t="n"/>
      <c r="F9" s="11" t="n"/>
    </row>
    <row r="10" ht="14.25" customHeight="1" s="142">
      <c r="B10" s="12" t="n"/>
      <c r="C10" s="7" t="n"/>
      <c r="D10" s="7" t="n"/>
      <c r="E10" s="7" t="n"/>
      <c r="F10" s="13" t="n"/>
    </row>
    <row r="11" ht="14.25" customHeight="1" s="142">
      <c r="B11" s="12" t="n"/>
      <c r="C11" s="7" t="n"/>
      <c r="D11" s="7" t="n"/>
      <c r="E11" s="7" t="n"/>
      <c r="F11" s="13" t="n"/>
    </row>
    <row r="12" ht="14.25" customHeight="1" s="142">
      <c r="B12" s="14" t="n"/>
      <c r="C12" s="15" t="n"/>
      <c r="D12" s="15" t="n"/>
      <c r="E12" s="15" t="n"/>
      <c r="F12" s="16" t="n"/>
    </row>
    <row r="13" ht="14.25" customHeight="1" s="142">
      <c r="B13" s="8" t="inlineStr">
        <is>
          <t>兵員1(我方)</t>
        </is>
      </c>
      <c r="C13" s="8" t="inlineStr">
        <is>
          <t>兵員2(我方)</t>
        </is>
      </c>
      <c r="D13" s="8" t="inlineStr">
        <is>
          <t>兵員3(我方)</t>
        </is>
      </c>
      <c r="E13" s="8" t="inlineStr">
        <is>
          <t>兵員4(我方)</t>
        </is>
      </c>
      <c r="F13" s="8" t="inlineStr">
        <is>
          <t>兵員5(我方)</t>
        </is>
      </c>
    </row>
    <row r="14">
      <c r="B14" s="135" t="inlineStr">
        <is>
          <t>HERO</t>
        </is>
      </c>
      <c r="C14" s="144" t="n"/>
      <c r="D14" s="144" t="n"/>
      <c r="E14" s="144" t="n"/>
      <c r="F14" s="145" t="n"/>
    </row>
    <row r="15">
      <c r="B15" s="146" t="n"/>
      <c r="C15" s="147" t="n"/>
      <c r="D15" s="147" t="n"/>
      <c r="E15" s="147" t="n"/>
      <c r="F15" s="148" t="n"/>
    </row>
    <row r="18" ht="14.25" customHeight="1" s="142">
      <c r="A18" s="7" t="inlineStr">
        <is>
          <t>*依照敏捷依序進行攻擊；攻擊規則詳參基本說明</t>
        </is>
      </c>
    </row>
    <row r="62" ht="14.25" customHeight="1" s="142">
      <c r="D62" s="17" t="n">
        <v>0.03</v>
      </c>
      <c r="E62" s="7" t="n">
        <v>12</v>
      </c>
      <c r="F62" s="7">
        <f>D62/E62</f>
        <v/>
      </c>
      <c r="G62" s="7" t="n">
        <v>30</v>
      </c>
      <c r="H62" s="7">
        <f>G62*F62</f>
        <v/>
      </c>
    </row>
    <row r="63" ht="14.25" customHeight="1" s="142">
      <c r="D63" s="17" t="n">
        <v>0.22</v>
      </c>
      <c r="E63" s="7" t="n">
        <v>9</v>
      </c>
      <c r="F63" s="7">
        <f>D63/E63</f>
        <v/>
      </c>
      <c r="G63" s="7">
        <f>H62/F63</f>
        <v/>
      </c>
      <c r="H63" s="7" t="n">
        <v>10</v>
      </c>
    </row>
    <row r="64" ht="14.25" customHeight="1" s="142">
      <c r="D64" s="17">
        <f>1-D63-D62</f>
        <v/>
      </c>
      <c r="E64" s="7" t="n">
        <v>10</v>
      </c>
      <c r="F64" s="7">
        <f>D64/E64</f>
        <v/>
      </c>
      <c r="G64" s="7">
        <f>H62/F64</f>
        <v/>
      </c>
      <c r="H64" s="7" t="n">
        <v>5</v>
      </c>
    </row>
  </sheetData>
  <mergeCells count="2">
    <mergeCell ref="B14:F15"/>
    <mergeCell ref="B6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zoomScaleNormal="100" workbookViewId="0">
      <selection activeCell="A1" sqref="A1"/>
    </sheetView>
  </sheetViews>
  <sheetFormatPr baseColWidth="8" defaultColWidth="12.5703125" defaultRowHeight="12.75"/>
  <cols>
    <col width="32.140625" customWidth="1" style="142" min="1" max="1"/>
    <col width="218" customWidth="1" style="142" min="2" max="2"/>
  </cols>
  <sheetData>
    <row r="1" ht="14.25" customHeight="1" s="142">
      <c r="A1" s="138" t="inlineStr">
        <is>
          <t>單詞規則說明</t>
        </is>
      </c>
    </row>
    <row r="2" ht="14.25" customHeight="1" s="142">
      <c r="A2" s="137" t="inlineStr">
        <is>
          <t>傷害公式</t>
        </is>
      </c>
      <c r="B2" s="137" t="inlineStr">
        <is>
          <t>傷害 = Self_Atk*Self_Atk / (Enemy_Def+Self_Atk) * (Skill_Self_SkillRate*Skill係數) *   if(cri亂數決定是否爆擊true *criDamge[先定150%即可] )</t>
        </is>
      </c>
    </row>
    <row r="3" ht="14.25" customHeight="1" s="142">
      <c r="A3" s="7" t="n"/>
    </row>
    <row r="4" ht="14.25" customHeight="1" s="142">
      <c r="A4" s="136" t="inlineStr">
        <is>
          <t>帳號用</t>
        </is>
      </c>
      <c r="B4" s="149" t="n"/>
    </row>
    <row r="5" ht="14.25" customHeight="1" s="142">
      <c r="A5" s="18" t="inlineStr">
        <is>
          <t>S_HP</t>
        </is>
      </c>
      <c r="B5" s="19" t="inlineStr">
        <is>
          <t>等於全體角色平均的血量；該值歸0將戰鬥失敗</t>
        </is>
      </c>
    </row>
    <row r="6" ht="14.25" customHeight="1" s="142">
      <c r="A6" s="137" t="inlineStr">
        <is>
          <t>戰法</t>
        </is>
      </c>
      <c r="B6" s="137" t="inlineStr">
        <is>
          <t>特殊技能；於回合開始時發動，自動狀態下可先進行預約；下回合如果SP符合則可施放</t>
        </is>
      </c>
    </row>
    <row r="7" ht="14.25" customHeight="1" s="142">
      <c r="A7" s="19" t="inlineStr">
        <is>
          <t>水晶物理防</t>
        </is>
      </c>
      <c r="B7" s="19" t="inlineStr">
        <is>
          <t>等於全體角色的平均防禦量；受到直接攻擊時視同水晶的物理防禦，進入戰鬥後不會收BUFF影響提升與降低</t>
        </is>
      </c>
    </row>
    <row r="8" ht="14.25" customHeight="1" s="142">
      <c r="A8" s="19" t="inlineStr">
        <is>
          <t>水晶魔法防</t>
        </is>
      </c>
      <c r="B8" s="19" t="inlineStr">
        <is>
          <t>等於全體角色的平均魔法防禦量；受到直接攻擊時視同水晶的物理防禦，進入戰鬥後不會收BUFF影響提升與降低</t>
        </is>
      </c>
    </row>
    <row r="9" ht="14.25" customHeight="1" s="142">
      <c r="A9" s="7" t="n"/>
      <c r="B9" s="7" t="n"/>
    </row>
    <row r="10" ht="14.25" customHeight="1" s="142">
      <c r="A10" s="7" t="n"/>
      <c r="B10" s="7" t="n"/>
    </row>
    <row r="11" ht="14.25" customHeight="1" s="142">
      <c r="A11" s="137" t="inlineStr">
        <is>
          <t>角色用</t>
        </is>
      </c>
      <c r="B11" s="149" t="n"/>
    </row>
    <row r="12" ht="14.25" customHeight="1" s="142">
      <c r="A12" s="141" t="inlineStr">
        <is>
          <t>HP</t>
        </is>
      </c>
      <c r="B12" s="137" t="inlineStr">
        <is>
          <t>角色的HP數值(起始就全滿)，歸0時則死亡</t>
        </is>
      </c>
    </row>
    <row r="13" ht="14.25" customHeight="1" s="142">
      <c r="A13" s="141" t="inlineStr">
        <is>
          <t>MP</t>
        </is>
      </c>
      <c r="B13" s="137" t="inlineStr">
        <is>
          <t>角色的MP數值(起始就全滿)，需要足夠的MP量才可以施放skill1與skill2，每回合開始時自動恢復10%</t>
        </is>
      </c>
    </row>
    <row r="14" ht="14.25" customHeight="1" s="142">
      <c r="A14" s="137" t="inlineStr">
        <is>
          <t>普通攻擊</t>
        </is>
      </c>
      <c r="B14" s="137" t="inlineStr">
        <is>
          <t>一般攻擊；不消耗MP，並且如果無前方角色進行抵擋傷害時，直接傷害召喚水晶(防禦用召喚水晶為準)</t>
        </is>
      </c>
    </row>
    <row r="15" ht="14.25" customHeight="1" s="142">
      <c r="A15" s="141" t="inlineStr">
        <is>
          <t>skill1</t>
        </is>
      </c>
      <c r="B15" s="137" t="inlineStr">
        <is>
          <t>將會消耗MP才能進行施放</t>
        </is>
      </c>
    </row>
    <row r="16" ht="14.25" customHeight="1" s="142">
      <c r="A16" s="141" t="inlineStr">
        <is>
          <t>skill2</t>
        </is>
      </c>
      <c r="B16" s="137" t="inlineStr">
        <is>
          <t>將會消耗MP才能進行施放</t>
        </is>
      </c>
    </row>
    <row r="17" ht="14.25" customHeight="1" s="142">
      <c r="A17" s="137" t="inlineStr">
        <is>
          <t>移動位置</t>
        </is>
      </c>
      <c r="B17" s="137" t="inlineStr">
        <is>
          <t>如自身左右方沒有英雄時，可以換取位置，但會消耗一回合</t>
        </is>
      </c>
    </row>
    <row r="18" ht="14.25" customHeight="1" s="142">
      <c r="A18" s="137" t="inlineStr">
        <is>
          <t>重生</t>
        </is>
      </c>
      <c r="B18" s="137" t="inlineStr">
        <is>
          <t>所有的角色死亡都會自動依照回合數進行自動復活(HP全滿、MP全滿)</t>
        </is>
      </c>
    </row>
    <row r="19" ht="14.25" customHeight="1" s="142">
      <c r="A19" s="137" t="inlineStr">
        <is>
          <t>重生時間</t>
        </is>
      </c>
      <c r="B19" s="137" t="inlineStr">
        <is>
          <t>復活時hp與mp階滿</t>
        </is>
      </c>
    </row>
    <row r="20" ht="14.25" customHeight="1" s="142">
      <c r="A20" s="7" t="n"/>
      <c r="B20" s="7" t="n"/>
    </row>
    <row r="21" ht="14.25" customHeight="1" s="142">
      <c r="B21" s="7" t="n"/>
    </row>
    <row r="22" ht="14.25" customHeight="1" s="142">
      <c r="A22" s="137" t="inlineStr">
        <is>
          <t>戰鬥用</t>
        </is>
      </c>
      <c r="B22" s="149" t="n"/>
    </row>
    <row r="23" ht="14.25" customHeight="1" s="142">
      <c r="A23" s="137" t="inlineStr">
        <is>
          <t>勝利條件1=全部召喚角色死亡(小於等於0)</t>
        </is>
      </c>
      <c r="B23" s="137" t="n"/>
    </row>
    <row r="24" ht="14.25" customHeight="1" s="142">
      <c r="A24" s="137" t="inlineStr">
        <is>
          <t>勝利條件2=召喚水晶HP死亡(小於等於0)</t>
        </is>
      </c>
      <c r="B24" s="137" t="n"/>
    </row>
    <row r="25" ht="14.25" customHeight="1" s="142">
      <c r="A25" s="7" t="inlineStr">
        <is>
          <t>SKILL中沒有填AP與AD細數時；不需要有特效，並且需要判定如有填入buff_id時則須增加該BUFF至角色身上</t>
        </is>
      </c>
    </row>
    <row r="26" ht="14.25" customHeight="1" s="142">
      <c r="A26" s="138" t="inlineStr">
        <is>
          <t>攻擊時；只要受擊的對方已死亡，該傷害將重新計算至召喚水晶(S_HP、水晶物理防、水晶魔法防規則)</t>
        </is>
      </c>
    </row>
    <row r="27" ht="14.25" customHeight="1" s="142">
      <c r="A27" s="138" t="inlineStr">
        <is>
          <t>可以把英雄 跟召喚水晶理解成前排與後排，前排的英雄可以抵擋傷害，當前排死亡時；所有遠本會打到前排的攻擊(所有5個位置都會)，都會打到後排的召喚水晶</t>
        </is>
      </c>
    </row>
    <row r="28" ht="14.25" customHeight="1" s="142">
      <c r="A28" s="138" t="inlineStr">
        <is>
          <t>死亡的英雄不再顯示於行動順序上；每個回合將重新排序</t>
        </is>
      </c>
    </row>
    <row r="29" ht="14.25" customHeight="1" s="142">
      <c r="A29" s="138" t="inlineStr">
        <is>
          <t>傷害溢出功能，當次的攻擊可以造成角色死亡時；該多餘的傷害需要直接傷害到水晶(傷害不變)</t>
        </is>
      </c>
    </row>
    <row r="30" ht="14.25" customHeight="1" s="142">
      <c r="A30" s="138" t="inlineStr">
        <is>
          <t>水晶直接攻擊 的 水晶直接傷害追加一個規則，就是必定造成傷害再追加100%(總共兩倍)</t>
        </is>
      </c>
    </row>
    <row r="31" ht="14.25" customHeight="1" s="142">
      <c r="A31" s="138" t="inlineStr">
        <is>
          <t>復活時不再透過角色hp來減少當下的s_hp</t>
        </is>
      </c>
    </row>
    <row r="32" ht="14.25" customHeight="1" s="142">
      <c r="A32" s="7" t="inlineStr">
        <is>
          <t>element有互克關係；水剋火,火剋木,木剋水，剋制關係時造成的最終傷害增加+30%(水打火)、被剋制關係時火打水時造成的最終傷害-30%</t>
        </is>
      </c>
    </row>
    <row r="36" ht="14.25" customHeight="1" s="142">
      <c r="A36" s="7" t="inlineStr">
        <is>
          <t>level</t>
        </is>
      </c>
    </row>
    <row r="37" ht="14.25" customHeight="1" s="142">
      <c r="A37" s="7" t="inlineStr">
        <is>
          <t>HP / ATK / MATK / DEF / MDEF / MP = 起始數值 * (1 + level * 0.03)</t>
        </is>
      </c>
    </row>
    <row r="38" ht="14.25" customHeight="1" s="142">
      <c r="A38" s="7" t="inlineStr">
        <is>
          <t xml:space="preserve"> AGI = 起始AGI * (1 + level * 0.01) level = 0 時完全不縮放，維持原始數值</t>
        </is>
      </c>
    </row>
    <row r="41" ht="14.25" customHeight="1" s="142">
      <c r="B41" s="138" t="inlineStr">
        <is>
          <t>傷害(物理傷害) = Self_Atk*Self_Atk / (Enemy_Def+Self_Atk) * (Skill_Self_SkillRate*Skill係數) *   if(cri亂數決定是否爆擊true * criDamge[最低150%依照後續追加] )</t>
        </is>
      </c>
    </row>
    <row r="44" ht="14.25" customHeight="1" s="142">
      <c r="A44" s="7">
        <f>"(1)"</f>
        <v/>
      </c>
      <c r="B44" s="7" t="n"/>
      <c r="C44" s="7" t="n"/>
      <c r="D44" s="7" t="n"/>
      <c r="E44" s="7" t="n"/>
      <c r="F44" s="7" t="n"/>
    </row>
    <row r="45" ht="14.25" customHeight="1" s="142">
      <c r="A45" s="138" t="inlineStr">
        <is>
          <t>攻擊傷害 = (Self_atk^2 / (Self_atk+enemy_def ))* Damage *IfCri</t>
        </is>
      </c>
    </row>
    <row r="46" ht="14.25" customHeight="1" s="142">
      <c r="A46" s="7">
        <f>"(2)"</f>
        <v/>
      </c>
      <c r="B46" s="7" t="n"/>
      <c r="C46" s="7" t="n"/>
      <c r="D46" s="7" t="n"/>
      <c r="E46" s="7" t="n"/>
      <c r="F46" s="7" t="n"/>
    </row>
    <row r="47" ht="14.25" customHeight="1" s="142">
      <c r="A47" s="7" t="inlineStr">
        <is>
          <t>Damage =  (1+self_damageIncrease +  selfBuff_damageIncrease) * (1- enemy_damageReduce)*(1- enemyBuff_damageReduce)</t>
        </is>
      </c>
      <c r="B47" s="7" t="n"/>
      <c r="C47" s="7" t="n"/>
      <c r="D47" s="7" t="n"/>
      <c r="E47" s="7" t="n"/>
      <c r="F47" s="7" t="n"/>
    </row>
    <row r="48" ht="14.25" customHeight="1" s="142">
      <c r="A48" s="7" t="inlineStr">
        <is>
          <t>*戰鬥中有可能會有相對應的Buff被追加，self / enemy是帶入戰鬥時的基礎；有cuerrent要被加到1+與1- 的算式中</t>
        </is>
      </c>
      <c r="B48" s="7" t="n"/>
      <c r="C48" s="7" t="n"/>
      <c r="D48" s="7" t="n"/>
      <c r="E48" s="7" t="n"/>
      <c r="F48" s="7" t="n"/>
    </row>
    <row r="49" ht="14.25" customHeight="1" s="142">
      <c r="A49" s="7" t="inlineStr">
        <is>
          <t>*紅字可以直接透過slot結果帶入</t>
        </is>
      </c>
      <c r="B49" s="7" t="n"/>
      <c r="C49" s="7" t="n"/>
      <c r="D49" s="7" t="n"/>
      <c r="E49" s="7" t="n"/>
      <c r="F49" s="7" t="n"/>
    </row>
    <row r="50" ht="14.25" customHeight="1" s="142">
      <c r="A50" s="7">
        <f>"(3)"</f>
        <v/>
      </c>
      <c r="B50" s="7" t="n"/>
      <c r="C50" s="7" t="n"/>
      <c r="D50" s="7" t="n"/>
      <c r="E50" s="7" t="n"/>
      <c r="F50" s="7" t="n"/>
    </row>
    <row r="51" ht="14.25" customHeight="1" s="142">
      <c r="A51" s="138" t="inlineStr">
        <is>
          <t>計算爆擊:      (self_cri  - enemy_criReduce ) 減後；計算爆擊率</t>
        </is>
      </c>
      <c r="C51" s="7" t="n"/>
      <c r="D51" s="7" t="n"/>
      <c r="E51" s="7" t="n"/>
      <c r="F51" s="7" t="n"/>
    </row>
    <row r="52" ht="14.25" customHeight="1" s="142">
      <c r="A52" s="138" t="inlineStr">
        <is>
          <t>爆擊時    :     IfCri =  150% + (self_criDamage - enemy_criDamageReduce) ；()內值最小=0</t>
        </is>
      </c>
      <c r="C52" s="7" t="n"/>
      <c r="D52" s="7" t="n"/>
      <c r="E52" s="7" t="n"/>
      <c r="F52" s="7" t="n"/>
    </row>
    <row r="53" ht="14.25" customHeight="1" s="142">
      <c r="B53" s="7" t="n"/>
      <c r="C53" s="7" t="n"/>
      <c r="D53" s="7" t="n"/>
      <c r="E53" s="7" t="n"/>
      <c r="F53" s="7" t="n"/>
    </row>
    <row r="54" ht="14.25" customHeight="1" s="142">
      <c r="B54" s="7" t="n"/>
      <c r="C54" s="7" t="n"/>
      <c r="D54" s="7" t="n"/>
      <c r="E54" s="7" t="n"/>
      <c r="F54" s="7" t="n"/>
    </row>
    <row r="55" ht="14.25" customHeight="1" s="142">
      <c r="B55" s="7" t="n"/>
      <c r="C55" s="7" t="n"/>
      <c r="D55" s="7" t="n"/>
      <c r="E55" s="7" t="n"/>
      <c r="F55" s="7" t="n"/>
    </row>
  </sheetData>
  <mergeCells count="4">
    <mergeCell ref="A4:B4"/>
    <mergeCell ref="A11:B11"/>
    <mergeCell ref="A22:B22"/>
    <mergeCell ref="A45:F45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38"/>
  <sheetViews>
    <sheetView zoomScaleNormal="100" workbookViewId="0">
      <selection activeCell="A1" sqref="A1"/>
    </sheetView>
  </sheetViews>
  <sheetFormatPr baseColWidth="8" defaultColWidth="12.5703125" defaultRowHeight="12.75"/>
  <cols>
    <col width="15.140625" customWidth="1" style="142" min="4" max="4"/>
  </cols>
  <sheetData>
    <row r="2" ht="14.25" customHeight="1" s="142">
      <c r="O2" s="138" t="inlineStr">
        <is>
          <t>指定</t>
        </is>
      </c>
      <c r="P2" s="137" t="inlineStr">
        <is>
          <t>攻擊數量</t>
        </is>
      </c>
      <c r="Q2" s="137" t="n">
        <v>1</v>
      </c>
      <c r="R2" s="137" t="n">
        <v>2</v>
      </c>
      <c r="S2" s="137" t="n">
        <v>3</v>
      </c>
      <c r="T2" s="137" t="n">
        <v>4</v>
      </c>
    </row>
    <row r="3" ht="14.25" customHeight="1" s="142">
      <c r="P3" s="141" t="inlineStr">
        <is>
          <t>SSR</t>
        </is>
      </c>
      <c r="Q3" s="20" t="n">
        <v>4.8</v>
      </c>
      <c r="R3" s="20" t="n">
        <v>2.4</v>
      </c>
      <c r="S3" s="20" t="n">
        <v>1.6</v>
      </c>
      <c r="T3" s="20" t="n">
        <v>1.2</v>
      </c>
    </row>
    <row r="4" ht="14.25" customHeight="1" s="142">
      <c r="G4" s="137" t="inlineStr">
        <is>
          <t>物理攻擊</t>
        </is>
      </c>
      <c r="P4" s="141" t="inlineStr">
        <is>
          <t>SR</t>
        </is>
      </c>
      <c r="Q4" s="20" t="n">
        <v>3.8</v>
      </c>
      <c r="R4" s="20" t="n">
        <v>1.9</v>
      </c>
      <c r="S4" s="20" t="n">
        <v>1.25</v>
      </c>
      <c r="T4" s="20" t="n">
        <v>0.95</v>
      </c>
    </row>
    <row r="5" ht="14.25" customHeight="1" s="142">
      <c r="G5" s="137" t="inlineStr">
        <is>
          <t>魔法攻擊</t>
        </is>
      </c>
      <c r="P5" s="141" t="inlineStr">
        <is>
          <t>R</t>
        </is>
      </c>
      <c r="Q5" s="20" t="n">
        <v>3</v>
      </c>
      <c r="R5" s="20" t="n">
        <v>1.55</v>
      </c>
      <c r="S5" s="20" t="n">
        <v>1.05</v>
      </c>
      <c r="T5" s="20" t="n">
        <v>0.75</v>
      </c>
    </row>
    <row r="6" ht="14.25" customHeight="1" s="142">
      <c r="B6" s="7" t="inlineStr">
        <is>
          <t>R</t>
        </is>
      </c>
      <c r="C6" s="138" t="inlineStr">
        <is>
          <t xml:space="preserve">劍士 </t>
        </is>
      </c>
      <c r="D6" s="138" t="inlineStr">
        <is>
          <t>普攻</t>
        </is>
      </c>
      <c r="E6" s="21" t="n">
        <v>110001</v>
      </c>
      <c r="J6" s="138" t="inlineStr">
        <is>
          <t>劍豪</t>
        </is>
      </c>
    </row>
    <row r="7" ht="14.25" customHeight="1" s="142">
      <c r="D7" s="138" t="inlineStr">
        <is>
          <t>狂怒一擊</t>
        </is>
      </c>
      <c r="E7" s="7" t="inlineStr">
        <is>
          <t>CD</t>
        </is>
      </c>
      <c r="F7" s="138" t="inlineStr">
        <is>
          <t>對敵方1體造成3AD物攻的物理傷害，並40%附加暈眩</t>
        </is>
      </c>
      <c r="J7" s="138" t="inlineStr">
        <is>
          <t>狂戰士</t>
        </is>
      </c>
    </row>
    <row r="8" ht="14.25" customHeight="1" s="142">
      <c r="D8" s="138" t="inlineStr">
        <is>
          <t>全隊增加攻擊力</t>
        </is>
      </c>
      <c r="E8" s="7" t="inlineStr">
        <is>
          <t>CD=2</t>
        </is>
      </c>
      <c r="F8" s="138" t="inlineStr">
        <is>
          <t>為全體附加攻擊上升</t>
        </is>
      </c>
      <c r="J8" s="138" t="inlineStr">
        <is>
          <t>神射手</t>
        </is>
      </c>
      <c r="O8" s="138" t="inlineStr">
        <is>
          <t>隨機</t>
        </is>
      </c>
      <c r="P8" s="137" t="inlineStr">
        <is>
          <t>攻擊數量</t>
        </is>
      </c>
      <c r="Q8" s="141" t="n">
        <v>1</v>
      </c>
      <c r="R8" s="141" t="n">
        <v>2</v>
      </c>
      <c r="S8" s="141" t="n">
        <v>3</v>
      </c>
      <c r="T8" s="141" t="n">
        <v>4</v>
      </c>
    </row>
    <row r="9" ht="14.25" customHeight="1" s="142">
      <c r="J9" s="138" t="inlineStr">
        <is>
          <t>刺客</t>
        </is>
      </c>
      <c r="P9" s="141" t="inlineStr">
        <is>
          <t>SSR</t>
        </is>
      </c>
      <c r="Q9" s="20" t="n">
        <v>5</v>
      </c>
      <c r="R9" s="20" t="n">
        <v>2.5</v>
      </c>
      <c r="S9" s="20" t="n">
        <v>1.7</v>
      </c>
      <c r="T9" s="20" t="n">
        <v>1.25</v>
      </c>
    </row>
    <row r="10" ht="14.25" customHeight="1" s="142">
      <c r="C10" s="138" t="inlineStr">
        <is>
          <t xml:space="preserve">戰士 </t>
        </is>
      </c>
      <c r="D10" s="138" t="inlineStr">
        <is>
          <t>普攻</t>
        </is>
      </c>
      <c r="E10" s="21" t="n">
        <v>110001</v>
      </c>
      <c r="J10" s="138" t="inlineStr">
        <is>
          <t>魔導士</t>
        </is>
      </c>
      <c r="P10" s="141" t="inlineStr">
        <is>
          <t>SR</t>
        </is>
      </c>
      <c r="Q10" s="20" t="n">
        <v>4</v>
      </c>
      <c r="R10" s="20" t="n">
        <v>2</v>
      </c>
      <c r="S10" s="20" t="n">
        <v>1.3</v>
      </c>
      <c r="T10" s="20" t="n">
        <v>1</v>
      </c>
    </row>
    <row r="11" ht="14.25" customHeight="1" s="142">
      <c r="D11" s="138" t="inlineStr">
        <is>
          <t>重劍防禦</t>
        </is>
      </c>
      <c r="E11" s="7" t="inlineStr">
        <is>
          <t>CD</t>
        </is>
      </c>
      <c r="F11" s="138" t="inlineStr">
        <is>
          <t>對我方隨機2體附加3AD的護盾</t>
        </is>
      </c>
      <c r="J11" s="138" t="inlineStr">
        <is>
          <t>神官</t>
        </is>
      </c>
      <c r="P11" s="141" t="inlineStr">
        <is>
          <t>R</t>
        </is>
      </c>
      <c r="Q11" s="20" t="n">
        <v>3.15</v>
      </c>
      <c r="R11" s="20" t="n">
        <v>1.65</v>
      </c>
      <c r="S11" s="20" t="n">
        <v>1.1</v>
      </c>
      <c r="T11" s="20" t="n">
        <v>0.8</v>
      </c>
    </row>
    <row r="12" ht="14.25" customHeight="1" s="142">
      <c r="D12" s="138" t="inlineStr">
        <is>
          <t>全隊增加防禦力</t>
        </is>
      </c>
      <c r="E12" s="7" t="inlineStr">
        <is>
          <t>CD=2</t>
        </is>
      </c>
      <c r="F12" s="138" t="inlineStr">
        <is>
          <t>為全體附加防禦上升</t>
        </is>
      </c>
    </row>
    <row r="13" ht="15" customHeight="1" s="142">
      <c r="O13" s="22" t="inlineStr">
        <is>
          <t>初始職業</t>
        </is>
      </c>
      <c r="P13" s="22" t="inlineStr">
        <is>
          <t>一階</t>
        </is>
      </c>
      <c r="Q13" s="22" t="inlineStr">
        <is>
          <t>二階</t>
        </is>
      </c>
      <c r="R13" s="22" t="inlineStr">
        <is>
          <t>三階</t>
        </is>
      </c>
      <c r="S13" s="22" t="inlineStr">
        <is>
          <t>四階</t>
        </is>
      </c>
    </row>
    <row r="14" ht="14.25" customHeight="1" s="142">
      <c r="C14" s="138" t="inlineStr">
        <is>
          <t xml:space="preserve">弓劍手 </t>
        </is>
      </c>
      <c r="D14" s="138" t="inlineStr">
        <is>
          <t>普攻</t>
        </is>
      </c>
      <c r="E14" s="21" t="n">
        <v>110001</v>
      </c>
      <c r="O14" s="138" t="inlineStr">
        <is>
          <t>劍士</t>
        </is>
      </c>
      <c r="Q14" s="138" t="inlineStr">
        <is>
          <t>劍狂</t>
        </is>
      </c>
      <c r="R14" s="138" t="inlineStr">
        <is>
          <t>劍聖</t>
        </is>
      </c>
      <c r="S14" s="138" t="inlineStr">
        <is>
          <t>神劍使</t>
        </is>
      </c>
    </row>
    <row r="15" ht="14.25" customHeight="1" s="142">
      <c r="D15" s="138" t="inlineStr">
        <is>
          <t>全速攻擊</t>
        </is>
      </c>
      <c r="E15" s="7" t="inlineStr">
        <is>
          <t>CD</t>
        </is>
      </c>
      <c r="F15" s="138" t="inlineStr">
        <is>
          <t>對敵方2體造成1.65物攻的物理傷害，並為自身附加行動加快</t>
        </is>
      </c>
      <c r="Q15" s="138" t="inlineStr">
        <is>
          <t>聖戰神</t>
        </is>
      </c>
      <c r="R15" s="138" t="inlineStr">
        <is>
          <t>黑十字騎士</t>
        </is>
      </c>
      <c r="S15" s="138" t="inlineStr">
        <is>
          <t>聖痕征服者</t>
        </is>
      </c>
    </row>
    <row r="16" ht="14.25" customHeight="1" s="142">
      <c r="D16" s="138" t="inlineStr">
        <is>
          <t>全隊增加技能傷害</t>
        </is>
      </c>
      <c r="E16" s="7" t="inlineStr">
        <is>
          <t>CD=2</t>
        </is>
      </c>
      <c r="F16" s="138" t="inlineStr">
        <is>
          <t>為全體附加技能傷害上升</t>
        </is>
      </c>
    </row>
    <row r="17" ht="14.25" customHeight="1" s="142">
      <c r="O17" s="138" t="inlineStr">
        <is>
          <t>戰士</t>
        </is>
      </c>
      <c r="Q17" s="138" t="inlineStr">
        <is>
          <t>戰將</t>
        </is>
      </c>
      <c r="R17" s="138" t="inlineStr">
        <is>
          <t>戰神</t>
        </is>
      </c>
      <c r="S17" s="138" t="inlineStr">
        <is>
          <t>不滅戰神</t>
        </is>
      </c>
    </row>
    <row r="18" ht="14.25" customHeight="1" s="142">
      <c r="Q18" s="138" t="inlineStr">
        <is>
          <t>重裝騎士</t>
        </is>
      </c>
      <c r="R18" s="138" t="inlineStr">
        <is>
          <t>鋼鐵騎士</t>
        </is>
      </c>
      <c r="S18" s="138" t="inlineStr">
        <is>
          <t>守護戰神</t>
        </is>
      </c>
    </row>
    <row r="19" ht="14.25" customHeight="1" s="142">
      <c r="C19" s="138" t="inlineStr">
        <is>
          <t>盜賊</t>
        </is>
      </c>
      <c r="D19" s="138" t="inlineStr">
        <is>
          <t>普攻</t>
        </is>
      </c>
      <c r="E19" s="21" t="n">
        <v>110001</v>
      </c>
    </row>
    <row r="20" ht="14.25" customHeight="1" s="142">
      <c r="D20" s="138" t="inlineStr">
        <is>
          <t>劇毒匕首</t>
        </is>
      </c>
      <c r="E20" s="7" t="inlineStr">
        <is>
          <t>CD</t>
        </is>
      </c>
      <c r="F20" s="138" t="inlineStr">
        <is>
          <t>對敵方1體造成3.1物攻的物理傷害，並附加中毒效果</t>
        </is>
      </c>
      <c r="O20" s="138" t="inlineStr">
        <is>
          <t>弓手</t>
        </is>
      </c>
      <c r="Q20" s="138" t="inlineStr">
        <is>
          <t>狙擊者</t>
        </is>
      </c>
      <c r="R20" s="138" t="inlineStr">
        <is>
          <t>天穹獵手</t>
        </is>
      </c>
      <c r="S20" s="138" t="inlineStr">
        <is>
          <t>星弦獵神</t>
        </is>
      </c>
    </row>
    <row r="21" ht="14.25" customHeight="1" s="142">
      <c r="D21" s="138" t="inlineStr">
        <is>
          <t>全隊增加爆擊率</t>
        </is>
      </c>
      <c r="E21" s="7" t="inlineStr">
        <is>
          <t>CD=2</t>
        </is>
      </c>
      <c r="F21" s="138" t="inlineStr">
        <is>
          <t>全隊增加爆擊率上升</t>
        </is>
      </c>
      <c r="Q21" s="138" t="inlineStr">
        <is>
          <t>遊俠</t>
        </is>
      </c>
      <c r="R21" s="138" t="inlineStr">
        <is>
          <t>森林王</t>
        </is>
      </c>
      <c r="S21" s="138" t="inlineStr">
        <is>
          <t>萬獸獵王</t>
        </is>
      </c>
    </row>
    <row r="23" ht="14.25" customHeight="1" s="142">
      <c r="C23" s="138" t="inlineStr">
        <is>
          <t>魔法師</t>
        </is>
      </c>
      <c r="D23" s="138" t="inlineStr">
        <is>
          <t>普攻</t>
        </is>
      </c>
      <c r="E23" s="21" t="n">
        <v>110011</v>
      </c>
      <c r="O23" s="138" t="inlineStr">
        <is>
          <t>盜賊</t>
        </is>
      </c>
      <c r="Q23" s="138" t="inlineStr">
        <is>
          <t>影刃</t>
        </is>
      </c>
      <c r="R23" s="138" t="inlineStr">
        <is>
          <t>暗影宗師</t>
        </is>
      </c>
      <c r="S23" s="138" t="inlineStr">
        <is>
          <t>虛空刺客</t>
        </is>
      </c>
    </row>
    <row r="24" ht="14.25" customHeight="1" s="142">
      <c r="D24" s="138" t="inlineStr">
        <is>
          <t>全體點燃</t>
        </is>
      </c>
      <c r="E24" s="7" t="inlineStr">
        <is>
          <t>CD</t>
        </is>
      </c>
      <c r="F24" s="138" t="inlineStr">
        <is>
          <t>對敵方全體造成0.6魔攻的魔法傷害，並附加灼傷</t>
        </is>
      </c>
      <c r="Q24" s="138" t="inlineStr">
        <is>
          <t>遊蕩者</t>
        </is>
      </c>
      <c r="R24" s="138" t="inlineStr">
        <is>
          <t>暗夜獵手</t>
        </is>
      </c>
      <c r="S24" s="138" t="inlineStr">
        <is>
          <t>幻影宗師</t>
        </is>
      </c>
    </row>
    <row r="25" ht="14.25" customHeight="1" s="142">
      <c r="D25" s="138" t="inlineStr">
        <is>
          <t>全隊增加魔攻上升</t>
        </is>
      </c>
      <c r="E25" s="7" t="inlineStr">
        <is>
          <t>CD=2</t>
        </is>
      </c>
      <c r="F25" s="138" t="inlineStr">
        <is>
          <t>全隊增加魔攻上升</t>
        </is>
      </c>
    </row>
    <row r="26" ht="14.25" customHeight="1" s="142">
      <c r="O26" s="138" t="inlineStr">
        <is>
          <t>法師</t>
        </is>
      </c>
      <c r="Q26" s="138" t="inlineStr">
        <is>
          <t>大魔導士</t>
        </is>
      </c>
      <c r="R26" s="138" t="inlineStr">
        <is>
          <t>賢者</t>
        </is>
      </c>
      <c r="S26" s="138" t="inlineStr">
        <is>
          <t>大賢者</t>
        </is>
      </c>
    </row>
    <row r="27" ht="14.25" customHeight="1" s="142">
      <c r="Q27" s="138" t="inlineStr">
        <is>
          <t>咒術師</t>
        </is>
      </c>
      <c r="R27" s="138" t="inlineStr">
        <is>
          <t>禁術師</t>
        </is>
      </c>
      <c r="S27" s="138" t="inlineStr">
        <is>
          <t>深淵術士</t>
        </is>
      </c>
    </row>
    <row r="28" ht="14.25" customHeight="1" s="142">
      <c r="C28" s="138" t="inlineStr">
        <is>
          <t>實習祭司</t>
        </is>
      </c>
      <c r="D28" s="138" t="inlineStr">
        <is>
          <t>普攻</t>
        </is>
      </c>
      <c r="E28" s="21" t="n">
        <v>110011</v>
      </c>
    </row>
    <row r="29" ht="14.25" customHeight="1" s="142">
      <c r="D29" s="138" t="inlineStr">
        <is>
          <t>治療</t>
        </is>
      </c>
      <c r="E29" s="7" t="inlineStr">
        <is>
          <t>CD</t>
        </is>
      </c>
      <c r="F29" s="138" t="inlineStr">
        <is>
          <t>對我方隨機2體3AP魔攻的HP恢復</t>
        </is>
      </c>
      <c r="O29" s="138" t="inlineStr">
        <is>
          <t>祭司</t>
        </is>
      </c>
      <c r="Q29" s="138" t="inlineStr">
        <is>
          <t>主教</t>
        </is>
      </c>
      <c r="R29" s="138" t="inlineStr">
        <is>
          <t>聖者</t>
        </is>
      </c>
      <c r="S29" s="138" t="inlineStr">
        <is>
          <t>聖女／聖王</t>
        </is>
      </c>
    </row>
    <row r="30" ht="14.25" customHeight="1" s="142">
      <c r="D30" s="138" t="inlineStr">
        <is>
          <t>全隊增加魔防</t>
        </is>
      </c>
      <c r="E30" s="7" t="inlineStr">
        <is>
          <t>CD=2</t>
        </is>
      </c>
      <c r="F30" s="138" t="inlineStr">
        <is>
          <t>為全體附加魔防上升</t>
        </is>
      </c>
      <c r="Q30" s="138" t="inlineStr">
        <is>
          <t>戰鬥祭司</t>
        </is>
      </c>
      <c r="R30" s="138" t="inlineStr">
        <is>
          <t>神殿騎士</t>
        </is>
      </c>
      <c r="S30" s="138" t="inlineStr">
        <is>
          <t>聖裁者</t>
        </is>
      </c>
    </row>
    <row r="33" ht="14.25" customHeight="1" s="142">
      <c r="C33" s="138" t="inlineStr">
        <is>
          <t>神劍使</t>
        </is>
      </c>
      <c r="D33" s="138" t="inlineStr">
        <is>
          <t>迴旋打擊</t>
        </is>
      </c>
      <c r="E33" s="138" t="inlineStr">
        <is>
          <t>為隨機3名敵人造成&lt;AD&gt;的物理傷害</t>
        </is>
      </c>
      <c r="O33" s="138" t="inlineStr">
        <is>
          <t xml:space="preserve">劍士 </t>
        </is>
      </c>
    </row>
    <row r="34" ht="14.25" customHeight="1" s="142">
      <c r="D34" s="138" t="inlineStr">
        <is>
          <t>天翔十字閃</t>
        </is>
      </c>
      <c r="E34" s="138" t="inlineStr">
        <is>
          <t>為敵方3名敵人造成&lt;AD&gt;物理傷害，並附加防禦下降2層</t>
        </is>
      </c>
      <c r="O34" s="138" t="inlineStr">
        <is>
          <t xml:space="preserve">戰士 </t>
        </is>
      </c>
    </row>
    <row r="35" ht="14.25" customHeight="1" s="142">
      <c r="D35" s="138" t="inlineStr">
        <is>
          <t>人劍合一</t>
        </is>
      </c>
      <c r="E35" s="138" t="inlineStr">
        <is>
          <t>為所有#名刀附加攻擊+30%層爆率+20%，爆擊傷害+50%</t>
        </is>
      </c>
      <c r="O35" s="138" t="inlineStr">
        <is>
          <t xml:space="preserve">弓劍手 </t>
        </is>
      </c>
    </row>
    <row r="36" ht="14.25" customHeight="1" s="142">
      <c r="O36" s="138" t="inlineStr">
        <is>
          <t>盜賊</t>
        </is>
      </c>
    </row>
    <row r="37" ht="14.25" customHeight="1" s="142">
      <c r="O37" s="138" t="inlineStr">
        <is>
          <t>魔法師</t>
        </is>
      </c>
    </row>
    <row r="38" ht="14.25" customHeight="1" s="142">
      <c r="O38" s="138" t="inlineStr">
        <is>
          <t>實習祭司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N43"/>
  <sheetViews>
    <sheetView zoomScaleNormal="100" workbookViewId="0">
      <selection activeCell="A1" sqref="A1"/>
    </sheetView>
  </sheetViews>
  <sheetFormatPr baseColWidth="8" defaultColWidth="12.5703125" defaultRowHeight="12.75"/>
  <cols>
    <col width="17.28515625" customWidth="1" style="142" min="1" max="1"/>
    <col width="30.140625" customWidth="1" style="142" min="2" max="2"/>
    <col width="24.5703125" customWidth="1" style="142" min="3" max="3"/>
    <col width="13" customWidth="1" style="142" min="6" max="6"/>
    <col width="14.140625" customWidth="1" style="142" min="7" max="7"/>
  </cols>
  <sheetData>
    <row r="3" ht="14.25" customHeight="1" s="142">
      <c r="A3" s="23" t="n"/>
      <c r="B3" s="136" t="inlineStr">
        <is>
          <t>特性</t>
        </is>
      </c>
      <c r="C3" s="136" t="inlineStr">
        <is>
          <t>掉落機制</t>
        </is>
      </c>
      <c r="D3" s="136" t="inlineStr">
        <is>
          <t>掉落物</t>
        </is>
      </c>
      <c r="E3" s="150" t="n"/>
      <c r="F3" s="150" t="n"/>
      <c r="G3" s="149" t="n"/>
      <c r="L3" s="138" t="inlineStr">
        <is>
          <t>回魔量</t>
        </is>
      </c>
    </row>
    <row r="4" ht="14.25" customHeight="1" s="142">
      <c r="A4" s="137" t="inlineStr">
        <is>
          <t>神格試煉</t>
        </is>
      </c>
      <c r="B4" s="137" t="inlineStr">
        <is>
          <t>出戰限制，隨機決定</t>
        </is>
      </c>
      <c r="C4" s="137" t="inlineStr">
        <is>
          <t>每場都有獎勵</t>
        </is>
      </c>
      <c r="D4" s="137" t="inlineStr">
        <is>
          <t>職業經驗</t>
        </is>
      </c>
      <c r="E4" s="137" t="inlineStr">
        <is>
          <t>轉職卷碎片</t>
        </is>
      </c>
      <c r="F4" s="137" t="inlineStr">
        <is>
          <t>悟性藥水(有機會獲得點數；累積制)</t>
        </is>
      </c>
      <c r="G4" s="141" t="n"/>
      <c r="L4" s="138" t="inlineStr">
        <is>
          <t>貫穿</t>
        </is>
      </c>
      <c r="M4" s="138" t="inlineStr">
        <is>
          <t>貫穿抵抗</t>
        </is>
      </c>
    </row>
    <row r="5" ht="14.25" customHeight="1" s="142">
      <c r="A5" s="137" t="inlineStr">
        <is>
          <t>試煉之塔</t>
        </is>
      </c>
      <c r="B5" s="137" t="inlineStr">
        <is>
          <t>爬塔</t>
        </is>
      </c>
      <c r="C5" s="137" t="inlineStr">
        <is>
          <t>每場都有獎勵</t>
        </is>
      </c>
      <c r="D5" s="137" t="inlineStr">
        <is>
          <t>抽卡卷</t>
        </is>
      </c>
      <c r="E5" s="141" t="n"/>
      <c r="F5" s="141" t="n"/>
      <c r="G5" s="141" t="n"/>
      <c r="L5" s="138" t="inlineStr">
        <is>
          <t>治療量</t>
        </is>
      </c>
      <c r="M5" s="138" t="inlineStr">
        <is>
          <t>減療量</t>
        </is>
      </c>
      <c r="N5" s="138" t="inlineStr">
        <is>
          <t>恢復反轉</t>
        </is>
      </c>
    </row>
    <row r="6" ht="14.25" customHeight="1" s="142">
      <c r="A6" s="137" t="inlineStr">
        <is>
          <t>無限地城</t>
        </is>
      </c>
      <c r="B6" s="137" t="inlineStr">
        <is>
          <t>選等級；中間獲得增益到打過</t>
        </is>
      </c>
      <c r="C6" s="137" t="inlineStr">
        <is>
          <t>挑戰整輪,打完才有獎勵</t>
        </is>
      </c>
      <c r="D6" s="137" t="inlineStr">
        <is>
          <t>裝備</t>
        </is>
      </c>
      <c r="E6" s="137" t="inlineStr">
        <is>
          <t>武器碎片</t>
        </is>
      </c>
      <c r="F6" s="137" t="inlineStr">
        <is>
          <t>裝備洗鍊書</t>
        </is>
      </c>
      <c r="G6" s="137" t="inlineStr">
        <is>
          <t>強化石</t>
        </is>
      </c>
      <c r="L6" s="138" t="inlineStr">
        <is>
          <t>護盾量</t>
        </is>
      </c>
      <c r="M6" s="138" t="inlineStr">
        <is>
          <t>護盾量減少</t>
        </is>
      </c>
    </row>
    <row r="7" ht="14.25" customHeight="1" s="142">
      <c r="A7" s="137" t="inlineStr">
        <is>
          <t>殲滅任務</t>
        </is>
      </c>
      <c r="B7" s="137" t="inlineStr">
        <is>
          <t>多wave；要一次打過</t>
        </is>
      </c>
      <c r="C7" s="137" t="inlineStr">
        <is>
          <t>挑戰整輪,打完才有獎勵</t>
        </is>
      </c>
      <c r="D7" s="137" t="inlineStr">
        <is>
          <t>裝備</t>
        </is>
      </c>
      <c r="E7" s="137" t="inlineStr">
        <is>
          <t>武器碎片</t>
        </is>
      </c>
      <c r="F7" s="137" t="inlineStr">
        <is>
          <t>武器經驗</t>
        </is>
      </c>
      <c r="G7" s="137" t="inlineStr">
        <is>
          <t>寶石</t>
        </is>
      </c>
    </row>
    <row r="11" ht="14.25" customHeight="1" s="142">
      <c r="A11" s="138" t="inlineStr">
        <is>
          <t>帳號配點</t>
        </is>
      </c>
      <c r="B11" s="138" t="inlineStr">
        <is>
          <t>點數只要有固定的數字出現；會有新的個性出現</t>
        </is>
      </c>
    </row>
    <row r="13" ht="14.25" customHeight="1" s="142">
      <c r="B13" s="7" t="inlineStr">
        <is>
          <t>int</t>
        </is>
      </c>
      <c r="C13" s="138" t="inlineStr">
        <is>
          <t>魔攻</t>
        </is>
      </c>
      <c r="D13" s="138" t="inlineStr">
        <is>
          <t>技能傷害</t>
        </is>
      </c>
      <c r="E13" s="138" t="inlineStr">
        <is>
          <t>回魔量</t>
        </is>
      </c>
    </row>
    <row r="14" ht="14.25" customHeight="1" s="142">
      <c r="B14" s="7" t="inlineStr">
        <is>
          <t>vit</t>
        </is>
      </c>
      <c r="C14" s="7" t="inlineStr">
        <is>
          <t>HP</t>
        </is>
      </c>
      <c r="D14" s="138" t="inlineStr">
        <is>
          <t>防禦</t>
        </is>
      </c>
      <c r="E14" s="138" t="inlineStr">
        <is>
          <t>護盾量</t>
        </is>
      </c>
    </row>
    <row r="15" ht="14.25" customHeight="1" s="142">
      <c r="B15" s="7" t="inlineStr">
        <is>
          <t>agi</t>
        </is>
      </c>
      <c r="C15" s="138" t="inlineStr">
        <is>
          <t>技能傷害</t>
        </is>
      </c>
      <c r="D15" s="138" t="inlineStr">
        <is>
          <t>爆擊率</t>
        </is>
      </c>
      <c r="E15" s="138" t="inlineStr">
        <is>
          <t>行動值</t>
        </is>
      </c>
    </row>
    <row r="16" ht="14.25" customHeight="1" s="142">
      <c r="B16" s="7" t="inlineStr">
        <is>
          <t>str</t>
        </is>
      </c>
      <c r="C16" s="138" t="inlineStr">
        <is>
          <t>攻擊力</t>
        </is>
      </c>
      <c r="D16" s="138" t="inlineStr">
        <is>
          <t>爆傷害</t>
        </is>
      </c>
      <c r="E16" s="138" t="inlineStr">
        <is>
          <t>貫穿</t>
        </is>
      </c>
      <c r="F16" s="138" t="inlineStr">
        <is>
          <t>每1點抵銷受擊敵人的防禦1點</t>
        </is>
      </c>
    </row>
    <row r="17" ht="14.25" customHeight="1" s="142">
      <c r="B17" s="7" t="inlineStr">
        <is>
          <t>dex</t>
        </is>
      </c>
      <c r="C17" s="138" t="inlineStr">
        <is>
          <t>爆擊率</t>
        </is>
      </c>
      <c r="D17" s="138" t="inlineStr">
        <is>
          <t>爆傷害</t>
        </is>
      </c>
      <c r="E17" s="138" t="inlineStr">
        <is>
          <t>異常狀態抗性</t>
        </is>
      </c>
      <c r="F17" s="7" t="inlineStr">
        <is>
          <t>ID 4000~5999的抗性機率，初始為0%</t>
        </is>
      </c>
    </row>
    <row r="18" ht="14.25" customHeight="1" s="142">
      <c r="B18" s="7" t="inlineStr">
        <is>
          <t>spr</t>
        </is>
      </c>
      <c r="C18" s="138" t="inlineStr">
        <is>
          <t>魔防</t>
        </is>
      </c>
      <c r="D18" s="138" t="inlineStr">
        <is>
          <t>魔攻</t>
        </is>
      </c>
      <c r="E18" s="138" t="inlineStr">
        <is>
          <t>治療量</t>
        </is>
      </c>
      <c r="F18" s="138" t="inlineStr">
        <is>
          <t>追加最終heal，起始為100%</t>
        </is>
      </c>
    </row>
    <row r="24" ht="14.25" customHeight="1" s="142">
      <c r="A24" s="138" t="inlineStr">
        <is>
          <t>起始開放</t>
        </is>
      </c>
      <c r="B24" s="138" t="inlineStr">
        <is>
          <t>武器轉蛋</t>
        </is>
      </c>
    </row>
    <row r="25" ht="14.25" customHeight="1" s="142">
      <c r="B25" s="138" t="inlineStr">
        <is>
          <t>職業</t>
        </is>
      </c>
    </row>
    <row r="26" ht="14.25" customHeight="1" s="142">
      <c r="B26" s="138" t="inlineStr">
        <is>
          <t>職業-天賦</t>
        </is>
      </c>
    </row>
    <row r="28" ht="14.25" customHeight="1" s="142">
      <c r="A28" s="138" t="inlineStr">
        <is>
          <t>主線關卡 / 帳號等級</t>
        </is>
      </c>
      <c r="B28" s="151">
        <f>"1-10"&amp;",15"</f>
        <v/>
      </c>
      <c r="C28" s="138" t="inlineStr">
        <is>
          <t>武器升級</t>
        </is>
      </c>
    </row>
    <row r="29" ht="14.25" customHeight="1" s="142">
      <c r="A29" s="138" t="inlineStr">
        <is>
          <t>主線關卡 / 帳號等級</t>
        </is>
      </c>
      <c r="B29" s="152">
        <f>"第一章結束"&amp;",20"</f>
        <v/>
      </c>
      <c r="C29" s="138" t="inlineStr">
        <is>
          <t>武器升星</t>
        </is>
      </c>
      <c r="D29" s="138" t="inlineStr">
        <is>
          <t>掛機系統</t>
        </is>
      </c>
    </row>
    <row r="30" ht="14.25" customHeight="1" s="142">
      <c r="A30" s="138" t="inlineStr">
        <is>
          <t>主線關卡 / 帳號等級</t>
        </is>
      </c>
      <c r="B30" s="152">
        <f>"2-10"&amp;",25"</f>
        <v/>
      </c>
      <c r="C30" s="138" t="inlineStr">
        <is>
          <t>捕獲</t>
        </is>
      </c>
    </row>
    <row r="31" ht="14.25" customHeight="1" s="142">
      <c r="A31" s="138" t="inlineStr">
        <is>
          <t>主線關卡 / 帳號等級</t>
        </is>
      </c>
      <c r="B31" s="152">
        <f>"第二章結束"&amp;",30"</f>
        <v/>
      </c>
      <c r="C31" s="138" t="inlineStr">
        <is>
          <t>副本-試煉之塔(推塔)</t>
        </is>
      </c>
      <c r="D31" s="138" t="inlineStr">
        <is>
          <t>自動下一關開放</t>
        </is>
      </c>
    </row>
    <row r="32" ht="14.25" customHeight="1" s="142">
      <c r="A32" s="138" t="inlineStr">
        <is>
          <t>主線關卡 / 帳號等級</t>
        </is>
      </c>
      <c r="B32" s="152" t="n">
        <v>46091</v>
      </c>
      <c r="C32" s="138" t="inlineStr">
        <is>
          <t>神格試煉</t>
        </is>
      </c>
      <c r="D32" s="138" t="inlineStr">
        <is>
          <t>神格</t>
        </is>
      </c>
      <c r="E32" s="138" t="inlineStr">
        <is>
          <t>一般、普通、困難、惡夢(難度選擇；等級區間)</t>
        </is>
      </c>
    </row>
    <row r="33" ht="14.25" customHeight="1" s="142">
      <c r="A33" s="138" t="inlineStr">
        <is>
          <t>主線關卡 / 帳號等級</t>
        </is>
      </c>
      <c r="B33" s="152">
        <f>"第三章結束"&amp;",40"</f>
        <v/>
      </c>
      <c r="C33" s="138" t="inlineStr">
        <is>
          <t>職業裝備</t>
        </is>
      </c>
      <c r="D33" s="138" t="inlineStr">
        <is>
          <t>無限地城(10~50自己切換)</t>
        </is>
      </c>
    </row>
    <row r="34" ht="14.25" customHeight="1" s="142">
      <c r="A34" s="138" t="inlineStr">
        <is>
          <t>主線關卡 / 帳號等級</t>
        </is>
      </c>
      <c r="B34" s="152">
        <f>"第四章結束"&amp;",50"</f>
        <v/>
      </c>
      <c r="C34" s="138" t="inlineStr">
        <is>
          <t>轉職</t>
        </is>
      </c>
    </row>
    <row r="35" ht="14.25" customHeight="1" s="142">
      <c r="A35" s="138" t="inlineStr">
        <is>
          <t>主線關卡 / 帳號等級</t>
        </is>
      </c>
      <c r="B35" s="152">
        <f>"5-10"&amp;",2轉30"</f>
        <v/>
      </c>
      <c r="C35" s="138" t="inlineStr">
        <is>
          <t>魔法石</t>
        </is>
      </c>
    </row>
    <row r="36" ht="14.25" customHeight="1" s="142">
      <c r="A36" s="138" t="inlineStr">
        <is>
          <t>主線關卡 / 帳號等級</t>
        </is>
      </c>
      <c r="B36" s="152">
        <f>"第5章結束"&amp;",40"</f>
        <v/>
      </c>
      <c r="C36" s="138" t="inlineStr">
        <is>
          <t>副本-殲滅任務(多wave)</t>
        </is>
      </c>
    </row>
    <row r="37" ht="14.25" customHeight="1" s="142">
      <c r="A37" s="138" t="inlineStr">
        <is>
          <t>主線關卡 / 帳號等級</t>
        </is>
      </c>
      <c r="B37" s="152">
        <f>"第7章結束"&amp;",50"</f>
        <v/>
      </c>
      <c r="C37" s="138" t="inlineStr">
        <is>
          <t>無限地城(10~130自己切換)</t>
        </is>
      </c>
      <c r="D37" s="138" t="inlineStr">
        <is>
          <t>無限地城(50~100自己切換)</t>
        </is>
      </c>
    </row>
    <row r="41" ht="14.25" customHeight="1" s="142">
      <c r="A41" s="7" t="n"/>
      <c r="B41" s="138" t="inlineStr">
        <is>
          <t>主線(一般)</t>
        </is>
      </c>
      <c r="C41" s="7" t="inlineStr">
        <is>
          <t>50鑽石</t>
        </is>
      </c>
    </row>
    <row r="42" ht="14.25" customHeight="1" s="142">
      <c r="B42" s="138" t="inlineStr">
        <is>
          <t>主線(BOSS節點)</t>
        </is>
      </c>
      <c r="C42" s="7" t="inlineStr">
        <is>
          <t>1000鑽石</t>
        </is>
      </c>
    </row>
    <row r="43" ht="14.25" customHeight="1" s="142">
      <c r="B43" s="138" t="inlineStr">
        <is>
          <t>副本-試煉之塔(推塔)</t>
        </is>
      </c>
      <c r="C43" s="7" t="n"/>
    </row>
  </sheetData>
  <mergeCells count="2">
    <mergeCell ref="D3:G3"/>
    <mergeCell ref="A24:A26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baseColWidth="8" defaultColWidth="12.5703125" defaultRowHeight="12.75"/>
  <cols>
    <col width="4.140625" customWidth="1" style="142" min="1" max="1"/>
    <col width="11" customWidth="1" style="142" min="4" max="4"/>
    <col width="12.140625" customWidth="1" style="142" min="5" max="5"/>
    <col width="10.140625" customWidth="1" style="142" min="6" max="7"/>
    <col width="19.5703125" customWidth="1" style="142" min="8" max="8"/>
    <col hidden="1" width="11" customWidth="1" style="142" min="9" max="9"/>
    <col width="4.42578125" customWidth="1" style="142" min="10" max="11"/>
    <col width="11" customWidth="1" style="142" min="12" max="13"/>
    <col width="6.28515625" customWidth="1" style="142" min="14" max="14"/>
    <col hidden="1" width="12.5703125" customWidth="1" style="142" min="15" max="15"/>
    <col width="8.42578125" customWidth="1" style="142" min="16" max="16"/>
    <col width="0.42578125" customWidth="1" style="142" min="17" max="18"/>
    <col width="49.85546875" customWidth="1" style="142" min="19" max="19"/>
    <col width="28.85546875" customWidth="1" style="142" min="20" max="20"/>
    <col width="32.42578125" customWidth="1" style="142" min="21" max="21"/>
    <col width="33.7109375" customWidth="1" style="142" min="22" max="22"/>
    <col width="22.42578125" customWidth="1" style="142" min="23" max="23"/>
    <col width="42.28515625" customWidth="1" style="142" min="24" max="24"/>
    <col hidden="1" width="16" customWidth="1" style="142" min="25" max="25"/>
    <col hidden="1" width="19.42578125" customWidth="1" style="142" min="26" max="27"/>
    <col hidden="1" width="34.7109375" customWidth="1" style="142" min="28" max="28"/>
    <col hidden="1" width="8.140625" customWidth="1" style="142" min="29" max="29"/>
  </cols>
  <sheetData>
    <row r="1" ht="14.25" customHeight="1" s="142">
      <c r="S1" s="138" t="inlineStr">
        <is>
          <t>星0</t>
        </is>
      </c>
      <c r="T1" s="138" t="inlineStr">
        <is>
          <t>星1</t>
        </is>
      </c>
      <c r="U1" s="138" t="inlineStr">
        <is>
          <t>星2</t>
        </is>
      </c>
      <c r="V1" s="138" t="inlineStr">
        <is>
          <t>星3</t>
        </is>
      </c>
      <c r="W1" s="138" t="inlineStr">
        <is>
          <t>星4</t>
        </is>
      </c>
      <c r="X1" s="138" t="inlineStr">
        <is>
          <t>星5</t>
        </is>
      </c>
      <c r="Y1" s="138" t="inlineStr">
        <is>
          <t>星6</t>
        </is>
      </c>
      <c r="Z1" s="138" t="inlineStr">
        <is>
          <t>星7</t>
        </is>
      </c>
      <c r="AA1" s="138" t="inlineStr">
        <is>
          <t>星8</t>
        </is>
      </c>
      <c r="AB1" s="138" t="inlineStr">
        <is>
          <t>星9</t>
        </is>
      </c>
      <c r="AC1" s="138" t="inlineStr">
        <is>
          <t>星10</t>
        </is>
      </c>
    </row>
    <row r="2" ht="14.25" customHeight="1" s="142">
      <c r="H2" s="7" t="n">
        <v>3</v>
      </c>
      <c r="J2" s="138" t="inlineStr">
        <is>
          <t>對象</t>
        </is>
      </c>
      <c r="K2" s="138" t="inlineStr">
        <is>
          <t>隨機</t>
        </is>
      </c>
      <c r="L2" s="138" t="inlineStr">
        <is>
          <t>攻擊係數</t>
        </is>
      </c>
      <c r="S2" s="7" t="inlineStr">
        <is>
          <t>-</t>
        </is>
      </c>
      <c r="T2" s="7" t="inlineStr">
        <is>
          <t>★</t>
        </is>
      </c>
      <c r="U2" s="7" t="inlineStr">
        <is>
          <t>★★</t>
        </is>
      </c>
      <c r="V2" s="7" t="inlineStr">
        <is>
          <t>★★★</t>
        </is>
      </c>
      <c r="W2" s="7" t="inlineStr">
        <is>
          <t>★★★★</t>
        </is>
      </c>
      <c r="X2" s="7" t="inlineStr">
        <is>
          <t>★★★★★</t>
        </is>
      </c>
      <c r="Y2" s="7" t="inlineStr">
        <is>
          <t>☆★★★★</t>
        </is>
      </c>
      <c r="Z2" s="7" t="inlineStr">
        <is>
          <t>☆☆★★★</t>
        </is>
      </c>
      <c r="AA2" s="7" t="inlineStr">
        <is>
          <t>☆☆☆★★</t>
        </is>
      </c>
      <c r="AB2" s="7" t="inlineStr">
        <is>
          <t>☆☆☆☆★</t>
        </is>
      </c>
      <c r="AC2" s="7" t="inlineStr">
        <is>
          <t>☆☆☆☆☆</t>
        </is>
      </c>
    </row>
    <row r="3" ht="16.5" customHeight="1" s="142">
      <c r="A3" s="7">
        <f>"58,17,13,3,6,18"</f>
        <v/>
      </c>
      <c r="B3" s="26" t="inlineStr">
        <is>
          <t>#魔器</t>
        </is>
      </c>
      <c r="C3" s="26" t="inlineStr">
        <is>
          <t>#魔法</t>
        </is>
      </c>
      <c r="D3" s="26" t="inlineStr">
        <is>
          <t>#輸出</t>
        </is>
      </c>
      <c r="E3" s="26" t="inlineStr">
        <is>
          <t>#毀天滅地</t>
        </is>
      </c>
      <c r="F3" s="26" t="inlineStr">
        <is>
          <t>#元素狂襲</t>
        </is>
      </c>
      <c r="G3" s="26" t="inlineStr">
        <is>
          <t>#灼熱</t>
        </is>
      </c>
      <c r="H3" s="27" t="inlineStr">
        <is>
          <t>火之迦具土神劍</t>
        </is>
      </c>
      <c r="I3" s="28" t="inlineStr">
        <is>
          <t>SSR</t>
        </is>
      </c>
      <c r="J3" s="28" t="n">
        <v>2</v>
      </c>
      <c r="K3" s="28" t="n"/>
      <c r="L3" s="29" t="n">
        <v>2.4</v>
      </c>
      <c r="M3" s="30" t="inlineStr">
        <is>
          <t>業火一閃</t>
        </is>
      </c>
      <c r="N3" s="30" t="n"/>
      <c r="O3" s="138" t="inlineStr">
        <is>
          <t>日本神話中，素盞鳴尊斬殺火神迦具土時所用的十拳劍（亦稱羽羽斬），本身便與烈火、神血及斬擊淬鍊息息相關。</t>
        </is>
      </c>
      <c r="P3" s="7" t="inlineStr">
        <is>
          <t>*群體最強</t>
        </is>
      </c>
      <c r="S3" s="138" t="inlineStr">
        <is>
          <t>對隨機敵方2體造成&lt;AP&gt;魔攻的魔法傷害，並40%機率附加灼傷</t>
        </is>
      </c>
      <c r="T3" s="138" t="inlineStr">
        <is>
          <t>灼傷發動機率+10%</t>
        </is>
      </c>
      <c r="U3" s="138" t="inlineStr">
        <is>
          <t>灼傷發動機率+20%</t>
        </is>
      </c>
      <c r="V3" s="138" t="inlineStr">
        <is>
          <t>攻擊對象改為4體</t>
        </is>
      </c>
      <c r="W3" s="138" t="inlineStr">
        <is>
          <t>灼傷發動機率+30%</t>
        </is>
      </c>
      <c r="X3" s="138" t="inlineStr">
        <is>
          <t>解除受擊者護盾效果</t>
        </is>
      </c>
      <c r="Y3" s="138" t="inlineStr">
        <is>
          <t>該武器基礎魔攻10%</t>
        </is>
      </c>
      <c r="Z3" s="138" t="inlineStr">
        <is>
          <t>該武器基礎追加魔攻20%</t>
        </is>
      </c>
      <c r="AA3" s="138" t="inlineStr">
        <is>
          <t>該武器額外技能傷害10%</t>
        </is>
      </c>
      <c r="AB3" s="138" t="inlineStr">
        <is>
          <t>該武器額外技能傷害20%、爆擊率+10%</t>
        </is>
      </c>
      <c r="AC3" s="7" t="inlineStr">
        <is>
          <t>AGI提升5</t>
        </is>
      </c>
    </row>
    <row r="4" ht="16.5" customHeight="1" s="142">
      <c r="A4" s="7" t="n"/>
      <c r="B4" s="26" t="n"/>
      <c r="C4" s="26" t="n"/>
      <c r="D4" s="26" t="n"/>
      <c r="E4" s="26" t="n"/>
      <c r="F4" s="26" t="n"/>
      <c r="G4" s="31" t="inlineStr">
        <is>
          <t>#神祇恩賜</t>
        </is>
      </c>
      <c r="H4" s="27" t="n"/>
      <c r="I4" s="28" t="inlineStr">
        <is>
          <t>SSR</t>
        </is>
      </c>
      <c r="J4" s="30" t="n">
        <v>5</v>
      </c>
      <c r="K4" s="30" t="n"/>
      <c r="L4" s="29" t="n">
        <v>1</v>
      </c>
      <c r="M4" s="30" t="inlineStr">
        <is>
          <t>炎帝降世</t>
        </is>
      </c>
      <c r="N4" s="28" t="inlineStr">
        <is>
          <t>CD:7</t>
        </is>
      </c>
      <c r="O4" s="7" t="n"/>
      <c r="S4" s="138" t="inlineStr">
        <is>
          <t>對敵方全體造成傷害，並附加灼傷效果</t>
        </is>
      </c>
      <c r="T4" s="7" t="inlineStr">
        <is>
          <t>cd-1</t>
        </is>
      </c>
      <c r="U4" s="138" t="inlineStr">
        <is>
          <t>自身額外附加炎帝(2回合魔攻+30%)</t>
        </is>
      </c>
      <c r="V4" s="7" t="inlineStr">
        <is>
          <t>cd-1</t>
        </is>
      </c>
      <c r="W4" s="7" t="inlineStr">
        <is>
          <t>cd-1</t>
        </is>
      </c>
      <c r="X4" s="138" t="inlineStr">
        <is>
          <t>自身額外附加極•炎帝(2回合魔攻+50%，技能傷害+10%)</t>
        </is>
      </c>
      <c r="Y4" s="7" t="n"/>
      <c r="Z4" s="7" t="n"/>
      <c r="AA4" s="7" t="n"/>
      <c r="AB4" s="7" t="n"/>
      <c r="AC4" s="7" t="n"/>
    </row>
    <row r="5" ht="16.5" customHeight="1" s="142">
      <c r="A5" s="7">
        <f>"58,17,13,2,23,24"</f>
        <v/>
      </c>
      <c r="B5" s="26" t="inlineStr">
        <is>
          <t>#名刀</t>
        </is>
      </c>
      <c r="C5" s="26" t="inlineStr">
        <is>
          <t>#魔法</t>
        </is>
      </c>
      <c r="D5" s="26" t="inlineStr">
        <is>
          <t>#輸出</t>
        </is>
      </c>
      <c r="E5" s="26" t="inlineStr">
        <is>
          <t>#致命一擊</t>
        </is>
      </c>
      <c r="F5" s="26" t="inlineStr">
        <is>
          <t>#臨寒</t>
        </is>
      </c>
      <c r="G5" s="26" t="inlineStr">
        <is>
          <t>#自然之怒</t>
        </is>
      </c>
      <c r="H5" s="27" t="inlineStr">
        <is>
          <t>童子切安綱</t>
        </is>
      </c>
      <c r="I5" s="28" t="inlineStr">
        <is>
          <t>SSR</t>
        </is>
      </c>
      <c r="J5" s="30" t="n">
        <v>2</v>
      </c>
      <c r="K5" s="30" t="n">
        <v>1</v>
      </c>
      <c r="L5" s="29" t="n">
        <v>2.5</v>
      </c>
      <c r="M5" s="30" t="inlineStr">
        <is>
          <t>除魔霜障</t>
        </is>
      </c>
      <c r="N5" s="30" t="n"/>
      <c r="O5" s="138" t="inlineStr">
        <is>
          <t>日本天下五劍之一，傳說曾用來斬殺酒吞童子的傳世太刀。</t>
        </is>
      </c>
      <c r="S5" s="138" t="inlineStr">
        <is>
          <t>對隨機敵方2體造成&lt;AP&gt;魔攻的魔法傷害，並40%機率附加凍傷</t>
        </is>
      </c>
      <c r="T5" s="138" t="inlineStr">
        <is>
          <t>額外魔防下降1層</t>
        </is>
      </c>
      <c r="U5" s="138" t="inlineStr">
        <is>
          <t>凍傷發動機率+10%</t>
        </is>
      </c>
      <c r="V5" s="138" t="inlineStr">
        <is>
          <t>攻擊對象改為3體</t>
        </is>
      </c>
      <c r="W5" s="138" t="inlineStr">
        <is>
          <t>額外50%機率冰凍</t>
        </is>
      </c>
      <c r="X5" s="138" t="inlineStr">
        <is>
          <t>冰凍機率增加30%，並且凍傷發動機率追加30%</t>
        </is>
      </c>
      <c r="Y5" s="138" t="inlineStr">
        <is>
          <t>該武器基礎魔攻10%</t>
        </is>
      </c>
      <c r="Z5" s="138" t="inlineStr">
        <is>
          <t>該武器基礎追加魔攻15%</t>
        </is>
      </c>
      <c r="AA5" s="138" t="inlineStr">
        <is>
          <t>該武器額外技能傷害10%</t>
        </is>
      </c>
      <c r="AB5" s="138" t="inlineStr">
        <is>
          <t>該武器額外技能傷害20%、爆擊率+10%</t>
        </is>
      </c>
      <c r="AC5" s="7" t="inlineStr">
        <is>
          <t>AGI提升5</t>
        </is>
      </c>
    </row>
    <row r="6" ht="16.5" customHeight="1" s="142">
      <c r="A6" s="7" t="n"/>
      <c r="B6" s="26" t="n"/>
      <c r="C6" s="26" t="n"/>
      <c r="D6" s="26" t="n"/>
      <c r="E6" s="26" t="n"/>
      <c r="F6" s="26" t="n"/>
      <c r="G6" s="26" t="n"/>
      <c r="H6" s="27" t="n"/>
      <c r="I6" s="28" t="inlineStr">
        <is>
          <t>SSR</t>
        </is>
      </c>
      <c r="J6" s="30" t="n">
        <v>3</v>
      </c>
      <c r="K6" s="30" t="n"/>
      <c r="L6" s="29" t="n">
        <v>1.6</v>
      </c>
      <c r="M6" s="30" t="inlineStr">
        <is>
          <t>神酒破鬼陣</t>
        </is>
      </c>
      <c r="N6" s="28" t="inlineStr">
        <is>
          <t>CD:8</t>
        </is>
      </c>
      <c r="O6" s="7" t="n"/>
      <c r="P6" s="7" t="n"/>
      <c r="S6" s="138" t="inlineStr">
        <is>
          <t>對敵方3體造成傷害，並附加魔防下降3層</t>
        </is>
      </c>
      <c r="T6" s="7" t="inlineStr">
        <is>
          <t>cd-1</t>
        </is>
      </c>
      <c r="U6" s="138" t="inlineStr">
        <is>
          <t>對受擊者附加凍傷效果1層</t>
        </is>
      </c>
      <c r="V6" s="7" t="inlineStr">
        <is>
          <t>cd-1</t>
        </is>
      </c>
      <c r="W6" s="7" t="inlineStr">
        <is>
          <t>cd-1</t>
        </is>
      </c>
      <c r="X6" s="138" t="inlineStr">
        <is>
          <t>對受擊者附加凍傷效果改為3層</t>
        </is>
      </c>
      <c r="Y6" s="7" t="n"/>
      <c r="Z6" s="7" t="n"/>
      <c r="AA6" s="7" t="n"/>
      <c r="AB6" s="7" t="n"/>
      <c r="AC6" s="7" t="n"/>
    </row>
    <row r="7" ht="16.5" customHeight="1" s="142">
      <c r="A7" s="7">
        <f>"58,14,8,25,26"</f>
        <v/>
      </c>
      <c r="B7" s="26" t="inlineStr">
        <is>
          <t>#名刀</t>
        </is>
      </c>
      <c r="C7" s="26" t="inlineStr">
        <is>
          <t>#恢復</t>
        </is>
      </c>
      <c r="D7" s="26" t="inlineStr">
        <is>
          <t>#生生不息</t>
        </is>
      </c>
      <c r="E7" s="26" t="inlineStr">
        <is>
          <t>#巧奪天工</t>
        </is>
      </c>
      <c r="F7" s="26" t="inlineStr">
        <is>
          <t>#神祇恩賜</t>
        </is>
      </c>
      <c r="G7" s="26" t="n"/>
      <c r="H7" s="27" t="inlineStr">
        <is>
          <t>村雨</t>
        </is>
      </c>
      <c r="I7" s="28" t="inlineStr">
        <is>
          <t>SSR</t>
        </is>
      </c>
      <c r="J7" s="30" t="n">
        <v>-2</v>
      </c>
      <c r="K7" s="30" t="n"/>
      <c r="L7" s="29" t="n">
        <v>2.4</v>
      </c>
      <c r="M7" s="30" t="inlineStr">
        <is>
          <t>萬物洗淨</t>
        </is>
      </c>
      <c r="N7" s="30" t="n"/>
      <c r="O7" s="138" t="inlineStr">
        <is>
          <t>日本傳說中刀身會自帶水氣、殺人後能如雨水般洗淨血跡的妖刀。</t>
        </is>
      </c>
      <c r="P7" s="7" t="inlineStr">
        <is>
          <t>*最強補</t>
        </is>
      </c>
      <c r="S7" s="138" t="inlineStr">
        <is>
          <t>為我方2體恢復&lt;AP&gt;魔攻的HP</t>
        </is>
      </c>
      <c r="T7" s="138" t="inlineStr">
        <is>
          <t>為受治療的對象附加防禦上升效果2層</t>
        </is>
      </c>
      <c r="U7" s="138" t="inlineStr">
        <is>
          <t>為治癒的對象解除灼傷1回合</t>
        </is>
      </c>
      <c r="V7" s="138" t="inlineStr">
        <is>
          <t>額外附加持續回魔效果</t>
        </is>
      </c>
      <c r="W7" s="138" t="inlineStr">
        <is>
          <t>攻擊對象改為4體</t>
        </is>
      </c>
      <c r="X7" s="138" t="inlineStr">
        <is>
          <t>清除對象的所有異常狀態</t>
        </is>
      </c>
      <c r="Y7" s="138" t="inlineStr">
        <is>
          <t>該武器基礎魔攻10%</t>
        </is>
      </c>
      <c r="Z7" s="138" t="inlineStr">
        <is>
          <t>該武器基礎追加魔攻15%</t>
        </is>
      </c>
      <c r="AA7" s="138" t="inlineStr">
        <is>
          <t>該武器額外減傷10%</t>
        </is>
      </c>
      <c r="AB7" s="138" t="inlineStr">
        <is>
          <t>該武器額外減傷20%、爆擊抗性-10%</t>
        </is>
      </c>
      <c r="AC7" s="7" t="inlineStr">
        <is>
          <t>AGI提升5</t>
        </is>
      </c>
    </row>
    <row r="8" ht="16.5" customHeight="1" s="142">
      <c r="A8" s="7" t="n"/>
      <c r="B8" s="26" t="n"/>
      <c r="C8" s="26" t="n"/>
      <c r="D8" s="26" t="n"/>
      <c r="E8" s="26" t="n"/>
      <c r="F8" s="26" t="n"/>
      <c r="G8" s="26" t="n"/>
      <c r="H8" s="27" t="n"/>
      <c r="I8" s="28" t="inlineStr">
        <is>
          <t>SSR</t>
        </is>
      </c>
      <c r="J8" s="7" t="n">
        <v>-5</v>
      </c>
      <c r="K8" s="7" t="n"/>
      <c r="L8" s="17" t="n">
        <v>1</v>
      </c>
      <c r="M8" s="138" t="inlineStr">
        <is>
          <t>清泉怒濤</t>
        </is>
      </c>
      <c r="N8" s="28" t="inlineStr">
        <is>
          <t>CD:6</t>
        </is>
      </c>
      <c r="O8" s="7" t="n"/>
      <c r="S8" s="138" t="inlineStr">
        <is>
          <t>對我方全體恢復hp</t>
        </is>
      </c>
      <c r="T8" s="7" t="inlineStr">
        <is>
          <t>cd-1</t>
        </is>
      </c>
      <c r="U8" s="138" t="inlineStr">
        <is>
          <t>額外附加攻擊上升與魔攻上升效果2層</t>
        </is>
      </c>
      <c r="V8" s="7" t="inlineStr">
        <is>
          <t>cd-1</t>
        </is>
      </c>
      <c r="W8" s="7" t="inlineStr">
        <is>
          <t>cd-1</t>
        </is>
      </c>
      <c r="X8" s="138" t="inlineStr">
        <is>
          <t>額外附加技能傷害上升與爆擊上升效果</t>
        </is>
      </c>
      <c r="Y8" s="7" t="n"/>
      <c r="Z8" s="7" t="n"/>
      <c r="AA8" s="7" t="n"/>
      <c r="AB8" s="7" t="n"/>
      <c r="AC8" s="7" t="n"/>
    </row>
    <row r="9" ht="16.5" customHeight="1" s="142">
      <c r="A9" s="7">
        <f>"57,12,13,1,2,3"</f>
        <v/>
      </c>
      <c r="B9" s="26" t="inlineStr">
        <is>
          <t>#寶器</t>
        </is>
      </c>
      <c r="C9" s="26" t="inlineStr">
        <is>
          <t>#物理</t>
        </is>
      </c>
      <c r="D9" s="26" t="inlineStr">
        <is>
          <t>#輸出</t>
        </is>
      </c>
      <c r="E9" s="26" t="inlineStr">
        <is>
          <t>#致命一擊</t>
        </is>
      </c>
      <c r="F9" s="26" t="inlineStr">
        <is>
          <t>#疾風迅雷</t>
        </is>
      </c>
      <c r="G9" s="26" t="inlineStr">
        <is>
          <t>#橫掃千軍</t>
        </is>
      </c>
      <c r="H9" s="27" t="inlineStr">
        <is>
          <t>隆基努斯之槍</t>
        </is>
      </c>
      <c r="I9" s="28" t="inlineStr">
        <is>
          <t>SSR</t>
        </is>
      </c>
      <c r="J9" s="30" t="n">
        <v>4</v>
      </c>
      <c r="K9" s="30" t="n">
        <v>1</v>
      </c>
      <c r="L9" s="29" t="n">
        <v>1.25</v>
      </c>
      <c r="M9" s="30" t="inlineStr">
        <is>
          <t>防禦崩解</t>
        </is>
      </c>
      <c r="N9" s="30" t="n"/>
      <c r="O9" s="138" t="inlineStr">
        <is>
          <t>纏繞著佛珠以鎮壓邪氣的傳奇名刀，同為日本天下五劍之一。</t>
        </is>
      </c>
      <c r="S9" s="138" t="inlineStr">
        <is>
          <t>對隨機敵方4體造成&lt;AD&gt;物攻的物理攻擊，附加防禦下降</t>
        </is>
      </c>
      <c r="T9" s="138" t="inlineStr">
        <is>
          <t>追加附加爆擊下降2層</t>
        </is>
      </c>
      <c r="U9" s="138" t="inlineStr">
        <is>
          <t>攻擊對象改為全體</t>
        </is>
      </c>
      <c r="V9" s="138" t="inlineStr">
        <is>
          <t>改物防與魔防下降一次兩層</t>
        </is>
      </c>
      <c r="W9" s="138" t="inlineStr">
        <is>
          <t>追加附加技能傷害下降2層</t>
        </is>
      </c>
      <c r="X9" s="138" t="inlineStr">
        <is>
          <t>清除對象的上升狀態</t>
        </is>
      </c>
      <c r="Y9" s="138" t="inlineStr">
        <is>
          <t>該武器基礎魔攻10%</t>
        </is>
      </c>
      <c r="Z9" s="138" t="inlineStr">
        <is>
          <t>該武器基礎追加魔攻15%</t>
        </is>
      </c>
      <c r="AA9" s="138" t="inlineStr">
        <is>
          <t>該武器額外技能傷害10%</t>
        </is>
      </c>
      <c r="AB9" s="138" t="inlineStr">
        <is>
          <t>該武器額外技能傷害20%、爆擊率+10%</t>
        </is>
      </c>
      <c r="AC9" s="7" t="inlineStr">
        <is>
          <t>AGI提升5</t>
        </is>
      </c>
    </row>
    <row r="10" ht="16.5" customHeight="1" s="142">
      <c r="A10" s="7" t="n"/>
      <c r="B10" s="26" t="n"/>
      <c r="C10" s="26" t="n"/>
      <c r="D10" s="26" t="n"/>
      <c r="E10" s="26" t="n"/>
      <c r="F10" s="26" t="n"/>
      <c r="G10" s="26" t="n"/>
      <c r="H10" s="27" t="n"/>
      <c r="I10" s="28" t="inlineStr">
        <is>
          <t>SSR</t>
        </is>
      </c>
      <c r="J10" s="7" t="n">
        <v>3</v>
      </c>
      <c r="K10" s="7" t="n"/>
      <c r="L10" s="17" t="n">
        <v>1.6</v>
      </c>
      <c r="M10" s="138" t="inlineStr">
        <is>
          <t>神罰裁決</t>
        </is>
      </c>
      <c r="N10" s="28" t="inlineStr">
        <is>
          <t>CD:7</t>
        </is>
      </c>
      <c r="O10" s="7" t="n"/>
      <c r="S10" s="138" t="inlineStr">
        <is>
          <t>對敵方3體造成傷害，自身附加行動加快</t>
        </is>
      </c>
      <c r="T10" s="7" t="inlineStr">
        <is>
          <t>cd-1</t>
        </is>
      </c>
      <c r="U10" s="7" t="inlineStr">
        <is>
          <t>40%機率附加麻痺效果</t>
        </is>
      </c>
      <c r="V10" s="7" t="inlineStr">
        <is>
          <t>cd-1</t>
        </is>
      </c>
      <c r="W10" s="7" t="inlineStr">
        <is>
          <t>cd-1</t>
        </is>
      </c>
      <c r="X10" s="138" t="inlineStr">
        <is>
          <t>改成100%附加麻痺</t>
        </is>
      </c>
      <c r="Y10" s="7" t="n"/>
      <c r="Z10" s="7" t="n"/>
      <c r="AA10" s="7" t="n"/>
      <c r="AB10" s="7" t="n"/>
      <c r="AC10" s="7" t="n"/>
    </row>
    <row r="11" ht="16.5" customHeight="1" s="142">
      <c r="A11" s="7">
        <f>"58,12,13,3,1,2"</f>
        <v/>
      </c>
      <c r="B11" s="26" t="inlineStr">
        <is>
          <t>#名刀</t>
        </is>
      </c>
      <c r="C11" s="26" t="inlineStr">
        <is>
          <t>#物理</t>
        </is>
      </c>
      <c r="D11" s="26" t="inlineStr">
        <is>
          <t>#輸出</t>
        </is>
      </c>
      <c r="E11" s="26" t="inlineStr">
        <is>
          <t>#橫掃千軍</t>
        </is>
      </c>
      <c r="F11" s="26" t="inlineStr">
        <is>
          <t>#疾風迅雷</t>
        </is>
      </c>
      <c r="G11" s="26" t="inlineStr">
        <is>
          <t>#致命一擊</t>
        </is>
      </c>
      <c r="H11" s="27" t="inlineStr">
        <is>
          <t>村正</t>
        </is>
      </c>
      <c r="I11" s="28" t="inlineStr">
        <is>
          <t>SSR</t>
        </is>
      </c>
      <c r="J11" s="30" t="n">
        <v>1</v>
      </c>
      <c r="K11" s="30" t="n">
        <v>1</v>
      </c>
      <c r="L11" s="29" t="n">
        <v>5</v>
      </c>
      <c r="M11" s="30" t="inlineStr">
        <is>
          <t>極限斬擊</t>
        </is>
      </c>
      <c r="N11" s="30" t="n"/>
      <c r="O11" s="138" t="inlineStr">
        <is>
          <t>日本戰國時期象徵妖刀、極致鋒利的代表名匠鍛造。</t>
        </is>
      </c>
      <c r="S11" s="138" t="inlineStr">
        <is>
          <t>對敵方隨機1體造成&lt;AD&gt;物攻的物理攻擊，附加自身爆擊上升</t>
        </is>
      </c>
      <c r="T11" s="138" t="inlineStr">
        <is>
          <t>附加爆擊抗性下降</t>
        </is>
      </c>
      <c r="U11" s="138" t="inlineStr">
        <is>
          <t>額外附加自身行動加快</t>
        </is>
      </c>
      <c r="V11" s="138" t="inlineStr">
        <is>
          <t>額外附加妖刀效果(爆擊率+50%)</t>
        </is>
      </c>
      <c r="W11" s="138" t="inlineStr">
        <is>
          <t>對象改為敵方2體</t>
        </is>
      </c>
      <c r="X11" s="138" t="inlineStr">
        <is>
          <t>額外獲得妖刀●滅效果(爆擊傷害+50%)</t>
        </is>
      </c>
      <c r="Y11" s="138" t="inlineStr">
        <is>
          <t>該武器基礎物攻10%</t>
        </is>
      </c>
      <c r="Z11" s="138" t="inlineStr">
        <is>
          <t>該武器基礎物攻15%</t>
        </is>
      </c>
      <c r="AA11" s="138" t="inlineStr">
        <is>
          <t>該武器額外技能傷害10%</t>
        </is>
      </c>
      <c r="AB11" s="138" t="inlineStr">
        <is>
          <t>該武器額外技能傷害20%、爆擊率+10%</t>
        </is>
      </c>
      <c r="AC11" s="7" t="inlineStr">
        <is>
          <t>AGI提升5</t>
        </is>
      </c>
    </row>
    <row r="12" ht="16.5" customHeight="1" s="142">
      <c r="A12" s="7" t="n"/>
      <c r="B12" s="26" t="n"/>
      <c r="C12" s="26" t="n"/>
      <c r="D12" s="26" t="n"/>
      <c r="E12" s="26" t="n"/>
      <c r="F12" s="26" t="n"/>
      <c r="G12" s="26" t="n"/>
      <c r="H12" s="27" t="n"/>
      <c r="I12" s="28" t="inlineStr">
        <is>
          <t>SSR</t>
        </is>
      </c>
      <c r="J12" s="7" t="n">
        <v>1</v>
      </c>
      <c r="K12" s="7" t="n"/>
      <c r="L12" s="17" t="n">
        <v>4.8</v>
      </c>
      <c r="M12" s="138" t="inlineStr">
        <is>
          <t>一刀流・破勢</t>
        </is>
      </c>
      <c r="N12" s="28" t="inlineStr">
        <is>
          <t>CD:6</t>
        </is>
      </c>
      <c r="O12" s="7" t="n"/>
      <c r="S12" s="138" t="inlineStr">
        <is>
          <t>對敵方1體，附加鬼人狀態(1回合爆擊+30%)</t>
        </is>
      </c>
      <c r="T12" s="7" t="inlineStr">
        <is>
          <t>cd-1</t>
        </is>
      </c>
      <c r="U12" s="138" t="inlineStr">
        <is>
          <t>對敵方1體，附加極意鬼人狀態(2回合爆擊+30%，爆擊傷害+40%)</t>
        </is>
      </c>
      <c r="V12" s="7" t="inlineStr">
        <is>
          <t>cd-1</t>
        </is>
      </c>
      <c r="W12" s="7" t="inlineStr">
        <is>
          <t>cd-1</t>
        </is>
      </c>
      <c r="X12" s="138" t="inlineStr">
        <is>
          <t>對象改為敵方2體</t>
        </is>
      </c>
      <c r="Y12" s="7" t="n"/>
      <c r="Z12" s="7" t="n"/>
      <c r="AA12" s="7" t="n"/>
      <c r="AB12" s="7" t="n"/>
      <c r="AC12" s="7" t="n"/>
    </row>
    <row r="13" ht="16.5" customHeight="1" s="142">
      <c r="A13" s="7">
        <f>"58,18,5,8,15"</f>
        <v/>
      </c>
      <c r="B13" s="26" t="inlineStr">
        <is>
          <t>#名刀</t>
        </is>
      </c>
      <c r="C13" s="26" t="inlineStr">
        <is>
          <t>#魔法</t>
        </is>
      </c>
      <c r="D13" s="26" t="inlineStr">
        <is>
          <t>#黑暗侵蝕</t>
        </is>
      </c>
      <c r="E13" s="26" t="inlineStr">
        <is>
          <t>#毀天滅地</t>
        </is>
      </c>
      <c r="F13" s="26" t="inlineStr">
        <is>
          <t>#神祇恩賜</t>
        </is>
      </c>
      <c r="G13" s="26" t="inlineStr">
        <is>
          <t>#守護</t>
        </is>
      </c>
      <c r="H13" s="27" t="inlineStr">
        <is>
          <t>天叢雲劍</t>
        </is>
      </c>
      <c r="I13" s="28" t="inlineStr">
        <is>
          <t>SSR</t>
        </is>
      </c>
      <c r="J13" s="7" t="n">
        <v>-2</v>
      </c>
      <c r="K13" s="7" t="n">
        <v>1</v>
      </c>
      <c r="L13" s="17" t="n"/>
      <c r="M13" s="138" t="inlineStr">
        <is>
          <t>神威退魔</t>
        </is>
      </c>
      <c r="N13" s="30" t="n"/>
      <c r="O13" s="138" t="inlineStr">
        <is>
          <t>日本神話中的三神器之一，自八岐大蛇尾部取得，常與暴風、雲霧及冰冷神域相伴。</t>
        </is>
      </c>
      <c r="S13" s="138" t="inlineStr">
        <is>
          <t>為我方2體隨機附加傷害分擔</t>
        </is>
      </c>
      <c r="T13" s="138" t="inlineStr">
        <is>
          <t>額外為自身附加持續恢復</t>
        </is>
      </c>
      <c r="U13" s="138" t="inlineStr">
        <is>
          <t>為自身附加減少受到傷害1曾</t>
        </is>
      </c>
      <c r="V13" s="138" t="inlineStr">
        <is>
          <t>對象改為3體</t>
        </is>
      </c>
      <c r="W13" s="138" t="inlineStr">
        <is>
          <t>減少受到傷害+1曾</t>
        </is>
      </c>
      <c r="X13" s="138" t="inlineStr">
        <is>
          <t>額外解除凍傷</t>
        </is>
      </c>
      <c r="Y13" s="138" t="inlineStr">
        <is>
          <t>該武器基礎物防10%</t>
        </is>
      </c>
      <c r="Z13" s="138" t="inlineStr">
        <is>
          <t>該武器基礎物防15%</t>
        </is>
      </c>
      <c r="AA13" s="138" t="inlineStr">
        <is>
          <t>該武器額外減傷10%</t>
        </is>
      </c>
      <c r="AB13" s="138" t="inlineStr">
        <is>
          <t>該武器額外減傷20%、爆擊抗性-10%</t>
        </is>
      </c>
      <c r="AC13" s="7" t="inlineStr">
        <is>
          <t>AGI提升5</t>
        </is>
      </c>
    </row>
    <row r="14" ht="16.5" customHeight="1" s="142">
      <c r="A14" s="7" t="n"/>
      <c r="B14" s="26" t="n"/>
      <c r="C14" s="26" t="n"/>
      <c r="D14" s="26" t="n"/>
      <c r="E14" s="26" t="n"/>
      <c r="F14" s="26" t="n"/>
      <c r="G14" s="26" t="n"/>
      <c r="H14" s="27" t="n"/>
      <c r="I14" s="28" t="inlineStr">
        <is>
          <t>SSR</t>
        </is>
      </c>
      <c r="J14" s="30" t="n">
        <v>-5</v>
      </c>
      <c r="K14" s="30" t="n"/>
      <c r="L14" s="29" t="n">
        <v>1</v>
      </c>
      <c r="M14" s="30" t="inlineStr">
        <is>
          <t>鏡花身法</t>
        </is>
      </c>
      <c r="N14" s="28" t="inlineStr">
        <is>
          <t>CD:6</t>
        </is>
      </c>
      <c r="O14" s="7" t="n"/>
      <c r="S14" s="138" t="inlineStr">
        <is>
          <t>對我方全體附加魔法護盾</t>
        </is>
      </c>
      <c r="T14" s="7" t="inlineStr">
        <is>
          <t>cd-1</t>
        </is>
      </c>
      <c r="U14" s="138" t="inlineStr">
        <is>
          <t>附加減少受到傷害1曾</t>
        </is>
      </c>
      <c r="V14" s="7" t="inlineStr">
        <is>
          <t>cd-1</t>
        </is>
      </c>
      <c r="W14" s="7" t="inlineStr">
        <is>
          <t>cd-1</t>
        </is>
      </c>
      <c r="X14" s="138" t="inlineStr">
        <is>
          <t>附加減少受到傷害3曾</t>
        </is>
      </c>
      <c r="Y14" s="7" t="n"/>
      <c r="Z14" s="7" t="n"/>
      <c r="AA14" s="7" t="n"/>
      <c r="AB14" s="7" t="n"/>
      <c r="AC14" s="7" t="n"/>
    </row>
    <row r="15" ht="16.5" customHeight="1" s="142">
      <c r="A15" s="7">
        <f>"58,12,11,20,1"</f>
        <v/>
      </c>
      <c r="B15" s="26" t="inlineStr">
        <is>
          <t>#名刀</t>
        </is>
      </c>
      <c r="C15" s="26" t="inlineStr">
        <is>
          <t>#物理</t>
        </is>
      </c>
      <c r="D15" s="26" t="inlineStr">
        <is>
          <t>#苦難共擔</t>
        </is>
      </c>
      <c r="E15" s="26" t="inlineStr">
        <is>
          <t>#弱體</t>
        </is>
      </c>
      <c r="F15" s="26" t="inlineStr">
        <is>
          <t>#疾風迅雷</t>
        </is>
      </c>
      <c r="G15" s="26" t="n"/>
      <c r="H15" s="27" t="inlineStr">
        <is>
          <t>干將莫邪</t>
        </is>
      </c>
      <c r="I15" s="28" t="inlineStr">
        <is>
          <t>SSR</t>
        </is>
      </c>
      <c r="J15" s="30" t="n">
        <v>2</v>
      </c>
      <c r="K15" s="30" t="n"/>
      <c r="L15" s="29" t="n">
        <v>2.5</v>
      </c>
      <c r="M15" s="30" t="inlineStr">
        <is>
          <t>陰月靈鋒</t>
        </is>
      </c>
      <c r="N15" s="30" t="n"/>
      <c r="O15" s="138" t="inlineStr">
        <is>
          <t>中國春秋時期著名的雌雄雙劍，象徵鑄劍工藝的極致。</t>
        </is>
      </c>
      <c r="S15" s="138" t="inlineStr">
        <is>
          <t>為我方2體附加附加自身&lt;AD&gt;物攻的護盾</t>
        </is>
      </c>
      <c r="T15" s="138" t="inlineStr">
        <is>
          <t>附加傷害分擔</t>
        </is>
      </c>
      <c r="U15" s="138" t="inlineStr">
        <is>
          <t>額外為自身附加行動加快</t>
        </is>
      </c>
      <c r="V15" s="138" t="inlineStr">
        <is>
          <t>額外追加為自身附加傷害反射效果</t>
        </is>
      </c>
      <c r="W15" s="138" t="inlineStr">
        <is>
          <t>額外附加魔防上升與防禦上升效果</t>
        </is>
      </c>
      <c r="X15" s="138" t="inlineStr">
        <is>
          <t>傷害分擔改為3體</t>
        </is>
      </c>
      <c r="Y15" s="138" t="inlineStr">
        <is>
          <t>該武器基礎魔防10%</t>
        </is>
      </c>
      <c r="Z15" s="138" t="inlineStr">
        <is>
          <t>該武器基礎追加魔防15%</t>
        </is>
      </c>
      <c r="AA15" s="138" t="inlineStr">
        <is>
          <t>該武器額外減傷10%</t>
        </is>
      </c>
      <c r="AB15" s="138" t="inlineStr">
        <is>
          <t>該武器額外減傷20%、爆擊抗性-10%</t>
        </is>
      </c>
      <c r="AC15" s="7" t="inlineStr">
        <is>
          <t>AGI提升5</t>
        </is>
      </c>
    </row>
    <row r="16" ht="16.5" customHeight="1" s="142">
      <c r="A16" s="7" t="n"/>
      <c r="B16" s="26" t="n"/>
      <c r="C16" s="26" t="n"/>
      <c r="D16" s="26" t="n"/>
      <c r="E16" s="26" t="n"/>
      <c r="F16" s="26" t="n"/>
      <c r="G16" s="26" t="n"/>
      <c r="H16" s="27" t="n"/>
      <c r="I16" s="28" t="inlineStr">
        <is>
          <t>SSR</t>
        </is>
      </c>
      <c r="J16" s="30" t="n">
        <v>2</v>
      </c>
      <c r="K16" s="30" t="n">
        <v>1</v>
      </c>
      <c r="L16" s="29" t="n">
        <v>2.5</v>
      </c>
      <c r="M16" s="30" t="inlineStr">
        <is>
          <t>魂力獻祭</t>
        </is>
      </c>
      <c r="N16" s="28" t="inlineStr">
        <is>
          <t>CD:8</t>
        </is>
      </c>
      <c r="O16" s="7" t="n"/>
      <c r="S16" s="138" t="inlineStr">
        <is>
          <t>為敵方隨機2體造成傷害，附加爆擊下降</t>
        </is>
      </c>
      <c r="T16" s="7" t="inlineStr">
        <is>
          <t>cd-1</t>
        </is>
      </c>
      <c r="U16" s="138" t="inlineStr">
        <is>
          <t>附加攻擊下降效果</t>
        </is>
      </c>
      <c r="V16" s="7" t="inlineStr">
        <is>
          <t>cd-1</t>
        </is>
      </c>
      <c r="W16" s="7" t="inlineStr">
        <is>
          <t>cd-1</t>
        </is>
      </c>
      <c r="X16" s="138" t="inlineStr">
        <is>
          <t>對象改為3體，並額外附加防禦下降與魔防下降</t>
        </is>
      </c>
      <c r="Y16" s="7" t="n"/>
      <c r="Z16" s="7" t="n"/>
      <c r="AA16" s="7" t="n"/>
      <c r="AB16" s="7" t="n"/>
      <c r="AC16" s="7" t="n"/>
    </row>
    <row r="17" ht="16.5" customHeight="1" s="142">
      <c r="A17" s="7">
        <f>"59,18,13,5,9,17"</f>
        <v/>
      </c>
      <c r="B17" s="26" t="inlineStr">
        <is>
          <t>#聖物</t>
        </is>
      </c>
      <c r="C17" s="26" t="inlineStr">
        <is>
          <t>#魔法</t>
        </is>
      </c>
      <c r="D17" s="26" t="inlineStr">
        <is>
          <t>#輸出</t>
        </is>
      </c>
      <c r="E17" s="26" t="inlineStr">
        <is>
          <t>#毀天滅地</t>
        </is>
      </c>
      <c r="F17" s="26" t="inlineStr">
        <is>
          <t>#元素狂襲</t>
        </is>
      </c>
      <c r="G17" s="26" t="inlineStr">
        <is>
          <t>#灼熱</t>
        </is>
      </c>
      <c r="H17" s="27" t="inlineStr">
        <is>
          <t>埃斯卡利巴</t>
        </is>
      </c>
      <c r="I17" s="28" t="inlineStr">
        <is>
          <t>SSR</t>
        </is>
      </c>
      <c r="J17" s="7" t="n">
        <v>1</v>
      </c>
      <c r="K17" s="7" t="n"/>
      <c r="L17" s="17" t="n">
        <v>4.8</v>
      </c>
      <c r="M17" s="138" t="inlineStr">
        <is>
          <t>聖劍光輝</t>
        </is>
      </c>
      <c r="N17" s="30" t="n"/>
      <c r="O17" s="138" t="inlineStr">
        <is>
          <t>象徵王者權威與正統的亞瑟王之劍。</t>
        </is>
      </c>
      <c r="S17" s="138" t="inlineStr">
        <is>
          <t>對敵方1體造成&lt;AP&gt;魔攻的魔法傷害，並50%機率灼傷</t>
        </is>
      </c>
      <c r="T17" s="138" t="inlineStr">
        <is>
          <t>額外自身附加魔攻上升</t>
        </is>
      </c>
      <c r="U17" s="138" t="inlineStr">
        <is>
          <t>灼傷機率追加至100%</t>
        </is>
      </c>
      <c r="V17" s="138" t="inlineStr">
        <is>
          <t>對象改為2體</t>
        </is>
      </c>
      <c r="W17" s="138" t="inlineStr">
        <is>
          <t>追加為自身附加行動加快</t>
        </is>
      </c>
      <c r="X17" s="138" t="inlineStr">
        <is>
          <t>對象改為3體</t>
        </is>
      </c>
      <c r="Y17" s="138" t="inlineStr">
        <is>
          <t>該武器基礎魔攻10%</t>
        </is>
      </c>
      <c r="Z17" s="138" t="inlineStr">
        <is>
          <t>該武器基礎追加魔攻15%</t>
        </is>
      </c>
      <c r="AA17" s="138" t="inlineStr">
        <is>
          <t>該武器額外技能傷害10%</t>
        </is>
      </c>
      <c r="AB17" s="138" t="inlineStr">
        <is>
          <t>該武器額外技能傷害20%、爆擊率+10%</t>
        </is>
      </c>
      <c r="AC17" s="7" t="inlineStr">
        <is>
          <t>AGI提升5</t>
        </is>
      </c>
    </row>
    <row r="18" ht="16.5" customHeight="1" s="142">
      <c r="A18" s="7" t="n"/>
      <c r="B18" s="26" t="n"/>
      <c r="C18" s="26" t="n"/>
      <c r="D18" s="26" t="n"/>
      <c r="E18" s="26" t="n"/>
      <c r="F18" s="26" t="n"/>
      <c r="G18" s="141" t="n"/>
      <c r="H18" s="27" t="n"/>
      <c r="I18" s="28" t="inlineStr">
        <is>
          <t>SSR</t>
        </is>
      </c>
      <c r="J18" s="30" t="n">
        <v>-5</v>
      </c>
      <c r="K18" s="30" t="n"/>
      <c r="L18" s="29" t="n">
        <v>1</v>
      </c>
      <c r="M18" s="30" t="inlineStr">
        <is>
          <t>誓約之火</t>
        </is>
      </c>
      <c r="N18" s="28" t="inlineStr">
        <is>
          <t>CD:5</t>
        </is>
      </c>
      <c r="O18" s="7" t="n"/>
      <c r="P18" s="7" t="n"/>
      <c r="S18" s="138" t="inlineStr">
        <is>
          <t>對我方全體附加魔攻上升2層</t>
        </is>
      </c>
      <c r="T18" s="7" t="inlineStr">
        <is>
          <t>cd-1</t>
        </is>
      </c>
      <c r="U18" s="138" t="inlineStr">
        <is>
          <t>額外追加附加AP護盾</t>
        </is>
      </c>
      <c r="V18" s="7" t="inlineStr">
        <is>
          <t>cd-1</t>
        </is>
      </c>
      <c r="W18" s="7" t="inlineStr">
        <is>
          <t>cd-1</t>
        </is>
      </c>
      <c r="X18" s="138" t="inlineStr">
        <is>
          <t>額外追加附加爆傷上升2層</t>
        </is>
      </c>
      <c r="Y18" s="7" t="n"/>
      <c r="Z18" s="7" t="n"/>
      <c r="AA18" s="7" t="n"/>
      <c r="AB18" s="7" t="n"/>
      <c r="AC18" s="7" t="n"/>
    </row>
    <row r="19" ht="16.5" customHeight="1" s="142">
      <c r="A19" s="7">
        <f>"60,18,15,25,26"</f>
        <v/>
      </c>
      <c r="B19" s="26" t="inlineStr">
        <is>
          <t>#寶器</t>
        </is>
      </c>
      <c r="C19" s="26" t="inlineStr">
        <is>
          <t>#魔法</t>
        </is>
      </c>
      <c r="D19" s="26" t="inlineStr">
        <is>
          <t>#神聖庇護</t>
        </is>
      </c>
      <c r="E19" s="26" t="inlineStr">
        <is>
          <t>#巧奪天工</t>
        </is>
      </c>
      <c r="F19" s="26" t="inlineStr">
        <is>
          <t>#疾風迅雷</t>
        </is>
      </c>
      <c r="G19" s="26" t="inlineStr">
        <is>
          <t>#神祇恩賜</t>
        </is>
      </c>
      <c r="H19" s="27" t="inlineStr">
        <is>
          <t>布都御魂</t>
        </is>
      </c>
      <c r="I19" s="28" t="inlineStr">
        <is>
          <t>SSR</t>
        </is>
      </c>
      <c r="J19" s="30" t="n">
        <v>1</v>
      </c>
      <c r="K19" s="30" t="n"/>
      <c r="L19" s="29" t="n">
        <v>4.8</v>
      </c>
      <c r="M19" s="30" t="inlineStr">
        <is>
          <t>神威震嶽</t>
        </is>
      </c>
      <c r="N19" s="30" t="n"/>
      <c r="O19" s="138" t="inlineStr">
        <is>
          <t>日本神話中武甕槌神平定葦原中國所使用、具有神威的傳說之劍。</t>
        </is>
      </c>
      <c r="P19" s="7" t="inlineStr">
        <is>
          <t>*單體最強</t>
        </is>
      </c>
      <c r="S19" s="138" t="inlineStr">
        <is>
          <t>對敵方1體造成&lt;AP&gt;魔攻的魔法傷害；並為自身附加爆擊上升</t>
        </is>
      </c>
      <c r="T19" s="138" t="inlineStr">
        <is>
          <t>額外附加自身行動加快</t>
        </is>
      </c>
      <c r="U19" s="138" t="inlineStr">
        <is>
          <t>額外自身技能傷害上升</t>
        </is>
      </c>
      <c r="V19" s="138" t="inlineStr">
        <is>
          <t>額外自身附加爆傷上升</t>
        </is>
      </c>
      <c r="W19" s="138" t="inlineStr">
        <is>
          <t>對象改2人</t>
        </is>
      </c>
      <c r="X19" s="138" t="inlineStr">
        <is>
          <t>爆傷上升、傷害上升、爆擊上升改為2層)</t>
        </is>
      </c>
      <c r="Y19" s="138" t="inlineStr">
        <is>
          <t>該武器基礎物攻10%</t>
        </is>
      </c>
      <c r="Z19" s="138" t="inlineStr">
        <is>
          <t>該武器基礎物攻15%</t>
        </is>
      </c>
      <c r="AA19" s="138" t="inlineStr">
        <is>
          <t>該武器額外技能傷害10%</t>
        </is>
      </c>
      <c r="AB19" s="138" t="inlineStr">
        <is>
          <t>該武器額外技能傷害20%、爆擊率+10%</t>
        </is>
      </c>
      <c r="AC19" s="7" t="inlineStr">
        <is>
          <t>AGI提升5</t>
        </is>
      </c>
    </row>
    <row r="20" ht="16.5" customHeight="1" s="142">
      <c r="A20" s="7" t="n"/>
      <c r="B20" s="26" t="n"/>
      <c r="C20" s="26" t="n"/>
      <c r="D20" s="26" t="n"/>
      <c r="E20" s="26" t="n"/>
      <c r="F20" s="26" t="n"/>
      <c r="H20" s="27" t="n"/>
      <c r="I20" s="28" t="inlineStr">
        <is>
          <t>SSR</t>
        </is>
      </c>
      <c r="J20" s="7" t="n">
        <v>1</v>
      </c>
      <c r="K20" s="7" t="n">
        <v>1</v>
      </c>
      <c r="L20" s="17" t="n">
        <v>5</v>
      </c>
      <c r="M20" s="138" t="inlineStr">
        <is>
          <t>震天雷霆斬</t>
        </is>
      </c>
      <c r="N20" s="28" t="inlineStr">
        <is>
          <t>CD:4</t>
        </is>
      </c>
      <c r="O20" s="7" t="n"/>
      <c r="P20" s="7" t="n"/>
      <c r="S20" s="138" t="inlineStr">
        <is>
          <t>對敵方隨機1體造成3次，40%自身附加攻擊上升</t>
        </is>
      </c>
      <c r="T20" s="7" t="inlineStr">
        <is>
          <t>cd-1</t>
        </is>
      </c>
      <c r="U20" s="138" t="inlineStr">
        <is>
          <t>任意攻擊改為4次</t>
        </is>
      </c>
      <c r="V20" s="7" t="inlineStr">
        <is>
          <t>cd-1</t>
        </is>
      </c>
      <c r="W20" s="7" t="inlineStr">
        <is>
          <t>cd-1</t>
        </is>
      </c>
      <c r="X20" s="138" t="inlineStr">
        <is>
          <t>任意攻擊改為6次</t>
        </is>
      </c>
      <c r="Y20" s="7" t="n"/>
      <c r="Z20" s="7" t="n"/>
      <c r="AA20" s="7" t="n"/>
      <c r="AB20" s="7" t="n"/>
      <c r="AC20" s="7" t="n"/>
    </row>
    <row r="21" ht="16.5" customHeight="1" s="142">
      <c r="A21" s="7">
        <f>"61,18,5,9,20"</f>
        <v/>
      </c>
      <c r="B21" s="26" t="inlineStr">
        <is>
          <t>#魔器</t>
        </is>
      </c>
      <c r="C21" s="26" t="inlineStr">
        <is>
          <t>#物理</t>
        </is>
      </c>
      <c r="D21" s="26" t="inlineStr">
        <is>
          <t>#毀天滅地</t>
        </is>
      </c>
      <c r="E21" s="26" t="inlineStr">
        <is>
          <t>#元素狂襲</t>
        </is>
      </c>
      <c r="F21" s="26" t="inlineStr">
        <is>
          <t>#黑暗侵蝕</t>
        </is>
      </c>
      <c r="G21" s="32" t="inlineStr">
        <is>
          <t>#弱體</t>
        </is>
      </c>
      <c r="H21" s="27" t="inlineStr">
        <is>
          <t>提爾鋒</t>
        </is>
      </c>
      <c r="I21" s="28" t="inlineStr">
        <is>
          <t>SSR</t>
        </is>
      </c>
      <c r="J21" s="30" t="n">
        <v>1</v>
      </c>
      <c r="K21" s="30" t="n"/>
      <c r="L21" s="29" t="n">
        <v>4.8</v>
      </c>
      <c r="M21" s="30" t="inlineStr">
        <is>
          <t>血祭詛咒</t>
        </is>
      </c>
      <c r="N21" s="30" t="n"/>
      <c r="O21" s="138" t="inlineStr">
        <is>
          <t>北歐神話中出鞘必見血、帶來死亡詛咒的魔劍。</t>
        </is>
      </c>
      <c r="S21" s="138" t="inlineStr">
        <is>
          <t>對敵方1體造成&lt;AD&gt;物攻的物理傷害，造成40%裂傷</t>
        </is>
      </c>
      <c r="T21" s="138" t="inlineStr">
        <is>
          <t>額外40%附加中毒</t>
        </is>
      </c>
      <c r="U21" s="138" t="inlineStr">
        <is>
          <t>額外40%附加灼傷</t>
        </is>
      </c>
      <c r="V21" s="138" t="inlineStr">
        <is>
          <t>額外40%附加凍傷</t>
        </is>
      </c>
      <c r="W21" s="138" t="inlineStr">
        <is>
          <t>弱化附加機率追加至50%</t>
        </is>
      </c>
      <c r="X21" s="138" t="inlineStr">
        <is>
          <t>弱化附加機率追加至80%</t>
        </is>
      </c>
      <c r="Y21" s="138" t="inlineStr">
        <is>
          <t>該武器基礎物攻10%</t>
        </is>
      </c>
      <c r="Z21" s="138" t="inlineStr">
        <is>
          <t>該武器基礎物攻15%</t>
        </is>
      </c>
      <c r="AA21" s="138" t="inlineStr">
        <is>
          <t>該武器額外技能傷害10%</t>
        </is>
      </c>
      <c r="AB21" s="138" t="inlineStr">
        <is>
          <t>該武器額外技能傷害20%、爆擊率+10%</t>
        </is>
      </c>
      <c r="AC21" s="7" t="inlineStr">
        <is>
          <t>AGI提升5</t>
        </is>
      </c>
    </row>
    <row r="22" ht="16.5" customHeight="1" s="142">
      <c r="A22" s="7" t="n"/>
      <c r="B22" s="26" t="n"/>
      <c r="C22" s="26" t="n"/>
      <c r="D22" s="26" t="n"/>
      <c r="E22" s="26" t="n"/>
      <c r="F22" s="26" t="n"/>
      <c r="G22" s="32" t="n"/>
      <c r="H22" s="27" t="n"/>
      <c r="I22" s="28" t="inlineStr">
        <is>
          <t>SSR</t>
        </is>
      </c>
      <c r="J22" s="7" t="n">
        <v>1</v>
      </c>
      <c r="K22" s="7" t="n">
        <v>1</v>
      </c>
      <c r="L22" s="17" t="n">
        <v>5</v>
      </c>
      <c r="M22" s="138" t="inlineStr">
        <is>
          <t>噬魂開鋒</t>
        </is>
      </c>
      <c r="N22" s="28" t="inlineStr">
        <is>
          <t>CD:5</t>
        </is>
      </c>
      <c r="O22" s="7" t="n"/>
      <c r="S22" s="138" t="inlineStr">
        <is>
          <t>對敵方1體隨機&lt;AD&gt;，額外40%附加停止</t>
        </is>
      </c>
      <c r="T22" s="7" t="inlineStr">
        <is>
          <t>cd-1</t>
        </is>
      </c>
      <c r="U22" s="138" t="inlineStr">
        <is>
          <t>額外40%附加暈眩</t>
        </is>
      </c>
      <c r="V22" s="7" t="inlineStr">
        <is>
          <t>cd-1</t>
        </is>
      </c>
      <c r="W22" s="7" t="inlineStr">
        <is>
          <t>cd-1</t>
        </is>
      </c>
      <c r="X22" s="138" t="inlineStr">
        <is>
          <t>對象改2人，額外40%附加麻痺</t>
        </is>
      </c>
      <c r="Y22" s="7" t="n"/>
      <c r="Z22" s="7" t="n"/>
      <c r="AA22" s="7" t="n"/>
      <c r="AB22" s="7" t="n"/>
      <c r="AC22" s="7" t="n"/>
    </row>
    <row r="23" ht="16.5" customHeight="1" s="142">
      <c r="A23" s="7">
        <f>"59,12,15,10,22"</f>
        <v/>
      </c>
      <c r="B23" s="26" t="inlineStr">
        <is>
          <t>#聖物</t>
        </is>
      </c>
      <c r="C23" s="26" t="inlineStr">
        <is>
          <t>#物理</t>
        </is>
      </c>
      <c r="D23" s="26" t="inlineStr">
        <is>
          <t>#守護</t>
        </is>
      </c>
      <c r="E23" s="26" t="inlineStr">
        <is>
          <t>#銅牆鐵壁</t>
        </is>
      </c>
      <c r="F23" s="26" t="inlineStr">
        <is>
          <t>#神聖庇護</t>
        </is>
      </c>
      <c r="G23" s="26" t="inlineStr">
        <is>
          <t>#起死回生</t>
        </is>
      </c>
      <c r="H23" s="27" t="inlineStr">
        <is>
          <t>真十字架</t>
        </is>
      </c>
      <c r="I23" s="28" t="inlineStr">
        <is>
          <t>SSR</t>
        </is>
      </c>
      <c r="J23" s="30" t="n">
        <v>-2</v>
      </c>
      <c r="K23" s="30" t="n"/>
      <c r="L23" s="29" t="n">
        <v>2.4</v>
      </c>
      <c r="M23" s="30" t="inlineStr">
        <is>
          <t>神聖庇護</t>
        </is>
      </c>
      <c r="N23" s="30" t="n"/>
      <c r="O23" s="138" t="inlineStr">
        <is>
          <t>基督教信仰中耶穌受難時所釘十字架的殘片。</t>
        </is>
      </c>
      <c r="P23" s="7" t="inlineStr">
        <is>
          <t>*最強坦</t>
        </is>
      </c>
      <c r="S23" s="138" t="inlineStr">
        <is>
          <t>對我2體&lt;AD&gt;物攻的護盾，自身死亡後3回合將自動重生</t>
        </is>
      </c>
      <c r="T23" s="138" t="inlineStr">
        <is>
          <t>為護盾對象附加持續回魔</t>
        </is>
      </c>
      <c r="U23" s="138" t="inlineStr">
        <is>
          <t>額外附加受護衛效果</t>
        </is>
      </c>
      <c r="V23" s="138" t="inlineStr">
        <is>
          <t>額外附加真言效果(魔攻、物攻50%、1回)</t>
        </is>
      </c>
      <c r="W23" s="138" t="inlineStr">
        <is>
          <t>對象改為3體</t>
        </is>
      </c>
      <c r="X23" s="138" t="inlineStr">
        <is>
          <t>額外附加真理效果(技能傷害10%、2回)</t>
        </is>
      </c>
      <c r="Y23" s="138" t="inlineStr">
        <is>
          <t>該武器基礎物防10%</t>
        </is>
      </c>
      <c r="Z23" s="138" t="inlineStr">
        <is>
          <t>該武器基礎追加物防15%</t>
        </is>
      </c>
      <c r="AA23" s="138" t="inlineStr">
        <is>
          <t>該武器額外減傷10%</t>
        </is>
      </c>
      <c r="AB23" s="138" t="inlineStr">
        <is>
          <t>該武器額外減傷20%、爆擊抗性-10%</t>
        </is>
      </c>
      <c r="AC23" s="7" t="inlineStr">
        <is>
          <t>AGI提升5</t>
        </is>
      </c>
    </row>
    <row r="24" ht="16.5" customHeight="1" s="142">
      <c r="A24" s="7" t="n"/>
      <c r="B24" s="26" t="n"/>
      <c r="C24" s="26" t="n"/>
      <c r="D24" s="26" t="n"/>
      <c r="E24" s="26" t="n"/>
      <c r="F24" s="26" t="n"/>
      <c r="G24" s="27" t="n"/>
      <c r="H24" s="27" t="n"/>
      <c r="I24" s="28" t="inlineStr">
        <is>
          <t>SSR</t>
        </is>
      </c>
      <c r="J24" s="30" t="n">
        <v>1</v>
      </c>
      <c r="K24" s="30" t="n"/>
      <c r="L24" s="29" t="n">
        <v>4.8</v>
      </c>
      <c r="M24" s="30" t="inlineStr">
        <is>
          <t>聖光衝擊</t>
        </is>
      </c>
      <c r="N24" s="28" t="inlineStr">
        <is>
          <t>CD:6</t>
        </is>
      </c>
      <c r="O24" s="7" t="n"/>
      <c r="S24" s="138" t="inlineStr">
        <is>
          <t>對敵方1體，造成40%暈眩</t>
        </is>
      </c>
      <c r="T24" s="7" t="inlineStr">
        <is>
          <t>cd-1</t>
        </is>
      </c>
      <c r="U24" s="138" t="inlineStr">
        <is>
          <t>為自身附加持續回魔與持續恢復效果</t>
        </is>
      </c>
      <c r="V24" s="7" t="inlineStr">
        <is>
          <t>cd-1</t>
        </is>
      </c>
      <c r="W24" s="7" t="inlineStr">
        <is>
          <t>cd-1</t>
        </is>
      </c>
      <c r="X24" s="138" t="inlineStr">
        <is>
          <t>改成100%附加暈眩</t>
        </is>
      </c>
      <c r="Y24" s="7" t="n"/>
      <c r="Z24" s="7" t="n"/>
      <c r="AA24" s="7" t="n"/>
      <c r="AB24" s="7" t="n"/>
      <c r="AC24" s="7" t="n"/>
    </row>
    <row r="25" ht="16.5" customHeight="1" s="142">
      <c r="A25" s="7">
        <f>"60,14,15,22,8"</f>
        <v/>
      </c>
      <c r="B25" s="26" t="inlineStr">
        <is>
          <t>#寶器</t>
        </is>
      </c>
      <c r="C25" s="26" t="inlineStr">
        <is>
          <t>#恢復</t>
        </is>
      </c>
      <c r="D25" s="26" t="inlineStr">
        <is>
          <t>#神聖庇護</t>
        </is>
      </c>
      <c r="E25" s="26" t="inlineStr">
        <is>
          <t>#起死回生</t>
        </is>
      </c>
      <c r="F25" s="26" t="inlineStr">
        <is>
          <t>#生生不息</t>
        </is>
      </c>
      <c r="G25" s="26" t="inlineStr">
        <is>
          <t>#靈能壁壘</t>
        </is>
      </c>
      <c r="H25" s="27" t="inlineStr">
        <is>
          <t>阿斯卡隆</t>
        </is>
      </c>
      <c r="I25" s="28" t="inlineStr">
        <is>
          <t>SSR</t>
        </is>
      </c>
      <c r="J25" s="30" t="n">
        <v>-2</v>
      </c>
      <c r="K25" s="30" t="n">
        <v>1</v>
      </c>
      <c r="L25" s="29" t="n">
        <v>2.5</v>
      </c>
      <c r="M25" s="30" t="inlineStr">
        <is>
          <t>龍血洗禮</t>
        </is>
      </c>
      <c r="N25" s="30" t="n"/>
      <c r="O25" s="138" t="inlineStr">
        <is>
          <t>聖喬治斬龍時所使用的神聖寶劍。</t>
        </is>
      </c>
      <c r="S25" s="138" t="inlineStr">
        <is>
          <t>對我方隨機2體恢復&lt;AP&gt;魔攻的hp，30%機率附加聖護(減傷+20% 1回)</t>
        </is>
      </c>
      <c r="T25" s="138" t="inlineStr">
        <is>
          <t>額外恢復對象mp50</t>
        </is>
      </c>
      <c r="U25" s="138" t="inlineStr">
        <is>
          <t>對象改為3體</t>
        </is>
      </c>
      <c r="V25" s="138" t="inlineStr">
        <is>
          <t>追加40%聖光(技能傷害抵抗50% 1回)</t>
        </is>
      </c>
      <c r="W25" s="138" t="inlineStr">
        <is>
          <t>對象改為4體</t>
        </is>
      </c>
      <c r="X25" s="138" t="inlineStr">
        <is>
          <t>額外機率改為50%追加聖護、聖光、聖斬效果(爆擊率+100% 1回合)</t>
        </is>
      </c>
      <c r="Y25" s="138" t="inlineStr">
        <is>
          <t>該武器基礎魔攻10%</t>
        </is>
      </c>
      <c r="Z25" s="138" t="inlineStr">
        <is>
          <t>該武器基礎追加魔攻15%</t>
        </is>
      </c>
      <c r="AA25" s="138" t="inlineStr">
        <is>
          <t>該武器額外技能傷害10%</t>
        </is>
      </c>
      <c r="AB25" s="138" t="inlineStr">
        <is>
          <t>該武器額外技能傷害20%、爆擊率+10%</t>
        </is>
      </c>
      <c r="AC25" s="7" t="inlineStr">
        <is>
          <t>AGI提升5</t>
        </is>
      </c>
    </row>
    <row r="26" ht="16.5" customHeight="1" s="142">
      <c r="A26" s="7" t="n"/>
      <c r="B26" s="26" t="n"/>
      <c r="C26" s="26" t="n"/>
      <c r="D26" s="26" t="n"/>
      <c r="E26" s="26" t="n"/>
      <c r="F26" s="26" t="n"/>
      <c r="G26" s="27" t="n"/>
      <c r="H26" s="27" t="n"/>
      <c r="I26" s="28" t="inlineStr">
        <is>
          <t>SSR</t>
        </is>
      </c>
      <c r="J26" s="7" t="n">
        <v>-1</v>
      </c>
      <c r="K26" s="7" t="n"/>
      <c r="L26" s="17" t="n">
        <v>4.8</v>
      </c>
      <c r="M26" s="138" t="inlineStr">
        <is>
          <t>英雄意志</t>
        </is>
      </c>
      <c r="N26" s="28" t="inlineStr">
        <is>
          <t>CD:7</t>
        </is>
      </c>
      <c r="S26" s="138" t="inlineStr">
        <is>
          <t>對我方1體hp，追加立即恢復對象mp150</t>
        </is>
      </c>
      <c r="T26" s="7" t="inlineStr">
        <is>
          <t>cd-1</t>
        </is>
      </c>
      <c r="U26" s="138" t="inlineStr">
        <is>
          <t>追加30%不屈(減少受到傷害10%，爆擊傷害抵抗50% 1回)</t>
        </is>
      </c>
      <c r="V26" s="7" t="inlineStr">
        <is>
          <t>cd-1</t>
        </is>
      </c>
      <c r="W26" s="7" t="inlineStr">
        <is>
          <t>cd-1</t>
        </is>
      </c>
      <c r="X26" s="138" t="inlineStr">
        <is>
          <t>對象改為2名，立即追加現在血量對象50%的現在hp</t>
        </is>
      </c>
    </row>
    <row r="27" hidden="1" ht="14.25" customHeight="1" s="142">
      <c r="A27" s="7" t="n"/>
    </row>
    <row r="28" hidden="1" ht="14.25" customHeight="1" s="142">
      <c r="A28" s="7" t="n"/>
    </row>
    <row r="29" hidden="1" ht="16.5" customHeight="1" s="142">
      <c r="A29" s="7">
        <f>"61,18,19,5,9,7"</f>
        <v/>
      </c>
      <c r="B29" s="26" t="inlineStr">
        <is>
          <t>#魔器</t>
        </is>
      </c>
      <c r="C29" s="26" t="inlineStr">
        <is>
          <t>#魔法</t>
        </is>
      </c>
      <c r="D29" s="26" t="inlineStr">
        <is>
          <t>#黑暗侵蝕</t>
        </is>
      </c>
      <c r="E29" s="26" t="inlineStr">
        <is>
          <t>#毀天滅地</t>
        </is>
      </c>
      <c r="F29" s="26" t="inlineStr">
        <is>
          <t>#元素狂襲</t>
        </is>
      </c>
      <c r="G29" s="26" t="n"/>
      <c r="H29" s="27" t="inlineStr">
        <is>
          <t>潘朵拉的魔盒</t>
        </is>
      </c>
      <c r="I29" s="30" t="n"/>
      <c r="J29" s="30" t="n"/>
      <c r="K29" s="30" t="n"/>
      <c r="L29" s="30" t="n"/>
      <c r="M29" s="30" t="n"/>
      <c r="N29" s="30" t="n"/>
      <c r="O29" s="138" t="inlineStr">
        <is>
          <t>釋放世間災禍與痛苦的禁忌器物。</t>
        </is>
      </c>
    </row>
    <row r="30" hidden="1" ht="16.5" customHeight="1" s="142">
      <c r="A30" s="7">
        <f>"59,12,15,10,23,11"</f>
        <v/>
      </c>
      <c r="B30" s="26" t="inlineStr">
        <is>
          <t>#聖物</t>
        </is>
      </c>
      <c r="C30" s="26" t="inlineStr">
        <is>
          <t>#物理</t>
        </is>
      </c>
      <c r="D30" s="26" t="inlineStr">
        <is>
          <t>#守護</t>
        </is>
      </c>
      <c r="E30" s="26" t="inlineStr">
        <is>
          <t>#銅牆鐵壁</t>
        </is>
      </c>
      <c r="F30" s="26" t="inlineStr">
        <is>
          <t>#靈能壁壘</t>
        </is>
      </c>
      <c r="G30" s="26" t="inlineStr">
        <is>
          <t>#苦難共擔</t>
        </is>
      </c>
      <c r="H30" s="27" t="inlineStr">
        <is>
          <t>尼米安之皮</t>
        </is>
      </c>
      <c r="I30" s="30" t="n"/>
      <c r="J30" s="30" t="n"/>
      <c r="K30" s="30" t="n"/>
      <c r="L30" s="30" t="n"/>
      <c r="M30" s="30" t="n"/>
      <c r="N30" s="30" t="n"/>
      <c r="O30" s="138" t="inlineStr">
        <is>
          <t>基督教傳說中刺穿耶穌基督側腹的聖槍。</t>
        </is>
      </c>
    </row>
    <row r="31" hidden="1" ht="16.5" customHeight="1" s="142">
      <c r="A31" s="7">
        <f>"60,18,15,22,25,26"</f>
        <v/>
      </c>
      <c r="B31" s="26" t="inlineStr">
        <is>
          <t>#寶器</t>
        </is>
      </c>
      <c r="C31" s="26" t="inlineStr">
        <is>
          <t>#魔法</t>
        </is>
      </c>
      <c r="D31" s="26" t="inlineStr">
        <is>
          <t>#守護</t>
        </is>
      </c>
      <c r="E31" s="26" t="inlineStr">
        <is>
          <t>#神聖庇護</t>
        </is>
      </c>
      <c r="F31" s="26" t="inlineStr">
        <is>
          <t>#巧奪天工</t>
        </is>
      </c>
      <c r="G31" s="26" t="inlineStr">
        <is>
          <t>#神祇恩賜</t>
        </is>
      </c>
      <c r="H31" s="27" t="inlineStr">
        <is>
          <t>八尺瓊勾玉</t>
        </is>
      </c>
      <c r="I31" s="30" t="n"/>
      <c r="J31" s="30" t="n"/>
      <c r="K31" s="30" t="n"/>
      <c r="L31" s="30" t="n"/>
      <c r="M31" s="30" t="n"/>
      <c r="N31" s="30" t="n"/>
      <c r="O31" s="138" t="inlineStr">
        <is>
          <t>希臘神話中刀槍不入的獅皮防具。</t>
        </is>
      </c>
      <c r="S31" s="7" t="n"/>
    </row>
    <row r="32" hidden="1" ht="16.5" customHeight="1" s="142">
      <c r="A32" s="7">
        <f>"62,18,24,9,25,26"</f>
        <v/>
      </c>
      <c r="B32" s="26" t="inlineStr">
        <is>
          <t>#法器</t>
        </is>
      </c>
      <c r="C32" s="26" t="inlineStr">
        <is>
          <t>#魔法</t>
        </is>
      </c>
      <c r="D32" s="26" t="inlineStr">
        <is>
          <t>#自然之怒</t>
        </is>
      </c>
      <c r="E32" s="26" t="inlineStr">
        <is>
          <t>#元素狂襲</t>
        </is>
      </c>
      <c r="F32" s="26" t="inlineStr">
        <is>
          <t>#巧奪天工</t>
        </is>
      </c>
      <c r="G32" s="26" t="inlineStr">
        <is>
          <t>#神祇恩賜</t>
        </is>
      </c>
      <c r="H32" s="27" t="inlineStr">
        <is>
          <t>五行鏡</t>
        </is>
      </c>
      <c r="I32" s="30" t="n"/>
      <c r="J32" s="30" t="n"/>
      <c r="K32" s="30" t="n"/>
      <c r="L32" s="30" t="n"/>
      <c r="M32" s="30" t="n"/>
      <c r="N32" s="30" t="n"/>
      <c r="O32" s="138" t="inlineStr">
        <is>
          <t>日本神話中的三神器之一，象徵「仁」，為古老而神聖的勾玉寶器。</t>
        </is>
      </c>
    </row>
    <row r="33" hidden="1" ht="16.5" customHeight="1" s="142">
      <c r="A33" s="7">
        <f>"61,18,9,7,25"</f>
        <v/>
      </c>
      <c r="B33" s="26" t="inlineStr">
        <is>
          <t>#魔器</t>
        </is>
      </c>
      <c r="C33" s="26" t="inlineStr">
        <is>
          <t>#魔法</t>
        </is>
      </c>
      <c r="D33" s="26" t="inlineStr">
        <is>
          <t>#元素狂襲</t>
        </is>
      </c>
      <c r="E33" s="26" t="inlineStr">
        <is>
          <t>#巧奪天工</t>
        </is>
      </c>
      <c r="F33" s="26" t="n"/>
      <c r="G33" s="26" t="n"/>
      <c r="H33" s="27" t="inlineStr">
        <is>
          <t>所羅門之鑰</t>
        </is>
      </c>
      <c r="I33" s="30" t="n"/>
      <c r="J33" s="30" t="n"/>
      <c r="K33" s="30" t="n"/>
      <c r="L33" s="30" t="n"/>
      <c r="M33" s="30" t="n"/>
      <c r="N33" s="30" t="n"/>
      <c r="O33" s="138" t="inlineStr">
        <is>
          <t>東方道法中用以觀照靈體、破除幻境的鏡類法器。</t>
        </is>
      </c>
      <c r="U33" s="138" t="inlineStr">
        <is>
          <t>額外附加治療反轉</t>
        </is>
      </c>
    </row>
    <row r="34" hidden="1" ht="16.5" customHeight="1" s="142">
      <c r="A34" s="7">
        <f>"59,12,15,22,10,25"</f>
        <v/>
      </c>
      <c r="B34" s="26" t="inlineStr">
        <is>
          <t>#聖物</t>
        </is>
      </c>
      <c r="C34" s="26" t="inlineStr">
        <is>
          <t>#物理</t>
        </is>
      </c>
      <c r="D34" s="26" t="inlineStr">
        <is>
          <t>#守護</t>
        </is>
      </c>
      <c r="E34" s="26" t="inlineStr">
        <is>
          <t>#神聖庇護</t>
        </is>
      </c>
      <c r="F34" s="26" t="inlineStr">
        <is>
          <t>#銅牆鐵壁</t>
        </is>
      </c>
      <c r="G34" s="26" t="inlineStr">
        <is>
          <t>#巧奪天工</t>
        </is>
      </c>
      <c r="H34" s="27" t="inlineStr">
        <is>
          <t>降魔杵</t>
        </is>
      </c>
      <c r="I34" s="30" t="n"/>
      <c r="J34" s="30" t="n"/>
      <c r="K34" s="30" t="n"/>
      <c r="L34" s="30" t="n"/>
      <c r="M34" s="30" t="n"/>
      <c r="N34" s="30" t="n"/>
      <c r="O34" s="138" t="inlineStr">
        <is>
          <t>凱爾特神話中太陽神的光之貫穿之槍。</t>
        </is>
      </c>
    </row>
    <row r="35" hidden="1" ht="16.5" customHeight="1" s="142">
      <c r="A35" s="7">
        <f>"58,12,15,10,20"</f>
        <v/>
      </c>
      <c r="B35" s="26" t="inlineStr">
        <is>
          <t>#名刀</t>
        </is>
      </c>
      <c r="C35" s="26" t="inlineStr">
        <is>
          <t>#物理</t>
        </is>
      </c>
      <c r="D35" s="26" t="inlineStr">
        <is>
          <t>#弱體</t>
        </is>
      </c>
      <c r="G35" s="26" t="n"/>
      <c r="H35" s="27" t="inlineStr">
        <is>
          <t>數珠丸恆次</t>
        </is>
      </c>
      <c r="I35" s="30" t="n"/>
      <c r="J35" s="30" t="n"/>
      <c r="K35" s="30" t="n"/>
      <c r="L35" s="30" t="n"/>
      <c r="M35" s="30" t="n"/>
      <c r="N35" s="30" t="n"/>
      <c r="O35" s="138" t="inlineStr">
        <is>
          <t>象徵至高權能與驅使靈體之力的祈福寶器。</t>
        </is>
      </c>
    </row>
    <row r="36" hidden="1" ht="16.5" customHeight="1" s="142">
      <c r="A36" s="7">
        <f>"60,18,13,5,21,9"</f>
        <v/>
      </c>
      <c r="B36" s="26" t="inlineStr">
        <is>
          <t>#寶器</t>
        </is>
      </c>
      <c r="C36" s="26" t="inlineStr">
        <is>
          <t>#魔法</t>
        </is>
      </c>
      <c r="D36" s="26" t="inlineStr">
        <is>
          <t>#輸出</t>
        </is>
      </c>
      <c r="E36" s="26" t="inlineStr">
        <is>
          <t>#毀天滅地</t>
        </is>
      </c>
      <c r="F36" s="26" t="inlineStr">
        <is>
          <t>#元素狂襲</t>
        </is>
      </c>
      <c r="G36" s="26" t="n"/>
      <c r="H36" s="27" t="inlineStr">
        <is>
          <t>布里歐納克</t>
        </is>
      </c>
      <c r="I36" s="30" t="n"/>
      <c r="J36" s="30" t="n"/>
      <c r="K36" s="30" t="n"/>
      <c r="L36" s="30" t="n"/>
      <c r="M36" s="30" t="n"/>
      <c r="N36" s="30" t="n"/>
      <c r="O36" s="138" t="inlineStr">
        <is>
          <t>佛教密宗中用以摧毀煩惱、鎮伏妖魔的金剛法器。</t>
        </is>
      </c>
    </row>
    <row r="37" hidden="1" s="142"/>
    <row r="38" ht="14.25" customHeight="1" s="142">
      <c r="H38" s="7" t="n">
        <v>27</v>
      </c>
    </row>
    <row r="39" ht="16.5" customHeight="1" s="142">
      <c r="B39" s="33" t="inlineStr">
        <is>
          <t>SR</t>
        </is>
      </c>
      <c r="C39" s="139" t="inlineStr">
        <is>
          <t>級武器清單</t>
        </is>
      </c>
      <c r="E39" s="34" t="n"/>
      <c r="F39" s="34" t="n"/>
      <c r="G39" s="34" t="n"/>
    </row>
    <row r="40" ht="16.5" customHeight="1" s="142">
      <c r="A40" s="7">
        <f>"56,16,13,2,1"</f>
        <v/>
      </c>
      <c r="C40" s="26" t="inlineStr">
        <is>
          <t>#名刀</t>
        </is>
      </c>
      <c r="D40" s="26" t="inlineStr">
        <is>
          <t>#物理</t>
        </is>
      </c>
      <c r="E40" s="26" t="inlineStr">
        <is>
          <t>#輸出</t>
        </is>
      </c>
      <c r="F40" s="26" t="inlineStr">
        <is>
          <t>#致命一擊</t>
        </is>
      </c>
      <c r="G40" s="26" t="inlineStr">
        <is>
          <t>#疾風迅雷</t>
        </is>
      </c>
      <c r="H40" s="35" t="inlineStr">
        <is>
          <t>鬼丸國綱</t>
        </is>
      </c>
      <c r="I40" s="7" t="inlineStr">
        <is>
          <t>SR</t>
        </is>
      </c>
      <c r="J40" s="7" t="n">
        <v>2</v>
      </c>
      <c r="K40" s="7" t="n"/>
      <c r="L40" s="17" t="n">
        <v>1.9</v>
      </c>
      <c r="M40" s="138" t="inlineStr">
        <is>
          <t>降伏之刃</t>
        </is>
      </c>
      <c r="N40" s="36" t="n"/>
      <c r="S40" s="138" t="inlineStr">
        <is>
          <t>對敵方2體造成&lt;AD&gt;物攻的物理傷害60%額外附加自身行動加快</t>
        </is>
      </c>
      <c r="T40" s="7" t="inlineStr">
        <is>
          <t>MP-3</t>
        </is>
      </c>
      <c r="U40" s="7" t="inlineStr">
        <is>
          <t>MP-3</t>
        </is>
      </c>
      <c r="V40" s="138" t="inlineStr">
        <is>
          <t>機率追加40%</t>
        </is>
      </c>
      <c r="W40" s="7" t="inlineStr">
        <is>
          <t>MP-3</t>
        </is>
      </c>
      <c r="X40" s="138" t="inlineStr">
        <is>
          <t>額外為自身附加爆擊上升</t>
        </is>
      </c>
    </row>
    <row r="41" ht="16.5" customHeight="1" s="142">
      <c r="C41" s="26" t="n"/>
      <c r="D41" s="26" t="n"/>
      <c r="E41" s="26" t="n"/>
      <c r="F41" s="26" t="n"/>
      <c r="G41" s="26" t="n"/>
      <c r="H41" s="35" t="n"/>
      <c r="I41" s="7" t="inlineStr">
        <is>
          <t>SR</t>
        </is>
      </c>
      <c r="J41" s="7" t="n">
        <v>1</v>
      </c>
      <c r="K41" s="7" t="n"/>
      <c r="L41" s="17" t="n">
        <v>3.8</v>
      </c>
      <c r="M41" s="138" t="inlineStr">
        <is>
          <t>夢魔潰散</t>
        </is>
      </c>
      <c r="N41" s="28" t="inlineStr">
        <is>
          <t>CD:9</t>
        </is>
      </c>
      <c r="S41" s="138" t="inlineStr">
        <is>
          <t>對敵方1體造稱傷害並附加潰魔(降30%魔防)</t>
        </is>
      </c>
      <c r="T41" s="7" t="inlineStr">
        <is>
          <t>cd-1</t>
        </is>
      </c>
      <c r="U41" s="7" t="inlineStr">
        <is>
          <t>cd-1</t>
        </is>
      </c>
      <c r="V41" s="7" t="inlineStr">
        <is>
          <t>cd-1</t>
        </is>
      </c>
      <c r="W41" s="7" t="inlineStr">
        <is>
          <t>cd-1</t>
        </is>
      </c>
      <c r="X41" s="138" t="inlineStr">
        <is>
          <t>額外附加防禦下降2層</t>
        </is>
      </c>
    </row>
    <row r="42" ht="16.5" customHeight="1" s="142">
      <c r="A42" s="7">
        <f>"56,16,13,4,52"</f>
        <v/>
      </c>
      <c r="C42" s="26" t="inlineStr">
        <is>
          <t>#名刀</t>
        </is>
      </c>
      <c r="D42" s="26" t="inlineStr">
        <is>
          <t>#物理</t>
        </is>
      </c>
      <c r="E42" s="26" t="inlineStr">
        <is>
          <t>#輸出</t>
        </is>
      </c>
      <c r="F42" s="26" t="inlineStr">
        <is>
          <t>#橫掃千軍</t>
        </is>
      </c>
      <c r="G42" s="26" t="inlineStr">
        <is>
          <t>#神聖庇護</t>
        </is>
      </c>
      <c r="H42" s="35" t="inlineStr">
        <is>
          <t>阿隆戴特</t>
        </is>
      </c>
      <c r="I42" s="7" t="inlineStr">
        <is>
          <t>SR</t>
        </is>
      </c>
      <c r="J42" s="7" t="n">
        <v>3</v>
      </c>
      <c r="K42" s="7" t="n"/>
      <c r="L42" s="17" t="n">
        <v>1.25</v>
      </c>
      <c r="M42" s="138" t="inlineStr">
        <is>
          <t>漣漪斬</t>
        </is>
      </c>
      <c r="N42" s="36" t="n"/>
      <c r="S42" s="138" t="inlineStr">
        <is>
          <t>對3個敵方造成物理傷害並40%機率附加自身攻擊上升</t>
        </is>
      </c>
      <c r="T42" s="7" t="inlineStr">
        <is>
          <t>MP-3</t>
        </is>
      </c>
      <c r="U42" s="7" t="inlineStr">
        <is>
          <t>MP-3</t>
        </is>
      </c>
      <c r="V42" s="138" t="inlineStr">
        <is>
          <t>機率追加50%</t>
        </is>
      </c>
      <c r="W42" s="7" t="inlineStr">
        <is>
          <t>MP-3</t>
        </is>
      </c>
      <c r="X42" s="138" t="inlineStr">
        <is>
          <t>對象改為4個敵人</t>
        </is>
      </c>
    </row>
    <row r="43" ht="16.5" customHeight="1" s="142">
      <c r="C43" s="26" t="n"/>
      <c r="D43" s="26" t="n"/>
      <c r="E43" s="26" t="n"/>
      <c r="F43" s="26" t="n"/>
      <c r="G43" s="26" t="n"/>
      <c r="H43" s="35" t="n"/>
      <c r="I43" s="7" t="inlineStr">
        <is>
          <t>SR</t>
        </is>
      </c>
      <c r="J43" s="7" t="n">
        <v>3</v>
      </c>
      <c r="K43" s="7" t="n">
        <v>1</v>
      </c>
      <c r="L43" s="17" t="n">
        <v>1.3</v>
      </c>
      <c r="M43" s="138" t="inlineStr">
        <is>
          <t>急流連刺</t>
        </is>
      </c>
      <c r="N43" s="28" t="inlineStr">
        <is>
          <t>CD:8</t>
        </is>
      </c>
      <c r="S43" s="138" t="inlineStr">
        <is>
          <t>對敵方3體隨機造成物理傷害並附加潰防(潰防；降30%物禦)</t>
        </is>
      </c>
      <c r="T43" s="7" t="inlineStr">
        <is>
          <t>cd-1</t>
        </is>
      </c>
      <c r="U43" s="7" t="inlineStr">
        <is>
          <t>cd-1</t>
        </is>
      </c>
      <c r="V43" s="7" t="inlineStr">
        <is>
          <t>cd-1</t>
        </is>
      </c>
      <c r="W43" s="7" t="inlineStr">
        <is>
          <t>cd-1</t>
        </is>
      </c>
      <c r="X43" s="138" t="inlineStr">
        <is>
          <t>額外為自身附加攻擊上升</t>
        </is>
      </c>
    </row>
    <row r="44" ht="16.5" customHeight="1" s="142">
      <c r="A44" s="7">
        <f>"58,17,15,51,10"</f>
        <v/>
      </c>
      <c r="C44" s="26" t="inlineStr">
        <is>
          <t>#魔器</t>
        </is>
      </c>
      <c r="D44" s="26" t="inlineStr">
        <is>
          <t>#魔法</t>
        </is>
      </c>
      <c r="E44" s="26" t="inlineStr">
        <is>
          <t>#守護</t>
        </is>
      </c>
      <c r="F44" s="26" t="inlineStr">
        <is>
          <t>#黑暗侵蝕</t>
        </is>
      </c>
      <c r="G44" s="26" t="inlineStr">
        <is>
          <t>#靈能壁壘</t>
        </is>
      </c>
      <c r="H44" s="35" t="inlineStr">
        <is>
          <t>哈迪斯之盔</t>
        </is>
      </c>
      <c r="I44" s="7" t="inlineStr">
        <is>
          <t>SR</t>
        </is>
      </c>
      <c r="J44" s="7" t="n">
        <v>-2</v>
      </c>
      <c r="K44" s="7" t="n"/>
      <c r="L44" s="17" t="n">
        <v>1.9</v>
      </c>
      <c r="M44" s="138" t="inlineStr">
        <is>
          <t>鬼魅之護</t>
        </is>
      </c>
      <c r="S44" s="138" t="inlineStr">
        <is>
          <t>對我方2體恢復&lt;AP&gt;魔攻的HP，並附加護盾</t>
        </is>
      </c>
      <c r="T44" s="7" t="inlineStr">
        <is>
          <t>MP-3</t>
        </is>
      </c>
      <c r="U44" s="7" t="inlineStr">
        <is>
          <t>MP-3</t>
        </is>
      </c>
      <c r="V44" s="138" t="inlineStr">
        <is>
          <t>額外附加受到傷害減少效果</t>
        </is>
      </c>
      <c r="W44" s="7" t="inlineStr">
        <is>
          <t>MP-3</t>
        </is>
      </c>
      <c r="X44" s="138" t="inlineStr">
        <is>
          <t>對象改為3人</t>
        </is>
      </c>
    </row>
    <row r="45" ht="16.5" customHeight="1" s="142">
      <c r="C45" s="26" t="n"/>
      <c r="D45" s="26" t="n"/>
      <c r="E45" s="26" t="n"/>
      <c r="F45" s="26" t="n"/>
      <c r="G45" s="26" t="n"/>
      <c r="H45" s="35" t="n"/>
      <c r="I45" s="7" t="inlineStr">
        <is>
          <t>SR</t>
        </is>
      </c>
      <c r="J45" s="7" t="n">
        <v>2</v>
      </c>
      <c r="K45" s="7" t="n"/>
      <c r="L45" s="17" t="n">
        <v>1.9</v>
      </c>
      <c r="M45" s="138" t="inlineStr">
        <is>
          <t>冥府威壓</t>
        </is>
      </c>
      <c r="N45" s="28" t="inlineStr">
        <is>
          <t>CD:9</t>
        </is>
      </c>
      <c r="S45" s="138" t="inlineStr">
        <is>
          <t>為敵方2體造成物理傷害，並30%機率附加暈眩</t>
        </is>
      </c>
      <c r="T45" s="7" t="inlineStr">
        <is>
          <t>cd-1</t>
        </is>
      </c>
      <c r="U45" s="7" t="inlineStr">
        <is>
          <t>cd-1</t>
        </is>
      </c>
      <c r="V45" s="7" t="inlineStr">
        <is>
          <t>cd-1</t>
        </is>
      </c>
      <c r="W45" s="7" t="inlineStr">
        <is>
          <t>cd-1</t>
        </is>
      </c>
      <c r="X45" s="138" t="inlineStr">
        <is>
          <t>機率追加50%</t>
        </is>
      </c>
    </row>
    <row r="46" ht="16.5" customHeight="1" s="142">
      <c r="A46" s="7">
        <f>"58,17,51,20"</f>
        <v/>
      </c>
      <c r="C46" s="26" t="inlineStr">
        <is>
          <t>#魔器</t>
        </is>
      </c>
      <c r="D46" s="26" t="inlineStr">
        <is>
          <t>#魔法</t>
        </is>
      </c>
      <c r="E46" s="26" t="inlineStr">
        <is>
          <t>#黑暗侵蝕</t>
        </is>
      </c>
      <c r="F46" s="26" t="inlineStr">
        <is>
          <t>#弱體</t>
        </is>
      </c>
      <c r="G46" s="26" t="n"/>
      <c r="H46" s="35" t="inlineStr">
        <is>
          <t>封印之書</t>
        </is>
      </c>
      <c r="I46" s="7" t="inlineStr">
        <is>
          <t>SR</t>
        </is>
      </c>
      <c r="J46" s="7" t="n">
        <v>3</v>
      </c>
      <c r="K46" s="7" t="n">
        <v>1</v>
      </c>
      <c r="L46" s="17" t="n">
        <v>1.3</v>
      </c>
      <c r="M46" s="138" t="inlineStr">
        <is>
          <t>混沌光束</t>
        </is>
      </c>
      <c r="N46" s="36" t="n"/>
      <c r="S46" s="138" t="inlineStr">
        <is>
          <t>為敵方隨機3體造成&lt;AP&gt;魔攻的魔法傷害</t>
        </is>
      </c>
      <c r="T46" s="7" t="inlineStr">
        <is>
          <t>MP-3</t>
        </is>
      </c>
      <c r="U46" s="7" t="inlineStr">
        <is>
          <t>MP-3</t>
        </is>
      </c>
      <c r="V46" s="138" t="inlineStr">
        <is>
          <t>額外附加魔防下降效果</t>
        </is>
      </c>
      <c r="W46" s="7" t="inlineStr">
        <is>
          <t>MP-3</t>
        </is>
      </c>
      <c r="X46" s="138" t="inlineStr">
        <is>
          <t>額外附加增加受到傷害</t>
        </is>
      </c>
    </row>
    <row r="47" ht="16.5" customHeight="1" s="142">
      <c r="C47" s="26" t="n"/>
      <c r="D47" s="26" t="n"/>
      <c r="E47" s="26" t="n"/>
      <c r="F47" s="26" t="n"/>
      <c r="G47" s="26" t="n"/>
      <c r="H47" s="35" t="n"/>
      <c r="I47" s="7" t="inlineStr">
        <is>
          <t>SR</t>
        </is>
      </c>
      <c r="J47" s="7" t="n">
        <v>2</v>
      </c>
      <c r="K47" s="7" t="n">
        <v>1</v>
      </c>
      <c r="L47" s="17" t="n">
        <v>2</v>
      </c>
      <c r="M47" s="138" t="inlineStr">
        <is>
          <t>魔障封印</t>
        </is>
      </c>
      <c r="N47" s="28" t="inlineStr">
        <is>
          <t>CD:7</t>
        </is>
      </c>
      <c r="S47" s="138" t="inlineStr">
        <is>
          <t>為敵方隨機2體造成魔法傷害，40%機率為自身附加技能傷害上升</t>
        </is>
      </c>
      <c r="T47" s="7" t="inlineStr">
        <is>
          <t>cd-1</t>
        </is>
      </c>
      <c r="U47" s="7" t="inlineStr">
        <is>
          <t>cd-1</t>
        </is>
      </c>
      <c r="V47" s="7" t="inlineStr">
        <is>
          <t>cd-1</t>
        </is>
      </c>
      <c r="W47" s="7" t="inlineStr">
        <is>
          <t>cd-1</t>
        </is>
      </c>
      <c r="X47" s="138" t="inlineStr">
        <is>
          <t>機率追加60%</t>
        </is>
      </c>
    </row>
    <row r="48" ht="16.5" customHeight="1" s="142">
      <c r="A48" s="7">
        <f>"57,17,15,52,10"</f>
        <v/>
      </c>
      <c r="C48" s="26" t="inlineStr">
        <is>
          <t>#寶器</t>
        </is>
      </c>
      <c r="D48" s="26" t="inlineStr">
        <is>
          <t>#魔法</t>
        </is>
      </c>
      <c r="E48" s="26" t="inlineStr">
        <is>
          <t>#守護</t>
        </is>
      </c>
      <c r="F48" s="26" t="inlineStr">
        <is>
          <t>#神聖庇護</t>
        </is>
      </c>
      <c r="G48" s="26" t="inlineStr">
        <is>
          <t>#靈能壁壘</t>
        </is>
      </c>
      <c r="H48" s="35" t="inlineStr">
        <is>
          <t>永恆聖鏡</t>
        </is>
      </c>
      <c r="I48" s="7" t="inlineStr">
        <is>
          <t>SR</t>
        </is>
      </c>
      <c r="J48" s="7" t="n">
        <v>-1</v>
      </c>
      <c r="K48" s="7" t="n">
        <v>1</v>
      </c>
      <c r="L48" s="17" t="n">
        <v>3.8</v>
      </c>
      <c r="M48" s="138" t="inlineStr">
        <is>
          <t>光華折射</t>
        </is>
      </c>
      <c r="N48" s="36" t="n"/>
      <c r="S48" s="138" t="inlineStr">
        <is>
          <t>對我方隨機恢復&lt;AP&gt;魔攻；並額外附加防禦上升效果</t>
        </is>
      </c>
      <c r="T48" s="7" t="inlineStr">
        <is>
          <t>MP-3</t>
        </is>
      </c>
      <c r="U48" s="7" t="inlineStr">
        <is>
          <t>MP-3</t>
        </is>
      </c>
      <c r="V48" s="138" t="inlineStr">
        <is>
          <t>防禦上升效果追加1層</t>
        </is>
      </c>
      <c r="W48" s="7" t="inlineStr">
        <is>
          <t>MP-3</t>
        </is>
      </c>
      <c r="X48" s="138" t="inlineStr">
        <is>
          <t>額外附加傷害反射效果</t>
        </is>
      </c>
    </row>
    <row r="49" ht="16.5" customHeight="1" s="142">
      <c r="C49" s="26" t="n"/>
      <c r="D49" s="26" t="n"/>
      <c r="E49" s="26" t="n"/>
      <c r="F49" s="26" t="n"/>
      <c r="G49" s="26" t="n"/>
      <c r="H49" s="35" t="n"/>
      <c r="I49" s="7" t="inlineStr">
        <is>
          <t>SR</t>
        </is>
      </c>
      <c r="J49" s="7" t="n">
        <v>-2</v>
      </c>
      <c r="K49" s="7" t="n"/>
      <c r="L49" s="17" t="n">
        <v>1.9</v>
      </c>
      <c r="M49" s="138" t="inlineStr">
        <is>
          <t>永恆映照</t>
        </is>
      </c>
      <c r="N49" s="28" t="inlineStr">
        <is>
          <t>CD:8</t>
        </is>
      </c>
      <c r="S49" s="138" t="inlineStr">
        <is>
          <t>為我方2體恢復HP，傷害反射</t>
        </is>
      </c>
      <c r="T49" s="7" t="inlineStr">
        <is>
          <t>cd-1</t>
        </is>
      </c>
      <c r="U49" s="7" t="inlineStr">
        <is>
          <t>cd-1</t>
        </is>
      </c>
      <c r="V49" s="7" t="inlineStr">
        <is>
          <t>cd-1</t>
        </is>
      </c>
      <c r="W49" s="7" t="inlineStr">
        <is>
          <t>cd-1</t>
        </is>
      </c>
      <c r="X49" s="138" t="inlineStr">
        <is>
          <t>並額外恢復MP50</t>
        </is>
      </c>
    </row>
    <row r="50" ht="16.5" customHeight="1" s="142">
      <c r="A50" s="7">
        <f>"57,17,13,18,53"</f>
        <v/>
      </c>
      <c r="C50" s="26" t="inlineStr">
        <is>
          <t>#寶器</t>
        </is>
      </c>
      <c r="D50" s="26" t="inlineStr">
        <is>
          <t>#魔法</t>
        </is>
      </c>
      <c r="E50" s="26" t="inlineStr">
        <is>
          <t>#輸出</t>
        </is>
      </c>
      <c r="F50" s="26" t="inlineStr">
        <is>
          <t>#灼熱</t>
        </is>
      </c>
      <c r="G50" s="135" t="inlineStr">
        <is>
          <t>#自然之怒</t>
        </is>
      </c>
      <c r="H50" s="35" t="inlineStr">
        <is>
          <t>熔岩之鼎</t>
        </is>
      </c>
      <c r="I50" s="7" t="inlineStr">
        <is>
          <t>SR</t>
        </is>
      </c>
      <c r="J50" s="7" t="n">
        <v>2</v>
      </c>
      <c r="K50" s="7" t="n">
        <v>1</v>
      </c>
      <c r="L50" s="17" t="n">
        <v>2</v>
      </c>
      <c r="M50" s="138" t="inlineStr">
        <is>
          <t>熾熱沸騰</t>
        </is>
      </c>
      <c r="N50" s="36" t="n"/>
      <c r="S50" s="138" t="inlineStr">
        <is>
          <t>對敵方隨機2體造成&lt;AP&gt;魔攻的魔法傷害，並30%灼傷</t>
        </is>
      </c>
      <c r="T50" s="7" t="inlineStr">
        <is>
          <t>MP-3</t>
        </is>
      </c>
      <c r="U50" s="7" t="inlineStr">
        <is>
          <t>MP-3</t>
        </is>
      </c>
      <c r="V50" s="138" t="inlineStr">
        <is>
          <t>機率追加50%</t>
        </is>
      </c>
      <c r="W50" s="7" t="inlineStr">
        <is>
          <t>MP-3</t>
        </is>
      </c>
      <c r="X50" s="138" t="inlineStr">
        <is>
          <t>對象改為3人</t>
        </is>
      </c>
    </row>
    <row r="51" ht="16.5" customHeight="1" s="142">
      <c r="C51" s="26" t="n"/>
      <c r="D51" s="26" t="n"/>
      <c r="E51" s="26" t="n"/>
      <c r="F51" s="26" t="n"/>
      <c r="G51" s="26" t="n"/>
      <c r="H51" s="35" t="n"/>
      <c r="I51" s="7" t="inlineStr">
        <is>
          <t>SR</t>
        </is>
      </c>
      <c r="J51" s="7" t="n">
        <v>2</v>
      </c>
      <c r="K51" s="7" t="n">
        <v>1</v>
      </c>
      <c r="L51" s="17" t="n">
        <v>2</v>
      </c>
      <c r="M51" s="138" t="inlineStr">
        <is>
          <t>熔岩流淌</t>
        </is>
      </c>
      <c r="N51" s="28" t="inlineStr">
        <is>
          <t>CD:7</t>
        </is>
      </c>
      <c r="S51" s="138" t="inlineStr">
        <is>
          <t>對敵方隨機2體造成魔法傷害，30%灼傷</t>
        </is>
      </c>
      <c r="T51" s="7" t="inlineStr">
        <is>
          <t>cd-1</t>
        </is>
      </c>
      <c r="U51" s="7" t="inlineStr">
        <is>
          <t>cd-1</t>
        </is>
      </c>
      <c r="V51" s="7" t="inlineStr">
        <is>
          <t>cd-1</t>
        </is>
      </c>
      <c r="W51" s="7" t="inlineStr">
        <is>
          <t>cd-1</t>
        </is>
      </c>
      <c r="X51" s="138" t="inlineStr">
        <is>
          <t>機率追加60%</t>
        </is>
      </c>
    </row>
    <row r="52" ht="16.5" customHeight="1" s="142">
      <c r="A52" s="7">
        <f>"57,17,13,6,6"</f>
        <v/>
      </c>
      <c r="C52" s="26" t="inlineStr">
        <is>
          <t>#寶器</t>
        </is>
      </c>
      <c r="D52" s="26" t="inlineStr">
        <is>
          <t>#魔法</t>
        </is>
      </c>
      <c r="E52" s="26" t="inlineStr">
        <is>
          <t>#輸出</t>
        </is>
      </c>
      <c r="F52" s="26" t="inlineStr">
        <is>
          <t>#雷霆萬鈞</t>
        </is>
      </c>
      <c r="G52" s="26" t="inlineStr">
        <is>
          <t>#元素狂襲</t>
        </is>
      </c>
      <c r="H52" s="35" t="inlineStr">
        <is>
          <t>布里歐納克</t>
        </is>
      </c>
      <c r="I52" s="7" t="inlineStr">
        <is>
          <t>SR</t>
        </is>
      </c>
      <c r="J52" s="7" t="n">
        <v>3</v>
      </c>
      <c r="K52" s="7" t="n">
        <v>1</v>
      </c>
      <c r="L52" s="17" t="n">
        <v>1.3</v>
      </c>
      <c r="M52" s="138" t="inlineStr">
        <is>
          <t>閃光折躍</t>
        </is>
      </c>
      <c r="N52" s="36" t="n"/>
      <c r="S52" s="138" t="inlineStr">
        <is>
          <t>為敵方隨機3體造成&lt;AP&gt;魔攻的魔法傷害，40%機率為自身附加技能傷害上升</t>
        </is>
      </c>
      <c r="T52" s="7" t="inlineStr">
        <is>
          <t>MP-3</t>
        </is>
      </c>
      <c r="U52" s="7" t="inlineStr">
        <is>
          <t>MP-3</t>
        </is>
      </c>
      <c r="V52" s="138" t="inlineStr">
        <is>
          <t>機率追加50%</t>
        </is>
      </c>
      <c r="W52" s="7" t="inlineStr">
        <is>
          <t>MP-3</t>
        </is>
      </c>
      <c r="X52" s="138" t="inlineStr">
        <is>
          <t>額外為自身附加魔攻上升效果</t>
        </is>
      </c>
    </row>
    <row r="53" ht="16.5" customHeight="1" s="142">
      <c r="C53" s="26" t="n"/>
      <c r="D53" s="26" t="n"/>
      <c r="E53" s="26" t="n"/>
      <c r="F53" s="26" t="n"/>
      <c r="G53" s="26" t="n"/>
      <c r="H53" s="35" t="n"/>
      <c r="I53" s="7" t="inlineStr">
        <is>
          <t>SR</t>
        </is>
      </c>
      <c r="J53" s="7" t="n">
        <v>2</v>
      </c>
      <c r="K53" s="7" t="n"/>
      <c r="L53" s="17" t="n">
        <v>1.9</v>
      </c>
      <c r="M53" s="138" t="inlineStr">
        <is>
          <t>轟天衝擊</t>
        </is>
      </c>
      <c r="N53" s="28" t="inlineStr">
        <is>
          <t>CD:9</t>
        </is>
      </c>
      <c r="S53" s="138" t="inlineStr">
        <is>
          <t>為敵方2體造成傷害，並30%機率附加麻痺</t>
        </is>
      </c>
      <c r="T53" s="7" t="inlineStr">
        <is>
          <t>cd-1</t>
        </is>
      </c>
      <c r="U53" s="7" t="inlineStr">
        <is>
          <t>cd-1</t>
        </is>
      </c>
      <c r="V53" s="7" t="inlineStr">
        <is>
          <t>cd-1</t>
        </is>
      </c>
      <c r="W53" s="7" t="inlineStr">
        <is>
          <t>cd-1</t>
        </is>
      </c>
      <c r="X53" s="138" t="inlineStr">
        <is>
          <t>機率追加40%</t>
        </is>
      </c>
    </row>
    <row r="54" ht="16.5" customHeight="1" s="142">
      <c r="A54" s="7">
        <f>"59,17,15,20,9"</f>
        <v/>
      </c>
      <c r="C54" s="26" t="inlineStr">
        <is>
          <t>#聖物</t>
        </is>
      </c>
      <c r="D54" s="26" t="inlineStr">
        <is>
          <t>#魔法</t>
        </is>
      </c>
      <c r="E54" s="26" t="inlineStr">
        <is>
          <t>#守護</t>
        </is>
      </c>
      <c r="F54" s="26" t="inlineStr">
        <is>
          <t>#弱體</t>
        </is>
      </c>
      <c r="G54" s="26" t="inlineStr">
        <is>
          <t>#銅牆鐵壁</t>
        </is>
      </c>
      <c r="H54" s="35" t="inlineStr">
        <is>
          <t>美杜莎之盾</t>
        </is>
      </c>
      <c r="I54" s="7" t="inlineStr">
        <is>
          <t>SR</t>
        </is>
      </c>
      <c r="J54" s="7" t="n">
        <v>1</v>
      </c>
      <c r="K54" s="7" t="n">
        <v>1</v>
      </c>
      <c r="L54" s="17" t="n">
        <v>4</v>
      </c>
      <c r="M54" s="138" t="inlineStr">
        <is>
          <t>死亡凝視</t>
        </is>
      </c>
      <c r="N54" s="36" t="n"/>
      <c r="S54" s="138" t="inlineStr">
        <is>
          <t>為敵方隨機1體造成&lt;AP&gt;魔攻的魔法傷害；並40%附加停止</t>
        </is>
      </c>
      <c r="T54" s="7" t="inlineStr">
        <is>
          <t>MP-3</t>
        </is>
      </c>
      <c r="U54" s="7" t="inlineStr">
        <is>
          <t>MP-3</t>
        </is>
      </c>
      <c r="V54" s="138" t="inlineStr">
        <is>
          <t>機率追加50%</t>
        </is>
      </c>
      <c r="W54" s="7" t="inlineStr">
        <is>
          <t>MP-3</t>
        </is>
      </c>
      <c r="X54" s="138" t="inlineStr">
        <is>
          <t>對象追加至2人</t>
        </is>
      </c>
    </row>
    <row r="55" ht="16.5" customHeight="1" s="142">
      <c r="C55" s="26" t="n"/>
      <c r="D55" s="26" t="n"/>
      <c r="E55" s="26" t="n"/>
      <c r="F55" s="26" t="n"/>
      <c r="G55" s="26" t="n"/>
      <c r="H55" s="35" t="n"/>
      <c r="I55" s="7" t="inlineStr">
        <is>
          <t>SR</t>
        </is>
      </c>
      <c r="J55" s="7" t="n">
        <v>3</v>
      </c>
      <c r="K55" s="7" t="n">
        <v>1</v>
      </c>
      <c r="L55" s="17" t="n">
        <v>0.02</v>
      </c>
      <c r="M55" s="138" t="inlineStr">
        <is>
          <t>邪眼顯現</t>
        </is>
      </c>
      <c r="N55" s="28" t="inlineStr">
        <is>
          <t>CD:11</t>
        </is>
      </c>
      <c r="S55" s="138" t="inlineStr">
        <is>
          <t>為敵方隨機3體造成減少MP的傷害</t>
        </is>
      </c>
      <c r="T55" s="7" t="inlineStr">
        <is>
          <t>cd-1</t>
        </is>
      </c>
      <c r="U55" s="7" t="inlineStr">
        <is>
          <t>cd-1</t>
        </is>
      </c>
      <c r="V55" s="7" t="inlineStr">
        <is>
          <t>cd-1</t>
        </is>
      </c>
      <c r="W55" s="7" t="inlineStr">
        <is>
          <t>cd-1</t>
        </is>
      </c>
      <c r="X55" s="138" t="inlineStr">
        <is>
          <t>並額外附加爆害抵抗下降、附加技能抵抗下降</t>
        </is>
      </c>
    </row>
    <row r="56" ht="16.5" customHeight="1" s="142">
      <c r="A56" s="7">
        <f>"58,16,13,51,4"</f>
        <v/>
      </c>
      <c r="C56" s="26" t="inlineStr">
        <is>
          <t>#魔器</t>
        </is>
      </c>
      <c r="D56" s="26" t="inlineStr">
        <is>
          <t>#物理</t>
        </is>
      </c>
      <c r="E56" s="26" t="inlineStr">
        <is>
          <t>#輸出</t>
        </is>
      </c>
      <c r="F56" s="26" t="inlineStr">
        <is>
          <t>#黑暗侵蝕</t>
        </is>
      </c>
      <c r="G56" s="26" t="inlineStr">
        <is>
          <t>#橫掃千軍</t>
        </is>
      </c>
      <c r="H56" s="35" t="inlineStr">
        <is>
          <t>赫格尼之劍</t>
        </is>
      </c>
      <c r="I56" s="7" t="inlineStr">
        <is>
          <t>SR</t>
        </is>
      </c>
      <c r="J56" s="7" t="n">
        <v>4</v>
      </c>
      <c r="K56" s="7" t="n">
        <v>1</v>
      </c>
      <c r="L56" s="17" t="n">
        <v>1</v>
      </c>
      <c r="M56" s="138" t="inlineStr">
        <is>
          <t>破盾之刃</t>
        </is>
      </c>
      <c r="N56" s="36" t="n"/>
      <c r="S56" s="138" t="inlineStr">
        <is>
          <t>為敵方隨機4體造成&lt;AD&gt;物攻的物理傷害，並50%機率去除護盾</t>
        </is>
      </c>
      <c r="T56" s="7" t="inlineStr">
        <is>
          <t>MP-3</t>
        </is>
      </c>
      <c r="U56" s="7" t="inlineStr">
        <is>
          <t>MP-3</t>
        </is>
      </c>
      <c r="V56" s="138" t="inlineStr">
        <is>
          <t>機率追加40%</t>
        </is>
      </c>
      <c r="W56" s="7" t="inlineStr">
        <is>
          <t>MP-3</t>
        </is>
      </c>
      <c r="X56" s="138" t="inlineStr">
        <is>
          <t>額外附加防禦下降效果</t>
        </is>
      </c>
    </row>
    <row r="57" ht="16.5" customHeight="1" s="142">
      <c r="C57" s="26" t="n"/>
      <c r="D57" s="26" t="n"/>
      <c r="E57" s="26" t="n"/>
      <c r="F57" s="26" t="n"/>
      <c r="G57" s="26" t="n"/>
      <c r="H57" s="35" t="n"/>
      <c r="I57" s="7" t="inlineStr">
        <is>
          <t>SR</t>
        </is>
      </c>
      <c r="J57" s="7" t="n">
        <v>2</v>
      </c>
      <c r="K57" s="7" t="n">
        <v>1</v>
      </c>
      <c r="L57" s="17" t="n">
        <v>2</v>
      </c>
      <c r="M57" s="138" t="inlineStr">
        <is>
          <t>破魂斬</t>
        </is>
      </c>
      <c r="N57" s="28" t="inlineStr">
        <is>
          <t>CD:10</t>
        </is>
      </c>
      <c r="S57" s="138" t="inlineStr">
        <is>
          <t>為敵方隨機2體造成傷害，並60%防禦與魔法下降</t>
        </is>
      </c>
      <c r="T57" s="7" t="inlineStr">
        <is>
          <t>cd-1</t>
        </is>
      </c>
      <c r="U57" s="7" t="inlineStr">
        <is>
          <t>cd-1</t>
        </is>
      </c>
      <c r="V57" s="7" t="inlineStr">
        <is>
          <t>cd-1</t>
        </is>
      </c>
      <c r="W57" s="7" t="inlineStr">
        <is>
          <t>cd-1</t>
        </is>
      </c>
      <c r="X57" s="138" t="inlineStr">
        <is>
          <t>對象改為3人</t>
        </is>
      </c>
    </row>
    <row r="58" hidden="1" ht="14.25" customHeight="1" s="142">
      <c r="T58" s="7" t="inlineStr">
        <is>
          <t>MP-3</t>
        </is>
      </c>
      <c r="U58" s="7" t="inlineStr">
        <is>
          <t>MP-3</t>
        </is>
      </c>
    </row>
    <row r="59" hidden="1" ht="16.5" customHeight="1" s="142">
      <c r="C59" s="34" t="inlineStr">
        <is>
          <t>#名刀</t>
        </is>
      </c>
      <c r="D59" s="34" t="inlineStr">
        <is>
          <t>#魔法</t>
        </is>
      </c>
      <c r="E59" s="34" t="inlineStr">
        <is>
          <t>#輸出</t>
        </is>
      </c>
      <c r="F59" s="34" t="inlineStr">
        <is>
          <t>#毀天滅地</t>
        </is>
      </c>
      <c r="G59" s="34" t="inlineStr">
        <is>
          <t>#元素狂襲</t>
        </is>
      </c>
      <c r="H59" s="37" t="inlineStr">
        <is>
          <t>格拉墨碎片</t>
        </is>
      </c>
      <c r="I59" s="37" t="n"/>
      <c r="J59" s="37" t="n"/>
      <c r="K59" s="37" t="n"/>
      <c r="L59" s="37" t="n"/>
      <c r="M59" s="37" t="n"/>
      <c r="N59" s="37" t="n"/>
      <c r="T59" s="7" t="inlineStr">
        <is>
          <t>cd-1</t>
        </is>
      </c>
      <c r="U59" s="7" t="inlineStr">
        <is>
          <t>cd-1</t>
        </is>
      </c>
    </row>
    <row r="60" hidden="1" ht="16.5" customHeight="1" s="142">
      <c r="C60" s="34" t="inlineStr">
        <is>
          <t>#聖物</t>
        </is>
      </c>
      <c r="D60" s="34" t="inlineStr">
        <is>
          <t>#物理</t>
        </is>
      </c>
      <c r="E60" s="34" t="inlineStr">
        <is>
          <t>#守護</t>
        </is>
      </c>
      <c r="F60" s="34" t="inlineStr">
        <is>
          <t>#神聖庇護</t>
        </is>
      </c>
      <c r="G60" s="34" t="inlineStr">
        <is>
          <t>#銅牆鐵壁</t>
        </is>
      </c>
      <c r="H60" s="37" t="inlineStr">
        <is>
          <t>布倫希爾德之盾</t>
        </is>
      </c>
      <c r="I60" s="37" t="n"/>
      <c r="J60" s="37" t="n"/>
      <c r="K60" s="37" t="n"/>
      <c r="L60" s="37" t="n"/>
      <c r="M60" s="37" t="n"/>
      <c r="N60" s="37" t="n"/>
      <c r="T60" s="7" t="inlineStr">
        <is>
          <t>MP-3</t>
        </is>
      </c>
      <c r="U60" s="7" t="inlineStr">
        <is>
          <t>MP-3</t>
        </is>
      </c>
    </row>
    <row r="61" hidden="1" ht="16.5" customHeight="1" s="142">
      <c r="C61" s="34" t="inlineStr">
        <is>
          <t>#法器</t>
        </is>
      </c>
      <c r="D61" s="34" t="inlineStr">
        <is>
          <t>#魔法</t>
        </is>
      </c>
      <c r="E61" s="34" t="inlineStr">
        <is>
          <t>#恢復</t>
        </is>
      </c>
      <c r="F61" s="34" t="inlineStr">
        <is>
          <t>#起死回生</t>
        </is>
      </c>
      <c r="G61" s="34" t="inlineStr">
        <is>
          <t>#生生不息</t>
        </is>
      </c>
      <c r="H61" s="37" t="inlineStr">
        <is>
          <t>阿斯克勒庇俄斯之杖</t>
        </is>
      </c>
      <c r="I61" s="37" t="n"/>
      <c r="J61" s="37" t="n"/>
      <c r="K61" s="37" t="n"/>
      <c r="L61" s="37" t="n"/>
      <c r="M61" s="37" t="n"/>
      <c r="N61" s="37" t="n"/>
      <c r="T61" s="7" t="inlineStr">
        <is>
          <t>cd-1</t>
        </is>
      </c>
      <c r="U61" s="7" t="inlineStr">
        <is>
          <t>cd-1</t>
        </is>
      </c>
    </row>
    <row r="62" hidden="1" ht="16.5" customHeight="1" s="142">
      <c r="C62" s="34" t="inlineStr">
        <is>
          <t>#名刀</t>
        </is>
      </c>
      <c r="D62" s="34" t="inlineStr">
        <is>
          <t>#魔法</t>
        </is>
      </c>
      <c r="E62" s="34" t="inlineStr">
        <is>
          <t>#輸出</t>
        </is>
      </c>
      <c r="F62" s="34" t="inlineStr">
        <is>
          <t>#元素狂襲</t>
        </is>
      </c>
      <c r="G62" s="34" t="inlineStr">
        <is>
          <t>#致命一擊</t>
        </is>
      </c>
      <c r="H62" s="37" t="inlineStr">
        <is>
          <t>巴魯蒙格</t>
        </is>
      </c>
      <c r="I62" s="37" t="n"/>
      <c r="J62" s="37" t="n"/>
      <c r="K62" s="37" t="n"/>
      <c r="L62" s="37" t="n"/>
      <c r="M62" s="37" t="n"/>
      <c r="N62" s="37" t="n"/>
      <c r="T62" s="7" t="inlineStr">
        <is>
          <t>MP-3</t>
        </is>
      </c>
      <c r="U62" s="7" t="inlineStr">
        <is>
          <t>MP-3</t>
        </is>
      </c>
    </row>
    <row r="63" hidden="1" ht="16.5" customHeight="1" s="142">
      <c r="C63" s="34" t="inlineStr">
        <is>
          <t>#寶器</t>
        </is>
      </c>
      <c r="D63" s="34" t="inlineStr">
        <is>
          <t>#物理</t>
        </is>
      </c>
      <c r="E63" s="34" t="inlineStr">
        <is>
          <t>#輸出</t>
        </is>
      </c>
      <c r="F63" s="34" t="inlineStr">
        <is>
          <t>#疾風迅雷</t>
        </is>
      </c>
      <c r="G63" s="34" t="inlineStr">
        <is>
          <t>#自然之怒</t>
        </is>
      </c>
      <c r="H63" s="37" t="inlineStr">
        <is>
          <t>黛安娜的月弓</t>
        </is>
      </c>
      <c r="I63" s="37" t="n"/>
      <c r="J63" s="37" t="n"/>
      <c r="K63" s="37" t="n"/>
      <c r="L63" s="37" t="n"/>
      <c r="M63" s="37" t="n"/>
      <c r="N63" s="37" t="n"/>
      <c r="T63" s="7" t="inlineStr">
        <is>
          <t>cd-1</t>
        </is>
      </c>
      <c r="U63" s="7" t="inlineStr">
        <is>
          <t>cd-1</t>
        </is>
      </c>
    </row>
    <row r="64" hidden="1" ht="16.5" customHeight="1" s="142">
      <c r="C64" s="34" t="inlineStr">
        <is>
          <t>#寶器</t>
        </is>
      </c>
      <c r="D64" s="34" t="inlineStr">
        <is>
          <t>#物理</t>
        </is>
      </c>
      <c r="E64" s="34" t="inlineStr">
        <is>
          <t>#輸出</t>
        </is>
      </c>
      <c r="F64" s="34" t="inlineStr">
        <is>
          <t>#灼熱</t>
        </is>
      </c>
      <c r="G64" s="34" t="inlineStr">
        <is>
          <t>#巧奪天工</t>
        </is>
      </c>
      <c r="H64" s="37" t="inlineStr">
        <is>
          <t>赫菲斯托斯之錘</t>
        </is>
      </c>
      <c r="I64" s="37" t="n"/>
      <c r="J64" s="37" t="n"/>
      <c r="K64" s="37" t="n"/>
      <c r="L64" s="37" t="n"/>
      <c r="M64" s="37" t="n"/>
      <c r="N64" s="37" t="n"/>
      <c r="T64" s="7" t="inlineStr">
        <is>
          <t>MP-3</t>
        </is>
      </c>
      <c r="U64" s="7" t="inlineStr">
        <is>
          <t>MP-3</t>
        </is>
      </c>
    </row>
    <row r="65" hidden="1" ht="16.5" customHeight="1" s="142">
      <c r="C65" s="34" t="inlineStr">
        <is>
          <t>#魔器</t>
        </is>
      </c>
      <c r="D65" s="34" t="inlineStr">
        <is>
          <t>#魔法</t>
        </is>
      </c>
      <c r="E65" s="34" t="inlineStr">
        <is>
          <t>#弱體</t>
        </is>
      </c>
      <c r="F65" s="34" t="inlineStr">
        <is>
          <t>#雷霆萬鈞</t>
        </is>
      </c>
      <c r="G65" s="34" t="inlineStr">
        <is>
          <t>#靈能爆發</t>
        </is>
      </c>
      <c r="H65" s="37" t="inlineStr">
        <is>
          <t>諸神黃昏號角</t>
        </is>
      </c>
      <c r="I65" s="37" t="n"/>
      <c r="J65" s="37" t="n"/>
      <c r="K65" s="37" t="n"/>
      <c r="L65" s="37" t="n"/>
      <c r="M65" s="37" t="n"/>
      <c r="N65" s="37" t="n"/>
      <c r="T65" s="7" t="inlineStr">
        <is>
          <t>cd-1</t>
        </is>
      </c>
      <c r="U65" s="7" t="inlineStr">
        <is>
          <t>cd-1</t>
        </is>
      </c>
    </row>
    <row r="66" hidden="1" ht="16.5" customHeight="1" s="142">
      <c r="C66" s="34" t="inlineStr">
        <is>
          <t>#寶器</t>
        </is>
      </c>
      <c r="D66" s="34" t="inlineStr">
        <is>
          <t>#魔法</t>
        </is>
      </c>
      <c r="E66" s="34" t="inlineStr">
        <is>
          <t>#神聖庇護</t>
        </is>
      </c>
      <c r="F66" s="34" t="inlineStr">
        <is>
          <t>#元素狂襲</t>
        </is>
      </c>
      <c r="G66" s="34" t="inlineStr">
        <is>
          <t>#靈能爆發</t>
        </is>
      </c>
      <c r="H66" s="37" t="inlineStr">
        <is>
          <t>荷魯斯之眼</t>
        </is>
      </c>
      <c r="I66" s="37" t="n"/>
      <c r="J66" s="37" t="n"/>
      <c r="K66" s="37" t="n"/>
      <c r="L66" s="37" t="n"/>
      <c r="M66" s="37" t="n"/>
      <c r="N66" s="37" t="n"/>
      <c r="T66" s="7" t="inlineStr">
        <is>
          <t>MP-3</t>
        </is>
      </c>
      <c r="U66" s="7" t="inlineStr">
        <is>
          <t>MP-3</t>
        </is>
      </c>
    </row>
    <row r="67" hidden="1" ht="16.5" customHeight="1" s="142">
      <c r="C67" s="34" t="inlineStr">
        <is>
          <t>#寶器</t>
        </is>
      </c>
      <c r="D67" s="34" t="inlineStr">
        <is>
          <t>#物理</t>
        </is>
      </c>
      <c r="E67" s="34" t="inlineStr">
        <is>
          <t>#輸出</t>
        </is>
      </c>
      <c r="F67" s="34" t="inlineStr">
        <is>
          <t>#疾風迅雷</t>
        </is>
      </c>
      <c r="G67" s="34" t="inlineStr">
        <is>
          <t>#自然之怒</t>
        </is>
      </c>
      <c r="H67" s="37" t="inlineStr">
        <is>
          <t>阿爾忒彌斯之矢</t>
        </is>
      </c>
      <c r="I67" s="37" t="n"/>
      <c r="J67" s="37" t="n"/>
      <c r="K67" s="37" t="n"/>
      <c r="L67" s="37" t="n"/>
      <c r="M67" s="37" t="n"/>
      <c r="N67" s="37" t="n"/>
      <c r="T67" s="7" t="inlineStr">
        <is>
          <t>cd-1</t>
        </is>
      </c>
      <c r="U67" s="7" t="inlineStr">
        <is>
          <t>cd-1</t>
        </is>
      </c>
    </row>
    <row r="68" ht="14.25" customHeight="1" s="142">
      <c r="H68" s="7" t="n">
        <v>70</v>
      </c>
      <c r="T68" s="7" t="inlineStr">
        <is>
          <t>MP-3</t>
        </is>
      </c>
    </row>
    <row r="69" ht="16.5" customHeight="1" s="142">
      <c r="B69" s="33" t="inlineStr">
        <is>
          <t>R</t>
        </is>
      </c>
      <c r="C69" s="139" t="inlineStr">
        <is>
          <t>級武器清單</t>
        </is>
      </c>
      <c r="E69" s="34" t="n"/>
      <c r="F69" s="34" t="n"/>
      <c r="T69" s="7" t="inlineStr">
        <is>
          <t>cd-1</t>
        </is>
      </c>
    </row>
    <row r="70" ht="16.5" customHeight="1" s="142">
      <c r="A70" s="7">
        <f>"16,13,4"</f>
        <v/>
      </c>
      <c r="C70" s="26" t="inlineStr">
        <is>
          <t>#物理</t>
        </is>
      </c>
      <c r="D70" s="26" t="inlineStr">
        <is>
          <t>#輸出</t>
        </is>
      </c>
      <c r="E70" s="26" t="inlineStr">
        <is>
          <t>#橫掃千軍</t>
        </is>
      </c>
      <c r="F70" s="26" t="n"/>
      <c r="G70" s="141" t="n"/>
      <c r="H70" s="35" t="inlineStr">
        <is>
          <t>堅鐵長矛</t>
        </is>
      </c>
      <c r="I70" s="7" t="inlineStr">
        <is>
          <t>R</t>
        </is>
      </c>
      <c r="J70" s="7" t="n">
        <v>2</v>
      </c>
      <c r="K70" s="7" t="n"/>
      <c r="L70" s="17" t="n">
        <v>1.55</v>
      </c>
      <c r="M70" s="138" t="inlineStr">
        <is>
          <t>重擲穿刺</t>
        </is>
      </c>
      <c r="N70" s="37" t="n"/>
      <c r="S70" s="138" t="inlineStr">
        <is>
          <t>為敵方2體造成&lt;AD&gt;物攻的物理傷害，並50%附加防禦下降</t>
        </is>
      </c>
      <c r="T70" s="7" t="inlineStr">
        <is>
          <t>MP-3</t>
        </is>
      </c>
      <c r="U70" s="7" t="inlineStr">
        <is>
          <t>MP-3</t>
        </is>
      </c>
      <c r="V70" s="138" t="inlineStr">
        <is>
          <t>附加下降追加50%</t>
        </is>
      </c>
      <c r="W70" s="7" t="inlineStr">
        <is>
          <t>MP-3</t>
        </is>
      </c>
      <c r="X70" s="138" t="inlineStr">
        <is>
          <t>對象改為3人</t>
        </is>
      </c>
    </row>
    <row r="71" ht="16.5" customHeight="1" s="142">
      <c r="C71" s="26" t="n"/>
      <c r="D71" s="26" t="n"/>
      <c r="E71" s="26" t="n"/>
      <c r="F71" s="26" t="n"/>
      <c r="G71" s="141" t="n"/>
      <c r="H71" s="35" t="n"/>
      <c r="I71" s="7" t="inlineStr">
        <is>
          <t>R</t>
        </is>
      </c>
      <c r="J71" s="7" t="n">
        <v>1</v>
      </c>
      <c r="K71" s="7" t="n"/>
      <c r="L71" s="17" t="n">
        <v>3</v>
      </c>
      <c r="M71" s="138" t="inlineStr">
        <is>
          <t>貫穿刺擊</t>
        </is>
      </c>
      <c r="N71" s="28" t="inlineStr">
        <is>
          <t>CD:9</t>
        </is>
      </c>
      <c r="S71" s="138" t="inlineStr">
        <is>
          <t>對敵方1體造成傷害，並50%為自身附加爆擊上升</t>
        </is>
      </c>
      <c r="T71" s="7" t="inlineStr">
        <is>
          <t>cd-1</t>
        </is>
      </c>
      <c r="U71" s="7" t="inlineStr">
        <is>
          <t>cd-1</t>
        </is>
      </c>
      <c r="V71" s="7" t="inlineStr">
        <is>
          <t>cd-1</t>
        </is>
      </c>
      <c r="W71" s="7" t="inlineStr">
        <is>
          <t>cd-1</t>
        </is>
      </c>
      <c r="X71" s="7" t="inlineStr">
        <is>
          <t>cd-1</t>
        </is>
      </c>
    </row>
    <row r="72" ht="16.5" customHeight="1" s="142">
      <c r="A72" s="7">
        <f>"16,13,2"</f>
        <v/>
      </c>
      <c r="C72" s="26" t="inlineStr">
        <is>
          <t>#物理</t>
        </is>
      </c>
      <c r="D72" s="26" t="inlineStr">
        <is>
          <t>#輸出</t>
        </is>
      </c>
      <c r="E72" s="26" t="inlineStr">
        <is>
          <t>#致命一擊</t>
        </is>
      </c>
      <c r="F72" s="26" t="n"/>
      <c r="G72" s="141" t="n"/>
      <c r="H72" s="35" t="inlineStr">
        <is>
          <t>尖刺短刀</t>
        </is>
      </c>
      <c r="I72" s="7" t="inlineStr">
        <is>
          <t>R</t>
        </is>
      </c>
      <c r="J72" s="7" t="n">
        <v>2</v>
      </c>
      <c r="K72" s="7" t="n"/>
      <c r="L72" s="17" t="n">
        <v>1.55</v>
      </c>
      <c r="M72" s="138" t="inlineStr">
        <is>
          <t>尖刺突落</t>
        </is>
      </c>
      <c r="N72" s="37" t="n"/>
      <c r="S72" s="138" t="inlineStr">
        <is>
          <t>為敵方2體造成&lt;AD&gt;物攻的物理傷害，並25%機率附加裂傷</t>
        </is>
      </c>
      <c r="T72" s="7" t="inlineStr">
        <is>
          <t>MP-3</t>
        </is>
      </c>
      <c r="U72" s="7" t="inlineStr">
        <is>
          <t>MP-3</t>
        </is>
      </c>
      <c r="V72" s="138" t="inlineStr">
        <is>
          <t>附加機率追加30%</t>
        </is>
      </c>
      <c r="W72" s="7" t="inlineStr">
        <is>
          <t>MP-3</t>
        </is>
      </c>
      <c r="X72" s="138" t="inlineStr">
        <is>
          <t>附加潰防(潰防；降30%物禦)</t>
        </is>
      </c>
    </row>
    <row r="73" ht="16.5" customHeight="1" s="142">
      <c r="C73" s="26" t="n"/>
      <c r="D73" s="26" t="n"/>
      <c r="E73" s="26" t="n"/>
      <c r="F73" s="26" t="n"/>
      <c r="G73" s="141" t="n"/>
      <c r="H73" s="35" t="n"/>
      <c r="I73" s="7" t="inlineStr">
        <is>
          <t>R</t>
        </is>
      </c>
      <c r="J73" s="7" t="n">
        <v>5</v>
      </c>
      <c r="L73" s="17" t="n">
        <v>0.6</v>
      </c>
      <c r="M73" s="138" t="inlineStr">
        <is>
          <t>毒棘之吻</t>
        </is>
      </c>
      <c r="N73" s="28" t="inlineStr">
        <is>
          <t>CD:12</t>
        </is>
      </c>
      <c r="S73" s="138" t="inlineStr">
        <is>
          <t>為敵方全體造成傷害，機率附加35%中毒</t>
        </is>
      </c>
      <c r="T73" s="7" t="inlineStr">
        <is>
          <t>cd-1</t>
        </is>
      </c>
      <c r="U73" s="7" t="inlineStr">
        <is>
          <t>cd-1</t>
        </is>
      </c>
      <c r="V73" s="7" t="inlineStr">
        <is>
          <t>cd-1</t>
        </is>
      </c>
      <c r="W73" s="7" t="inlineStr">
        <is>
          <t>cd-1</t>
        </is>
      </c>
      <c r="X73" s="7" t="inlineStr">
        <is>
          <t>cd-1</t>
        </is>
      </c>
    </row>
    <row r="74" ht="16.5" customHeight="1" s="142">
      <c r="A74" s="7">
        <f>"61,17,6"</f>
        <v/>
      </c>
      <c r="C74" s="26" t="inlineStr">
        <is>
          <t>#法器</t>
        </is>
      </c>
      <c r="D74" s="26" t="inlineStr">
        <is>
          <t>#魔法</t>
        </is>
      </c>
      <c r="E74" s="26" t="inlineStr">
        <is>
          <t>#元素狂襲</t>
        </is>
      </c>
      <c r="F74" s="26" t="n"/>
      <c r="G74" s="141" t="n"/>
      <c r="H74" s="35" t="inlineStr">
        <is>
          <t>學徒法杖</t>
        </is>
      </c>
      <c r="I74" s="7" t="inlineStr">
        <is>
          <t>R</t>
        </is>
      </c>
      <c r="J74" s="7" t="n">
        <v>1</v>
      </c>
      <c r="K74" s="7" t="n"/>
      <c r="L74" s="17" t="n">
        <v>3</v>
      </c>
      <c r="M74" s="138" t="inlineStr">
        <is>
          <t>火球術</t>
        </is>
      </c>
      <c r="N74" s="37" t="n"/>
      <c r="S74" s="138" t="inlineStr">
        <is>
          <t>對敵方1體造成&lt;AP&gt;魔攻的魔法傷害，並25%附加灼傷</t>
        </is>
      </c>
      <c r="T74" s="7" t="inlineStr">
        <is>
          <t>MP-3</t>
        </is>
      </c>
      <c r="U74" s="7" t="inlineStr">
        <is>
          <t>MP-3</t>
        </is>
      </c>
      <c r="V74" s="138" t="inlineStr">
        <is>
          <t>附加機率追加30%</t>
        </is>
      </c>
      <c r="W74" s="7" t="inlineStr">
        <is>
          <t>MP-3</t>
        </is>
      </c>
      <c r="X74" s="138" t="inlineStr">
        <is>
          <t>對象改為2人</t>
        </is>
      </c>
    </row>
    <row r="75" ht="16.5" customHeight="1" s="142">
      <c r="C75" s="26" t="n"/>
      <c r="D75" s="26" t="n"/>
      <c r="E75" s="26" t="n"/>
      <c r="F75" s="26" t="n"/>
      <c r="G75" s="141" t="n"/>
      <c r="H75" s="35" t="n"/>
      <c r="I75" s="7" t="inlineStr">
        <is>
          <t>R</t>
        </is>
      </c>
      <c r="J75" s="7" t="n">
        <v>2</v>
      </c>
      <c r="K75" s="7" t="n"/>
      <c r="L75" s="17" t="n">
        <v>1.55</v>
      </c>
      <c r="M75" s="138" t="inlineStr">
        <is>
          <t>冰凍術</t>
        </is>
      </c>
      <c r="N75" s="28" t="inlineStr">
        <is>
          <t>CD:8</t>
        </is>
      </c>
      <c r="S75" s="138" t="inlineStr">
        <is>
          <t>對敵方2體造成傷害，並25%附加凍傷</t>
        </is>
      </c>
      <c r="T75" s="7" t="inlineStr">
        <is>
          <t>cd-1</t>
        </is>
      </c>
      <c r="U75" s="7" t="inlineStr">
        <is>
          <t>cd-1</t>
        </is>
      </c>
      <c r="V75" s="7" t="inlineStr">
        <is>
          <t>cd-1</t>
        </is>
      </c>
      <c r="W75" s="7" t="inlineStr">
        <is>
          <t>cd-1</t>
        </is>
      </c>
      <c r="X75" s="7" t="inlineStr">
        <is>
          <t>cd-1</t>
        </is>
      </c>
    </row>
    <row r="76" ht="16.5" customHeight="1" s="142">
      <c r="A76" s="7">
        <f>"58,17,20,14,53"</f>
        <v/>
      </c>
      <c r="C76" s="26" t="inlineStr">
        <is>
          <t>#魔器</t>
        </is>
      </c>
      <c r="D76" s="26" t="inlineStr">
        <is>
          <t>#魔法</t>
        </is>
      </c>
      <c r="E76" s="26" t="inlineStr">
        <is>
          <t>#弱體</t>
        </is>
      </c>
      <c r="F76" s="26" t="inlineStr">
        <is>
          <t>#恢復</t>
        </is>
      </c>
      <c r="G76" s="26" t="inlineStr">
        <is>
          <t>#自然之怒</t>
        </is>
      </c>
      <c r="H76" s="35" t="inlineStr">
        <is>
          <t>枯木魔杖</t>
        </is>
      </c>
      <c r="I76" s="7" t="inlineStr">
        <is>
          <t>R</t>
        </is>
      </c>
      <c r="J76" s="7" t="n">
        <v>2</v>
      </c>
      <c r="K76" s="7" t="n">
        <v>1</v>
      </c>
      <c r="L76" s="17" t="n">
        <v>1.65</v>
      </c>
      <c r="M76" s="138" t="inlineStr">
        <is>
          <t>枯朽之根</t>
        </is>
      </c>
      <c r="N76" s="37" t="n"/>
      <c r="S76" s="138" t="inlineStr">
        <is>
          <t>對敵方隨機2體造成&lt;AP&gt;魔攻的魔法傷害，並25%附加麻痺</t>
        </is>
      </c>
      <c r="T76" s="7" t="inlineStr">
        <is>
          <t>MP-3</t>
        </is>
      </c>
      <c r="U76" s="7" t="inlineStr">
        <is>
          <t>MP-3</t>
        </is>
      </c>
      <c r="V76" s="138" t="inlineStr">
        <is>
          <t>附加機率追加30%</t>
        </is>
      </c>
      <c r="W76" s="7" t="inlineStr">
        <is>
          <t>MP-3</t>
        </is>
      </c>
      <c r="X76" s="138" t="inlineStr">
        <is>
          <t>附加魔防下降</t>
        </is>
      </c>
    </row>
    <row r="77" ht="16.5" customHeight="1" s="142">
      <c r="C77" s="26" t="n"/>
      <c r="D77" s="26" t="n"/>
      <c r="E77" s="26" t="n"/>
      <c r="F77" s="26" t="n"/>
      <c r="G77" s="141" t="n"/>
      <c r="H77" s="35" t="n"/>
      <c r="I77" s="7" t="inlineStr">
        <is>
          <t>R</t>
        </is>
      </c>
      <c r="J77" s="7" t="n">
        <v>-2</v>
      </c>
      <c r="K77" s="7" t="n"/>
      <c r="L77" s="17" t="n">
        <v>1.55</v>
      </c>
      <c r="M77" s="138" t="inlineStr">
        <is>
          <t>恢復魔法</t>
        </is>
      </c>
      <c r="N77" s="28" t="inlineStr">
        <is>
          <t>CD:8</t>
        </is>
      </c>
      <c r="S77" s="138" t="inlineStr">
        <is>
          <t>為我方2體恢復HP</t>
        </is>
      </c>
      <c r="T77" s="7" t="inlineStr">
        <is>
          <t>cd-1</t>
        </is>
      </c>
      <c r="U77" s="7" t="inlineStr">
        <is>
          <t>cd-1</t>
        </is>
      </c>
      <c r="V77" s="7" t="inlineStr">
        <is>
          <t>cd-1</t>
        </is>
      </c>
      <c r="W77" s="7" t="inlineStr">
        <is>
          <t>cd-1</t>
        </is>
      </c>
      <c r="X77" s="7" t="inlineStr">
        <is>
          <t>cd-1</t>
        </is>
      </c>
    </row>
    <row r="78" ht="16.5" customHeight="1" s="142">
      <c r="A78" s="7">
        <f>"59,16,15,9,11"</f>
        <v/>
      </c>
      <c r="C78" s="26" t="inlineStr">
        <is>
          <t>#聖物</t>
        </is>
      </c>
      <c r="D78" s="26" t="inlineStr">
        <is>
          <t>#物理</t>
        </is>
      </c>
      <c r="E78" s="26" t="inlineStr">
        <is>
          <t>#守護</t>
        </is>
      </c>
      <c r="F78" s="26" t="inlineStr">
        <is>
          <t>#銅牆鐵壁</t>
        </is>
      </c>
      <c r="G78" s="26" t="inlineStr">
        <is>
          <t>#苦難共擔</t>
        </is>
      </c>
      <c r="H78" s="35" t="inlineStr">
        <is>
          <t>十字堅盾</t>
        </is>
      </c>
      <c r="I78" s="7" t="inlineStr">
        <is>
          <t>R</t>
        </is>
      </c>
      <c r="J78" s="7" t="n">
        <v>-2</v>
      </c>
      <c r="K78" s="7" t="n">
        <v>1</v>
      </c>
      <c r="L78" s="17" t="n"/>
      <c r="M78" s="138" t="inlineStr">
        <is>
          <t>堅盾破甲</t>
        </is>
      </c>
      <c r="N78" s="37" t="n"/>
      <c r="S78" s="138" t="inlineStr">
        <is>
          <t>為我方隨機2體附加傷害分擔</t>
        </is>
      </c>
      <c r="T78" s="7" t="inlineStr">
        <is>
          <t>MP-3</t>
        </is>
      </c>
      <c r="U78" s="7" t="inlineStr">
        <is>
          <t>MP-3</t>
        </is>
      </c>
      <c r="V78" s="138" t="inlineStr">
        <is>
          <t>額外附加防禦上升</t>
        </is>
      </c>
      <c r="W78" s="7" t="inlineStr">
        <is>
          <t>MP-3</t>
        </is>
      </c>
      <c r="X78" s="138" t="inlineStr">
        <is>
          <t>對象改為3人</t>
        </is>
      </c>
    </row>
    <row r="79" ht="16.5" customHeight="1" s="142">
      <c r="C79" s="26" t="n"/>
      <c r="D79" s="26" t="n"/>
      <c r="E79" s="26" t="n"/>
      <c r="F79" s="26" t="n"/>
      <c r="G79" s="141" t="n"/>
      <c r="H79" s="35" t="n"/>
      <c r="I79" s="7" t="inlineStr">
        <is>
          <t>R</t>
        </is>
      </c>
      <c r="J79" s="7" t="n">
        <v>5</v>
      </c>
      <c r="K79" s="7" t="n"/>
      <c r="L79" s="17" t="n">
        <v>0.6</v>
      </c>
      <c r="M79" s="138" t="inlineStr">
        <is>
          <t>堅不可摧</t>
        </is>
      </c>
      <c r="N79" s="28" t="inlineStr">
        <is>
          <t>CD:10</t>
        </is>
      </c>
      <c r="S79" s="138" t="inlineStr">
        <is>
          <t>為我防全體附加防禦上升2層</t>
        </is>
      </c>
      <c r="T79" s="7" t="inlineStr">
        <is>
          <t>cd-1</t>
        </is>
      </c>
      <c r="U79" s="7" t="inlineStr">
        <is>
          <t>cd-1</t>
        </is>
      </c>
      <c r="V79" s="7" t="inlineStr">
        <is>
          <t>cd-1</t>
        </is>
      </c>
      <c r="W79" s="7" t="inlineStr">
        <is>
          <t>cd-1</t>
        </is>
      </c>
      <c r="X79" s="7" t="inlineStr">
        <is>
          <t>cd-1</t>
        </is>
      </c>
    </row>
    <row r="80" ht="16.5" customHeight="1" s="142">
      <c r="A80" s="7">
        <f>"16,13,1"</f>
        <v/>
      </c>
      <c r="C80" s="26" t="inlineStr">
        <is>
          <t>#物理</t>
        </is>
      </c>
      <c r="D80" s="26" t="inlineStr">
        <is>
          <t>#輸出</t>
        </is>
      </c>
      <c r="E80" s="26" t="inlineStr">
        <is>
          <t>#疾風迅雷</t>
        </is>
      </c>
      <c r="F80" s="26" t="n"/>
      <c r="G80" s="141" t="n"/>
      <c r="H80" s="35" t="inlineStr">
        <is>
          <t>獵人之弓</t>
        </is>
      </c>
      <c r="I80" s="7" t="inlineStr">
        <is>
          <t>R</t>
        </is>
      </c>
      <c r="J80" s="7" t="n">
        <v>1</v>
      </c>
      <c r="K80" s="7" t="n"/>
      <c r="L80" s="17" t="n">
        <v>3</v>
      </c>
      <c r="M80" s="138" t="inlineStr">
        <is>
          <t>弱點貫穿</t>
        </is>
      </c>
      <c r="N80" s="37" t="n"/>
      <c r="S80" s="138" t="inlineStr">
        <is>
          <t>為敵方1體造成&lt;AD&gt;物攻的物理傷害；並40%為自身爆擊上升</t>
        </is>
      </c>
      <c r="T80" s="7" t="inlineStr">
        <is>
          <t>MP-3</t>
        </is>
      </c>
      <c r="U80" s="7" t="inlineStr">
        <is>
          <t>MP-3</t>
        </is>
      </c>
      <c r="V80" s="138" t="inlineStr">
        <is>
          <t>單次爆擊上升附加兩層</t>
        </is>
      </c>
      <c r="W80" s="7" t="inlineStr">
        <is>
          <t>MP-3</t>
        </is>
      </c>
      <c r="X80" s="138" t="inlineStr">
        <is>
          <t>對象改為2人</t>
        </is>
      </c>
    </row>
    <row r="81" ht="16.5" customHeight="1" s="142">
      <c r="C81" s="26" t="n"/>
      <c r="D81" s="26" t="n"/>
      <c r="E81" s="26" t="n"/>
      <c r="F81" s="26" t="n"/>
      <c r="G81" s="141" t="n"/>
      <c r="H81" s="35" t="n"/>
      <c r="I81" s="7" t="inlineStr">
        <is>
          <t>R</t>
        </is>
      </c>
      <c r="J81" s="7" t="n">
        <v>1</v>
      </c>
      <c r="K81" s="7" t="n"/>
      <c r="L81" s="17" t="n">
        <v>3</v>
      </c>
      <c r="M81" s="138" t="inlineStr">
        <is>
          <t>集中一擊</t>
        </is>
      </c>
      <c r="N81" s="28" t="inlineStr">
        <is>
          <t>CD:8</t>
        </is>
      </c>
      <c r="S81" s="138" t="inlineStr">
        <is>
          <t>為敵方1體造成傷害；並40%為自身附加爆擊傷害上升</t>
        </is>
      </c>
      <c r="T81" s="7" t="inlineStr">
        <is>
          <t>cd-1</t>
        </is>
      </c>
      <c r="U81" s="7" t="inlineStr">
        <is>
          <t>cd-1</t>
        </is>
      </c>
      <c r="V81" s="7" t="inlineStr">
        <is>
          <t>cd-1</t>
        </is>
      </c>
      <c r="W81" s="7" t="inlineStr">
        <is>
          <t>cd-1</t>
        </is>
      </c>
      <c r="X81" s="7" t="inlineStr">
        <is>
          <t>cd-1</t>
        </is>
      </c>
    </row>
    <row r="82" ht="16.5" customHeight="1" s="142">
      <c r="A82" s="7">
        <f>"60,17,14,8"</f>
        <v/>
      </c>
      <c r="C82" s="26" t="inlineStr">
        <is>
          <t>#幻具</t>
        </is>
      </c>
      <c r="D82" s="26" t="inlineStr">
        <is>
          <t>#魔法</t>
        </is>
      </c>
      <c r="E82" s="26" t="inlineStr">
        <is>
          <t>#恢復</t>
        </is>
      </c>
      <c r="F82" s="26" t="inlineStr">
        <is>
          <t>#生生不息</t>
        </is>
      </c>
      <c r="G82" s="141" t="n"/>
      <c r="H82" s="35" t="inlineStr">
        <is>
          <t>修行者法球</t>
        </is>
      </c>
      <c r="I82" s="7" t="inlineStr">
        <is>
          <t>R</t>
        </is>
      </c>
      <c r="J82" s="7" t="n">
        <v>-2</v>
      </c>
      <c r="K82" s="7" t="n">
        <v>1</v>
      </c>
      <c r="L82" s="17" t="n">
        <v>1.65</v>
      </c>
      <c r="M82" s="138" t="inlineStr">
        <is>
          <t>定氣神閒</t>
        </is>
      </c>
      <c r="N82" s="37" t="n"/>
      <c r="S82" s="138" t="inlineStr">
        <is>
          <t>為我方隨機兩體恢復&lt;AP&gt;魔攻的HP</t>
        </is>
      </c>
      <c r="T82" s="7" t="inlineStr">
        <is>
          <t>MP-3</t>
        </is>
      </c>
      <c r="U82" s="7" t="inlineStr">
        <is>
          <t>MP-3</t>
        </is>
      </c>
      <c r="V82" s="138" t="inlineStr">
        <is>
          <t>額外追加40%移除所有下降效果</t>
        </is>
      </c>
      <c r="W82" s="7" t="inlineStr">
        <is>
          <t>MP-3</t>
        </is>
      </c>
      <c r="X82" s="138" t="inlineStr">
        <is>
          <t>對象改為3人</t>
        </is>
      </c>
    </row>
    <row r="83" ht="16.5" customHeight="1" s="142">
      <c r="C83" s="26" t="n"/>
      <c r="D83" s="26" t="n"/>
      <c r="E83" s="26" t="n"/>
      <c r="F83" s="26" t="n"/>
      <c r="G83" s="141" t="n"/>
      <c r="H83" s="35" t="n"/>
      <c r="I83" s="7" t="inlineStr">
        <is>
          <t>R</t>
        </is>
      </c>
      <c r="J83" s="7" t="n">
        <v>-2</v>
      </c>
      <c r="K83" s="7" t="n"/>
      <c r="L83" s="17" t="n">
        <v>1.55</v>
      </c>
      <c r="M83" s="138" t="inlineStr">
        <is>
          <t>精神恢復</t>
        </is>
      </c>
      <c r="N83" s="28" t="inlineStr">
        <is>
          <t>CD:11</t>
        </is>
      </c>
      <c r="S83" s="138" t="inlineStr">
        <is>
          <t>為我方2體恢復MP80</t>
        </is>
      </c>
      <c r="T83" s="7" t="inlineStr">
        <is>
          <t>cd-1</t>
        </is>
      </c>
      <c r="U83" s="7" t="inlineStr">
        <is>
          <t>cd-1</t>
        </is>
      </c>
      <c r="V83" s="7" t="inlineStr">
        <is>
          <t>cd-1</t>
        </is>
      </c>
      <c r="W83" s="7" t="inlineStr">
        <is>
          <t>cd-1</t>
        </is>
      </c>
      <c r="X83" s="7" t="inlineStr">
        <is>
          <t>cd-1</t>
        </is>
      </c>
    </row>
    <row r="84" ht="16.5" customHeight="1" s="142">
      <c r="A84" s="7">
        <f>"60,16,20"</f>
        <v/>
      </c>
      <c r="C84" s="26" t="inlineStr">
        <is>
          <t>#幻具</t>
        </is>
      </c>
      <c r="D84" s="26" t="inlineStr">
        <is>
          <t>#物理</t>
        </is>
      </c>
      <c r="E84" s="26" t="inlineStr">
        <is>
          <t>#弱體</t>
        </is>
      </c>
      <c r="F84" s="26" t="n"/>
      <c r="G84" s="141" t="n"/>
      <c r="H84" s="35" t="inlineStr">
        <is>
          <t>迴旋鏈刃</t>
        </is>
      </c>
      <c r="I84" s="7" t="inlineStr">
        <is>
          <t>R</t>
        </is>
      </c>
      <c r="J84" s="7" t="n">
        <v>2</v>
      </c>
      <c r="K84" s="7" t="n">
        <v>1</v>
      </c>
      <c r="L84" s="17" t="n">
        <v>1.65</v>
      </c>
      <c r="M84" s="138" t="inlineStr">
        <is>
          <t>雙重切削</t>
        </is>
      </c>
      <c r="N84" s="37" t="n"/>
      <c r="S84" s="138" t="inlineStr">
        <is>
          <t>為敵方2體造成&lt;AD&gt;物攻的物理傷害，並25%附加裂傷</t>
        </is>
      </c>
      <c r="T84" s="7" t="inlineStr">
        <is>
          <t>MP-3</t>
        </is>
      </c>
      <c r="U84" s="7" t="inlineStr">
        <is>
          <t>MP-3</t>
        </is>
      </c>
      <c r="V84" s="138" t="inlineStr">
        <is>
          <t>附加機率追加30%</t>
        </is>
      </c>
      <c r="W84" s="7" t="inlineStr">
        <is>
          <t>MP-3</t>
        </is>
      </c>
      <c r="X84" s="138" t="inlineStr">
        <is>
          <t>額外附加防禦上升</t>
        </is>
      </c>
    </row>
    <row r="85" ht="16.5" customHeight="1" s="142">
      <c r="C85" s="26" t="n"/>
      <c r="D85" s="26" t="n"/>
      <c r="E85" s="26" t="n"/>
      <c r="F85" s="26" t="n"/>
      <c r="G85" s="141" t="n"/>
      <c r="H85" s="35" t="n"/>
      <c r="I85" s="7" t="inlineStr">
        <is>
          <t>R</t>
        </is>
      </c>
      <c r="J85" s="7" t="n">
        <v>1</v>
      </c>
      <c r="K85" s="7" t="n">
        <v>1</v>
      </c>
      <c r="L85" s="17" t="n">
        <v>3.15</v>
      </c>
      <c r="M85" s="138" t="inlineStr">
        <is>
          <t>連鎖突進</t>
        </is>
      </c>
      <c r="N85" s="28" t="inlineStr">
        <is>
          <t>CD:8</t>
        </is>
      </c>
      <c r="S85" s="138" t="inlineStr">
        <is>
          <t>為敵方隨機1體進行2次攻擊</t>
        </is>
      </c>
      <c r="T85" s="7" t="inlineStr">
        <is>
          <t>cd-1</t>
        </is>
      </c>
      <c r="U85" s="7" t="inlineStr">
        <is>
          <t>cd-1</t>
        </is>
      </c>
      <c r="V85" s="7" t="inlineStr">
        <is>
          <t>cd-1</t>
        </is>
      </c>
      <c r="W85" s="7" t="inlineStr">
        <is>
          <t>cd-1</t>
        </is>
      </c>
      <c r="X85" s="7" t="inlineStr">
        <is>
          <t>cd-1</t>
        </is>
      </c>
    </row>
    <row r="86" ht="16.5" customHeight="1" s="142">
      <c r="A86" s="7">
        <f>"58,17,15,10"</f>
        <v/>
      </c>
      <c r="C86" s="26" t="inlineStr">
        <is>
          <t>#魔器</t>
        </is>
      </c>
      <c r="D86" s="26" t="inlineStr">
        <is>
          <t>#魔法</t>
        </is>
      </c>
      <c r="E86" s="26" t="inlineStr">
        <is>
          <t>#守護</t>
        </is>
      </c>
      <c r="F86" s="26" t="inlineStr">
        <is>
          <t>#靈能壁壘</t>
        </is>
      </c>
      <c r="G86" s="141" t="n"/>
      <c r="H86" s="35" t="inlineStr">
        <is>
          <t>晨星鎚</t>
        </is>
      </c>
      <c r="I86" s="7" t="inlineStr">
        <is>
          <t>R</t>
        </is>
      </c>
      <c r="J86" s="7" t="n">
        <v>4</v>
      </c>
      <c r="K86" s="7" t="n">
        <v>1</v>
      </c>
      <c r="L86" s="17" t="n">
        <v>0.75</v>
      </c>
      <c r="M86" s="138" t="inlineStr">
        <is>
          <t>魔盾碎裂</t>
        </is>
      </c>
      <c r="N86" s="37" t="n"/>
      <c r="S86" s="138" t="inlineStr">
        <is>
          <t>為敵方4體造成&lt;AP&gt;魔攻的魔法傷害，並25%附加魔防下降</t>
        </is>
      </c>
      <c r="T86" s="7" t="inlineStr">
        <is>
          <t>MP-3</t>
        </is>
      </c>
      <c r="U86" s="7" t="inlineStr">
        <is>
          <t>MP-3</t>
        </is>
      </c>
      <c r="V86" s="138" t="inlineStr">
        <is>
          <t>附加機率追加50%</t>
        </is>
      </c>
      <c r="W86" s="7" t="inlineStr">
        <is>
          <t>MP-3</t>
        </is>
      </c>
      <c r="X86" s="138" t="inlineStr">
        <is>
          <t>額外附加潰魔(降30%魔防)</t>
        </is>
      </c>
    </row>
    <row r="87" ht="16.5" customHeight="1" s="142">
      <c r="C87" s="26" t="n"/>
      <c r="D87" s="26" t="n"/>
      <c r="E87" s="26" t="n"/>
      <c r="F87" s="26" t="n"/>
      <c r="G87" s="141" t="n"/>
      <c r="H87" s="35" t="n"/>
      <c r="I87" s="7" t="inlineStr">
        <is>
          <t>R</t>
        </is>
      </c>
      <c r="J87" s="7" t="n">
        <v>-2</v>
      </c>
      <c r="K87" s="7" t="n">
        <v>1</v>
      </c>
      <c r="L87" s="17" t="n">
        <v>1.55</v>
      </c>
      <c r="M87" s="138" t="inlineStr">
        <is>
          <t>風暴護障</t>
        </is>
      </c>
      <c r="N87" s="28" t="inlineStr">
        <is>
          <t>CD:9</t>
        </is>
      </c>
      <c r="S87" s="138" t="inlineStr">
        <is>
          <t>為隨機我方2體恢復HP，並附加魔坊上升</t>
        </is>
      </c>
      <c r="T87" s="7" t="inlineStr">
        <is>
          <t>cd-1</t>
        </is>
      </c>
      <c r="U87" s="7" t="inlineStr">
        <is>
          <t>cd-1</t>
        </is>
      </c>
      <c r="V87" s="7" t="inlineStr">
        <is>
          <t>cd-1</t>
        </is>
      </c>
      <c r="W87" s="7" t="inlineStr">
        <is>
          <t>cd-1</t>
        </is>
      </c>
      <c r="X87" s="7" t="inlineStr">
        <is>
          <t>cd-1</t>
        </is>
      </c>
    </row>
    <row r="88" ht="16.5" customHeight="1" s="142">
      <c r="A88" s="7">
        <f>"16,2,1"</f>
        <v/>
      </c>
      <c r="C88" s="26" t="inlineStr">
        <is>
          <t>#物理</t>
        </is>
      </c>
      <c r="D88" s="26" t="inlineStr">
        <is>
          <t>#致命一擊</t>
        </is>
      </c>
      <c r="E88" s="26" t="inlineStr">
        <is>
          <t>#疾風迅雷</t>
        </is>
      </c>
      <c r="F88" s="26" t="n"/>
      <c r="G88" s="141" t="n"/>
      <c r="H88" s="35" t="inlineStr">
        <is>
          <t>戰鬥者長劍</t>
        </is>
      </c>
      <c r="I88" s="7" t="inlineStr">
        <is>
          <t>R</t>
        </is>
      </c>
      <c r="J88" s="7" t="n">
        <v>3</v>
      </c>
      <c r="K88" s="7" t="n">
        <v>1</v>
      </c>
      <c r="L88" s="17" t="n">
        <v>1.05</v>
      </c>
      <c r="M88" s="138" t="inlineStr">
        <is>
          <t>壓制戰技</t>
        </is>
      </c>
      <c r="N88" s="37" t="n"/>
      <c r="S88" s="138" t="inlineStr">
        <is>
          <t>為隨機敵方3體造成&lt;AD&gt;物攻的物理傷害，並25%附加裂傷</t>
        </is>
      </c>
      <c r="T88" s="7" t="inlineStr">
        <is>
          <t>MP-3</t>
        </is>
      </c>
      <c r="U88" s="7" t="inlineStr">
        <is>
          <t>MP-3</t>
        </is>
      </c>
      <c r="V88" s="138" t="inlineStr">
        <is>
          <t>附加機率追加40%</t>
        </is>
      </c>
      <c r="W88" s="7" t="inlineStr">
        <is>
          <t>MP-3</t>
        </is>
      </c>
      <c r="X88" s="138" t="inlineStr">
        <is>
          <t>額外追加爆擊上升</t>
        </is>
      </c>
    </row>
    <row r="89" ht="16.5" customHeight="1" s="142">
      <c r="C89" s="26" t="n"/>
      <c r="D89" s="26" t="n"/>
      <c r="E89" s="26" t="n"/>
      <c r="F89" s="26" t="n"/>
      <c r="G89" s="141" t="n"/>
      <c r="H89" s="35" t="n"/>
      <c r="I89" s="7" t="inlineStr">
        <is>
          <t>R</t>
        </is>
      </c>
      <c r="J89" s="7" t="n">
        <v>-1</v>
      </c>
      <c r="K89" s="7" t="n"/>
      <c r="L89" s="17" t="n">
        <v>3</v>
      </c>
      <c r="M89" s="138" t="inlineStr">
        <is>
          <t>閃擊劍舞</t>
        </is>
      </c>
      <c r="N89" s="28" t="inlineStr">
        <is>
          <t>CD:10</t>
        </is>
      </c>
      <c r="S89" s="7" t="inlineStr">
        <is>
          <t>25%附加自身行動加快</t>
        </is>
      </c>
      <c r="T89" s="7" t="inlineStr">
        <is>
          <t>cd-1</t>
        </is>
      </c>
      <c r="U89" s="7" t="inlineStr">
        <is>
          <t>cd-1</t>
        </is>
      </c>
      <c r="V89" s="7" t="inlineStr">
        <is>
          <t>cd-1</t>
        </is>
      </c>
      <c r="W89" s="7" t="inlineStr">
        <is>
          <t>cd-1</t>
        </is>
      </c>
      <c r="X89" s="7" t="inlineStr">
        <is>
          <t>cd-1</t>
        </is>
      </c>
    </row>
    <row r="90" ht="15" customHeight="1" s="142">
      <c r="I90" s="37" t="n"/>
      <c r="J90" s="37" t="n"/>
      <c r="K90" s="37" t="n"/>
      <c r="L90" s="37" t="n"/>
      <c r="M90" s="37" t="n"/>
      <c r="N90" s="37" t="n"/>
    </row>
    <row r="91" ht="15" customHeight="1" s="142">
      <c r="N91" s="37" t="n"/>
    </row>
    <row r="92" ht="15" customHeight="1" s="142">
      <c r="C92" s="138" t="inlineStr">
        <is>
          <t>指定</t>
        </is>
      </c>
      <c r="D92" s="137" t="inlineStr">
        <is>
          <t>攻擊數量</t>
        </is>
      </c>
      <c r="E92" s="141" t="n">
        <v>1</v>
      </c>
      <c r="F92" s="141" t="n">
        <v>2</v>
      </c>
      <c r="G92" s="141" t="n">
        <v>3</v>
      </c>
      <c r="H92" s="141" t="n">
        <v>4</v>
      </c>
      <c r="I92" s="35" t="n">
        <v>5</v>
      </c>
      <c r="J92" s="37" t="n"/>
      <c r="K92" s="37" t="n"/>
      <c r="L92" s="37" t="n"/>
      <c r="M92" s="37" t="n"/>
      <c r="N92" s="37" t="n"/>
    </row>
    <row r="93" ht="15" customHeight="1" s="142">
      <c r="D93" s="141" t="inlineStr">
        <is>
          <t>SSR</t>
        </is>
      </c>
      <c r="E93" s="20" t="n">
        <v>4.8</v>
      </c>
      <c r="F93" s="20" t="n">
        <v>2.4</v>
      </c>
      <c r="G93" s="20" t="n">
        <v>1.6</v>
      </c>
      <c r="H93" s="20" t="n">
        <v>1.2</v>
      </c>
      <c r="I93" s="38" t="n">
        <v>1</v>
      </c>
      <c r="J93" s="37" t="n"/>
      <c r="K93" s="37" t="n"/>
      <c r="L93" s="37" t="n"/>
      <c r="M93" s="37" t="n"/>
      <c r="N93" s="37" t="n"/>
    </row>
    <row r="94" ht="15" customHeight="1" s="142">
      <c r="D94" s="141" t="inlineStr">
        <is>
          <t>SR</t>
        </is>
      </c>
      <c r="E94" s="20" t="n">
        <v>3.8</v>
      </c>
      <c r="F94" s="20" t="n">
        <v>1.9</v>
      </c>
      <c r="G94" s="20" t="n">
        <v>1.25</v>
      </c>
      <c r="H94" s="20" t="n">
        <v>0.95</v>
      </c>
      <c r="I94" s="38" t="n">
        <v>0.75</v>
      </c>
      <c r="J94" s="7" t="n"/>
      <c r="K94" s="7" t="n"/>
      <c r="N94" s="37" t="n"/>
    </row>
    <row r="95" ht="15" customHeight="1" s="142">
      <c r="D95" s="141" t="inlineStr">
        <is>
          <t>R</t>
        </is>
      </c>
      <c r="E95" s="20" t="n">
        <v>3</v>
      </c>
      <c r="F95" s="20" t="n">
        <v>1.55</v>
      </c>
      <c r="G95" s="20" t="n">
        <v>1.05</v>
      </c>
      <c r="H95" s="20" t="n">
        <v>0.75</v>
      </c>
      <c r="I95" s="38" t="n">
        <v>0.6</v>
      </c>
      <c r="J95" s="7" t="n"/>
      <c r="K95" s="7" t="n"/>
      <c r="N95" s="37" t="n"/>
    </row>
    <row r="96" ht="15" customHeight="1" s="142">
      <c r="I96" s="37" t="n"/>
      <c r="J96" s="37" t="n"/>
      <c r="K96" s="37" t="n"/>
      <c r="L96" s="37" t="n"/>
      <c r="M96" s="37" t="n"/>
      <c r="N96" s="37" t="n"/>
    </row>
    <row r="98" ht="14.25" customHeight="1" s="142">
      <c r="C98" s="138" t="inlineStr">
        <is>
          <t>隨機</t>
        </is>
      </c>
      <c r="D98" s="137" t="inlineStr">
        <is>
          <t>攻擊數量</t>
        </is>
      </c>
      <c r="E98" s="141" t="n">
        <v>1</v>
      </c>
      <c r="F98" s="141" t="n">
        <v>2</v>
      </c>
      <c r="G98" s="141" t="n">
        <v>3</v>
      </c>
      <c r="H98" s="141" t="n">
        <v>4</v>
      </c>
      <c r="I98" s="141" t="n"/>
    </row>
    <row r="99" ht="14.25" customHeight="1" s="142">
      <c r="D99" s="141" t="inlineStr">
        <is>
          <t>SSR</t>
        </is>
      </c>
      <c r="E99" s="20" t="n">
        <v>5</v>
      </c>
      <c r="F99" s="20" t="n">
        <v>2.5</v>
      </c>
      <c r="G99" s="20" t="n">
        <v>1.7</v>
      </c>
      <c r="H99" s="20" t="n">
        <v>1.25</v>
      </c>
      <c r="I99" s="20" t="n">
        <v>1.1</v>
      </c>
    </row>
    <row r="100" ht="14.25" customHeight="1" s="142">
      <c r="D100" s="141" t="inlineStr">
        <is>
          <t>SR</t>
        </is>
      </c>
      <c r="E100" s="20" t="n">
        <v>4</v>
      </c>
      <c r="F100" s="20" t="n">
        <v>2</v>
      </c>
      <c r="G100" s="20" t="n">
        <v>1.3</v>
      </c>
      <c r="H100" s="20" t="n">
        <v>1</v>
      </c>
      <c r="I100" s="20" t="n">
        <v>0.85</v>
      </c>
    </row>
    <row r="101" ht="14.25" customHeight="1" s="142">
      <c r="D101" s="141" t="inlineStr">
        <is>
          <t>R</t>
        </is>
      </c>
      <c r="E101" s="20" t="n">
        <v>3.15</v>
      </c>
      <c r="F101" s="20" t="n">
        <v>1.65</v>
      </c>
      <c r="G101" s="20" t="n">
        <v>1.1</v>
      </c>
      <c r="H101" s="20" t="n">
        <v>0.8</v>
      </c>
      <c r="I101" s="20" t="n">
        <v>0.65</v>
      </c>
    </row>
    <row r="107" ht="14.25" customHeight="1" s="142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</row>
    <row r="108" ht="14.25" customHeight="1" s="142">
      <c r="B108" s="138" t="inlineStr">
        <is>
          <t>布裝</t>
        </is>
      </c>
      <c r="C108" s="138" t="inlineStr">
        <is>
          <t>絲質布衣</t>
        </is>
      </c>
      <c r="D108" s="7" t="inlineStr">
        <is>
          <t>R</t>
        </is>
      </c>
    </row>
    <row r="109" ht="14.25" customHeight="1" s="142">
      <c r="B109" s="138" t="inlineStr">
        <is>
          <t>布裝</t>
        </is>
      </c>
      <c r="C109" s="138" t="inlineStr">
        <is>
          <t>琉光布裝</t>
        </is>
      </c>
      <c r="D109" s="7" t="inlineStr">
        <is>
          <t>SR</t>
        </is>
      </c>
    </row>
    <row r="110" ht="14.25" customHeight="1" s="142">
      <c r="B110" s="138" t="inlineStr">
        <is>
          <t>布裝</t>
        </is>
      </c>
      <c r="C110" s="138" t="inlineStr">
        <is>
          <t>翠影流雲</t>
        </is>
      </c>
      <c r="D110" s="7" t="inlineStr">
        <is>
          <t>SR</t>
        </is>
      </c>
    </row>
    <row r="111" ht="14.25" customHeight="1" s="142">
      <c r="B111" s="138" t="inlineStr">
        <is>
          <t>布裝</t>
        </is>
      </c>
      <c r="C111" s="138" t="inlineStr">
        <is>
          <t>暗月星辰長袍</t>
        </is>
      </c>
      <c r="D111" s="7" t="inlineStr">
        <is>
          <t>SSR</t>
        </is>
      </c>
    </row>
    <row r="112" ht="14.25" customHeight="1" s="142">
      <c r="B112" s="138" t="inlineStr">
        <is>
          <t>皮裝</t>
        </is>
      </c>
      <c r="C112" s="138" t="inlineStr">
        <is>
          <t>狼形皮衣</t>
        </is>
      </c>
      <c r="D112" s="7" t="inlineStr">
        <is>
          <t>R</t>
        </is>
      </c>
    </row>
    <row r="113" ht="14.25" customHeight="1" s="142">
      <c r="B113" s="138" t="inlineStr">
        <is>
          <t>皮裝</t>
        </is>
      </c>
      <c r="C113" s="138" t="inlineStr">
        <is>
          <t>赤焰皮裝</t>
        </is>
      </c>
      <c r="D113" s="7" t="inlineStr">
        <is>
          <t>SR</t>
        </is>
      </c>
    </row>
    <row r="114" ht="14.25" customHeight="1" s="142">
      <c r="B114" s="138" t="inlineStr">
        <is>
          <t>皮裝</t>
        </is>
      </c>
      <c r="C114" s="138" t="inlineStr">
        <is>
          <t>金凌戰獵甲</t>
        </is>
      </c>
      <c r="D114" s="7" t="inlineStr">
        <is>
          <t>SR</t>
        </is>
      </c>
    </row>
    <row r="115" ht="14.25" customHeight="1" s="142">
      <c r="B115" s="138" t="inlineStr">
        <is>
          <t>皮裝</t>
        </is>
      </c>
      <c r="C115" s="138" t="inlineStr">
        <is>
          <t>月影獵裝</t>
        </is>
      </c>
      <c r="D115" s="7" t="inlineStr">
        <is>
          <t>SSR</t>
        </is>
      </c>
    </row>
    <row r="116" ht="14.25" customHeight="1" s="142">
      <c r="B116" s="138" t="inlineStr">
        <is>
          <t>重型</t>
        </is>
      </c>
      <c r="C116" s="138" t="inlineStr">
        <is>
          <t>青銅戰甲</t>
        </is>
      </c>
      <c r="D116" s="7" t="inlineStr">
        <is>
          <t>R</t>
        </is>
      </c>
    </row>
    <row r="117" ht="14.25" customHeight="1" s="142">
      <c r="B117" s="138" t="inlineStr">
        <is>
          <t>重型</t>
        </is>
      </c>
      <c r="C117" s="138" t="inlineStr">
        <is>
          <t>金屬鎧甲</t>
        </is>
      </c>
      <c r="D117" s="7" t="inlineStr">
        <is>
          <t>SR</t>
        </is>
      </c>
    </row>
    <row r="118" ht="14.25" customHeight="1" s="142">
      <c r="B118" s="138" t="inlineStr">
        <is>
          <t>重型</t>
        </is>
      </c>
      <c r="C118" s="138" t="inlineStr">
        <is>
          <t>雷霆重甲</t>
        </is>
      </c>
      <c r="D118" s="7" t="inlineStr">
        <is>
          <t>SR</t>
        </is>
      </c>
    </row>
    <row r="119" ht="14.25" customHeight="1" s="142">
      <c r="B119" s="138" t="inlineStr">
        <is>
          <t>重型</t>
        </is>
      </c>
      <c r="C119" s="138" t="inlineStr">
        <is>
          <t>青冥破軍甲</t>
        </is>
      </c>
      <c r="D119" s="7" t="inlineStr">
        <is>
          <t>SSR</t>
        </is>
      </c>
    </row>
    <row r="120" ht="14.25" customHeight="1" s="142">
      <c r="C120" s="138" t="inlineStr">
        <is>
          <t>法術殘卷</t>
        </is>
      </c>
      <c r="E120" s="138" t="inlineStr">
        <is>
          <t>破碎水晶球</t>
        </is>
      </c>
    </row>
    <row r="122" ht="14.25" customHeight="1" s="142">
      <c r="B122" s="7" t="inlineStr">
        <is>
          <t>R</t>
        </is>
      </c>
      <c r="C122" s="7" t="inlineStr">
        <is>
          <t>R</t>
        </is>
      </c>
      <c r="D122" s="7" t="inlineStr">
        <is>
          <t>R</t>
        </is>
      </c>
      <c r="E122" s="7" t="inlineStr">
        <is>
          <t>SR</t>
        </is>
      </c>
      <c r="F122" s="7" t="inlineStr">
        <is>
          <t>SR</t>
        </is>
      </c>
      <c r="G122" s="7" t="inlineStr">
        <is>
          <t>SSR</t>
        </is>
      </c>
    </row>
    <row r="123" ht="14.25" customHeight="1" s="142">
      <c r="C123" s="138" t="inlineStr">
        <is>
          <t>銅短劍</t>
        </is>
      </c>
      <c r="D123" s="138" t="inlineStr">
        <is>
          <t>羊骨巨盾槌</t>
        </is>
      </c>
      <c r="E123" s="138" t="inlineStr">
        <is>
          <t>合金長劍</t>
        </is>
      </c>
      <c r="F123" s="138" t="inlineStr">
        <is>
          <t>力量拳套</t>
        </is>
      </c>
      <c r="G123" s="138" t="inlineStr">
        <is>
          <t>永夜白骨刃、月亮寶珠、泰坦巨斧</t>
        </is>
      </c>
    </row>
    <row r="124" ht="14.25" customHeight="1" s="142">
      <c r="B124" s="138" t="inlineStr">
        <is>
          <t>冒險者頭盔</t>
        </is>
      </c>
      <c r="C124" s="138" t="inlineStr">
        <is>
          <t>鋼鐵面具</t>
        </is>
      </c>
      <c r="D124" s="138" t="inlineStr">
        <is>
          <t>魔法皮帽</t>
        </is>
      </c>
      <c r="E124" s="138" t="inlineStr">
        <is>
          <t>白骨面具</t>
        </is>
      </c>
      <c r="F124" s="138" t="inlineStr">
        <is>
          <t>烈焰面具</t>
        </is>
      </c>
      <c r="G124" s="138" t="inlineStr">
        <is>
          <t>巨大龍骨面具</t>
        </is>
      </c>
    </row>
    <row r="125" ht="14.25" customHeight="1" s="142">
      <c r="B125" s="138" t="inlineStr">
        <is>
          <t>冒險者胸甲</t>
        </is>
      </c>
      <c r="C125" s="138" t="inlineStr">
        <is>
          <t>骨編長衫</t>
        </is>
      </c>
      <c r="D125" s="138" t="inlineStr">
        <is>
          <t>農夫汗衫</t>
        </is>
      </c>
      <c r="E125" s="138" t="inlineStr">
        <is>
          <t>抗魔長袍</t>
        </is>
      </c>
      <c r="F125" s="138" t="inlineStr">
        <is>
          <t>巨蛇脊骨甲</t>
        </is>
      </c>
      <c r="G125" s="138" t="inlineStr">
        <is>
          <t>堅硬龍麟</t>
        </is>
      </c>
    </row>
    <row r="126" ht="14.25" customHeight="1" s="142">
      <c r="B126" s="138" t="inlineStr">
        <is>
          <t>冒險者長靴</t>
        </is>
      </c>
      <c r="C126" s="138" t="inlineStr">
        <is>
          <t>厚重短靴</t>
        </is>
      </c>
      <c r="D126" s="138" t="inlineStr">
        <is>
          <t>損壞的木屐</t>
        </is>
      </c>
      <c r="E126" s="138" t="inlineStr">
        <is>
          <t>狂怒戰鞋</t>
        </is>
      </c>
      <c r="F126" s="138" t="inlineStr">
        <is>
          <t>青羽馬蹄鐵</t>
        </is>
      </c>
      <c r="G126" s="138" t="inlineStr">
        <is>
          <t>冰晶重靴</t>
        </is>
      </c>
    </row>
    <row r="127" ht="14.25" customHeight="1" s="142">
      <c r="B127" s="138" t="inlineStr">
        <is>
          <t>冒險者披風</t>
        </is>
      </c>
      <c r="C127" s="138" t="inlineStr">
        <is>
          <t>亞麻短批</t>
        </is>
      </c>
      <c r="D127" s="138" t="inlineStr">
        <is>
          <t>木護肩甲</t>
        </is>
      </c>
      <c r="E127" s="138" t="inlineStr">
        <is>
          <t>絲質披肩</t>
        </is>
      </c>
      <c r="F127" s="138" t="inlineStr">
        <is>
          <t>亮彩晶龜殼</t>
        </is>
      </c>
      <c r="G127" s="138" t="inlineStr">
        <is>
          <t>破碎星河披風</t>
        </is>
      </c>
    </row>
    <row r="128" ht="14.25" customHeight="1" s="142">
      <c r="B128" s="138" t="inlineStr">
        <is>
          <t>冒險者短褲</t>
        </is>
      </c>
      <c r="C128" s="138" t="inlineStr">
        <is>
          <t>粗布短褲</t>
        </is>
      </c>
      <c r="D128" s="138" t="inlineStr">
        <is>
          <t>野豬護腰</t>
        </is>
      </c>
      <c r="E128" s="138" t="inlineStr">
        <is>
          <t>輕量化皮靴</t>
        </is>
      </c>
      <c r="F128" s="138" t="inlineStr">
        <is>
          <t>殘破英靈褲</t>
        </is>
      </c>
      <c r="G128" s="138" t="inlineStr">
        <is>
          <t>冥月布褲</t>
        </is>
      </c>
    </row>
  </sheetData>
  <mergeCells count="2">
    <mergeCell ref="C39:D39"/>
    <mergeCell ref="C69:D69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12.5703125" defaultRowHeight="12.75"/>
  <sheetData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7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141" t="inlineStr">
        <is>
          <t>tpye</t>
        </is>
      </c>
      <c r="B1" s="40" t="inlineStr">
        <is>
          <t>limite</t>
        </is>
      </c>
      <c r="C1" s="40" t="inlineStr">
        <is>
          <t>HP</t>
        </is>
      </c>
      <c r="D1" s="40" t="inlineStr">
        <is>
          <t>ATK</t>
        </is>
      </c>
      <c r="E1" s="40" t="inlineStr">
        <is>
          <t>MATK</t>
        </is>
      </c>
      <c r="F1" s="40" t="inlineStr">
        <is>
          <t>DEF</t>
        </is>
      </c>
      <c r="G1" s="40" t="inlineStr">
        <is>
          <t>MDEF</t>
        </is>
      </c>
      <c r="H1" s="40" t="inlineStr">
        <is>
          <t>CRI</t>
        </is>
      </c>
      <c r="I1" s="40" t="inlineStr">
        <is>
          <t>MP</t>
        </is>
      </c>
      <c r="J1" s="40" t="inlineStr">
        <is>
          <t>cri_resist</t>
        </is>
      </c>
      <c r="K1" s="40" t="inlineStr">
        <is>
          <t>AGI</t>
        </is>
      </c>
      <c r="L1" s="40" t="inlineStr">
        <is>
          <t>damage_reflect</t>
        </is>
      </c>
      <c r="M1" s="40" t="inlineStr">
        <is>
          <t>cri_damage</t>
        </is>
      </c>
      <c r="N1" s="40" t="inlineStr">
        <is>
          <t>cri_damage_resist</t>
        </is>
      </c>
      <c r="O1" s="40" t="inlineStr">
        <is>
          <t>skill_rate</t>
        </is>
      </c>
      <c r="P1" s="40" t="inlineStr">
        <is>
          <t>skill_resist</t>
        </is>
      </c>
      <c r="Q1" s="40" t="inlineStr">
        <is>
          <t>damage_increase</t>
        </is>
      </c>
      <c r="R1" s="40" t="inlineStr">
        <is>
          <t>damage_reduce</t>
        </is>
      </c>
      <c r="S1" s="41" t="inlineStr">
        <is>
          <t>mp_recove</t>
        </is>
      </c>
      <c r="T1" s="41" t="inlineStr">
        <is>
          <t>shield_rate</t>
        </is>
      </c>
      <c r="U1" s="41" t="inlineStr">
        <is>
          <t>permeate</t>
        </is>
      </c>
      <c r="V1" s="41" t="inlineStr">
        <is>
          <t>atypical_rate</t>
        </is>
      </c>
      <c r="W1" s="41" t="inlineStr">
        <is>
          <t>heal_rate</t>
        </is>
      </c>
    </row>
    <row r="2" ht="14.25" customHeight="1" s="142">
      <c r="A2" s="141" t="inlineStr">
        <is>
          <t>int</t>
        </is>
      </c>
      <c r="B2" s="141" t="n">
        <v>99</v>
      </c>
      <c r="C2" s="141" t="n"/>
      <c r="D2" s="141" t="n"/>
      <c r="E2" s="135" t="n">
        <v>2</v>
      </c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42" t="n">
        <v>0.002</v>
      </c>
      <c r="P2" s="141" t="n"/>
      <c r="Q2" s="141" t="n"/>
      <c r="R2" s="141" t="n"/>
      <c r="S2" s="42" t="n">
        <v>0.003</v>
      </c>
      <c r="T2" s="141" t="n"/>
      <c r="U2" s="141" t="n"/>
      <c r="V2" s="141" t="n"/>
      <c r="W2" s="141" t="n"/>
    </row>
    <row r="3" ht="14.25" customHeight="1" s="142">
      <c r="A3" s="141" t="inlineStr">
        <is>
          <t>vit</t>
        </is>
      </c>
      <c r="B3" s="141" t="n">
        <v>99</v>
      </c>
      <c r="C3" s="141" t="n">
        <v>20</v>
      </c>
      <c r="D3" s="141" t="n"/>
      <c r="E3" s="141" t="n"/>
      <c r="F3" s="141" t="n">
        <v>3</v>
      </c>
      <c r="G3" s="141" t="n"/>
      <c r="H3" s="141" t="n"/>
      <c r="I3" s="141" t="n"/>
      <c r="J3" s="141" t="n"/>
      <c r="K3" s="141" t="n"/>
      <c r="L3" s="141" t="n"/>
      <c r="M3" s="141" t="n"/>
      <c r="N3" s="141" t="n"/>
      <c r="O3" s="141" t="n"/>
      <c r="P3" s="141" t="n"/>
      <c r="Q3" s="141" t="n"/>
      <c r="R3" s="141" t="n"/>
      <c r="S3" s="141" t="n"/>
      <c r="T3" s="42" t="n">
        <v>0.005</v>
      </c>
      <c r="U3" s="141" t="n"/>
      <c r="V3" s="141" t="n"/>
      <c r="W3" s="141" t="n"/>
    </row>
    <row r="4" ht="14.25" customHeight="1" s="142">
      <c r="A4" s="141" t="inlineStr">
        <is>
          <t>agi</t>
        </is>
      </c>
      <c r="B4" s="141" t="n">
        <v>99</v>
      </c>
      <c r="C4" s="141" t="n"/>
      <c r="D4" s="141" t="n"/>
      <c r="E4" s="141" t="n"/>
      <c r="F4" s="141" t="n"/>
      <c r="G4" s="141" t="n"/>
      <c r="H4" s="42" t="n">
        <v>0.002</v>
      </c>
      <c r="I4" s="141" t="n"/>
      <c r="J4" s="141" t="n"/>
      <c r="K4" s="141" t="n"/>
      <c r="L4" s="141" t="n"/>
      <c r="M4" s="141" t="n"/>
      <c r="N4" s="141" t="n"/>
      <c r="O4" s="42" t="n">
        <v>0.004</v>
      </c>
      <c r="P4" s="141" t="n"/>
      <c r="Q4" s="153" t="n">
        <v>0.0005</v>
      </c>
      <c r="R4" s="141" t="n"/>
      <c r="S4" s="141" t="n"/>
      <c r="T4" s="141" t="n"/>
      <c r="U4" s="141" t="n"/>
      <c r="V4" s="141" t="n"/>
      <c r="W4" s="141" t="n"/>
    </row>
    <row r="5" ht="14.25" customHeight="1" s="142">
      <c r="A5" s="141" t="inlineStr">
        <is>
          <t>str</t>
        </is>
      </c>
      <c r="B5" s="141" t="n">
        <v>99</v>
      </c>
      <c r="C5" s="141" t="n"/>
      <c r="D5" s="141" t="n">
        <v>2</v>
      </c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53" t="n">
        <v>0.00025</v>
      </c>
      <c r="R5" s="141" t="n"/>
      <c r="S5" s="141" t="n"/>
      <c r="T5" s="141" t="n"/>
      <c r="U5" s="141" t="n">
        <v>2</v>
      </c>
      <c r="V5" s="141" t="n"/>
      <c r="W5" s="141" t="n"/>
    </row>
    <row r="6" ht="14.25" customHeight="1" s="142">
      <c r="A6" s="141" t="inlineStr">
        <is>
          <t>dex</t>
        </is>
      </c>
      <c r="B6" s="141" t="n">
        <v>99</v>
      </c>
      <c r="C6" s="141" t="n"/>
      <c r="D6" s="141" t="n">
        <v>1</v>
      </c>
      <c r="E6" s="141" t="n"/>
      <c r="F6" s="141" t="n"/>
      <c r="G6" s="141" t="n"/>
      <c r="H6" s="42" t="n">
        <v>0.001</v>
      </c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141" t="n"/>
      <c r="U6" s="141" t="n"/>
      <c r="V6" s="42" t="n">
        <v>0.0001</v>
      </c>
      <c r="W6" s="141" t="n"/>
    </row>
    <row r="7" ht="14.25" customHeight="1" s="142">
      <c r="A7" s="141" t="inlineStr">
        <is>
          <t>spr</t>
        </is>
      </c>
      <c r="B7" s="141" t="n">
        <v>99</v>
      </c>
      <c r="C7" s="141" t="n"/>
      <c r="D7" s="141" t="n"/>
      <c r="E7" s="141" t="n">
        <v>1</v>
      </c>
      <c r="F7" s="141" t="n"/>
      <c r="G7" s="141" t="n">
        <v>3</v>
      </c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141" t="n"/>
      <c r="U7" s="141" t="n"/>
      <c r="V7" s="141" t="n"/>
      <c r="W7" s="154" t="n">
        <v>0.004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23" t="inlineStr">
        <is>
          <t>nature_info</t>
        </is>
      </c>
      <c r="B1" s="23" t="inlineStr">
        <is>
          <t>int</t>
        </is>
      </c>
      <c r="C1" s="23" t="inlineStr">
        <is>
          <t>vit</t>
        </is>
      </c>
      <c r="D1" s="23" t="inlineStr">
        <is>
          <t>agi</t>
        </is>
      </c>
      <c r="E1" s="23" t="inlineStr">
        <is>
          <t>str</t>
        </is>
      </c>
      <c r="F1" s="23" t="inlineStr">
        <is>
          <t>dex</t>
        </is>
      </c>
      <c r="G1" s="23" t="inlineStr">
        <is>
          <t>spr</t>
        </is>
      </c>
      <c r="H1" s="23" t="inlineStr">
        <is>
          <t>buff_id</t>
        </is>
      </c>
    </row>
    <row r="2" ht="14.25" customHeight="1" s="142">
      <c r="A2" s="141" t="inlineStr">
        <is>
          <t>#深思熟慮</t>
        </is>
      </c>
      <c r="B2" s="141" t="n">
        <v>99</v>
      </c>
      <c r="C2" s="141" t="n"/>
      <c r="D2" s="141" t="n"/>
      <c r="E2" s="141" t="n"/>
      <c r="F2" s="141" t="n"/>
      <c r="G2" s="141" t="n"/>
      <c r="H2" s="141" t="n">
        <v>9900</v>
      </c>
    </row>
    <row r="3" ht="14.25" customHeight="1" s="142">
      <c r="A3" s="141" t="inlineStr">
        <is>
          <t>#壯如巨樹</t>
        </is>
      </c>
      <c r="B3" s="141" t="n"/>
      <c r="C3" s="141" t="n">
        <v>99</v>
      </c>
      <c r="D3" s="141" t="n"/>
      <c r="E3" s="141" t="n"/>
      <c r="F3" s="141" t="n"/>
      <c r="G3" s="141" t="n"/>
      <c r="H3" s="141">
        <f>H2+1</f>
        <v/>
      </c>
    </row>
    <row r="4" ht="14.25" customHeight="1" s="142">
      <c r="A4" s="141" t="inlineStr">
        <is>
          <t>#高速移動</t>
        </is>
      </c>
      <c r="B4" s="141" t="n"/>
      <c r="C4" s="141" t="n"/>
      <c r="D4" s="141" t="n">
        <v>99</v>
      </c>
      <c r="E4" s="141" t="n"/>
      <c r="F4" s="141" t="n"/>
      <c r="G4" s="141" t="n"/>
      <c r="H4" s="141">
        <f>H3+1</f>
        <v/>
      </c>
    </row>
    <row r="5" ht="14.25" customHeight="1" s="142">
      <c r="A5" s="141" t="inlineStr">
        <is>
          <t>#力大無窮</t>
        </is>
      </c>
      <c r="B5" s="141" t="n"/>
      <c r="C5" s="141" t="n"/>
      <c r="D5" s="141" t="n"/>
      <c r="E5" s="141" t="n">
        <v>99</v>
      </c>
      <c r="F5" s="141" t="n"/>
      <c r="G5" s="141" t="n"/>
      <c r="H5" s="141">
        <f>H4+1</f>
        <v/>
      </c>
    </row>
    <row r="6" ht="14.25" customHeight="1" s="142">
      <c r="A6" s="141" t="inlineStr">
        <is>
          <t>#彈無虛發</t>
        </is>
      </c>
      <c r="B6" s="141" t="n"/>
      <c r="C6" s="141" t="n"/>
      <c r="D6" s="141" t="n"/>
      <c r="E6" s="141" t="n"/>
      <c r="F6" s="141" t="n">
        <v>99</v>
      </c>
      <c r="G6" s="141" t="n"/>
      <c r="H6" s="141">
        <f>H5+1</f>
        <v/>
      </c>
    </row>
    <row r="7" ht="14.25" customHeight="1" s="142">
      <c r="A7" s="141" t="inlineStr">
        <is>
          <t>#無限精神</t>
        </is>
      </c>
      <c r="B7" s="141" t="n"/>
      <c r="C7" s="141" t="n"/>
      <c r="D7" s="141" t="n"/>
      <c r="E7" s="141" t="n"/>
      <c r="F7" s="141" t="n"/>
      <c r="G7" s="141" t="n">
        <v>99</v>
      </c>
      <c r="H7" s="141">
        <f>H6+1</f>
        <v/>
      </c>
    </row>
    <row r="8" ht="14.25" customHeight="1" s="142">
      <c r="A8" s="141" t="inlineStr">
        <is>
          <t>#領悟</t>
        </is>
      </c>
      <c r="B8" s="141" t="n">
        <v>20</v>
      </c>
      <c r="C8" s="141" t="n"/>
      <c r="D8" s="141" t="n"/>
      <c r="E8" s="141" t="n"/>
      <c r="F8" s="141" t="n"/>
      <c r="G8" s="141" t="n"/>
      <c r="H8" s="141">
        <f>H7+1</f>
        <v/>
      </c>
    </row>
    <row r="9" ht="14.25" customHeight="1" s="142">
      <c r="A9" s="141" t="inlineStr">
        <is>
          <t>#強壯</t>
        </is>
      </c>
      <c r="B9" s="141" t="n"/>
      <c r="C9" s="141" t="n">
        <v>20</v>
      </c>
      <c r="D9" s="141" t="n"/>
      <c r="E9" s="141" t="n"/>
      <c r="F9" s="141" t="n"/>
      <c r="G9" s="141" t="n"/>
      <c r="H9" s="141">
        <f>H8+1</f>
        <v/>
      </c>
    </row>
    <row r="10" ht="14.25" customHeight="1" s="142">
      <c r="A10" s="141" t="inlineStr">
        <is>
          <t>#速度</t>
        </is>
      </c>
      <c r="B10" s="141" t="n"/>
      <c r="C10" s="141" t="n"/>
      <c r="D10" s="141" t="n">
        <v>20</v>
      </c>
      <c r="E10" s="141" t="n"/>
      <c r="F10" s="141" t="n"/>
      <c r="G10" s="141" t="n"/>
      <c r="H10" s="141">
        <f>H9+1</f>
        <v/>
      </c>
    </row>
    <row r="11" ht="14.25" customHeight="1" s="142">
      <c r="A11" s="141" t="inlineStr">
        <is>
          <t>#力量</t>
        </is>
      </c>
      <c r="B11" s="141" t="n"/>
      <c r="C11" s="141" t="n"/>
      <c r="D11" s="141" t="n"/>
      <c r="E11" s="141" t="n">
        <v>20</v>
      </c>
      <c r="F11" s="141" t="n"/>
      <c r="G11" s="141" t="n"/>
      <c r="H11" s="141">
        <f>H10+1</f>
        <v/>
      </c>
    </row>
    <row r="12" ht="14.25" customHeight="1" s="142">
      <c r="A12" s="141" t="inlineStr">
        <is>
          <t>#精確</t>
        </is>
      </c>
      <c r="B12" s="141" t="n"/>
      <c r="C12" s="141" t="n"/>
      <c r="D12" s="141" t="n"/>
      <c r="E12" s="141" t="n"/>
      <c r="F12" s="141" t="n">
        <v>20</v>
      </c>
      <c r="G12" s="141" t="n"/>
      <c r="H12" s="141">
        <f>H11+1</f>
        <v/>
      </c>
    </row>
    <row r="13" ht="14.25" customHeight="1" s="142">
      <c r="A13" s="141" t="inlineStr">
        <is>
          <t>#精神</t>
        </is>
      </c>
      <c r="B13" s="141" t="n"/>
      <c r="C13" s="141" t="n"/>
      <c r="D13" s="141" t="n"/>
      <c r="E13" s="141" t="n"/>
      <c r="F13" s="141" t="n"/>
      <c r="G13" s="141" t="n">
        <v>20</v>
      </c>
      <c r="H13" s="141">
        <f>H12+1</f>
        <v/>
      </c>
    </row>
    <row r="14" ht="14.25" customHeight="1" s="142">
      <c r="A14" s="141" t="inlineStr">
        <is>
          <t>#宮廷的法師</t>
        </is>
      </c>
      <c r="B14" s="141" t="n">
        <v>69</v>
      </c>
      <c r="C14" s="141" t="n"/>
      <c r="D14" s="141" t="n"/>
      <c r="E14" s="141" t="n"/>
      <c r="F14" s="141" t="n"/>
      <c r="G14" s="141" t="n">
        <v>69</v>
      </c>
      <c r="H14" s="141">
        <f>H13+1</f>
        <v/>
      </c>
    </row>
    <row r="15" ht="14.25" customHeight="1" s="142">
      <c r="A15" s="141" t="inlineStr">
        <is>
          <t>#極意攻勢</t>
        </is>
      </c>
      <c r="B15" s="141" t="n"/>
      <c r="C15" s="141" t="n"/>
      <c r="D15" s="141" t="n"/>
      <c r="E15" s="141" t="n">
        <v>69</v>
      </c>
      <c r="F15" s="141" t="n">
        <v>69</v>
      </c>
      <c r="G15" s="141" t="n"/>
      <c r="H15" s="141">
        <f>H14+1</f>
        <v/>
      </c>
    </row>
    <row r="16" ht="14.25" customHeight="1" s="142">
      <c r="A16" s="141" t="inlineStr">
        <is>
          <t>#防禦怪獸</t>
        </is>
      </c>
      <c r="B16" s="141" t="n"/>
      <c r="C16" s="141" t="n">
        <v>69</v>
      </c>
      <c r="D16" s="141" t="n"/>
      <c r="E16" s="141" t="n"/>
      <c r="F16" s="141" t="n"/>
      <c r="G16" s="141" t="n">
        <v>69</v>
      </c>
      <c r="H16" s="141">
        <f>H15+1</f>
        <v/>
      </c>
    </row>
    <row r="17" ht="14.25" customHeight="1" s="142">
      <c r="A17" s="141" t="inlineStr">
        <is>
          <t>#又快又準</t>
        </is>
      </c>
      <c r="B17" s="141" t="n"/>
      <c r="C17" s="141" t="n"/>
      <c r="D17" s="141" t="n">
        <v>99</v>
      </c>
      <c r="E17" s="141" t="n"/>
      <c r="F17" s="141" t="n">
        <v>49</v>
      </c>
      <c r="G17" s="141" t="n"/>
      <c r="H17" s="141">
        <f>H16+1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O1171"/>
  <sheetViews>
    <sheetView zoomScaleNormal="100"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2.75"/>
  <cols>
    <col width="15.42578125" customWidth="1" style="142" min="2" max="2"/>
    <col width="11" customWidth="1" style="142" min="3" max="3"/>
    <col width="9.42578125" customWidth="1" style="142" min="4" max="4"/>
    <col width="11" customWidth="1" style="142" min="5" max="5"/>
    <col width="8.7109375" customWidth="1" style="142" min="6" max="6"/>
    <col width="11.140625" customWidth="1" style="142" min="7" max="7"/>
    <col width="11" customWidth="1" style="142" min="8" max="8"/>
    <col width="9" customWidth="1" style="142" min="9" max="12"/>
    <col width="11.140625" customWidth="1" style="142" min="13" max="13"/>
    <col width="7.42578125" customWidth="1" style="142" min="14" max="14"/>
    <col width="10" customWidth="1" style="142" min="15" max="15"/>
    <col width="13.28515625" customWidth="1" style="142" min="16" max="16"/>
    <col width="18.7109375" customWidth="1" style="142" min="17" max="17"/>
    <col width="17.28515625" customWidth="1" style="142" min="18" max="18"/>
    <col width="22.5703125" customWidth="1" style="142" min="19" max="19"/>
    <col width="12.42578125" customWidth="1" style="142" min="20" max="20"/>
    <col width="21.7109375" customWidth="1" style="142" min="21" max="21"/>
    <col width="41.28515625" customWidth="1" style="142" min="30" max="30"/>
  </cols>
  <sheetData>
    <row r="1" ht="14.25" customHeight="1" s="142"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N1" s="46" t="n"/>
      <c r="P1" s="47" t="n"/>
      <c r="Q1" s="47" t="n"/>
      <c r="R1" s="47" t="n"/>
      <c r="V1" s="45" t="n"/>
    </row>
    <row r="2" ht="14.25" customHeight="1" s="142">
      <c r="A2" s="23" t="inlineStr">
        <is>
          <t>skill_id</t>
        </is>
      </c>
      <c r="B2" s="136" t="inlineStr">
        <is>
          <t>技能名稱</t>
        </is>
      </c>
      <c r="C2" s="48" t="inlineStr">
        <is>
          <t>攻擊對象數量</t>
        </is>
      </c>
      <c r="D2" s="48" t="inlineStr">
        <is>
          <t>是否為隨機</t>
        </is>
      </c>
      <c r="E2" s="48" t="inlineStr">
        <is>
          <t>是否自身施放</t>
        </is>
      </c>
      <c r="F2" s="48" t="inlineStr">
        <is>
          <t>攻擊次數</t>
        </is>
      </c>
      <c r="G2" s="40" t="inlineStr">
        <is>
          <t>AD(技能係數)</t>
        </is>
      </c>
      <c r="H2" s="40" t="inlineStr">
        <is>
          <t>AP(技能係數)</t>
        </is>
      </c>
      <c r="I2" s="40" t="inlineStr">
        <is>
          <t>AGI</t>
        </is>
      </c>
      <c r="J2" s="40" t="inlineStr">
        <is>
          <t>current_hp</t>
        </is>
      </c>
      <c r="K2" s="40" t="inlineStr">
        <is>
          <t>cooldown</t>
        </is>
      </c>
      <c r="L2" s="40" t="inlineStr">
        <is>
          <t>isrole</t>
        </is>
      </c>
      <c r="M2" s="23" t="inlineStr">
        <is>
          <t>type</t>
        </is>
      </c>
      <c r="N2" s="49" t="inlineStr">
        <is>
          <t>MP_cost</t>
        </is>
      </c>
      <c r="O2" s="23" t="inlineStr">
        <is>
          <t>MP_revocer</t>
        </is>
      </c>
      <c r="P2" s="50" t="inlineStr">
        <is>
          <t>self_add_buff_id</t>
        </is>
      </c>
      <c r="Q2" s="50" t="inlineStr">
        <is>
          <t>self_buff_rate_overwrite</t>
        </is>
      </c>
      <c r="R2" s="50" t="inlineStr">
        <is>
          <t>add_buff_id</t>
        </is>
      </c>
      <c r="S2" s="50" t="inlineStr">
        <is>
          <t>add_buff_rate_overwrite</t>
        </is>
      </c>
      <c r="T2" s="23" t="inlineStr">
        <is>
          <t>remove_buff_id</t>
        </is>
      </c>
      <c r="U2" s="50" t="inlineStr">
        <is>
          <t>remove_buff_rate_overwrite</t>
        </is>
      </c>
      <c r="V2" s="135" t="inlineStr">
        <is>
          <t>isMpDamage</t>
        </is>
      </c>
      <c r="W2" s="23" t="inlineStr">
        <is>
          <t>prefeb_atk</t>
        </is>
      </c>
      <c r="X2" s="23" t="inlineStr">
        <is>
          <t>prefeb_hit1</t>
        </is>
      </c>
      <c r="Y2" s="23" t="inlineStr">
        <is>
          <t>prefeb_hit2</t>
        </is>
      </c>
      <c r="Z2" s="136" t="inlineStr">
        <is>
          <t>說明</t>
        </is>
      </c>
      <c r="AA2" s="150" t="n"/>
      <c r="AB2" s="150" t="n"/>
      <c r="AC2" s="150" t="n"/>
      <c r="AD2" s="149" t="n"/>
    </row>
    <row r="3" ht="14.25" customHeight="1" s="142">
      <c r="A3" s="141" t="n">
        <v>110000</v>
      </c>
      <c r="B3" s="137" t="inlineStr">
        <is>
          <t>黑暗契約</t>
        </is>
      </c>
      <c r="C3" s="135" t="n">
        <v>1</v>
      </c>
      <c r="D3" s="135" t="n"/>
      <c r="E3" s="135" t="n"/>
      <c r="F3" s="135" t="n">
        <v>1</v>
      </c>
      <c r="G3" s="135" t="n"/>
      <c r="H3" s="135" t="n"/>
      <c r="I3" s="135" t="n"/>
      <c r="J3" s="135" t="n"/>
      <c r="K3" s="135" t="n"/>
      <c r="L3" s="135" t="n"/>
      <c r="M3" s="141" t="n"/>
      <c r="N3" s="51" t="n"/>
      <c r="O3" s="141" t="n"/>
      <c r="P3" s="52" t="n"/>
      <c r="Q3" s="52" t="n"/>
      <c r="R3" s="52" t="n"/>
      <c r="S3" s="141" t="n"/>
      <c r="T3" s="141" t="n"/>
      <c r="U3" s="141" t="n"/>
      <c r="V3" s="135" t="n"/>
      <c r="W3" s="141" t="n"/>
      <c r="X3" s="141" t="n"/>
      <c r="Y3" s="141" t="n"/>
      <c r="Z3" s="137" t="inlineStr">
        <is>
          <t>消耗一張"暗黑契約卷"對敵方1體進行契約，如契約成功戰鬥勝利新增至武器清單中。</t>
        </is>
      </c>
      <c r="AA3" s="150" t="n"/>
      <c r="AB3" s="150" t="n"/>
      <c r="AC3" s="150" t="n"/>
      <c r="AD3" s="149" t="n"/>
    </row>
    <row r="4" ht="14.25" customHeight="1" s="142">
      <c r="A4" s="141" t="n">
        <v>110001</v>
      </c>
      <c r="B4" s="137" t="inlineStr">
        <is>
          <t>物理攻擊</t>
        </is>
      </c>
      <c r="C4" s="135" t="n">
        <v>1</v>
      </c>
      <c r="D4" s="135" t="n"/>
      <c r="E4" s="135" t="n"/>
      <c r="F4" s="135" t="n">
        <v>1</v>
      </c>
      <c r="G4" s="135" t="n">
        <v>1.9</v>
      </c>
      <c r="H4" s="135" t="n"/>
      <c r="I4" s="135" t="n"/>
      <c r="J4" s="135" t="n"/>
      <c r="K4" s="135" t="n"/>
      <c r="L4" s="135" t="n"/>
      <c r="M4" s="141" t="inlineStr">
        <is>
          <t>phycial</t>
        </is>
      </c>
      <c r="N4" s="51" t="n"/>
      <c r="O4" s="141" t="n"/>
      <c r="P4" s="52" t="n"/>
      <c r="Q4" s="52" t="n"/>
      <c r="R4" s="52" t="n"/>
      <c r="S4" s="141" t="n"/>
      <c r="T4" s="141" t="n"/>
      <c r="U4" s="141" t="n"/>
      <c r="V4" s="135" t="n"/>
      <c r="W4" s="141" t="n"/>
      <c r="X4" s="141" t="n"/>
      <c r="Y4" s="141" t="inlineStr">
        <is>
          <t>slash</t>
        </is>
      </c>
      <c r="Z4" s="137" t="inlineStr">
        <is>
          <t>對敵方造成&lt;AD&gt;的物理傷害</t>
        </is>
      </c>
      <c r="AA4" s="150" t="n"/>
      <c r="AB4" s="150" t="n"/>
      <c r="AC4" s="150" t="n"/>
      <c r="AD4" s="149" t="n"/>
    </row>
    <row r="5" ht="14.25" customHeight="1" s="142">
      <c r="A5" s="141" t="n">
        <v>110002</v>
      </c>
      <c r="B5" s="137" t="inlineStr">
        <is>
          <t>物理2體攻擊</t>
        </is>
      </c>
      <c r="C5" s="135" t="n">
        <v>2</v>
      </c>
      <c r="D5" s="135" t="n">
        <v>1</v>
      </c>
      <c r="E5" s="135" t="n"/>
      <c r="F5" s="135" t="n">
        <v>1</v>
      </c>
      <c r="G5" s="135" t="n">
        <v>0.9</v>
      </c>
      <c r="H5" s="135" t="n"/>
      <c r="I5" s="135" t="n"/>
      <c r="J5" s="135" t="n"/>
      <c r="K5" s="135" t="n"/>
      <c r="L5" s="135" t="n"/>
      <c r="M5" s="141" t="inlineStr">
        <is>
          <t>phycial</t>
        </is>
      </c>
      <c r="N5" s="51" t="n"/>
      <c r="O5" s="141" t="n"/>
      <c r="P5" s="52" t="n"/>
      <c r="Q5" s="52" t="n"/>
      <c r="R5" s="52" t="n"/>
      <c r="S5" s="141" t="n"/>
      <c r="T5" s="141" t="n"/>
      <c r="U5" s="141" t="n"/>
      <c r="V5" s="135" t="n"/>
      <c r="W5" s="141" t="n"/>
      <c r="X5" s="141" t="n"/>
      <c r="Y5" s="141" t="inlineStr">
        <is>
          <t>slash</t>
        </is>
      </c>
      <c r="Z5" s="137" t="inlineStr">
        <is>
          <t>對隨機2名敵方造成&lt;AD&gt;的物理傷害</t>
        </is>
      </c>
      <c r="AA5" s="150" t="n"/>
      <c r="AB5" s="150" t="n"/>
      <c r="AC5" s="150" t="n"/>
      <c r="AD5" s="149" t="n"/>
    </row>
    <row r="6" ht="15.75" customHeight="1" s="142">
      <c r="A6" s="141" t="n">
        <v>110003</v>
      </c>
      <c r="B6" s="137" t="inlineStr">
        <is>
          <t>物理群體攻擊</t>
        </is>
      </c>
      <c r="C6" s="135" t="n">
        <v>3</v>
      </c>
      <c r="D6" s="135" t="n">
        <v>1</v>
      </c>
      <c r="E6" s="135" t="n"/>
      <c r="F6" s="135" t="n">
        <v>1</v>
      </c>
      <c r="G6" s="135" t="n">
        <v>0.8</v>
      </c>
      <c r="H6" s="135" t="n"/>
      <c r="I6" s="135" t="n"/>
      <c r="J6" s="135" t="n"/>
      <c r="K6" s="135" t="n"/>
      <c r="L6" s="135" t="n"/>
      <c r="M6" s="141" t="inlineStr">
        <is>
          <t>phycial</t>
        </is>
      </c>
      <c r="N6" s="51" t="n"/>
      <c r="O6" s="141" t="n"/>
      <c r="P6" s="52" t="n"/>
      <c r="Q6" s="52" t="n"/>
      <c r="R6" s="52" t="n"/>
      <c r="S6" s="141" t="n"/>
      <c r="T6" s="141" t="n"/>
      <c r="U6" s="141" t="n"/>
      <c r="V6" s="135" t="n"/>
      <c r="W6" s="53" t="n"/>
      <c r="X6" s="141" t="n"/>
      <c r="Y6" s="141" t="inlineStr">
        <is>
          <t>slash</t>
        </is>
      </c>
      <c r="Z6" s="137" t="inlineStr">
        <is>
          <t>對隨機3名敵方造成&lt;AD&gt;的物理傷害</t>
        </is>
      </c>
      <c r="AA6" s="150" t="n"/>
      <c r="AB6" s="150" t="n"/>
      <c r="AC6" s="150" t="n"/>
      <c r="AD6" s="149" t="n"/>
    </row>
    <row r="7" ht="15.75" customHeight="1" s="142">
      <c r="A7" s="141" t="n">
        <v>110004</v>
      </c>
      <c r="B7" s="137" t="inlineStr">
        <is>
          <t>迴旋打擊</t>
        </is>
      </c>
      <c r="C7" s="135" t="n">
        <v>3</v>
      </c>
      <c r="D7" s="135" t="n">
        <v>1</v>
      </c>
      <c r="E7" s="135" t="n"/>
      <c r="F7" s="135" t="n"/>
      <c r="G7" s="135" t="n">
        <v>1.7</v>
      </c>
      <c r="H7" s="135" t="n"/>
      <c r="I7" s="135" t="n"/>
      <c r="J7" s="135" t="n"/>
      <c r="K7" s="135" t="n"/>
      <c r="L7" s="135" t="n"/>
      <c r="M7" s="141" t="inlineStr">
        <is>
          <t>phycial</t>
        </is>
      </c>
      <c r="N7" s="51" t="n"/>
      <c r="O7" s="141" t="n"/>
      <c r="P7" s="52" t="n"/>
      <c r="Q7" s="52" t="n"/>
      <c r="R7" s="52" t="n"/>
      <c r="S7" s="141" t="n"/>
      <c r="T7" s="141" t="n"/>
      <c r="U7" s="141" t="n"/>
      <c r="V7" s="135" t="n"/>
      <c r="W7" s="53" t="n"/>
      <c r="X7" s="141" t="n"/>
      <c r="Y7" s="141" t="inlineStr">
        <is>
          <t>slash</t>
        </is>
      </c>
      <c r="Z7" s="140" t="inlineStr">
        <is>
          <t>為隨機3名敵人造成&lt;AD&gt;的物理傷害</t>
        </is>
      </c>
      <c r="AA7" s="147" t="n"/>
      <c r="AB7" s="147" t="n"/>
      <c r="AC7" s="147" t="n"/>
      <c r="AD7" s="148" t="n"/>
    </row>
    <row r="8" ht="15.75" customHeight="1" s="142">
      <c r="A8" s="141" t="n">
        <v>110011</v>
      </c>
      <c r="B8" s="137" t="inlineStr">
        <is>
          <t>魔法攻擊</t>
        </is>
      </c>
      <c r="C8" s="135" t="n">
        <v>1</v>
      </c>
      <c r="D8" s="135" t="n"/>
      <c r="E8" s="135" t="n"/>
      <c r="F8" s="135" t="n">
        <v>1</v>
      </c>
      <c r="G8" s="135" t="n"/>
      <c r="H8" s="135" t="n">
        <v>2.1</v>
      </c>
      <c r="I8" s="135" t="n"/>
      <c r="J8" s="135" t="n"/>
      <c r="K8" s="135" t="n"/>
      <c r="L8" s="135" t="n"/>
      <c r="M8" s="141" t="inlineStr">
        <is>
          <t>magic</t>
        </is>
      </c>
      <c r="N8" s="51" t="n"/>
      <c r="O8" s="141" t="n"/>
      <c r="P8" s="52" t="n"/>
      <c r="Q8" s="52" t="n"/>
      <c r="R8" s="52" t="n"/>
      <c r="S8" s="141" t="n"/>
      <c r="T8" s="141" t="n"/>
      <c r="U8" s="141" t="n"/>
      <c r="V8" s="135" t="n"/>
      <c r="W8" s="53" t="inlineStr">
        <is>
          <t>magic_throw</t>
        </is>
      </c>
      <c r="X8" s="141" t="n"/>
      <c r="Y8" s="53" t="inlineStr">
        <is>
          <t>explode</t>
        </is>
      </c>
      <c r="Z8" s="137" t="inlineStr">
        <is>
          <t>對敵方敵方造成&lt;AP&gt;的魔法傷害</t>
        </is>
      </c>
      <c r="AA8" s="150" t="n"/>
      <c r="AB8" s="150" t="n"/>
      <c r="AC8" s="150" t="n"/>
      <c r="AD8" s="149" t="n"/>
    </row>
    <row r="9" ht="15.75" customHeight="1" s="142">
      <c r="A9" s="141" t="n">
        <v>110012</v>
      </c>
      <c r="B9" s="137" t="inlineStr">
        <is>
          <t>魔法2體攻擊</t>
        </is>
      </c>
      <c r="C9" s="135" t="n">
        <v>2</v>
      </c>
      <c r="D9" s="135" t="n">
        <v>1</v>
      </c>
      <c r="E9" s="135" t="n"/>
      <c r="F9" s="135" t="n">
        <v>1</v>
      </c>
      <c r="G9" s="135" t="n"/>
      <c r="H9" s="135" t="n">
        <v>1.2</v>
      </c>
      <c r="I9" s="135" t="n"/>
      <c r="J9" s="135" t="n"/>
      <c r="K9" s="135" t="n"/>
      <c r="L9" s="135" t="n"/>
      <c r="M9" s="141" t="inlineStr">
        <is>
          <t>magic</t>
        </is>
      </c>
      <c r="N9" s="51" t="n"/>
      <c r="O9" s="141" t="n"/>
      <c r="P9" s="52" t="n"/>
      <c r="Q9" s="52" t="n"/>
      <c r="R9" s="52" t="n"/>
      <c r="S9" s="141" t="n"/>
      <c r="T9" s="141" t="n"/>
      <c r="U9" s="141" t="n"/>
      <c r="V9" s="135" t="n"/>
      <c r="W9" s="53" t="inlineStr">
        <is>
          <t>magic_throw</t>
        </is>
      </c>
      <c r="X9" s="141" t="n"/>
      <c r="Y9" s="53" t="inlineStr">
        <is>
          <t>explode</t>
        </is>
      </c>
      <c r="Z9" s="137" t="inlineStr">
        <is>
          <t>對隨機2名敵方造成&lt;AP&gt;的魔法傷害</t>
        </is>
      </c>
      <c r="AA9" s="150" t="n"/>
      <c r="AB9" s="150" t="n"/>
      <c r="AC9" s="150" t="n"/>
      <c r="AD9" s="149" t="n"/>
    </row>
    <row r="10" ht="15.75" customHeight="1" s="142">
      <c r="A10" s="141" t="n">
        <v>110013</v>
      </c>
      <c r="B10" s="137" t="inlineStr">
        <is>
          <t>魔法群體攻擊</t>
        </is>
      </c>
      <c r="C10" s="135" t="n">
        <v>3</v>
      </c>
      <c r="D10" s="135" t="n">
        <v>1</v>
      </c>
      <c r="E10" s="135" t="n"/>
      <c r="F10" s="135" t="n">
        <v>1</v>
      </c>
      <c r="G10" s="135" t="n"/>
      <c r="H10" s="135" t="n">
        <v>0.8</v>
      </c>
      <c r="I10" s="135" t="n"/>
      <c r="J10" s="135" t="n"/>
      <c r="K10" s="135" t="n"/>
      <c r="L10" s="135" t="n"/>
      <c r="M10" s="141" t="inlineStr">
        <is>
          <t>magic</t>
        </is>
      </c>
      <c r="N10" s="51" t="n"/>
      <c r="O10" s="141" t="n"/>
      <c r="P10" s="52" t="n"/>
      <c r="Q10" s="52" t="n"/>
      <c r="R10" s="52" t="n"/>
      <c r="S10" s="141" t="n"/>
      <c r="T10" s="141" t="n"/>
      <c r="U10" s="141" t="n"/>
      <c r="V10" s="135" t="n"/>
      <c r="W10" s="53" t="inlineStr">
        <is>
          <t>magic_throw</t>
        </is>
      </c>
      <c r="X10" s="141" t="n"/>
      <c r="Y10" s="53" t="inlineStr">
        <is>
          <t>explode</t>
        </is>
      </c>
      <c r="Z10" s="137" t="inlineStr">
        <is>
          <t>對隨機3名敵方造成&lt;AP&gt;的魔法傷害</t>
        </is>
      </c>
      <c r="AA10" s="150" t="n"/>
      <c r="AB10" s="150" t="n"/>
      <c r="AC10" s="150" t="n"/>
      <c r="AD10" s="149" t="n"/>
    </row>
    <row r="11" ht="14.25" customHeight="1" s="142"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N11" s="46" t="n"/>
      <c r="P11" s="47" t="n"/>
      <c r="Q11" s="47" t="n"/>
      <c r="R11" s="47" t="n"/>
      <c r="V11" s="45" t="n"/>
    </row>
    <row r="12" ht="14.25" customHeight="1" s="142">
      <c r="A12" s="23" t="inlineStr">
        <is>
          <t>skill_id</t>
        </is>
      </c>
      <c r="B12" s="136" t="inlineStr">
        <is>
          <t>技能名稱</t>
        </is>
      </c>
      <c r="C12" s="48" t="inlineStr">
        <is>
          <t>攻擊對象數量</t>
        </is>
      </c>
      <c r="D12" s="48" t="inlineStr">
        <is>
          <t>是否為隨機</t>
        </is>
      </c>
      <c r="E12" s="48" t="inlineStr">
        <is>
          <t>是否自身施放</t>
        </is>
      </c>
      <c r="F12" s="48" t="inlineStr">
        <is>
          <t>攻擊次數</t>
        </is>
      </c>
      <c r="G12" s="40" t="inlineStr">
        <is>
          <t>AD(技能係數)</t>
        </is>
      </c>
      <c r="H12" s="40" t="inlineStr">
        <is>
          <t>AP(技能係數)</t>
        </is>
      </c>
      <c r="I12" s="40" t="inlineStr">
        <is>
          <t>AGI</t>
        </is>
      </c>
      <c r="J12" s="40" t="inlineStr">
        <is>
          <t>current_hp</t>
        </is>
      </c>
      <c r="K12" s="40" t="inlineStr">
        <is>
          <t>cooldown</t>
        </is>
      </c>
      <c r="L12" s="40" t="inlineStr">
        <is>
          <t>isrole</t>
        </is>
      </c>
      <c r="M12" s="23" t="inlineStr">
        <is>
          <t>type</t>
        </is>
      </c>
      <c r="N12" s="49" t="inlineStr">
        <is>
          <t>MP_cost</t>
        </is>
      </c>
      <c r="O12" s="23" t="inlineStr">
        <is>
          <t>MP_revocer</t>
        </is>
      </c>
      <c r="P12" s="50" t="inlineStr">
        <is>
          <t>self_add_buff_id</t>
        </is>
      </c>
      <c r="Q12" s="50" t="inlineStr">
        <is>
          <t>self_buff_rate_overwrite</t>
        </is>
      </c>
      <c r="R12" s="50" t="inlineStr">
        <is>
          <t>add_buff_id</t>
        </is>
      </c>
      <c r="S12" s="50" t="inlineStr">
        <is>
          <t>add_buff_rate_overwrite</t>
        </is>
      </c>
      <c r="T12" s="23" t="inlineStr">
        <is>
          <t>remove_buff_id</t>
        </is>
      </c>
      <c r="U12" s="50" t="inlineStr">
        <is>
          <t>remove_buff_rate_overwrite</t>
        </is>
      </c>
      <c r="V12" s="135" t="inlineStr">
        <is>
          <t>isMpDamage</t>
        </is>
      </c>
      <c r="W12" s="23" t="inlineStr">
        <is>
          <t>prefeb_atk</t>
        </is>
      </c>
      <c r="X12" s="23" t="inlineStr">
        <is>
          <t>prefeb_hit1</t>
        </is>
      </c>
      <c r="Y12" s="23" t="inlineStr">
        <is>
          <t>prefeb_hit2</t>
        </is>
      </c>
      <c r="Z12" s="136" t="inlineStr">
        <is>
          <t>說明</t>
        </is>
      </c>
      <c r="AA12" s="150" t="n"/>
      <c r="AB12" s="150" t="n"/>
      <c r="AC12" s="150" t="n"/>
      <c r="AD12" s="149" t="n"/>
    </row>
    <row r="13" ht="14.25" customHeight="1" s="142">
      <c r="A13" s="141" t="n">
        <v>210001</v>
      </c>
      <c r="B13" s="137" t="inlineStr">
        <is>
          <t>業火一閃</t>
        </is>
      </c>
      <c r="C13" s="135" t="n">
        <v>2</v>
      </c>
      <c r="D13" s="135" t="n"/>
      <c r="E13" s="141" t="n"/>
      <c r="F13" s="135" t="n">
        <v>1</v>
      </c>
      <c r="G13" s="135" t="n"/>
      <c r="H13" s="135" t="n">
        <v>2.4</v>
      </c>
      <c r="I13" s="135" t="n"/>
      <c r="J13" s="135" t="n"/>
      <c r="K13" s="135" t="n"/>
      <c r="L13" s="135" t="n"/>
      <c r="M13" s="141" t="inlineStr">
        <is>
          <t>magic</t>
        </is>
      </c>
      <c r="N13" s="51" t="n">
        <v>96</v>
      </c>
      <c r="O13" s="141" t="n"/>
      <c r="P13" s="52" t="n"/>
      <c r="Q13" s="52" t="n"/>
      <c r="R13" s="52" t="n">
        <v>4001</v>
      </c>
      <c r="S13" s="52" t="n">
        <v>0.4</v>
      </c>
      <c r="T13" s="141" t="n"/>
      <c r="U13" s="141" t="n"/>
      <c r="V13" s="135" t="n"/>
      <c r="W13" s="141" t="inlineStr">
        <is>
          <t>magic_fire</t>
        </is>
      </c>
      <c r="X13" s="141" t="inlineStr">
        <is>
          <t>fire</t>
        </is>
      </c>
      <c r="Y13" s="141" t="n"/>
      <c r="Z13" s="137" t="inlineStr">
        <is>
          <t>對隨機敵方2體造成&lt;AP&gt;魔攻的魔法傷害，並40%機率附加灼傷</t>
        </is>
      </c>
      <c r="AA13" s="150" t="n"/>
      <c r="AB13" s="150" t="n"/>
      <c r="AC13" s="150" t="n"/>
      <c r="AD13" s="149" t="n"/>
    </row>
    <row r="14" ht="15.75" customHeight="1" s="142">
      <c r="A14" s="141" t="n">
        <v>210002</v>
      </c>
      <c r="B14" s="137" t="inlineStr">
        <is>
          <t>除魔霜障</t>
        </is>
      </c>
      <c r="C14" s="135" t="n">
        <v>2</v>
      </c>
      <c r="D14" s="135" t="n">
        <v>1</v>
      </c>
      <c r="E14" s="141" t="n"/>
      <c r="F14" s="135" t="n">
        <v>1</v>
      </c>
      <c r="G14" s="135" t="n"/>
      <c r="H14" s="135" t="n">
        <v>2.5</v>
      </c>
      <c r="I14" s="135" t="n"/>
      <c r="J14" s="135" t="n"/>
      <c r="K14" s="135" t="n"/>
      <c r="L14" s="135" t="n"/>
      <c r="M14" s="141" t="inlineStr">
        <is>
          <t>magic</t>
        </is>
      </c>
      <c r="N14" s="51" t="n">
        <v>95</v>
      </c>
      <c r="O14" s="141" t="n"/>
      <c r="P14" s="52" t="n"/>
      <c r="Q14" s="52" t="n"/>
      <c r="R14" s="52" t="n">
        <v>4002</v>
      </c>
      <c r="S14" s="52" t="n">
        <v>0.4</v>
      </c>
      <c r="T14" s="141" t="n"/>
      <c r="U14" s="141" t="n"/>
      <c r="V14" s="135" t="n"/>
      <c r="W14" s="53" t="inlineStr">
        <is>
          <t>magic_throw</t>
        </is>
      </c>
      <c r="X14" s="53" t="inlineStr">
        <is>
          <t>explode</t>
        </is>
      </c>
      <c r="Y14" s="141" t="n"/>
      <c r="Z14" s="137" t="inlineStr">
        <is>
          <t>對隨機敵方2體造成&lt;AP&gt;魔攻的魔法傷害，並40%機率附加凍傷</t>
        </is>
      </c>
      <c r="AA14" s="150" t="n"/>
      <c r="AB14" s="150" t="n"/>
      <c r="AC14" s="150" t="n"/>
      <c r="AD14" s="149" t="n"/>
    </row>
    <row r="15" ht="15.75" customHeight="1" s="142">
      <c r="A15" s="141" t="n">
        <v>210003</v>
      </c>
      <c r="B15" s="137" t="inlineStr">
        <is>
          <t>萬物洗淨</t>
        </is>
      </c>
      <c r="C15" s="135" t="n">
        <v>-2</v>
      </c>
      <c r="D15" s="135" t="n"/>
      <c r="E15" s="141" t="n"/>
      <c r="F15" s="135" t="n">
        <v>1</v>
      </c>
      <c r="G15" s="135" t="n"/>
      <c r="H15" s="135" t="n">
        <v>2.4</v>
      </c>
      <c r="I15" s="135" t="n"/>
      <c r="J15" s="135" t="n"/>
      <c r="K15" s="135" t="n"/>
      <c r="L15" s="135" t="n"/>
      <c r="M15" s="141" t="inlineStr">
        <is>
          <t>heal</t>
        </is>
      </c>
      <c r="N15" s="51" t="n">
        <v>48</v>
      </c>
      <c r="O15" s="141" t="n"/>
      <c r="P15" s="52" t="n"/>
      <c r="Q15" s="52" t="n"/>
      <c r="R15" s="52" t="n"/>
      <c r="S15" s="141" t="n"/>
      <c r="T15" s="141" t="n"/>
      <c r="U15" s="141" t="n"/>
      <c r="V15" s="135" t="n"/>
      <c r="W15" s="53" t="inlineStr">
        <is>
          <t>magic_throw</t>
        </is>
      </c>
      <c r="X15" s="53" t="inlineStr">
        <is>
          <t>explode</t>
        </is>
      </c>
      <c r="Y15" s="141" t="n"/>
      <c r="Z15" s="137" t="inlineStr">
        <is>
          <t>為我方2體恢復&lt;AP&gt;魔攻的HP</t>
        </is>
      </c>
      <c r="AA15" s="150" t="n"/>
      <c r="AB15" s="150" t="n"/>
      <c r="AC15" s="150" t="n"/>
      <c r="AD15" s="149" t="n"/>
    </row>
    <row r="16" ht="14.25" customHeight="1" s="142">
      <c r="A16" s="141" t="n">
        <v>210004</v>
      </c>
      <c r="B16" s="137" t="inlineStr">
        <is>
          <t>防禦崩解</t>
        </is>
      </c>
      <c r="C16" s="135" t="n">
        <v>4</v>
      </c>
      <c r="D16" s="135" t="n">
        <v>1</v>
      </c>
      <c r="E16" s="141" t="n"/>
      <c r="F16" s="135" t="n">
        <v>1</v>
      </c>
      <c r="G16" s="135" t="n">
        <v>1.25</v>
      </c>
      <c r="H16" s="135" t="n"/>
      <c r="I16" s="135" t="n"/>
      <c r="J16" s="135" t="n"/>
      <c r="K16" s="135" t="n"/>
      <c r="L16" s="135" t="n"/>
      <c r="M16" s="141" t="inlineStr">
        <is>
          <t>phycial</t>
        </is>
      </c>
      <c r="N16" s="51" t="n">
        <v>47</v>
      </c>
      <c r="O16" s="141" t="n"/>
      <c r="P16" s="52" t="n"/>
      <c r="Q16" s="52" t="n"/>
      <c r="R16" s="52" t="n">
        <v>2001</v>
      </c>
      <c r="S16" s="141" t="n"/>
      <c r="T16" s="141" t="n"/>
      <c r="U16" s="141" t="n"/>
      <c r="V16" s="135" t="n"/>
      <c r="W16" s="141" t="n"/>
      <c r="X16" s="141" t="inlineStr">
        <is>
          <t>slash</t>
        </is>
      </c>
      <c r="Y16" s="141" t="n"/>
      <c r="Z16" s="137" t="inlineStr">
        <is>
          <t>對隨機敵方4體造成&lt;AD&gt;物攻的物理攻擊，附加防禦下降</t>
        </is>
      </c>
      <c r="AA16" s="150" t="n"/>
      <c r="AB16" s="150" t="n"/>
      <c r="AC16" s="150" t="n"/>
      <c r="AD16" s="149" t="n"/>
    </row>
    <row r="17" ht="14.25" customHeight="1" s="142">
      <c r="A17" s="141" t="n">
        <v>210005</v>
      </c>
      <c r="B17" s="137" t="inlineStr">
        <is>
          <t>極限斬擊</t>
        </is>
      </c>
      <c r="C17" s="135" t="n">
        <v>1</v>
      </c>
      <c r="D17" s="135" t="n">
        <v>1</v>
      </c>
      <c r="E17" s="141" t="n"/>
      <c r="F17" s="135" t="n">
        <v>1</v>
      </c>
      <c r="G17" s="135" t="n">
        <v>5</v>
      </c>
      <c r="H17" s="135" t="n"/>
      <c r="I17" s="135" t="n"/>
      <c r="J17" s="135" t="n"/>
      <c r="K17" s="135" t="n"/>
      <c r="L17" s="135" t="n"/>
      <c r="M17" s="141" t="inlineStr">
        <is>
          <t>phycial</t>
        </is>
      </c>
      <c r="N17" s="51" t="n">
        <v>49</v>
      </c>
      <c r="O17" s="141" t="n"/>
      <c r="P17" s="52" t="n">
        <v>1005</v>
      </c>
      <c r="Q17" s="52" t="n"/>
      <c r="S17" s="141" t="n"/>
      <c r="T17" s="141" t="n"/>
      <c r="U17" s="141" t="n"/>
      <c r="V17" s="135" t="n"/>
      <c r="W17" s="141" t="n"/>
      <c r="X17" s="141" t="inlineStr">
        <is>
          <t>slash</t>
        </is>
      </c>
      <c r="Y17" s="141" t="n"/>
      <c r="Z17" s="137" t="inlineStr">
        <is>
          <t>對敵方隨機1體造成&lt;AD&gt;物攻的物理攻擊，附加自身爆擊上升</t>
        </is>
      </c>
      <c r="AA17" s="150" t="n"/>
      <c r="AB17" s="150" t="n"/>
      <c r="AC17" s="150" t="n"/>
      <c r="AD17" s="149" t="n"/>
    </row>
    <row r="18" ht="15.75" customHeight="1" s="142">
      <c r="A18" s="141" t="n">
        <v>210006</v>
      </c>
      <c r="B18" s="137" t="inlineStr">
        <is>
          <t>神威退魔</t>
        </is>
      </c>
      <c r="C18" s="135" t="n">
        <v>-2</v>
      </c>
      <c r="D18" s="135" t="n">
        <v>1</v>
      </c>
      <c r="E18" s="141" t="n"/>
      <c r="F18" s="135" t="n">
        <v>1</v>
      </c>
      <c r="G18" s="135" t="n"/>
      <c r="H18" s="135" t="n"/>
      <c r="I18" s="135" t="n"/>
      <c r="J18" s="135" t="n"/>
      <c r="K18" s="135" t="n"/>
      <c r="L18" s="135" t="n"/>
      <c r="M18" s="141" t="n"/>
      <c r="N18" s="51" t="n">
        <v>80</v>
      </c>
      <c r="O18" s="141" t="n"/>
      <c r="P18" s="52" t="n"/>
      <c r="Q18" s="52" t="n"/>
      <c r="R18" s="52" t="n">
        <v>1996</v>
      </c>
      <c r="S18" s="141" t="n"/>
      <c r="T18" s="141" t="n"/>
      <c r="U18" s="141" t="n"/>
      <c r="V18" s="135" t="n"/>
      <c r="W18" s="141" t="n"/>
      <c r="X18" s="53" t="inlineStr">
        <is>
          <t>buff</t>
        </is>
      </c>
      <c r="Y18" s="141" t="n"/>
      <c r="Z18" s="137" t="inlineStr">
        <is>
          <t>為我方2體隨機附加傷害分擔</t>
        </is>
      </c>
      <c r="AA18" s="150" t="n"/>
      <c r="AB18" s="150" t="n"/>
      <c r="AC18" s="150" t="n"/>
      <c r="AD18" s="149" t="n"/>
    </row>
    <row r="19" ht="15.75" customHeight="1" s="142">
      <c r="A19" s="141" t="n">
        <v>210007</v>
      </c>
      <c r="B19" s="137" t="inlineStr">
        <is>
          <t>陰月靈鋒</t>
        </is>
      </c>
      <c r="C19" s="135" t="n">
        <v>-2</v>
      </c>
      <c r="D19" s="135" t="n"/>
      <c r="E19" s="141" t="n"/>
      <c r="F19" s="135" t="n">
        <v>1</v>
      </c>
      <c r="H19" s="135" t="n">
        <v>2.5</v>
      </c>
      <c r="I19" s="135" t="n"/>
      <c r="J19" s="135" t="n"/>
      <c r="K19" s="135" t="n"/>
      <c r="L19" s="135" t="n"/>
      <c r="M19" s="141" t="inlineStr">
        <is>
          <t>shield</t>
        </is>
      </c>
      <c r="N19" s="51" t="n">
        <v>48</v>
      </c>
      <c r="O19" s="141" t="n"/>
      <c r="P19" s="52" t="n"/>
      <c r="Q19" s="52" t="n"/>
      <c r="R19" s="52" t="n">
        <v>1999</v>
      </c>
      <c r="S19" s="141" t="n"/>
      <c r="T19" s="141" t="n"/>
      <c r="U19" s="141" t="n"/>
      <c r="V19" s="135" t="n"/>
      <c r="W19" s="141" t="n"/>
      <c r="X19" s="53" t="inlineStr">
        <is>
          <t>debuff</t>
        </is>
      </c>
      <c r="Y19" s="141" t="n"/>
      <c r="Z19" s="137" t="inlineStr">
        <is>
          <t>為我方2體附加附加自身&lt;AD&gt;物攻的護盾</t>
        </is>
      </c>
      <c r="AA19" s="150" t="n"/>
      <c r="AB19" s="150" t="n"/>
      <c r="AC19" s="150" t="n"/>
      <c r="AD19" s="149" t="n"/>
    </row>
    <row r="20" ht="15.75" customHeight="1" s="142">
      <c r="A20" s="141" t="n">
        <v>210008</v>
      </c>
      <c r="B20" s="54" t="inlineStr">
        <is>
          <t>聖劍光輝</t>
        </is>
      </c>
      <c r="C20" s="135" t="n">
        <v>1</v>
      </c>
      <c r="D20" s="55" t="n"/>
      <c r="E20" s="141" t="n"/>
      <c r="F20" s="135" t="n">
        <v>1</v>
      </c>
      <c r="G20" s="55" t="n"/>
      <c r="H20" s="55" t="n">
        <v>4.8</v>
      </c>
      <c r="I20" s="135" t="n"/>
      <c r="J20" s="135" t="n"/>
      <c r="K20" s="135" t="n"/>
      <c r="L20" s="135" t="n"/>
      <c r="M20" s="141" t="inlineStr">
        <is>
          <t>magic</t>
        </is>
      </c>
      <c r="N20" s="51" t="n">
        <v>96</v>
      </c>
      <c r="O20" s="54" t="n"/>
      <c r="P20" s="56" t="n"/>
      <c r="Q20" s="56" t="n"/>
      <c r="R20" s="56" t="n">
        <v>4001</v>
      </c>
      <c r="S20" s="54" t="n">
        <v>0.5</v>
      </c>
      <c r="T20" s="54" t="n"/>
      <c r="U20" s="54" t="n"/>
      <c r="V20" s="55" t="n"/>
      <c r="W20" s="53" t="inlineStr">
        <is>
          <t>magic_throw</t>
        </is>
      </c>
      <c r="X20" s="53" t="inlineStr">
        <is>
          <t>explode</t>
        </is>
      </c>
      <c r="Y20" s="53" t="n"/>
      <c r="Z20" s="137" t="inlineStr">
        <is>
          <t>對敵方1體造成&lt;AP&gt;魔攻的魔法傷害，並50%機率灼傷</t>
        </is>
      </c>
      <c r="AA20" s="150" t="n"/>
      <c r="AB20" s="150" t="n"/>
      <c r="AC20" s="150" t="n"/>
      <c r="AD20" s="149" t="n"/>
    </row>
    <row r="21" ht="15.75" customHeight="1" s="142">
      <c r="A21" s="141" t="n">
        <v>210009</v>
      </c>
      <c r="B21" s="54" t="inlineStr">
        <is>
          <t>神威震嶽</t>
        </is>
      </c>
      <c r="C21" s="135" t="n">
        <v>1</v>
      </c>
      <c r="D21" s="55" t="n"/>
      <c r="E21" s="141" t="n"/>
      <c r="F21" s="135" t="n">
        <v>1</v>
      </c>
      <c r="G21" s="55" t="n">
        <v>4.8</v>
      </c>
      <c r="H21" s="55" t="n"/>
      <c r="I21" s="135" t="n"/>
      <c r="J21" s="135" t="n"/>
      <c r="K21" s="135" t="n"/>
      <c r="L21" s="135" t="n"/>
      <c r="M21" s="141" t="inlineStr">
        <is>
          <t>phycial</t>
        </is>
      </c>
      <c r="N21" s="51" t="n">
        <v>96</v>
      </c>
      <c r="O21" s="54" t="n"/>
      <c r="P21" s="56" t="n">
        <v>1005</v>
      </c>
      <c r="Q21" s="56" t="n"/>
      <c r="R21" s="56" t="n"/>
      <c r="S21" s="54" t="n"/>
      <c r="T21" s="54" t="n"/>
      <c r="U21" s="54" t="n"/>
      <c r="V21" s="55" t="n"/>
      <c r="W21" s="53" t="inlineStr">
        <is>
          <t>magic_throw</t>
        </is>
      </c>
      <c r="X21" s="53" t="inlineStr">
        <is>
          <t>explode</t>
        </is>
      </c>
      <c r="Y21" s="53" t="n"/>
      <c r="Z21" s="137" t="inlineStr">
        <is>
          <t>對敵方1體造成&lt;AD&gt;物攻的物理傷害；並為自身附加爆擊上升</t>
        </is>
      </c>
      <c r="AA21" s="150" t="n"/>
      <c r="AB21" s="150" t="n"/>
      <c r="AC21" s="150" t="n"/>
      <c r="AD21" s="149" t="n"/>
    </row>
    <row r="22" ht="15.75" customHeight="1" s="142">
      <c r="A22" s="141" t="n">
        <v>210010</v>
      </c>
      <c r="B22" s="54" t="inlineStr">
        <is>
          <t>血祭詛咒</t>
        </is>
      </c>
      <c r="C22" s="55" t="n">
        <v>1</v>
      </c>
      <c r="D22" s="55" t="n"/>
      <c r="E22" s="141" t="n"/>
      <c r="F22" s="135" t="n">
        <v>1</v>
      </c>
      <c r="G22" s="55" t="n">
        <v>4.8</v>
      </c>
      <c r="H22" s="55" t="n"/>
      <c r="I22" s="135" t="n"/>
      <c r="J22" s="135" t="n"/>
      <c r="K22" s="135" t="n"/>
      <c r="L22" s="135" t="n"/>
      <c r="M22" s="141" t="inlineStr">
        <is>
          <t>phycial</t>
        </is>
      </c>
      <c r="N22" s="51" t="n">
        <v>48</v>
      </c>
      <c r="O22" s="54" t="n"/>
      <c r="P22" s="56" t="n"/>
      <c r="Q22" s="56" t="n"/>
      <c r="R22" s="56" t="n">
        <v>4003</v>
      </c>
      <c r="S22" s="54" t="n">
        <v>0.4</v>
      </c>
      <c r="T22" s="54" t="n"/>
      <c r="U22" s="54" t="n"/>
      <c r="V22" s="135" t="n"/>
      <c r="W22" s="53" t="n"/>
      <c r="X22" s="141" t="inlineStr">
        <is>
          <t>slash</t>
        </is>
      </c>
      <c r="Y22" s="53" t="n"/>
      <c r="Z22" s="137" t="inlineStr">
        <is>
          <t>對敵方1體造成&lt;AD&gt;物攻的物理傷害，並40%附加裂傷</t>
        </is>
      </c>
      <c r="AA22" s="150" t="n"/>
      <c r="AB22" s="150" t="n"/>
      <c r="AC22" s="150" t="n"/>
      <c r="AD22" s="149" t="n"/>
    </row>
    <row r="23" ht="15.75" customHeight="1" s="142">
      <c r="A23" s="141" t="n">
        <v>210011</v>
      </c>
      <c r="B23" s="54" t="inlineStr">
        <is>
          <t>神聖庇護</t>
        </is>
      </c>
      <c r="C23" s="55" t="n">
        <v>-2</v>
      </c>
      <c r="D23" s="55" t="n"/>
      <c r="E23" s="141" t="n"/>
      <c r="F23" s="135" t="n">
        <v>1</v>
      </c>
      <c r="G23" s="55" t="n">
        <v>2.4</v>
      </c>
      <c r="H23" s="55" t="n"/>
      <c r="I23" s="135" t="n"/>
      <c r="J23" s="135" t="n"/>
      <c r="K23" s="135" t="n"/>
      <c r="L23" s="135" t="n"/>
      <c r="M23" s="141" t="inlineStr">
        <is>
          <t>phycial</t>
        </is>
      </c>
      <c r="N23" s="51" t="n">
        <v>48</v>
      </c>
      <c r="O23" s="54" t="n"/>
      <c r="P23" s="56" t="n"/>
      <c r="Q23" s="56" t="n"/>
      <c r="R23" s="56" t="n">
        <v>1999</v>
      </c>
      <c r="S23" s="54" t="n"/>
      <c r="T23" s="54" t="n"/>
      <c r="U23" s="54" t="n"/>
      <c r="V23" s="135" t="n"/>
      <c r="W23" s="53" t="n"/>
      <c r="X23" s="53" t="inlineStr">
        <is>
          <t>buff</t>
        </is>
      </c>
      <c r="Y23" s="53" t="n"/>
      <c r="Z23" s="137" t="inlineStr">
        <is>
          <t>對我方2體&lt;AD&gt;物攻的護盾，自身死亡後3回合將自動重生</t>
        </is>
      </c>
      <c r="AA23" s="150" t="n"/>
      <c r="AB23" s="150" t="n"/>
      <c r="AC23" s="150" t="n"/>
      <c r="AD23" s="149" t="n"/>
    </row>
    <row r="24" ht="15.75" customHeight="1" s="142">
      <c r="A24" s="141" t="n">
        <v>210012</v>
      </c>
      <c r="B24" s="54" t="inlineStr">
        <is>
          <t>龍血洗禮</t>
        </is>
      </c>
      <c r="C24" s="55" t="n">
        <v>-2</v>
      </c>
      <c r="D24" s="55" t="n">
        <v>1</v>
      </c>
      <c r="E24" s="141" t="n"/>
      <c r="F24" s="135" t="n">
        <v>1</v>
      </c>
      <c r="G24" s="55" t="n"/>
      <c r="H24" s="55" t="n">
        <v>2.5</v>
      </c>
      <c r="I24" s="135" t="n"/>
      <c r="J24" s="135" t="n"/>
      <c r="K24" s="135" t="n"/>
      <c r="L24" s="135" t="n"/>
      <c r="M24" s="141" t="inlineStr">
        <is>
          <t>magic</t>
        </is>
      </c>
      <c r="N24" s="51" t="n">
        <v>99</v>
      </c>
      <c r="O24" s="54" t="n"/>
      <c r="P24" s="56" t="n"/>
      <c r="Q24" s="56" t="n"/>
      <c r="R24" s="56" t="n">
        <v>3004</v>
      </c>
      <c r="S24" s="54" t="n"/>
      <c r="T24" s="54" t="n"/>
      <c r="U24" s="54" t="n"/>
      <c r="V24" s="135" t="n"/>
      <c r="W24" s="53" t="n"/>
      <c r="X24" s="141" t="inlineStr">
        <is>
          <t>heal</t>
        </is>
      </c>
      <c r="Y24" s="53" t="n"/>
      <c r="Z24" s="137" t="inlineStr">
        <is>
          <t>對我方隨機2體恢復&lt;AP&gt;魔攻的hp，30%機率附加聖護(減傷+20% 1回)</t>
        </is>
      </c>
      <c r="AA24" s="150" t="n"/>
      <c r="AB24" s="150" t="n"/>
      <c r="AC24" s="150" t="n"/>
      <c r="AD24" s="149" t="n"/>
    </row>
    <row r="25" ht="15.75" customHeight="1" s="142">
      <c r="A25" s="141" t="n">
        <v>210013</v>
      </c>
      <c r="B25" s="54" t="inlineStr">
        <is>
          <t>降伏之刃</t>
        </is>
      </c>
      <c r="C25" s="55" t="n">
        <v>2</v>
      </c>
      <c r="D25" s="55" t="n"/>
      <c r="E25" s="141" t="n"/>
      <c r="F25" s="135" t="n">
        <v>1</v>
      </c>
      <c r="G25" s="55" t="n">
        <v>1.9</v>
      </c>
      <c r="H25" s="55" t="n"/>
      <c r="I25" s="135" t="n"/>
      <c r="J25" s="135" t="n"/>
      <c r="K25" s="135" t="n"/>
      <c r="L25" s="135" t="n"/>
      <c r="M25" s="141" t="inlineStr">
        <is>
          <t>phycial</t>
        </is>
      </c>
      <c r="N25" s="51" t="n">
        <v>38</v>
      </c>
      <c r="O25" s="54" t="n"/>
      <c r="P25" s="56" t="n">
        <v>3003</v>
      </c>
      <c r="Q25" s="56" t="n"/>
      <c r="R25" s="56" t="n"/>
      <c r="S25" s="54" t="n"/>
      <c r="T25" s="54" t="n"/>
      <c r="U25" s="54" t="n"/>
      <c r="V25" s="135" t="n"/>
      <c r="W25" s="53" t="n"/>
      <c r="X25" s="141" t="inlineStr">
        <is>
          <t>stab</t>
        </is>
      </c>
      <c r="Y25" s="53" t="n"/>
      <c r="Z25" s="137" t="inlineStr">
        <is>
          <t>對敵方2體造成&lt;AD&gt;物攻的物理傷害60%額外附加自身行動加快</t>
        </is>
      </c>
      <c r="AA25" s="150" t="n"/>
      <c r="AB25" s="150" t="n"/>
      <c r="AC25" s="150" t="n"/>
      <c r="AD25" s="149" t="n"/>
    </row>
    <row r="26" ht="15.75" customHeight="1" s="142">
      <c r="A26" s="141" t="n">
        <v>210014</v>
      </c>
      <c r="B26" s="54" t="inlineStr">
        <is>
          <t>漣漪斬</t>
        </is>
      </c>
      <c r="C26" s="55" t="n">
        <v>3</v>
      </c>
      <c r="D26" s="55" t="n"/>
      <c r="E26" s="141" t="n"/>
      <c r="F26" s="135" t="n">
        <v>1</v>
      </c>
      <c r="G26" s="55" t="n">
        <v>1.25</v>
      </c>
      <c r="H26" s="55" t="n"/>
      <c r="I26" s="135" t="n"/>
      <c r="J26" s="135" t="n"/>
      <c r="K26" s="135" t="n"/>
      <c r="L26" s="135" t="n"/>
      <c r="M26" s="141" t="inlineStr">
        <is>
          <t>phycial</t>
        </is>
      </c>
      <c r="N26" s="51" t="n">
        <v>38</v>
      </c>
      <c r="O26" s="54" t="n"/>
      <c r="P26" s="56" t="n">
        <v>1001</v>
      </c>
      <c r="Q26" s="56" t="n"/>
      <c r="R26" s="56" t="n"/>
      <c r="S26" s="54" t="n"/>
      <c r="T26" s="54" t="n"/>
      <c r="U26" s="54" t="n"/>
      <c r="V26" s="135" t="n"/>
      <c r="W26" s="53" t="n"/>
      <c r="X26" s="141" t="inlineStr">
        <is>
          <t>stab</t>
        </is>
      </c>
      <c r="Y26" s="53" t="n"/>
      <c r="Z26" s="137" t="inlineStr">
        <is>
          <t>對3個敵方造成&lt;AD&gt;物攻的物理傷害並40%機率附加自身攻擊上升</t>
        </is>
      </c>
      <c r="AA26" s="150" t="n"/>
      <c r="AB26" s="150" t="n"/>
      <c r="AC26" s="150" t="n"/>
      <c r="AD26" s="149" t="n"/>
    </row>
    <row r="27" ht="15.75" customHeight="1" s="142">
      <c r="A27" s="141" t="n">
        <v>210015</v>
      </c>
      <c r="B27" s="54" t="inlineStr">
        <is>
          <t>鬼魅之護</t>
        </is>
      </c>
      <c r="C27" s="55" t="n">
        <v>-2</v>
      </c>
      <c r="D27" s="55" t="n"/>
      <c r="E27" s="141" t="n"/>
      <c r="F27" s="135" t="n">
        <v>1</v>
      </c>
      <c r="G27" s="55" t="n"/>
      <c r="H27" s="55" t="n">
        <v>1.9</v>
      </c>
      <c r="I27" s="135" t="n"/>
      <c r="J27" s="135" t="n"/>
      <c r="K27" s="135" t="n"/>
      <c r="L27" s="135" t="n"/>
      <c r="M27" s="141" t="inlineStr">
        <is>
          <t>heal</t>
        </is>
      </c>
      <c r="N27" s="51" t="n">
        <v>76</v>
      </c>
      <c r="O27" s="54" t="n"/>
      <c r="P27" s="56" t="n"/>
      <c r="Q27" s="56" t="n"/>
      <c r="R27" s="56" t="n">
        <v>1999</v>
      </c>
      <c r="S27" s="54" t="n"/>
      <c r="T27" s="54" t="n"/>
      <c r="U27" s="54" t="n"/>
      <c r="V27" s="135" t="n"/>
      <c r="W27" s="53" t="n"/>
      <c r="X27" s="141" t="inlineStr">
        <is>
          <t>heal</t>
        </is>
      </c>
      <c r="Y27" s="53" t="n"/>
      <c r="Z27" s="137" t="inlineStr">
        <is>
          <t>對我方2體恢復&lt;AP&gt;魔攻的HP</t>
        </is>
      </c>
      <c r="AA27" s="150" t="n"/>
      <c r="AB27" s="150" t="n"/>
      <c r="AC27" s="150" t="n"/>
      <c r="AD27" s="149" t="n"/>
    </row>
    <row r="28" ht="15.75" customHeight="1" s="142">
      <c r="A28" s="141">
        <f>A27+1</f>
        <v/>
      </c>
      <c r="B28" s="54" t="inlineStr">
        <is>
          <t>混沌光束</t>
        </is>
      </c>
      <c r="C28" s="55" t="n">
        <v>3</v>
      </c>
      <c r="D28" s="55" t="n">
        <v>1</v>
      </c>
      <c r="E28" s="141" t="n"/>
      <c r="F28" s="135" t="n">
        <v>1</v>
      </c>
      <c r="G28" s="55" t="n"/>
      <c r="H28" s="55" t="n">
        <v>1.3</v>
      </c>
      <c r="I28" s="135" t="n"/>
      <c r="J28" s="135" t="n"/>
      <c r="K28" s="135" t="n"/>
      <c r="L28" s="135" t="n"/>
      <c r="M28" s="141" t="inlineStr">
        <is>
          <t>magic</t>
        </is>
      </c>
      <c r="N28" s="51" t="n">
        <v>78</v>
      </c>
      <c r="O28" s="54" t="n"/>
      <c r="P28" s="56" t="n"/>
      <c r="Q28" s="56" t="n"/>
      <c r="R28" s="56" t="n"/>
      <c r="S28" s="54" t="n"/>
      <c r="T28" s="54" t="n"/>
      <c r="U28" s="54" t="n"/>
      <c r="V28" s="135" t="n"/>
      <c r="W28" s="53" t="n"/>
      <c r="X28" s="53" t="inlineStr">
        <is>
          <t>explode</t>
        </is>
      </c>
      <c r="Y28" s="53" t="n"/>
      <c r="Z28" s="137" t="inlineStr">
        <is>
          <t>為敵方隨機3體造成&lt;AP&gt;魔攻的魔法傷害</t>
        </is>
      </c>
      <c r="AA28" s="150" t="n"/>
      <c r="AB28" s="150" t="n"/>
      <c r="AC28" s="150" t="n"/>
      <c r="AD28" s="149" t="n"/>
    </row>
    <row r="29" ht="15.75" customHeight="1" s="142">
      <c r="A29" s="141">
        <f>A28+1</f>
        <v/>
      </c>
      <c r="B29" s="54" t="inlineStr">
        <is>
          <t>光華折射</t>
        </is>
      </c>
      <c r="C29" s="55" t="n">
        <v>-1</v>
      </c>
      <c r="D29" s="55" t="n">
        <v>1</v>
      </c>
      <c r="E29" s="141" t="n"/>
      <c r="F29" s="135" t="n">
        <v>1</v>
      </c>
      <c r="G29" s="55" t="n"/>
      <c r="H29" s="55" t="n">
        <v>3.8</v>
      </c>
      <c r="I29" s="135" t="n"/>
      <c r="J29" s="135" t="n"/>
      <c r="K29" s="135" t="n"/>
      <c r="L29" s="135" t="n"/>
      <c r="M29" s="141" t="inlineStr">
        <is>
          <t>heal</t>
        </is>
      </c>
      <c r="N29" s="51" t="n">
        <v>38</v>
      </c>
      <c r="O29" s="54" t="n"/>
      <c r="P29" s="56" t="n"/>
      <c r="Q29" s="56" t="n"/>
      <c r="R29" s="56" t="n">
        <v>1002</v>
      </c>
      <c r="S29" s="54" t="n"/>
      <c r="T29" s="54" t="n"/>
      <c r="U29" s="54" t="n"/>
      <c r="V29" s="135" t="n"/>
      <c r="W29" s="53" t="n"/>
      <c r="X29" s="141" t="inlineStr">
        <is>
          <t>heal</t>
        </is>
      </c>
      <c r="Y29" s="53" t="n"/>
      <c r="Z29" s="137" t="inlineStr">
        <is>
          <t>對我方隨機1體恢復&lt;AP&gt;魔攻的HP，並額外附加防禦上升效果</t>
        </is>
      </c>
      <c r="AA29" s="150" t="n"/>
      <c r="AB29" s="150" t="n"/>
      <c r="AC29" s="150" t="n"/>
      <c r="AD29" s="149" t="n"/>
    </row>
    <row r="30" ht="15.75" customHeight="1" s="142">
      <c r="A30" s="141">
        <f>A29+1</f>
        <v/>
      </c>
      <c r="B30" s="54" t="inlineStr">
        <is>
          <t>熾熱沸騰</t>
        </is>
      </c>
      <c r="C30" s="55" t="n">
        <v>2</v>
      </c>
      <c r="D30" s="55" t="n">
        <v>1</v>
      </c>
      <c r="E30" s="141" t="n"/>
      <c r="F30" s="135" t="n">
        <v>1</v>
      </c>
      <c r="G30" s="55" t="n"/>
      <c r="H30" s="55" t="n">
        <v>2</v>
      </c>
      <c r="I30" s="135" t="n"/>
      <c r="J30" s="135" t="n"/>
      <c r="K30" s="135" t="n"/>
      <c r="L30" s="135" t="n"/>
      <c r="M30" s="141" t="inlineStr">
        <is>
          <t>magic</t>
        </is>
      </c>
      <c r="N30" s="51" t="n">
        <v>82</v>
      </c>
      <c r="O30" s="54" t="n"/>
      <c r="P30" s="56" t="n"/>
      <c r="Q30" s="56" t="n"/>
      <c r="R30" s="56" t="n">
        <v>4001</v>
      </c>
      <c r="S30" s="54" t="n">
        <v>0.3</v>
      </c>
      <c r="T30" s="54" t="n"/>
      <c r="U30" s="54" t="n"/>
      <c r="V30" s="135" t="n"/>
      <c r="W30" s="141" t="inlineStr">
        <is>
          <t>magic_fire</t>
        </is>
      </c>
      <c r="X30" s="141" t="inlineStr">
        <is>
          <t>fire</t>
        </is>
      </c>
      <c r="Y30" s="53" t="n"/>
      <c r="Z30" s="137" t="inlineStr">
        <is>
          <t>對敵方隨機2體造成&lt;AP&gt;魔攻的魔法傷害，並30%灼傷</t>
        </is>
      </c>
      <c r="AA30" s="150" t="n"/>
      <c r="AB30" s="150" t="n"/>
      <c r="AC30" s="150" t="n"/>
      <c r="AD30" s="149" t="n"/>
    </row>
    <row r="31" ht="15.75" customHeight="1" s="142">
      <c r="A31" s="141">
        <f>A30+1</f>
        <v/>
      </c>
      <c r="B31" s="54" t="inlineStr">
        <is>
          <t>閃光折躍</t>
        </is>
      </c>
      <c r="C31" s="55" t="n">
        <v>3</v>
      </c>
      <c r="D31" s="55" t="n">
        <v>1</v>
      </c>
      <c r="E31" s="141" t="n"/>
      <c r="F31" s="135" t="n">
        <v>1</v>
      </c>
      <c r="G31" s="55" t="n"/>
      <c r="H31" s="55" t="n">
        <v>1.3</v>
      </c>
      <c r="I31" s="135" t="n"/>
      <c r="J31" s="135" t="n"/>
      <c r="K31" s="135" t="n"/>
      <c r="L31" s="135" t="n"/>
      <c r="M31" s="141" t="inlineStr">
        <is>
          <t>magic</t>
        </is>
      </c>
      <c r="N31" s="51" t="n">
        <v>77</v>
      </c>
      <c r="O31" s="54" t="n"/>
      <c r="P31" s="56" t="n">
        <v>1007</v>
      </c>
      <c r="Q31" s="54" t="n">
        <v>0.4</v>
      </c>
      <c r="R31" s="141" t="n"/>
      <c r="S31" s="141" t="n"/>
      <c r="T31" s="54" t="n"/>
      <c r="U31" s="54" t="n"/>
      <c r="V31" s="135" t="n"/>
      <c r="W31" s="53" t="inlineStr">
        <is>
          <t>magic_throw</t>
        </is>
      </c>
      <c r="X31" s="53" t="inlineStr">
        <is>
          <t>explode</t>
        </is>
      </c>
      <c r="Y31" s="53" t="n"/>
      <c r="Z31" s="137" t="inlineStr">
        <is>
          <t>為敵方隨機3體造成&lt;AP&gt;魔攻的魔法傷害，40%機率為自身附加技能傷害上升</t>
        </is>
      </c>
      <c r="AA31" s="150" t="n"/>
      <c r="AB31" s="150" t="n"/>
      <c r="AC31" s="150" t="n"/>
      <c r="AD31" s="149" t="n"/>
    </row>
    <row r="32" ht="15.75" customHeight="1" s="142">
      <c r="A32" s="141">
        <f>A31+1</f>
        <v/>
      </c>
      <c r="B32" s="54" t="inlineStr">
        <is>
          <t>死亡凝視</t>
        </is>
      </c>
      <c r="C32" s="55" t="n">
        <v>1</v>
      </c>
      <c r="D32" s="55" t="n">
        <v>1</v>
      </c>
      <c r="E32" s="141" t="n"/>
      <c r="F32" s="135" t="n">
        <v>1</v>
      </c>
      <c r="G32" s="55" t="n"/>
      <c r="H32" s="55" t="n">
        <v>4</v>
      </c>
      <c r="I32" s="135" t="n"/>
      <c r="J32" s="135" t="n"/>
      <c r="K32" s="135" t="n"/>
      <c r="L32" s="135" t="n"/>
      <c r="M32" s="141" t="inlineStr">
        <is>
          <t>magic</t>
        </is>
      </c>
      <c r="N32" s="51" t="n">
        <v>80</v>
      </c>
      <c r="O32" s="54" t="n"/>
      <c r="P32" s="56" t="n"/>
      <c r="Q32" s="56" t="n"/>
      <c r="R32" s="56" t="n">
        <v>5004</v>
      </c>
      <c r="S32" s="54" t="n">
        <v>0.4</v>
      </c>
      <c r="T32" s="54" t="n"/>
      <c r="U32" s="54" t="n"/>
      <c r="V32" s="135" t="n"/>
      <c r="W32" s="53" t="inlineStr">
        <is>
          <t>magic_throw</t>
        </is>
      </c>
      <c r="X32" s="53" t="inlineStr">
        <is>
          <t>explode</t>
        </is>
      </c>
      <c r="Y32" s="53" t="n"/>
      <c r="Z32" s="137" t="inlineStr">
        <is>
          <t>為敵方隨機1體造成&lt;AP&gt;魔攻的魔法傷害；並40%附加停止</t>
        </is>
      </c>
      <c r="AA32" s="150" t="n"/>
      <c r="AB32" s="150" t="n"/>
      <c r="AC32" s="150" t="n"/>
      <c r="AD32" s="149" t="n"/>
    </row>
    <row r="33" ht="15.75" customHeight="1" s="142">
      <c r="A33" s="141">
        <f>A32+1</f>
        <v/>
      </c>
      <c r="B33" s="54" t="inlineStr">
        <is>
          <t>破盾之刃</t>
        </is>
      </c>
      <c r="C33" s="55" t="n">
        <v>4</v>
      </c>
      <c r="D33" s="55" t="n">
        <v>1</v>
      </c>
      <c r="E33" s="141" t="n"/>
      <c r="F33" s="135" t="n">
        <v>1</v>
      </c>
      <c r="G33" s="55" t="n">
        <v>1</v>
      </c>
      <c r="H33" s="55" t="n"/>
      <c r="I33" s="135" t="n"/>
      <c r="J33" s="135" t="n"/>
      <c r="K33" s="135" t="n"/>
      <c r="L33" s="135" t="n"/>
      <c r="M33" s="141" t="inlineStr">
        <is>
          <t>phycial</t>
        </is>
      </c>
      <c r="N33" s="51" t="n">
        <v>40</v>
      </c>
      <c r="O33" s="54" t="n"/>
      <c r="P33" s="56" t="n"/>
      <c r="Q33" s="56" t="n"/>
      <c r="R33" s="56" t="n"/>
      <c r="S33" s="54" t="n"/>
      <c r="T33" s="54" t="n">
        <v>1999</v>
      </c>
      <c r="U33" s="54" t="n">
        <v>0.5</v>
      </c>
      <c r="V33" s="135" t="n"/>
      <c r="W33" s="53" t="n"/>
      <c r="X33" s="141" t="inlineStr">
        <is>
          <t>stab</t>
        </is>
      </c>
      <c r="Y33" s="53" t="n"/>
      <c r="Z33" s="137" t="inlineStr">
        <is>
          <t>為敵方隨機4體造成&lt;AD&gt;物攻的物理傷害，並50%機率去除護盾</t>
        </is>
      </c>
      <c r="AA33" s="150" t="n"/>
      <c r="AB33" s="150" t="n"/>
      <c r="AC33" s="150" t="n"/>
      <c r="AD33" s="149" t="n"/>
    </row>
    <row r="34" ht="15.75" customHeight="1" s="142">
      <c r="A34" s="141">
        <f>A33+1</f>
        <v/>
      </c>
      <c r="B34" s="54" t="inlineStr">
        <is>
          <t>重擲穿刺</t>
        </is>
      </c>
      <c r="C34" s="55" t="n">
        <v>2</v>
      </c>
      <c r="D34" s="55" t="n"/>
      <c r="E34" s="141" t="n"/>
      <c r="F34" s="135" t="n">
        <v>1</v>
      </c>
      <c r="G34" s="55" t="n">
        <v>1.55</v>
      </c>
      <c r="H34" s="55" t="n"/>
      <c r="I34" s="135" t="n"/>
      <c r="J34" s="135" t="n"/>
      <c r="K34" s="135" t="n"/>
      <c r="L34" s="135" t="n"/>
      <c r="M34" s="141" t="inlineStr">
        <is>
          <t>phycial</t>
        </is>
      </c>
      <c r="N34" s="51" t="n">
        <v>31</v>
      </c>
      <c r="O34" s="54" t="n"/>
      <c r="P34" s="56" t="n"/>
      <c r="Q34" s="56" t="n"/>
      <c r="R34" s="56" t="n">
        <v>2002</v>
      </c>
      <c r="S34" s="54" t="n">
        <v>0.5</v>
      </c>
      <c r="T34" s="54" t="n"/>
      <c r="U34" s="54" t="n"/>
      <c r="V34" s="135" t="n"/>
      <c r="W34" s="141" t="n"/>
      <c r="X34" s="53" t="inlineStr">
        <is>
          <t>beat</t>
        </is>
      </c>
      <c r="Y34" s="53" t="n"/>
      <c r="Z34" s="137" t="inlineStr">
        <is>
          <t>為敵方2體造成&lt;AD&gt;物攻的物理傷害，並50%附加防禦下降</t>
        </is>
      </c>
      <c r="AA34" s="150" t="n"/>
      <c r="AB34" s="150" t="n"/>
      <c r="AC34" s="150" t="n"/>
      <c r="AD34" s="149" t="n"/>
    </row>
    <row r="35" ht="15.75" customHeight="1" s="142">
      <c r="A35" s="141">
        <f>A34+1</f>
        <v/>
      </c>
      <c r="B35" s="54" t="inlineStr">
        <is>
          <t>尖刺突落</t>
        </is>
      </c>
      <c r="C35" s="55" t="n">
        <v>2</v>
      </c>
      <c r="D35" s="55" t="n"/>
      <c r="E35" s="141" t="n"/>
      <c r="F35" s="135" t="n">
        <v>1</v>
      </c>
      <c r="G35" s="55" t="n">
        <v>1.55</v>
      </c>
      <c r="H35" s="55" t="n"/>
      <c r="I35" s="135" t="n"/>
      <c r="J35" s="135" t="n"/>
      <c r="K35" s="135" t="n"/>
      <c r="L35" s="135" t="n"/>
      <c r="M35" s="141" t="inlineStr">
        <is>
          <t>phycial</t>
        </is>
      </c>
      <c r="N35" s="51" t="n">
        <v>33</v>
      </c>
      <c r="O35" s="54" t="n"/>
      <c r="P35" s="56" t="n"/>
      <c r="Q35" s="56" t="n"/>
      <c r="R35" s="56" t="n">
        <v>4003</v>
      </c>
      <c r="S35" s="54" t="n">
        <v>0.25</v>
      </c>
      <c r="T35" s="54" t="n"/>
      <c r="U35" s="54" t="n"/>
      <c r="V35" s="135" t="n"/>
      <c r="W35" s="53" t="n"/>
      <c r="X35" s="53" t="inlineStr">
        <is>
          <t>beat</t>
        </is>
      </c>
      <c r="Y35" s="53" t="n"/>
      <c r="Z35" s="137" t="inlineStr">
        <is>
          <t>為敵方2體造成&lt;AD&gt;物攻的物理傷害，並25%機率附加裂傷</t>
        </is>
      </c>
      <c r="AA35" s="150" t="n"/>
      <c r="AB35" s="150" t="n"/>
      <c r="AC35" s="150" t="n"/>
      <c r="AD35" s="149" t="n"/>
      <c r="AO35" s="7" t="inlineStr">
        <is>
          <t xml:space="preserve"> </t>
        </is>
      </c>
    </row>
    <row r="36" ht="15.75" customHeight="1" s="142">
      <c r="A36" s="141">
        <f>A35+1</f>
        <v/>
      </c>
      <c r="B36" s="54" t="inlineStr">
        <is>
          <t>火球術</t>
        </is>
      </c>
      <c r="C36" s="55" t="n">
        <v>1</v>
      </c>
      <c r="D36" s="55" t="n"/>
      <c r="E36" s="141" t="n"/>
      <c r="F36" s="135" t="n">
        <v>1</v>
      </c>
      <c r="G36" s="55" t="n"/>
      <c r="H36" s="55" t="n">
        <v>3</v>
      </c>
      <c r="I36" s="135" t="n"/>
      <c r="J36" s="135" t="n"/>
      <c r="K36" s="135" t="n"/>
      <c r="L36" s="135" t="n"/>
      <c r="M36" s="141" t="inlineStr">
        <is>
          <t>magic</t>
        </is>
      </c>
      <c r="N36" s="51" t="n">
        <v>60</v>
      </c>
      <c r="O36" s="54" t="n"/>
      <c r="P36" s="56" t="n"/>
      <c r="Q36" s="56" t="n"/>
      <c r="R36" s="56" t="n">
        <v>4001</v>
      </c>
      <c r="S36" s="54" t="n">
        <v>0.25</v>
      </c>
      <c r="T36" s="54" t="n"/>
      <c r="U36" s="54" t="n"/>
      <c r="V36" s="135" t="n"/>
      <c r="W36" s="53" t="inlineStr">
        <is>
          <t>magic_throw</t>
        </is>
      </c>
      <c r="X36" s="141" t="inlineStr">
        <is>
          <t>fire</t>
        </is>
      </c>
      <c r="Y36" s="53" t="n"/>
      <c r="Z36" s="137" t="inlineStr">
        <is>
          <t>對敵方1體造成&lt;AP&gt;魔攻的魔法傷害，並25%附加灼傷</t>
        </is>
      </c>
      <c r="AA36" s="150" t="n"/>
      <c r="AB36" s="150" t="n"/>
      <c r="AC36" s="150" t="n"/>
      <c r="AD36" s="149" t="n"/>
    </row>
    <row r="37" ht="15.75" customHeight="1" s="142">
      <c r="A37" s="141">
        <f>A36+1</f>
        <v/>
      </c>
      <c r="B37" s="54" t="inlineStr">
        <is>
          <t>枯朽之根</t>
        </is>
      </c>
      <c r="C37" s="55" t="n">
        <v>2</v>
      </c>
      <c r="D37" s="55" t="n">
        <v>1</v>
      </c>
      <c r="E37" s="141" t="n"/>
      <c r="F37" s="135" t="n">
        <v>1</v>
      </c>
      <c r="G37" s="55" t="n"/>
      <c r="H37" s="55" t="n">
        <v>1.65</v>
      </c>
      <c r="I37" s="135" t="n"/>
      <c r="J37" s="135" t="n"/>
      <c r="K37" s="135" t="n"/>
      <c r="L37" s="135" t="n"/>
      <c r="M37" s="141" t="inlineStr">
        <is>
          <t>magic</t>
        </is>
      </c>
      <c r="N37" s="51" t="n">
        <v>66</v>
      </c>
      <c r="O37" s="54" t="n"/>
      <c r="P37" s="56" t="n"/>
      <c r="Q37" s="56" t="n"/>
      <c r="R37" s="56" t="n">
        <v>5001</v>
      </c>
      <c r="S37" s="54" t="n">
        <v>0.25</v>
      </c>
      <c r="T37" s="54" t="n"/>
      <c r="U37" s="54" t="n"/>
      <c r="V37" s="135" t="n"/>
      <c r="W37" s="53" t="inlineStr">
        <is>
          <t>magic_throw</t>
        </is>
      </c>
      <c r="X37" s="53" t="inlineStr">
        <is>
          <t>explode</t>
        </is>
      </c>
      <c r="Y37" s="53" t="n"/>
      <c r="Z37" s="137" t="inlineStr">
        <is>
          <t>對敵方隨機2體造成&lt;AP&gt;魔攻的魔法傷害，並25%附加麻痺</t>
        </is>
      </c>
      <c r="AA37" s="150" t="n"/>
      <c r="AB37" s="150" t="n"/>
      <c r="AC37" s="150" t="n"/>
      <c r="AD37" s="149" t="n"/>
    </row>
    <row r="38" ht="15.75" customHeight="1" s="142">
      <c r="A38" s="141">
        <f>A37+1</f>
        <v/>
      </c>
      <c r="B38" s="54" t="inlineStr">
        <is>
          <t>堅盾破甲</t>
        </is>
      </c>
      <c r="C38" s="55" t="n">
        <v>-2</v>
      </c>
      <c r="D38" s="55" t="n">
        <v>1</v>
      </c>
      <c r="E38" s="141" t="n"/>
      <c r="F38" s="135" t="n">
        <v>1</v>
      </c>
      <c r="G38" s="55" t="n"/>
      <c r="H38" s="55" t="n"/>
      <c r="I38" s="135" t="n"/>
      <c r="J38" s="135" t="n"/>
      <c r="K38" s="135" t="n"/>
      <c r="L38" s="135" t="n"/>
      <c r="M38" s="141" t="n"/>
      <c r="N38" s="51" t="n">
        <v>30</v>
      </c>
      <c r="O38" s="54" t="n"/>
      <c r="P38" s="56" t="n"/>
      <c r="Q38" s="56" t="n"/>
      <c r="R38" s="56" t="n">
        <v>1996</v>
      </c>
      <c r="S38" s="54" t="n"/>
      <c r="T38" s="54" t="n"/>
      <c r="U38" s="54" t="n"/>
      <c r="V38" s="135" t="n"/>
      <c r="W38" s="53" t="n"/>
      <c r="X38" s="141" t="inlineStr">
        <is>
          <t>shield2</t>
        </is>
      </c>
      <c r="Y38" s="53" t="n"/>
      <c r="Z38" s="137" t="inlineStr">
        <is>
          <t>為我方隨機2體附加傷害分擔</t>
        </is>
      </c>
      <c r="AA38" s="150" t="n"/>
      <c r="AB38" s="150" t="n"/>
      <c r="AC38" s="150" t="n"/>
      <c r="AD38" s="149" t="n"/>
    </row>
    <row r="39" ht="15.75" customHeight="1" s="142">
      <c r="A39" s="141">
        <f>A38+1</f>
        <v/>
      </c>
      <c r="B39" s="54" t="inlineStr">
        <is>
          <t>弱點貫穿</t>
        </is>
      </c>
      <c r="C39" s="55" t="n">
        <v>1</v>
      </c>
      <c r="D39" s="55" t="n"/>
      <c r="E39" s="141" t="n"/>
      <c r="F39" s="135" t="n">
        <v>1</v>
      </c>
      <c r="G39" s="55" t="n">
        <v>3</v>
      </c>
      <c r="H39" s="55" t="n"/>
      <c r="I39" s="135" t="n"/>
      <c r="J39" s="135" t="n"/>
      <c r="K39" s="135" t="n"/>
      <c r="L39" s="135" t="n"/>
      <c r="M39" s="141" t="inlineStr">
        <is>
          <t>phycial</t>
        </is>
      </c>
      <c r="N39" s="51" t="n">
        <v>30</v>
      </c>
      <c r="O39" s="54" t="n"/>
      <c r="P39" s="56" t="n"/>
      <c r="Q39" s="56" t="n"/>
      <c r="R39" s="56" t="n">
        <v>1005</v>
      </c>
      <c r="S39" s="54" t="n">
        <v>0.4</v>
      </c>
      <c r="T39" s="54" t="n"/>
      <c r="U39" s="54" t="n"/>
      <c r="V39" s="135" t="n"/>
      <c r="W39" s="141" t="inlineStr">
        <is>
          <t>throw</t>
        </is>
      </c>
      <c r="X39" s="53" t="inlineStr">
        <is>
          <t>explode</t>
        </is>
      </c>
      <c r="Y39" s="53" t="n"/>
      <c r="Z39" s="137" t="inlineStr">
        <is>
          <t>為敵方1體造成&lt;AD&gt;物攻的物理傷害；並40%為自身爆擊上升</t>
        </is>
      </c>
      <c r="AA39" s="150" t="n"/>
      <c r="AB39" s="150" t="n"/>
      <c r="AC39" s="150" t="n"/>
      <c r="AD39" s="149" t="n"/>
    </row>
    <row r="40" ht="15.75" customHeight="1" s="142">
      <c r="A40" s="141">
        <f>A39+1</f>
        <v/>
      </c>
      <c r="B40" s="54" t="inlineStr">
        <is>
          <t>定氣神閒</t>
        </is>
      </c>
      <c r="C40" s="55" t="n">
        <v>-2</v>
      </c>
      <c r="D40" s="55" t="n">
        <v>1</v>
      </c>
      <c r="E40" s="141" t="n"/>
      <c r="F40" s="135" t="n">
        <v>1</v>
      </c>
      <c r="G40" s="55" t="n"/>
      <c r="H40" s="55" t="n">
        <v>1.65</v>
      </c>
      <c r="I40" s="135" t="n"/>
      <c r="J40" s="135" t="n"/>
      <c r="K40" s="135" t="n"/>
      <c r="L40" s="135" t="n"/>
      <c r="M40" s="141" t="inlineStr">
        <is>
          <t>magic</t>
        </is>
      </c>
      <c r="N40" s="51" t="n">
        <v>66</v>
      </c>
      <c r="O40" s="54" t="n"/>
      <c r="P40" s="56" t="n"/>
      <c r="Q40" s="56" t="n"/>
      <c r="R40" s="56" t="n"/>
      <c r="S40" s="54" t="n"/>
      <c r="T40" s="54" t="n"/>
      <c r="U40" s="54" t="n"/>
      <c r="V40" s="135" t="n"/>
      <c r="W40" s="53" t="n"/>
      <c r="X40" s="53" t="inlineStr">
        <is>
          <t>heal</t>
        </is>
      </c>
      <c r="Y40" s="53" t="n"/>
      <c r="Z40" s="137" t="inlineStr">
        <is>
          <t>為我方隨機2體恢復&lt;AP&gt;魔攻的HP</t>
        </is>
      </c>
      <c r="AA40" s="150" t="n"/>
      <c r="AB40" s="150" t="n"/>
      <c r="AC40" s="150" t="n"/>
      <c r="AD40" s="149" t="n"/>
    </row>
    <row r="41" ht="15.75" customHeight="1" s="142">
      <c r="A41" s="141">
        <f>A40+1</f>
        <v/>
      </c>
      <c r="B41" s="54" t="inlineStr">
        <is>
          <t>雙重切削</t>
        </is>
      </c>
      <c r="C41" s="55" t="n">
        <v>2</v>
      </c>
      <c r="D41" s="55" t="n">
        <v>1</v>
      </c>
      <c r="E41" s="141" t="n"/>
      <c r="F41" s="135" t="n">
        <v>1</v>
      </c>
      <c r="G41" s="55" t="n">
        <v>1.65</v>
      </c>
      <c r="H41" s="55" t="n"/>
      <c r="I41" s="135" t="n"/>
      <c r="J41" s="135" t="n"/>
      <c r="K41" s="135" t="n"/>
      <c r="L41" s="135" t="n"/>
      <c r="M41" s="141" t="inlineStr">
        <is>
          <t>phycial</t>
        </is>
      </c>
      <c r="N41" s="51" t="n">
        <v>33</v>
      </c>
      <c r="O41" s="54" t="n"/>
      <c r="P41" s="56" t="n"/>
      <c r="Q41" s="56" t="n"/>
      <c r="R41" s="56" t="n">
        <v>4003</v>
      </c>
      <c r="S41" s="54" t="n">
        <v>0.25</v>
      </c>
      <c r="T41" s="54" t="n"/>
      <c r="U41" s="54" t="n"/>
      <c r="V41" s="135" t="n"/>
      <c r="W41" s="53" t="n"/>
      <c r="X41" s="141" t="inlineStr">
        <is>
          <t>stab</t>
        </is>
      </c>
      <c r="Y41" s="53" t="n"/>
      <c r="Z41" s="137" t="inlineStr">
        <is>
          <t>為敵方2體造成&lt;AD&gt;物攻的物理傷害，並25%附加裂傷</t>
        </is>
      </c>
      <c r="AA41" s="150" t="n"/>
      <c r="AB41" s="150" t="n"/>
      <c r="AC41" s="150" t="n"/>
      <c r="AD41" s="149" t="n"/>
    </row>
    <row r="42" ht="15.75" customHeight="1" s="142">
      <c r="A42" s="141">
        <f>A41+1</f>
        <v/>
      </c>
      <c r="B42" s="54" t="inlineStr">
        <is>
          <t>魔盾碎裂</t>
        </is>
      </c>
      <c r="C42" s="55" t="n">
        <v>4</v>
      </c>
      <c r="D42" s="55" t="n">
        <v>1</v>
      </c>
      <c r="E42" s="141" t="n"/>
      <c r="F42" s="135" t="n">
        <v>1</v>
      </c>
      <c r="G42" s="55" t="n"/>
      <c r="H42" s="55" t="n">
        <v>0.75</v>
      </c>
      <c r="I42" s="135" t="n"/>
      <c r="J42" s="135" t="n"/>
      <c r="K42" s="135" t="n"/>
      <c r="L42" s="135" t="n"/>
      <c r="M42" s="141" t="inlineStr">
        <is>
          <t>magic</t>
        </is>
      </c>
      <c r="N42" s="51" t="n">
        <v>59</v>
      </c>
      <c r="O42" s="54" t="n"/>
      <c r="P42" s="56" t="n"/>
      <c r="Q42" s="56" t="n"/>
      <c r="R42" s="56" t="n">
        <v>2004</v>
      </c>
      <c r="S42" s="54" t="n">
        <v>0.25</v>
      </c>
      <c r="T42" s="54" t="n"/>
      <c r="U42" s="54" t="n"/>
      <c r="V42" s="135" t="n"/>
      <c r="W42" s="53" t="inlineStr">
        <is>
          <t>magic_throw</t>
        </is>
      </c>
      <c r="X42" s="53" t="inlineStr">
        <is>
          <t>explode</t>
        </is>
      </c>
      <c r="Y42" s="53" t="n"/>
      <c r="Z42" s="137" t="inlineStr">
        <is>
          <t>為敵方4體造成&lt;AP&gt;魔攻的魔法傷害，並25%附加魔防下降</t>
        </is>
      </c>
      <c r="AA42" s="150" t="n"/>
      <c r="AB42" s="150" t="n"/>
      <c r="AC42" s="150" t="n"/>
      <c r="AD42" s="149" t="n"/>
      <c r="AE42" s="57" t="n"/>
      <c r="AF42" s="57" t="n"/>
      <c r="AG42" s="57" t="n"/>
    </row>
    <row r="43" ht="15.75" customHeight="1" s="142">
      <c r="A43" s="141">
        <f>A42+1</f>
        <v/>
      </c>
      <c r="B43" s="54" t="inlineStr">
        <is>
          <t>壓制戰技</t>
        </is>
      </c>
      <c r="C43" s="55" t="n">
        <v>3</v>
      </c>
      <c r="D43" s="55" t="n">
        <v>1</v>
      </c>
      <c r="E43" s="141" t="n"/>
      <c r="F43" s="135" t="n">
        <v>1</v>
      </c>
      <c r="G43" s="55" t="n">
        <v>1.05</v>
      </c>
      <c r="H43" s="55" t="n"/>
      <c r="I43" s="135" t="n"/>
      <c r="J43" s="135" t="n"/>
      <c r="K43" s="135" t="n"/>
      <c r="L43" s="135" t="n"/>
      <c r="M43" s="141" t="inlineStr">
        <is>
          <t>phycial</t>
        </is>
      </c>
      <c r="N43" s="51" t="n">
        <v>31</v>
      </c>
      <c r="O43" s="54" t="n"/>
      <c r="P43" s="56" t="n"/>
      <c r="Q43" s="56" t="n"/>
      <c r="R43" s="56" t="n">
        <v>4003</v>
      </c>
      <c r="S43" s="54" t="n">
        <v>0.25</v>
      </c>
      <c r="T43" s="54" t="n"/>
      <c r="U43" s="54" t="n"/>
      <c r="V43" s="135" t="n"/>
      <c r="W43" s="53" t="n"/>
      <c r="X43" s="141" t="inlineStr">
        <is>
          <t>slash</t>
        </is>
      </c>
      <c r="Y43" s="53" t="n"/>
      <c r="Z43" s="137" t="inlineStr">
        <is>
          <t>為隨機敵方3體造成&lt;AD&gt;物攻的物理傷害，並25%附加裂傷</t>
        </is>
      </c>
      <c r="AA43" s="150" t="n"/>
      <c r="AB43" s="150" t="n"/>
      <c r="AC43" s="150" t="n"/>
      <c r="AD43" s="149" t="n"/>
      <c r="AE43" s="57" t="n"/>
      <c r="AF43" s="57" t="n"/>
      <c r="AG43" s="57" t="n"/>
    </row>
    <row r="44" ht="14.25" customHeight="1" s="142">
      <c r="C44" s="45" t="n"/>
      <c r="D44" s="45" t="n"/>
      <c r="E44" s="45" t="n"/>
      <c r="F44" s="45" t="n"/>
      <c r="G44" s="45" t="n"/>
      <c r="H44" s="45" t="n"/>
      <c r="I44" s="45" t="n"/>
      <c r="J44" s="45" t="n"/>
      <c r="K44" s="45" t="n"/>
      <c r="L44" s="45" t="n"/>
      <c r="N44" s="46" t="n"/>
      <c r="P44" s="47" t="n"/>
      <c r="Q44" s="47" t="n"/>
      <c r="R44" s="47" t="n"/>
      <c r="V44" s="45" t="n"/>
      <c r="AE44" s="57" t="n"/>
      <c r="AF44" s="57" t="n"/>
      <c r="AG44" s="57" t="n"/>
    </row>
    <row r="45" ht="14.25" customHeight="1" s="142">
      <c r="A45" s="23" t="inlineStr">
        <is>
          <t>skill_id</t>
        </is>
      </c>
      <c r="B45" s="136" t="inlineStr">
        <is>
          <t>技能名稱</t>
        </is>
      </c>
      <c r="C45" s="48" t="inlineStr">
        <is>
          <t>攻擊對象數量</t>
        </is>
      </c>
      <c r="D45" s="48" t="inlineStr">
        <is>
          <t>是否為隨機</t>
        </is>
      </c>
      <c r="E45" s="48" t="inlineStr">
        <is>
          <t>是否自身施放</t>
        </is>
      </c>
      <c r="F45" s="48" t="inlineStr">
        <is>
          <t>重複執行次數</t>
        </is>
      </c>
      <c r="G45" s="40" t="inlineStr">
        <is>
          <t>AD(技能係數)</t>
        </is>
      </c>
      <c r="H45" s="40" t="inlineStr">
        <is>
          <t>AP(技能係數)</t>
        </is>
      </c>
      <c r="I45" s="40" t="inlineStr">
        <is>
          <t>AGI</t>
        </is>
      </c>
      <c r="J45" s="40" t="inlineStr">
        <is>
          <t>current_hp</t>
        </is>
      </c>
      <c r="K45" s="40" t="inlineStr">
        <is>
          <t>cooldown</t>
        </is>
      </c>
      <c r="L45" s="40" t="inlineStr">
        <is>
          <t>isrole</t>
        </is>
      </c>
      <c r="M45" s="23" t="inlineStr">
        <is>
          <t>type</t>
        </is>
      </c>
      <c r="N45" s="49" t="inlineStr">
        <is>
          <t>MP_cost</t>
        </is>
      </c>
      <c r="O45" s="23" t="inlineStr">
        <is>
          <t>MP_revocer</t>
        </is>
      </c>
      <c r="P45" s="50" t="inlineStr">
        <is>
          <t>self_add_buff_id</t>
        </is>
      </c>
      <c r="Q45" s="50" t="inlineStr">
        <is>
          <t>self_buff_rate_overwrite</t>
        </is>
      </c>
      <c r="R45" s="50" t="inlineStr">
        <is>
          <t>add_buff_id</t>
        </is>
      </c>
      <c r="S45" s="50" t="inlineStr">
        <is>
          <t>add_buff_rate_overwrite</t>
        </is>
      </c>
      <c r="T45" s="23" t="inlineStr">
        <is>
          <t>remove_buff_id</t>
        </is>
      </c>
      <c r="U45" s="50" t="inlineStr">
        <is>
          <t>remove_buff_rate_overwrite</t>
        </is>
      </c>
      <c r="V45" s="135" t="inlineStr">
        <is>
          <t>isMpDamage</t>
        </is>
      </c>
      <c r="W45" s="23" t="inlineStr">
        <is>
          <t>prefeb_atk</t>
        </is>
      </c>
      <c r="X45" s="23" t="inlineStr">
        <is>
          <t>prefeb_hit1</t>
        </is>
      </c>
      <c r="Y45" s="23" t="inlineStr">
        <is>
          <t>prefeb_hit2</t>
        </is>
      </c>
      <c r="Z45" s="136" t="inlineStr">
        <is>
          <t>說明</t>
        </is>
      </c>
      <c r="AA45" s="150" t="n"/>
      <c r="AB45" s="150" t="n"/>
      <c r="AC45" s="150" t="n"/>
      <c r="AD45" s="149" t="n"/>
      <c r="AE45" s="57" t="n"/>
      <c r="AF45" s="57" t="n"/>
      <c r="AG45" s="57" t="n"/>
    </row>
    <row r="46" ht="14.25" customHeight="1" s="142">
      <c r="A46" s="141" t="n">
        <v>310001</v>
      </c>
      <c r="B46" s="137" t="inlineStr">
        <is>
          <t>炎帝降世</t>
        </is>
      </c>
      <c r="C46" s="135" t="n">
        <v>5</v>
      </c>
      <c r="D46" s="135" t="n"/>
      <c r="E46" s="135" t="n"/>
      <c r="F46" s="135" t="n">
        <v>1</v>
      </c>
      <c r="G46" s="135" t="n"/>
      <c r="H46" s="135" t="n">
        <v>1</v>
      </c>
      <c r="I46" s="135" t="n"/>
      <c r="J46" s="135" t="n"/>
      <c r="K46" s="135" t="n">
        <v>7</v>
      </c>
      <c r="L46" s="135" t="n"/>
      <c r="M46" s="141" t="inlineStr">
        <is>
          <t>magic</t>
        </is>
      </c>
      <c r="N46" s="51" t="n">
        <v>103</v>
      </c>
      <c r="O46" s="141" t="n"/>
      <c r="P46" s="52" t="n"/>
      <c r="Q46" s="52" t="n"/>
      <c r="R46" s="52" t="n">
        <v>4001</v>
      </c>
      <c r="S46" s="141" t="n"/>
      <c r="T46" s="141" t="n"/>
      <c r="U46" s="141" t="n"/>
      <c r="V46" s="135" t="n"/>
      <c r="W46" s="141" t="inlineStr">
        <is>
          <t>magic_fire</t>
        </is>
      </c>
      <c r="X46" s="141" t="inlineStr">
        <is>
          <t>fire</t>
        </is>
      </c>
      <c r="Y46" s="141" t="n"/>
      <c r="Z46" s="137" t="inlineStr">
        <is>
          <t>對敵方全體造成&lt;AP&gt;魔攻的魔法傷害，並附加灼傷效果</t>
        </is>
      </c>
      <c r="AA46" s="150" t="n"/>
      <c r="AB46" s="150" t="n"/>
      <c r="AC46" s="150" t="n"/>
      <c r="AD46" s="149" t="n"/>
      <c r="AE46" s="57" t="n"/>
      <c r="AF46" s="57" t="n"/>
      <c r="AG46" s="57" t="n"/>
      <c r="AH46" s="47" t="n"/>
      <c r="AI46" s="57" t="n"/>
    </row>
    <row r="47" ht="15.75" customHeight="1" s="142">
      <c r="A47" s="141" t="n">
        <v>310002</v>
      </c>
      <c r="B47" s="137" t="inlineStr">
        <is>
          <t>神酒破鬼陣</t>
        </is>
      </c>
      <c r="C47" s="135" t="n">
        <v>3</v>
      </c>
      <c r="D47" s="135" t="n"/>
      <c r="E47" s="135" t="n"/>
      <c r="F47" s="135" t="n">
        <v>1</v>
      </c>
      <c r="G47" s="135" t="n"/>
      <c r="H47" s="135" t="n">
        <v>1.6</v>
      </c>
      <c r="I47" s="135" t="n"/>
      <c r="J47" s="135" t="n"/>
      <c r="K47" s="135" t="n">
        <v>8</v>
      </c>
      <c r="L47" s="135" t="n"/>
      <c r="M47" s="141" t="inlineStr">
        <is>
          <t>magic</t>
        </is>
      </c>
      <c r="N47" s="51" t="n">
        <v>96</v>
      </c>
      <c r="O47" s="141" t="n"/>
      <c r="P47" s="52" t="n"/>
      <c r="Q47" s="52" t="n"/>
      <c r="R47" s="52">
        <f>"2004,2004,2004"</f>
        <v/>
      </c>
      <c r="S47" s="141" t="n"/>
      <c r="T47" s="141" t="n"/>
      <c r="U47" s="141" t="n"/>
      <c r="V47" s="135" t="n"/>
      <c r="W47" s="53" t="inlineStr">
        <is>
          <t>magic_throw</t>
        </is>
      </c>
      <c r="X47" s="53" t="inlineStr">
        <is>
          <t>explode</t>
        </is>
      </c>
      <c r="Y47" s="141" t="n"/>
      <c r="Z47" s="137" t="inlineStr">
        <is>
          <t>對敵方3體造成&lt;AP&gt;魔攻的魔法傷害，並附加魔防下降3層</t>
        </is>
      </c>
      <c r="AA47" s="150" t="n"/>
      <c r="AB47" s="150" t="n"/>
      <c r="AC47" s="150" t="n"/>
      <c r="AD47" s="149" t="n"/>
      <c r="AE47" s="57" t="n"/>
      <c r="AF47" s="57" t="n"/>
      <c r="AG47" s="57" t="n"/>
      <c r="AH47" s="47" t="n"/>
      <c r="AI47" s="57" t="n"/>
    </row>
    <row r="48" ht="14.25" customHeight="1" s="142">
      <c r="A48" s="141" t="n">
        <v>310003</v>
      </c>
      <c r="B48" s="137" t="inlineStr">
        <is>
          <t>清泉怒濤</t>
        </is>
      </c>
      <c r="C48" s="135" t="n">
        <v>-5</v>
      </c>
      <c r="D48" s="135" t="n"/>
      <c r="E48" s="135" t="n"/>
      <c r="F48" s="135" t="n">
        <v>1</v>
      </c>
      <c r="G48" s="135" t="n"/>
      <c r="H48" s="135" t="n">
        <v>1</v>
      </c>
      <c r="I48" s="135" t="n"/>
      <c r="J48" s="135" t="n"/>
      <c r="K48" s="135" t="n">
        <v>6</v>
      </c>
      <c r="L48" s="135" t="n"/>
      <c r="M48" s="141" t="inlineStr">
        <is>
          <t>heal</t>
        </is>
      </c>
      <c r="N48" s="51" t="n">
        <v>49</v>
      </c>
      <c r="O48" s="141" t="n"/>
      <c r="P48" s="52" t="n"/>
      <c r="Q48" s="52" t="n"/>
      <c r="R48" s="52" t="n"/>
      <c r="S48" s="141" t="n"/>
      <c r="T48" s="141" t="n"/>
      <c r="U48" s="141" t="n"/>
      <c r="V48" s="135" t="n"/>
      <c r="W48" s="141" t="n"/>
      <c r="X48" s="141" t="inlineStr">
        <is>
          <t>heal</t>
        </is>
      </c>
      <c r="Y48" s="141" t="n"/>
      <c r="Z48" s="137" t="inlineStr">
        <is>
          <t>對我方全體恢復魔攻&lt;AP&gt;的HP</t>
        </is>
      </c>
      <c r="AA48" s="150" t="n"/>
      <c r="AB48" s="150" t="n"/>
      <c r="AC48" s="150" t="n"/>
      <c r="AD48" s="149" t="n"/>
      <c r="AE48" s="57" t="n"/>
      <c r="AF48" s="57" t="n"/>
      <c r="AG48" s="57" t="n"/>
      <c r="AH48" s="47" t="n"/>
      <c r="AI48" s="57" t="n"/>
    </row>
    <row r="49" ht="14.25" customHeight="1" s="142">
      <c r="A49" s="141" t="n">
        <v>310004</v>
      </c>
      <c r="B49" s="137" t="inlineStr">
        <is>
          <t>神罰裁決</t>
        </is>
      </c>
      <c r="C49" s="135" t="n">
        <v>3</v>
      </c>
      <c r="D49" s="135" t="n"/>
      <c r="E49" s="135" t="n"/>
      <c r="F49" s="135" t="n">
        <v>1</v>
      </c>
      <c r="G49" s="135" t="n">
        <v>1.6</v>
      </c>
      <c r="H49" s="135" t="n"/>
      <c r="I49" s="135" t="n"/>
      <c r="J49" s="135" t="n"/>
      <c r="K49" s="135" t="n">
        <v>7</v>
      </c>
      <c r="L49" s="135" t="n"/>
      <c r="M49" s="141" t="inlineStr">
        <is>
          <t>phycial</t>
        </is>
      </c>
      <c r="N49" s="51" t="n">
        <v>48</v>
      </c>
      <c r="O49" s="141" t="n"/>
      <c r="P49" s="52" t="n">
        <v>3003</v>
      </c>
      <c r="Q49" s="52" t="n"/>
      <c r="R49" s="52" t="n"/>
      <c r="S49" s="141" t="n"/>
      <c r="T49" s="141" t="n"/>
      <c r="U49" s="141" t="n"/>
      <c r="V49" s="135" t="n"/>
      <c r="W49" s="141" t="n"/>
      <c r="X49" s="141" t="inlineStr">
        <is>
          <t>stab</t>
        </is>
      </c>
      <c r="Y49" s="141" t="n"/>
      <c r="Z49" s="137" t="inlineStr">
        <is>
          <t>對敵方3體造成&lt;AD&gt;物攻的物理傷害，自身附加行動加快</t>
        </is>
      </c>
      <c r="AA49" s="150" t="n"/>
      <c r="AB49" s="150" t="n"/>
      <c r="AC49" s="150" t="n"/>
      <c r="AD49" s="149" t="n"/>
      <c r="AE49" s="57" t="n"/>
      <c r="AF49" s="57" t="n"/>
      <c r="AG49" s="57" t="n"/>
      <c r="AH49" s="47" t="n"/>
      <c r="AI49" s="57" t="n"/>
    </row>
    <row r="50" ht="14.25" customHeight="1" s="142">
      <c r="A50" s="141" t="n">
        <v>310005</v>
      </c>
      <c r="B50" s="137" t="inlineStr">
        <is>
          <t>一刀流・破</t>
        </is>
      </c>
      <c r="C50" s="135" t="n">
        <v>1</v>
      </c>
      <c r="D50" s="135" t="n"/>
      <c r="E50" s="135" t="n"/>
      <c r="F50" s="135" t="n">
        <v>1</v>
      </c>
      <c r="G50" s="135" t="n">
        <v>4.8</v>
      </c>
      <c r="H50" s="135" t="n"/>
      <c r="I50" s="135" t="n"/>
      <c r="J50" s="135" t="n"/>
      <c r="K50" s="135" t="n">
        <v>6</v>
      </c>
      <c r="L50" s="135" t="n"/>
      <c r="M50" s="141" t="inlineStr">
        <is>
          <t>phycial</t>
        </is>
      </c>
      <c r="N50" s="51" t="n">
        <v>48</v>
      </c>
      <c r="O50" s="141" t="n"/>
      <c r="P50" s="52" t="n">
        <v>3007</v>
      </c>
      <c r="Q50" s="52" t="n"/>
      <c r="R50" s="52" t="n"/>
      <c r="S50" s="141" t="n"/>
      <c r="T50" s="141" t="n"/>
      <c r="U50" s="141" t="n"/>
      <c r="V50" s="135" t="n"/>
      <c r="W50" s="141" t="n"/>
      <c r="X50" s="141" t="inlineStr">
        <is>
          <t>slash2</t>
        </is>
      </c>
      <c r="Y50" s="141" t="n"/>
      <c r="Z50" s="137" t="inlineStr">
        <is>
          <t>對敵方1體造成&lt;AD&gt;物攻的物理傷害，為自身附加鬼人狀態(1回合爆擊+30%)</t>
        </is>
      </c>
      <c r="AA50" s="150" t="n"/>
      <c r="AB50" s="150" t="n"/>
      <c r="AC50" s="150" t="n"/>
      <c r="AD50" s="149" t="n"/>
      <c r="AE50" s="57" t="n"/>
      <c r="AF50" s="57" t="n"/>
      <c r="AG50" s="57" t="n"/>
      <c r="AH50" s="47" t="n"/>
      <c r="AI50" s="47" t="n"/>
    </row>
    <row r="51" ht="14.25" customHeight="1" s="142">
      <c r="A51" s="141" t="n">
        <v>310006</v>
      </c>
      <c r="B51" s="137" t="inlineStr">
        <is>
          <t>鏡花身法</t>
        </is>
      </c>
      <c r="C51" s="135" t="n">
        <v>-5</v>
      </c>
      <c r="D51" s="135" t="n"/>
      <c r="E51" s="135" t="n"/>
      <c r="F51" s="135" t="n">
        <v>1</v>
      </c>
      <c r="G51" s="135" t="n"/>
      <c r="H51" s="135" t="n">
        <v>1</v>
      </c>
      <c r="I51" s="135" t="n"/>
      <c r="J51" s="135" t="n"/>
      <c r="K51" s="135" t="n">
        <v>6</v>
      </c>
      <c r="L51" s="135" t="n"/>
      <c r="M51" s="141" t="inlineStr">
        <is>
          <t>shield</t>
        </is>
      </c>
      <c r="N51" s="51" t="n">
        <v>98</v>
      </c>
      <c r="O51" s="141" t="n"/>
      <c r="P51" s="52" t="n"/>
      <c r="Q51" s="52" t="n"/>
      <c r="R51" s="52" t="n">
        <v>1999</v>
      </c>
      <c r="S51" s="141" t="n"/>
      <c r="T51" s="141" t="n"/>
      <c r="U51" s="141" t="n"/>
      <c r="V51" s="135" t="n"/>
      <c r="W51" s="141" t="n"/>
      <c r="X51" s="141" t="inlineStr">
        <is>
          <t>shield1</t>
        </is>
      </c>
      <c r="Y51" s="141" t="n"/>
      <c r="Z51" s="137" t="inlineStr">
        <is>
          <t>對我方全體附加魔攻&lt;AP&gt;的護盾</t>
        </is>
      </c>
      <c r="AA51" s="150" t="n"/>
      <c r="AB51" s="150" t="n"/>
      <c r="AC51" s="150" t="n"/>
      <c r="AD51" s="149" t="n"/>
      <c r="AE51" s="57" t="n"/>
      <c r="AF51" s="57" t="n"/>
      <c r="AG51" s="57" t="n"/>
      <c r="AH51" s="47" t="n"/>
      <c r="AI51" s="57" t="n"/>
    </row>
    <row r="52" ht="15.75" customHeight="1" s="142">
      <c r="A52" s="141" t="n">
        <v>310007</v>
      </c>
      <c r="B52" s="137" t="inlineStr">
        <is>
          <t>魂力獻祭</t>
        </is>
      </c>
      <c r="C52" s="135" t="n">
        <v>2</v>
      </c>
      <c r="D52" s="135" t="n">
        <v>1</v>
      </c>
      <c r="E52" s="135" t="n"/>
      <c r="F52" s="135" t="n">
        <v>1</v>
      </c>
      <c r="G52" s="135" t="n"/>
      <c r="H52" s="135" t="n">
        <v>2.5</v>
      </c>
      <c r="I52" s="135" t="n"/>
      <c r="J52" s="135" t="n"/>
      <c r="K52" s="135" t="n">
        <v>8</v>
      </c>
      <c r="L52" s="135" t="n"/>
      <c r="M52" s="141" t="inlineStr">
        <is>
          <t>magic</t>
        </is>
      </c>
      <c r="N52" s="51" t="n">
        <v>105</v>
      </c>
      <c r="O52" s="141" t="n"/>
      <c r="P52" s="52" t="n"/>
      <c r="Q52" s="52" t="n"/>
      <c r="R52" s="52" t="n">
        <v>2005</v>
      </c>
      <c r="S52" s="141" t="n"/>
      <c r="T52" s="141" t="n"/>
      <c r="U52" s="141" t="n"/>
      <c r="V52" s="135" t="n"/>
      <c r="W52" s="53" t="inlineStr">
        <is>
          <t>magic_throw</t>
        </is>
      </c>
      <c r="X52" s="53" t="inlineStr">
        <is>
          <t>explode</t>
        </is>
      </c>
      <c r="Y52" s="141" t="n"/>
      <c r="Z52" s="137" t="inlineStr">
        <is>
          <t>為敵方隨機2體造成&lt;AP&gt;魔攻的魔法傷害，附加爆擊下降</t>
        </is>
      </c>
      <c r="AA52" s="150" t="n"/>
      <c r="AB52" s="150" t="n"/>
      <c r="AC52" s="150" t="n"/>
      <c r="AD52" s="149" t="n"/>
      <c r="AE52" s="57" t="n"/>
      <c r="AF52" s="57" t="n"/>
      <c r="AG52" s="57" t="n"/>
      <c r="AH52" s="47" t="n"/>
      <c r="AI52" s="47" t="n"/>
    </row>
    <row r="53" ht="15.75" customHeight="1" s="142">
      <c r="A53" s="141" t="n">
        <v>310008</v>
      </c>
      <c r="B53" s="137" t="inlineStr">
        <is>
          <t>誓約之火</t>
        </is>
      </c>
      <c r="C53" s="135" t="n">
        <v>-5</v>
      </c>
      <c r="D53" s="135" t="n"/>
      <c r="E53" s="135" t="n"/>
      <c r="F53" s="135" t="n">
        <v>1</v>
      </c>
      <c r="G53" s="55" t="n"/>
      <c r="H53" s="55" t="n"/>
      <c r="I53" s="135" t="n"/>
      <c r="J53" s="135" t="n"/>
      <c r="K53" s="135" t="n">
        <v>5</v>
      </c>
      <c r="L53" s="135" t="n"/>
      <c r="M53" s="141" t="n"/>
      <c r="N53" s="51" t="n">
        <v>90</v>
      </c>
      <c r="O53" s="141" t="n"/>
      <c r="P53" s="52" t="n"/>
      <c r="Q53" s="52" t="n"/>
      <c r="R53" s="52">
        <f>"1003,1003"</f>
        <v/>
      </c>
      <c r="S53" s="141" t="n"/>
      <c r="T53" s="141" t="n"/>
      <c r="U53" s="141" t="n"/>
      <c r="V53" s="135" t="n"/>
      <c r="W53" s="141" t="n"/>
      <c r="X53" s="141" t="inlineStr">
        <is>
          <t>buff</t>
        </is>
      </c>
      <c r="Y53" s="141" t="n"/>
      <c r="Z53" s="137" t="inlineStr">
        <is>
          <t>對我方全體附加魔攻上升2層</t>
        </is>
      </c>
      <c r="AA53" s="150" t="n"/>
      <c r="AB53" s="150" t="n"/>
      <c r="AC53" s="150" t="n"/>
      <c r="AD53" s="149" t="n"/>
      <c r="AE53" s="57" t="n"/>
      <c r="AF53" s="57" t="n"/>
      <c r="AG53" s="57" t="n"/>
      <c r="AH53" s="47" t="n"/>
      <c r="AI53" s="57" t="n"/>
    </row>
    <row r="54" ht="15.75" customHeight="1" s="142">
      <c r="A54" s="141" t="n">
        <v>310009</v>
      </c>
      <c r="B54" s="137" t="inlineStr">
        <is>
          <t>震天雷霆斬</t>
        </is>
      </c>
      <c r="C54" s="135" t="n">
        <v>1</v>
      </c>
      <c r="D54" s="135" t="n">
        <v>1</v>
      </c>
      <c r="E54" s="135" t="n"/>
      <c r="F54" s="135" t="n">
        <v>3</v>
      </c>
      <c r="G54" s="55" t="n">
        <v>1.6</v>
      </c>
      <c r="H54" s="55" t="n"/>
      <c r="I54" s="135" t="n"/>
      <c r="J54" s="135" t="n"/>
      <c r="K54" s="135" t="n">
        <v>4</v>
      </c>
      <c r="L54" s="135" t="n"/>
      <c r="M54" s="141" t="inlineStr">
        <is>
          <t>phycial</t>
        </is>
      </c>
      <c r="N54" s="51" t="n">
        <v>23</v>
      </c>
      <c r="O54" s="141" t="n"/>
      <c r="P54" s="52" t="n">
        <v>1001</v>
      </c>
      <c r="Q54" s="52" t="n">
        <v>0.4</v>
      </c>
      <c r="R54" s="52" t="n"/>
      <c r="S54" s="141" t="n"/>
      <c r="T54" s="141" t="n"/>
      <c r="U54" s="141" t="n"/>
      <c r="V54" s="135" t="n"/>
      <c r="W54" s="141" t="n"/>
      <c r="X54" s="141" t="inlineStr">
        <is>
          <t>slash</t>
        </is>
      </c>
      <c r="Y54" s="141" t="n"/>
      <c r="Z54" s="137" t="inlineStr">
        <is>
          <t>對敵方隨機1體造成&lt;AD&gt;物攻的物理傷害共3次，40%自身附加攻擊上升</t>
        </is>
      </c>
      <c r="AA54" s="150" t="n"/>
      <c r="AB54" s="150" t="n"/>
      <c r="AC54" s="150" t="n"/>
      <c r="AD54" s="149" t="n"/>
      <c r="AE54" s="57" t="n"/>
      <c r="AF54" s="57" t="n"/>
      <c r="AG54" s="57" t="n"/>
      <c r="AH54" s="47" t="n"/>
      <c r="AI54" s="57" t="n"/>
    </row>
    <row r="55" ht="15.75" customHeight="1" s="142">
      <c r="A55" s="141" t="n">
        <v>310010</v>
      </c>
      <c r="B55" s="137" t="inlineStr">
        <is>
          <t>噬魂開鋒</t>
        </is>
      </c>
      <c r="C55" s="135" t="n">
        <v>1</v>
      </c>
      <c r="D55" s="135" t="n">
        <v>1</v>
      </c>
      <c r="E55" s="135" t="n"/>
      <c r="F55" s="135" t="n">
        <v>1</v>
      </c>
      <c r="G55" s="55" t="n">
        <v>5</v>
      </c>
      <c r="H55" s="55" t="n"/>
      <c r="I55" s="135" t="n"/>
      <c r="J55" s="135" t="n"/>
      <c r="K55" s="135" t="n">
        <v>5</v>
      </c>
      <c r="L55" s="135" t="n"/>
      <c r="M55" s="141" t="inlineStr">
        <is>
          <t>phycial</t>
        </is>
      </c>
      <c r="N55" s="51" t="n">
        <v>100</v>
      </c>
      <c r="O55" s="141" t="n"/>
      <c r="P55" s="52" t="n"/>
      <c r="Q55" s="52" t="n"/>
      <c r="R55" s="52" t="n">
        <v>5004</v>
      </c>
      <c r="S55" s="141" t="n">
        <v>0.4</v>
      </c>
      <c r="T55" s="141" t="n"/>
      <c r="U55" s="141" t="n"/>
      <c r="V55" s="135" t="n"/>
      <c r="W55" s="53" t="inlineStr">
        <is>
          <t>magic_throw</t>
        </is>
      </c>
      <c r="X55" s="53" t="inlineStr">
        <is>
          <t>explode</t>
        </is>
      </c>
      <c r="Y55" s="141" t="n"/>
      <c r="Z55" s="137" t="inlineStr">
        <is>
          <t>對敵方1體隨機造成&lt;AD&gt;物攻的物理傷害，額外40%附加停止</t>
        </is>
      </c>
      <c r="AA55" s="150" t="n"/>
      <c r="AB55" s="150" t="n"/>
      <c r="AC55" s="150" t="n"/>
      <c r="AD55" s="149" t="n"/>
      <c r="AE55" s="57" t="n"/>
      <c r="AF55" s="57" t="n"/>
      <c r="AG55" s="57" t="n"/>
      <c r="AH55" s="47" t="n"/>
      <c r="AI55" s="57" t="n"/>
    </row>
    <row r="56" ht="15.75" customHeight="1" s="142">
      <c r="A56" s="141" t="n">
        <v>310011</v>
      </c>
      <c r="B56" s="137" t="inlineStr">
        <is>
          <t>聖光衝擊</t>
        </is>
      </c>
      <c r="C56" s="135" t="n">
        <v>1</v>
      </c>
      <c r="D56" s="135" t="n"/>
      <c r="E56" s="135" t="n"/>
      <c r="F56" s="135" t="n">
        <v>1</v>
      </c>
      <c r="G56" s="55" t="n">
        <v>4.8</v>
      </c>
      <c r="H56" s="55" t="n"/>
      <c r="I56" s="135" t="n"/>
      <c r="J56" s="135" t="n"/>
      <c r="K56" s="135" t="n">
        <v>6</v>
      </c>
      <c r="L56" s="135" t="n"/>
      <c r="M56" s="141" t="inlineStr">
        <is>
          <t>phycial</t>
        </is>
      </c>
      <c r="N56" s="51" t="n">
        <v>44</v>
      </c>
      <c r="O56" s="141" t="n"/>
      <c r="P56" s="52" t="n"/>
      <c r="Q56" s="52" t="n"/>
      <c r="R56" s="52" t="n">
        <v>5002</v>
      </c>
      <c r="S56" s="141" t="n">
        <v>0.4</v>
      </c>
      <c r="T56" s="141" t="n"/>
      <c r="U56" s="141" t="n"/>
      <c r="V56" s="135" t="n"/>
      <c r="W56" s="141" t="n"/>
      <c r="X56" s="141" t="inlineStr">
        <is>
          <t>stab</t>
        </is>
      </c>
      <c r="Y56" s="141" t="n"/>
      <c r="Z56" s="137" t="inlineStr">
        <is>
          <t>對敵方1體造成&lt;AD&gt;物攻的物理傷害，造成40%暈眩</t>
        </is>
      </c>
      <c r="AA56" s="150" t="n"/>
      <c r="AB56" s="150" t="n"/>
      <c r="AC56" s="150" t="n"/>
      <c r="AD56" s="149" t="n"/>
      <c r="AE56" s="57" t="n"/>
      <c r="AF56" s="57" t="n"/>
      <c r="AG56" s="57" t="n"/>
      <c r="AH56" s="47" t="n"/>
      <c r="AI56" s="57" t="n"/>
    </row>
    <row r="57" ht="15.75" customHeight="1" s="142">
      <c r="A57" s="141" t="n">
        <v>310012</v>
      </c>
      <c r="B57" s="137" t="inlineStr">
        <is>
          <t>英雄意志</t>
        </is>
      </c>
      <c r="C57" s="135" t="n">
        <v>-1</v>
      </c>
      <c r="D57" s="135" t="n"/>
      <c r="E57" s="135" t="n"/>
      <c r="F57" s="135" t="n">
        <v>1</v>
      </c>
      <c r="G57" s="55" t="n"/>
      <c r="H57" s="55" t="n">
        <v>4.8</v>
      </c>
      <c r="I57" s="135" t="n"/>
      <c r="J57" s="135" t="n"/>
      <c r="K57" s="135" t="n">
        <v>7</v>
      </c>
      <c r="L57" s="135" t="n"/>
      <c r="M57" s="141" t="inlineStr">
        <is>
          <t>heal</t>
        </is>
      </c>
      <c r="N57" s="51" t="n">
        <v>48</v>
      </c>
      <c r="O57" s="141" t="n">
        <v>150</v>
      </c>
      <c r="P57" s="52" t="n"/>
      <c r="Q57" s="52" t="n"/>
      <c r="R57" s="52" t="n"/>
      <c r="S57" s="141" t="n"/>
      <c r="T57" s="141" t="n"/>
      <c r="U57" s="141" t="n"/>
      <c r="V57" s="135" t="n"/>
      <c r="W57" s="141" t="n"/>
      <c r="X57" s="141" t="inlineStr">
        <is>
          <t>heal</t>
        </is>
      </c>
      <c r="Y57" s="141" t="n"/>
      <c r="Z57" s="137" t="inlineStr">
        <is>
          <t>對我方1體恢復魔攻&lt;AP&gt;的hp，追加立即恢復對象mp150</t>
        </is>
      </c>
      <c r="AA57" s="150" t="n"/>
      <c r="AB57" s="150" t="n"/>
      <c r="AC57" s="150" t="n"/>
      <c r="AD57" s="149" t="n"/>
      <c r="AE57" s="57" t="n"/>
      <c r="AF57" s="57" t="n"/>
      <c r="AG57" s="57" t="n"/>
      <c r="AH57" s="47" t="n"/>
      <c r="AI57" s="47" t="n"/>
    </row>
    <row r="58" ht="15.75" customHeight="1" s="142">
      <c r="A58" s="141" t="n">
        <v>310013</v>
      </c>
      <c r="B58" s="137" t="inlineStr">
        <is>
          <t>夢魔潰散</t>
        </is>
      </c>
      <c r="C58" s="135" t="n">
        <v>1</v>
      </c>
      <c r="D58" s="135" t="n"/>
      <c r="E58" s="135" t="n"/>
      <c r="F58" s="135" t="n">
        <v>1</v>
      </c>
      <c r="G58" s="55" t="n">
        <v>3.8</v>
      </c>
      <c r="H58" s="55" t="n"/>
      <c r="I58" s="135" t="n"/>
      <c r="J58" s="135" t="n"/>
      <c r="K58" s="135" t="n">
        <v>9</v>
      </c>
      <c r="L58" s="135" t="n"/>
      <c r="M58" s="141" t="inlineStr">
        <is>
          <t>phycial</t>
        </is>
      </c>
      <c r="N58" s="51" t="n">
        <v>38</v>
      </c>
      <c r="O58" s="141" t="n"/>
      <c r="P58" s="52" t="n"/>
      <c r="Q58" s="52" t="n"/>
      <c r="R58" s="52" t="n">
        <v>3006</v>
      </c>
      <c r="S58" s="141" t="n"/>
      <c r="T58" s="141" t="n"/>
      <c r="U58" s="141" t="n"/>
      <c r="V58" s="135" t="n"/>
      <c r="W58" s="141" t="n"/>
      <c r="X58" s="141" t="inlineStr">
        <is>
          <t>stab</t>
        </is>
      </c>
      <c r="Y58" s="141" t="n"/>
      <c r="Z58" s="137" t="inlineStr">
        <is>
          <t>對敵方1體造成&lt;AD&gt;物攻的物理傷害並附加(潰魔；降30%魔防)</t>
        </is>
      </c>
      <c r="AA58" s="150" t="n"/>
      <c r="AB58" s="150" t="n"/>
      <c r="AC58" s="150" t="n"/>
      <c r="AD58" s="149" t="n"/>
      <c r="AE58" s="57" t="n"/>
      <c r="AF58" s="57" t="n"/>
      <c r="AG58" s="57" t="n"/>
      <c r="AH58" s="47" t="n"/>
      <c r="AI58" s="47" t="n"/>
    </row>
    <row r="59" ht="15.75" customHeight="1" s="142">
      <c r="A59" s="141" t="n">
        <v>310014</v>
      </c>
      <c r="B59" s="137" t="inlineStr">
        <is>
          <t>急流連刺</t>
        </is>
      </c>
      <c r="C59" s="135" t="n">
        <v>3</v>
      </c>
      <c r="D59" s="135" t="n">
        <v>1</v>
      </c>
      <c r="E59" s="135" t="n"/>
      <c r="F59" s="135" t="n">
        <v>1</v>
      </c>
      <c r="G59" s="55" t="n">
        <v>1.3</v>
      </c>
      <c r="H59" s="55" t="n"/>
      <c r="I59" s="135" t="n"/>
      <c r="J59" s="135" t="n"/>
      <c r="K59" s="135" t="n">
        <v>8</v>
      </c>
      <c r="L59" s="135" t="n"/>
      <c r="M59" s="141" t="inlineStr">
        <is>
          <t>phycial</t>
        </is>
      </c>
      <c r="N59" s="51" t="n">
        <v>39</v>
      </c>
      <c r="O59" s="141" t="n"/>
      <c r="P59" s="52" t="n"/>
      <c r="Q59" s="52" t="n"/>
      <c r="R59" s="52" t="n">
        <v>3005</v>
      </c>
      <c r="S59" s="141" t="n"/>
      <c r="T59" s="141" t="n"/>
      <c r="U59" s="141" t="n"/>
      <c r="V59" s="135" t="n"/>
      <c r="W59" s="141" t="n"/>
      <c r="X59" s="141" t="inlineStr">
        <is>
          <t>slash</t>
        </is>
      </c>
      <c r="Y59" s="141" t="n"/>
      <c r="Z59" s="137" t="inlineStr">
        <is>
          <t>對敵方3體隨機造成&lt;AD&gt;物攻的物理傷害並附加潰防(潰防；降30%物禦)</t>
        </is>
      </c>
      <c r="AA59" s="150" t="n"/>
      <c r="AB59" s="150" t="n"/>
      <c r="AC59" s="150" t="n"/>
      <c r="AD59" s="149" t="n"/>
      <c r="AE59" s="57" t="n"/>
      <c r="AF59" s="57" t="n"/>
      <c r="AG59" s="57" t="n"/>
      <c r="AH59" s="47" t="n"/>
      <c r="AI59" s="47" t="n"/>
    </row>
    <row r="60" ht="15.75" customHeight="1" s="142">
      <c r="A60" s="141" t="n">
        <v>310015</v>
      </c>
      <c r="B60" s="137" t="inlineStr">
        <is>
          <t>冥府威壓</t>
        </is>
      </c>
      <c r="C60" s="135" t="n">
        <v>2</v>
      </c>
      <c r="D60" s="135" t="n"/>
      <c r="E60" s="135" t="n"/>
      <c r="F60" s="135" t="n">
        <v>1</v>
      </c>
      <c r="G60" s="55" t="n"/>
      <c r="H60" s="55" t="n">
        <v>1.9</v>
      </c>
      <c r="I60" s="135" t="n"/>
      <c r="J60" s="135" t="n"/>
      <c r="K60" s="135" t="n">
        <v>9</v>
      </c>
      <c r="L60" s="135" t="n"/>
      <c r="M60" s="141" t="inlineStr">
        <is>
          <t>magic</t>
        </is>
      </c>
      <c r="N60" s="51" t="n">
        <v>76</v>
      </c>
      <c r="O60" s="141" t="n"/>
      <c r="P60" s="52" t="n"/>
      <c r="Q60" s="52" t="n"/>
      <c r="R60" s="52" t="n">
        <v>5002</v>
      </c>
      <c r="S60" s="141" t="n">
        <v>0.3</v>
      </c>
      <c r="T60" s="141" t="n"/>
      <c r="U60" s="141" t="n"/>
      <c r="V60" s="135" t="n"/>
      <c r="W60" s="53" t="inlineStr">
        <is>
          <t>magic_throw</t>
        </is>
      </c>
      <c r="X60" s="53" t="inlineStr">
        <is>
          <t>explode</t>
        </is>
      </c>
      <c r="Y60" s="141" t="n"/>
      <c r="Z60" s="137" t="inlineStr">
        <is>
          <t>為敵方2體造成&lt;AP&gt;魔攻的魔法傷害，並30%機率附加暈眩</t>
        </is>
      </c>
      <c r="AA60" s="150" t="n"/>
      <c r="AB60" s="150" t="n"/>
      <c r="AC60" s="150" t="n"/>
      <c r="AD60" s="149" t="n"/>
      <c r="AE60" s="57" t="n"/>
      <c r="AF60" s="57" t="n"/>
      <c r="AG60" s="57" t="n"/>
      <c r="AH60" s="47" t="n"/>
      <c r="AI60" s="47" t="n"/>
    </row>
    <row r="61" ht="15.75" customHeight="1" s="142">
      <c r="A61" s="141">
        <f>A60+1</f>
        <v/>
      </c>
      <c r="B61" s="137" t="inlineStr">
        <is>
          <t>魔障封印</t>
        </is>
      </c>
      <c r="C61" s="135" t="n">
        <v>2</v>
      </c>
      <c r="D61" s="135" t="n">
        <v>1</v>
      </c>
      <c r="E61" s="135" t="n"/>
      <c r="F61" s="135" t="n">
        <v>1</v>
      </c>
      <c r="G61" s="55" t="n"/>
      <c r="H61" s="55" t="n">
        <v>2</v>
      </c>
      <c r="I61" s="135" t="n"/>
      <c r="J61" s="135" t="n"/>
      <c r="K61" s="135" t="n">
        <v>7</v>
      </c>
      <c r="L61" s="135" t="n"/>
      <c r="M61" s="141" t="inlineStr">
        <is>
          <t>magic</t>
        </is>
      </c>
      <c r="N61" s="51" t="n">
        <v>80</v>
      </c>
      <c r="O61" s="141" t="n"/>
      <c r="P61" s="52" t="n">
        <v>1007</v>
      </c>
      <c r="Q61" s="141" t="n">
        <v>0.4</v>
      </c>
      <c r="R61" s="52" t="n"/>
      <c r="S61" s="141" t="n"/>
      <c r="T61" s="141" t="n"/>
      <c r="U61" s="141" t="n"/>
      <c r="V61" s="135" t="n"/>
      <c r="W61" s="53" t="inlineStr">
        <is>
          <t>magic_throw</t>
        </is>
      </c>
      <c r="X61" s="53" t="inlineStr">
        <is>
          <t>explode</t>
        </is>
      </c>
      <c r="Y61" s="141" t="n"/>
      <c r="Z61" s="137" t="inlineStr">
        <is>
          <t>為敵方隨機2體造成&lt;AP&gt;魔攻的魔法傷害，40%機率附加技能傷害上升</t>
        </is>
      </c>
      <c r="AA61" s="150" t="n"/>
      <c r="AB61" s="150" t="n"/>
      <c r="AC61" s="150" t="n"/>
      <c r="AD61" s="149" t="n"/>
      <c r="AE61" s="57" t="n"/>
      <c r="AF61" s="57" t="n"/>
      <c r="AG61" s="57" t="n"/>
      <c r="AH61" s="47" t="n"/>
      <c r="AI61" s="47" t="n"/>
    </row>
    <row r="62" ht="15.75" customHeight="1" s="142">
      <c r="A62" s="141">
        <f>A61+1</f>
        <v/>
      </c>
      <c r="B62" s="137" t="inlineStr">
        <is>
          <t>永恆映照</t>
        </is>
      </c>
      <c r="C62" s="135" t="n">
        <v>-2</v>
      </c>
      <c r="D62" s="135" t="n"/>
      <c r="E62" s="135" t="n"/>
      <c r="F62" s="135" t="n">
        <v>1</v>
      </c>
      <c r="G62" s="55" t="n"/>
      <c r="H62" s="55" t="n">
        <v>1.9</v>
      </c>
      <c r="I62" s="135" t="n"/>
      <c r="J62" s="135" t="n"/>
      <c r="K62" s="135" t="n">
        <v>8</v>
      </c>
      <c r="L62" s="135" t="n"/>
      <c r="M62" s="141" t="inlineStr">
        <is>
          <t>heal</t>
        </is>
      </c>
      <c r="N62" s="51" t="n">
        <v>37</v>
      </c>
      <c r="O62" s="141" t="n"/>
      <c r="P62" s="52" t="n"/>
      <c r="Q62" s="52" t="n"/>
      <c r="R62" s="52" t="n">
        <v>1997</v>
      </c>
      <c r="S62" s="141" t="n"/>
      <c r="T62" s="141" t="n"/>
      <c r="U62" s="141" t="n"/>
      <c r="V62" s="135" t="n"/>
      <c r="W62" s="141" t="n"/>
      <c r="X62" s="141" t="inlineStr">
        <is>
          <t>heal</t>
        </is>
      </c>
      <c r="Y62" s="141" t="n"/>
      <c r="Z62" s="138" t="inlineStr">
        <is>
          <t>為我方2體恢復&lt;AP&gt;魔攻的HP，並附加傷害反射</t>
        </is>
      </c>
      <c r="AE62" s="57" t="n"/>
      <c r="AF62" s="57" t="n"/>
      <c r="AG62" s="57" t="n"/>
      <c r="AH62" s="47" t="n"/>
      <c r="AI62" s="47" t="n"/>
    </row>
    <row r="63" ht="15.75" customHeight="1" s="142">
      <c r="A63" s="141">
        <f>A62+1</f>
        <v/>
      </c>
      <c r="B63" s="137" t="inlineStr">
        <is>
          <t>熔岩流淌</t>
        </is>
      </c>
      <c r="C63" s="135" t="n">
        <v>2</v>
      </c>
      <c r="D63" s="135" t="n">
        <v>1</v>
      </c>
      <c r="E63" s="135" t="n"/>
      <c r="F63" s="135" t="n">
        <v>1</v>
      </c>
      <c r="G63" s="55" t="n"/>
      <c r="H63" s="55" t="n">
        <v>2</v>
      </c>
      <c r="I63" s="135" t="n"/>
      <c r="J63" s="135" t="n"/>
      <c r="K63" s="135" t="n">
        <v>7</v>
      </c>
      <c r="L63" s="135" t="n"/>
      <c r="M63" s="141" t="inlineStr">
        <is>
          <t>magic</t>
        </is>
      </c>
      <c r="N63" s="51" t="n">
        <v>76</v>
      </c>
      <c r="O63" s="141" t="n"/>
      <c r="P63" s="52" t="n"/>
      <c r="Q63" s="52" t="n"/>
      <c r="R63" s="52" t="n">
        <v>4001</v>
      </c>
      <c r="S63" s="141" t="n">
        <v>0.3</v>
      </c>
      <c r="T63" s="141" t="n"/>
      <c r="U63" s="141" t="n"/>
      <c r="V63" s="135" t="n"/>
      <c r="W63" s="53" t="inlineStr">
        <is>
          <t>magic_throw</t>
        </is>
      </c>
      <c r="X63" s="53" t="inlineStr">
        <is>
          <t>explode</t>
        </is>
      </c>
      <c r="Y63" s="141" t="n"/>
      <c r="Z63" s="137" t="inlineStr">
        <is>
          <t>對敵方隨機2體造成&lt;AP&gt;魔攻的魔法傷害，30%灼傷</t>
        </is>
      </c>
      <c r="AA63" s="150" t="n"/>
      <c r="AB63" s="150" t="n"/>
      <c r="AC63" s="150" t="n"/>
      <c r="AD63" s="149" t="n"/>
      <c r="AE63" s="57" t="n"/>
      <c r="AF63" s="57" t="n"/>
      <c r="AG63" s="57" t="n"/>
      <c r="AH63" s="47" t="n"/>
      <c r="AI63" s="47" t="n"/>
    </row>
    <row r="64" ht="15.75" customHeight="1" s="142">
      <c r="A64" s="141">
        <f>A63+1</f>
        <v/>
      </c>
      <c r="B64" s="137" t="inlineStr">
        <is>
          <t>轟天衝擊</t>
        </is>
      </c>
      <c r="C64" s="135" t="n">
        <v>2</v>
      </c>
      <c r="D64" s="135" t="n"/>
      <c r="E64" s="135" t="n"/>
      <c r="F64" s="135" t="n">
        <v>1</v>
      </c>
      <c r="G64" s="55" t="n"/>
      <c r="H64" s="55" t="n">
        <v>1.9</v>
      </c>
      <c r="I64" s="135" t="n"/>
      <c r="J64" s="135" t="n"/>
      <c r="K64" s="135" t="n">
        <v>9</v>
      </c>
      <c r="L64" s="135" t="n"/>
      <c r="M64" s="141" t="inlineStr">
        <is>
          <t>magic</t>
        </is>
      </c>
      <c r="N64" s="51" t="n">
        <v>69</v>
      </c>
      <c r="O64" s="141" t="n"/>
      <c r="P64" s="52" t="n"/>
      <c r="Q64" s="52" t="n"/>
      <c r="R64" s="52" t="n">
        <v>5001</v>
      </c>
      <c r="S64" s="141" t="n">
        <v>0.3</v>
      </c>
      <c r="T64" s="141" t="n"/>
      <c r="U64" s="141" t="n"/>
      <c r="V64" s="135" t="n"/>
      <c r="W64" s="53" t="inlineStr">
        <is>
          <t>magic_throw</t>
        </is>
      </c>
      <c r="X64" s="53" t="inlineStr">
        <is>
          <t>explode</t>
        </is>
      </c>
      <c r="Y64" s="141" t="n"/>
      <c r="Z64" s="137" t="inlineStr">
        <is>
          <t>為敵方2體造成造成&lt;AP&gt;魔攻的魔法傷害，並30%機率附加麻痺</t>
        </is>
      </c>
      <c r="AA64" s="150" t="n"/>
      <c r="AB64" s="150" t="n"/>
      <c r="AC64" s="150" t="n"/>
      <c r="AD64" s="149" t="n"/>
      <c r="AE64" s="57" t="n"/>
      <c r="AF64" s="57" t="n"/>
      <c r="AG64" s="57" t="n"/>
      <c r="AH64" s="47" t="n"/>
      <c r="AI64" s="47" t="n"/>
    </row>
    <row r="65" ht="15.75" customHeight="1" s="142">
      <c r="A65" s="141">
        <f>A64+1</f>
        <v/>
      </c>
      <c r="B65" s="137" t="inlineStr">
        <is>
          <t>邪眼顯現</t>
        </is>
      </c>
      <c r="C65" s="135" t="n">
        <v>3</v>
      </c>
      <c r="D65" s="135" t="n">
        <v>1</v>
      </c>
      <c r="E65" s="135" t="n"/>
      <c r="F65" s="135" t="n">
        <v>1</v>
      </c>
      <c r="G65" s="55" t="n"/>
      <c r="H65" s="55" t="n">
        <v>0.02</v>
      </c>
      <c r="I65" s="135" t="n"/>
      <c r="J65" s="135" t="n"/>
      <c r="K65" s="135" t="n">
        <v>11</v>
      </c>
      <c r="L65" s="135" t="n"/>
      <c r="M65" s="141" t="inlineStr">
        <is>
          <t>magic</t>
        </is>
      </c>
      <c r="N65" s="51" t="n">
        <v>59</v>
      </c>
      <c r="O65" s="141" t="n"/>
      <c r="P65" s="52" t="n"/>
      <c r="Q65" s="52" t="n"/>
      <c r="R65" s="52" t="n"/>
      <c r="S65" s="141" t="n"/>
      <c r="T65" s="141" t="n"/>
      <c r="U65" s="141" t="n"/>
      <c r="V65" s="135" t="n"/>
      <c r="W65" s="53" t="inlineStr">
        <is>
          <t>magic_throw</t>
        </is>
      </c>
      <c r="X65" s="141" t="inlineStr">
        <is>
          <t>mana_cost</t>
        </is>
      </c>
      <c r="Y65" s="141" t="n"/>
      <c r="Z65" s="137" t="inlineStr">
        <is>
          <t>為敵方隨機3體造成&lt;AP&gt;魔攻的MP傷害</t>
        </is>
      </c>
      <c r="AA65" s="150" t="n"/>
      <c r="AB65" s="150" t="n"/>
      <c r="AC65" s="150" t="n"/>
      <c r="AD65" s="149" t="n"/>
      <c r="AE65" s="57" t="n"/>
      <c r="AF65" s="57" t="n"/>
      <c r="AG65" s="57" t="n"/>
      <c r="AH65" s="47" t="n"/>
      <c r="AI65" s="47" t="n"/>
    </row>
    <row r="66" ht="15.75" customHeight="1" s="142">
      <c r="A66" s="141">
        <f>A65+1</f>
        <v/>
      </c>
      <c r="B66" s="137" t="inlineStr">
        <is>
          <t>破魂斬</t>
        </is>
      </c>
      <c r="C66" s="135" t="n">
        <v>2</v>
      </c>
      <c r="D66" s="135" t="n">
        <v>1</v>
      </c>
      <c r="E66" s="135" t="n"/>
      <c r="F66" s="135" t="n">
        <v>1</v>
      </c>
      <c r="G66" s="55" t="n">
        <v>2</v>
      </c>
      <c r="H66" s="55" t="n"/>
      <c r="I66" s="135" t="n"/>
      <c r="J66" s="135" t="n"/>
      <c r="K66" s="135" t="n">
        <v>10</v>
      </c>
      <c r="L66" s="135" t="n"/>
      <c r="M66" s="141" t="inlineStr">
        <is>
          <t>phycial</t>
        </is>
      </c>
      <c r="N66" s="51" t="n">
        <v>39</v>
      </c>
      <c r="O66" s="141" t="n"/>
      <c r="P66" s="52" t="n"/>
      <c r="Q66" s="52" t="n"/>
      <c r="R66" s="58" t="inlineStr">
        <is>
          <t>2002,2004</t>
        </is>
      </c>
      <c r="S66" s="141" t="n">
        <v>0.6</v>
      </c>
      <c r="T66" s="141" t="n"/>
      <c r="U66" s="141" t="n"/>
      <c r="V66" s="135" t="n"/>
      <c r="W66" s="141" t="n"/>
      <c r="X66" s="141" t="inlineStr">
        <is>
          <t>slash</t>
        </is>
      </c>
      <c r="Y66" s="141" t="n"/>
      <c r="Z66" s="137" t="inlineStr">
        <is>
          <t>為敵方隨機2體造成&lt;AD&gt;物攻的物理傷害，並60%防禦下降與魔法下降</t>
        </is>
      </c>
      <c r="AA66" s="150" t="n"/>
      <c r="AB66" s="150" t="n"/>
      <c r="AC66" s="150" t="n"/>
      <c r="AD66" s="149" t="n"/>
      <c r="AE66" s="57" t="n"/>
      <c r="AF66" s="57" t="n"/>
      <c r="AG66" s="57" t="n"/>
      <c r="AH66" s="47" t="n"/>
      <c r="AI66" s="47" t="n"/>
    </row>
    <row r="67" ht="15.75" customHeight="1" s="142">
      <c r="A67" s="141">
        <f>A66+1</f>
        <v/>
      </c>
      <c r="B67" s="137" t="inlineStr">
        <is>
          <t>貫穿刺擊</t>
        </is>
      </c>
      <c r="C67" s="135" t="n">
        <v>1</v>
      </c>
      <c r="D67" s="135" t="n"/>
      <c r="E67" s="135" t="n"/>
      <c r="F67" s="135" t="n">
        <v>1</v>
      </c>
      <c r="G67" s="55" t="n">
        <v>3</v>
      </c>
      <c r="H67" s="55" t="n"/>
      <c r="I67" s="135" t="n"/>
      <c r="J67" s="135" t="n"/>
      <c r="K67" s="135" t="n">
        <v>9</v>
      </c>
      <c r="L67" s="135" t="n"/>
      <c r="M67" s="141" t="inlineStr">
        <is>
          <t>phycial</t>
        </is>
      </c>
      <c r="N67" s="51" t="n">
        <v>22</v>
      </c>
      <c r="O67" s="141" t="n"/>
      <c r="P67" s="52" t="n"/>
      <c r="Q67" s="52" t="n"/>
      <c r="R67" s="52" t="n">
        <v>1006</v>
      </c>
      <c r="S67" s="141" t="n">
        <v>0.5</v>
      </c>
      <c r="T67" s="141" t="n"/>
      <c r="U67" s="141" t="n"/>
      <c r="V67" s="135" t="n"/>
      <c r="W67" s="141" t="n"/>
      <c r="X67" s="141" t="inlineStr">
        <is>
          <t>slash</t>
        </is>
      </c>
      <c r="Y67" s="141" t="n"/>
      <c r="Z67" s="137" t="inlineStr">
        <is>
          <t>對敵方1體造成&lt;AD&gt;物攻的物理傷害，並50%為自身附加爆擊上升</t>
        </is>
      </c>
      <c r="AA67" s="150" t="n"/>
      <c r="AB67" s="150" t="n"/>
      <c r="AC67" s="150" t="n"/>
      <c r="AD67" s="149" t="n"/>
      <c r="AE67" s="57" t="n"/>
      <c r="AF67" s="57" t="n"/>
      <c r="AG67" s="57" t="n"/>
      <c r="AH67" s="47" t="n"/>
      <c r="AI67" s="47" t="n"/>
    </row>
    <row r="68" ht="15.75" customHeight="1" s="142">
      <c r="A68" s="141">
        <f>A67+1</f>
        <v/>
      </c>
      <c r="B68" s="137" t="inlineStr">
        <is>
          <t>毒棘之吻</t>
        </is>
      </c>
      <c r="C68" s="135" t="n">
        <v>5</v>
      </c>
      <c r="D68" s="135" t="n"/>
      <c r="E68" s="135" t="n"/>
      <c r="F68" s="135" t="n">
        <v>1</v>
      </c>
      <c r="G68" s="55" t="n">
        <v>0.6</v>
      </c>
      <c r="H68" s="55" t="n"/>
      <c r="I68" s="135" t="n"/>
      <c r="J68" s="135" t="n"/>
      <c r="K68" s="135" t="n">
        <v>12</v>
      </c>
      <c r="L68" s="135" t="n"/>
      <c r="M68" s="141" t="inlineStr">
        <is>
          <t>phycial</t>
        </is>
      </c>
      <c r="N68" s="51" t="n">
        <v>27</v>
      </c>
      <c r="O68" s="141" t="n"/>
      <c r="P68" s="52" t="n"/>
      <c r="Q68" s="52" t="n"/>
      <c r="R68" s="52" t="n">
        <v>4004</v>
      </c>
      <c r="S68" s="141" t="n">
        <v>0.35</v>
      </c>
      <c r="T68" s="141" t="n"/>
      <c r="U68" s="141" t="n"/>
      <c r="V68" s="135" t="n"/>
      <c r="X68" s="141" t="inlineStr">
        <is>
          <t>stab</t>
        </is>
      </c>
      <c r="Y68" s="141" t="n"/>
      <c r="Z68" s="137" t="inlineStr">
        <is>
          <t>為敵方全體造成&lt;AD&gt;物攻的物理傷害，機率附加35%中毒</t>
        </is>
      </c>
      <c r="AA68" s="150" t="n"/>
      <c r="AB68" s="150" t="n"/>
      <c r="AC68" s="150" t="n"/>
      <c r="AD68" s="149" t="n"/>
      <c r="AE68" s="57" t="n"/>
      <c r="AF68" s="57" t="n"/>
      <c r="AG68" s="57" t="n"/>
      <c r="AH68" s="47" t="n"/>
      <c r="AI68" s="47" t="n"/>
    </row>
    <row r="69" ht="15.75" customHeight="1" s="142">
      <c r="A69" s="141">
        <f>A68+1</f>
        <v/>
      </c>
      <c r="B69" s="137" t="inlineStr">
        <is>
          <t>冰凍術</t>
        </is>
      </c>
      <c r="C69" s="135" t="n">
        <v>2</v>
      </c>
      <c r="D69" s="135" t="n"/>
      <c r="E69" s="135" t="n"/>
      <c r="F69" s="135" t="n">
        <v>1</v>
      </c>
      <c r="G69" s="55" t="n"/>
      <c r="H69" s="55" t="n">
        <v>1.55</v>
      </c>
      <c r="I69" s="135" t="n"/>
      <c r="J69" s="135" t="n"/>
      <c r="K69" s="135" t="n">
        <v>8</v>
      </c>
      <c r="L69" s="135" t="n"/>
      <c r="M69" s="141" t="inlineStr">
        <is>
          <t>magic</t>
        </is>
      </c>
      <c r="N69" s="51" t="n">
        <v>62</v>
      </c>
      <c r="O69" s="141" t="n"/>
      <c r="P69" s="52" t="n"/>
      <c r="Q69" s="52" t="n"/>
      <c r="R69" s="52" t="n">
        <v>4002</v>
      </c>
      <c r="S69" s="141" t="n">
        <v>0.25</v>
      </c>
      <c r="T69" s="141" t="n"/>
      <c r="U69" s="141" t="n"/>
      <c r="V69" s="135" t="n"/>
      <c r="W69" s="53" t="inlineStr">
        <is>
          <t>magic_throw</t>
        </is>
      </c>
      <c r="X69" s="53" t="inlineStr">
        <is>
          <t>explode</t>
        </is>
      </c>
      <c r="Y69" s="141" t="n"/>
      <c r="Z69" s="137" t="inlineStr">
        <is>
          <t>對敵方2體造成&lt;AP&gt;魔攻的魔法傷害，並25%附加凍傷</t>
        </is>
      </c>
      <c r="AA69" s="150" t="n"/>
      <c r="AB69" s="150" t="n"/>
      <c r="AC69" s="150" t="n"/>
      <c r="AD69" s="149" t="n"/>
      <c r="AE69" s="57" t="n"/>
      <c r="AF69" s="57" t="n"/>
      <c r="AG69" s="57" t="n"/>
      <c r="AH69" s="47" t="n"/>
      <c r="AI69" s="47" t="n"/>
    </row>
    <row r="70" ht="15.75" customHeight="1" s="142">
      <c r="A70" s="141">
        <f>A69+1</f>
        <v/>
      </c>
      <c r="B70" s="137" t="inlineStr">
        <is>
          <t>恢復魔法</t>
        </is>
      </c>
      <c r="C70" s="135" t="n">
        <v>-2</v>
      </c>
      <c r="D70" s="135" t="n"/>
      <c r="E70" s="135" t="n"/>
      <c r="F70" s="135" t="n">
        <v>1</v>
      </c>
      <c r="G70" s="55" t="n"/>
      <c r="H70" s="55" t="n">
        <v>1.55</v>
      </c>
      <c r="I70" s="135" t="n"/>
      <c r="J70" s="135" t="n"/>
      <c r="K70" s="135" t="n">
        <v>8</v>
      </c>
      <c r="L70" s="135" t="n"/>
      <c r="M70" s="141" t="inlineStr">
        <is>
          <t>heal</t>
        </is>
      </c>
      <c r="N70" s="51" t="n">
        <v>31</v>
      </c>
      <c r="O70" s="141" t="n"/>
      <c r="P70" s="52" t="n"/>
      <c r="Q70" s="52" t="n"/>
      <c r="R70" s="52" t="n"/>
      <c r="S70" s="141" t="n"/>
      <c r="T70" s="141" t="n"/>
      <c r="U70" s="141" t="n"/>
      <c r="V70" s="135" t="n"/>
      <c r="W70" s="141" t="n"/>
      <c r="X70" s="141" t="inlineStr">
        <is>
          <t>heal</t>
        </is>
      </c>
      <c r="Y70" s="141" t="n"/>
      <c r="Z70" s="137" t="inlineStr">
        <is>
          <t>為我方2體恢復&lt;AP&gt;魔攻的HP</t>
        </is>
      </c>
      <c r="AA70" s="150" t="n"/>
      <c r="AB70" s="150" t="n"/>
      <c r="AC70" s="150" t="n"/>
      <c r="AD70" s="149" t="n"/>
      <c r="AE70" s="57" t="n"/>
      <c r="AF70" s="57" t="n"/>
      <c r="AG70" s="57" t="n"/>
      <c r="AH70" s="47" t="n"/>
      <c r="AI70" s="47" t="n"/>
    </row>
    <row r="71" ht="15.75" customHeight="1" s="142">
      <c r="A71" s="141">
        <f>A70+1</f>
        <v/>
      </c>
      <c r="B71" s="137" t="inlineStr">
        <is>
          <t>堅不可摧</t>
        </is>
      </c>
      <c r="C71" s="135" t="n">
        <v>-5</v>
      </c>
      <c r="D71" s="135" t="n"/>
      <c r="E71" s="135" t="n"/>
      <c r="F71" s="135" t="n">
        <v>1</v>
      </c>
      <c r="G71" s="55" t="n"/>
      <c r="H71" s="55" t="n"/>
      <c r="I71" s="135" t="n"/>
      <c r="J71" s="135" t="n"/>
      <c r="K71" s="135" t="n">
        <v>10</v>
      </c>
      <c r="L71" s="135" t="n"/>
      <c r="M71" s="141" t="n"/>
      <c r="N71" s="51" t="n">
        <v>32</v>
      </c>
      <c r="O71" s="141" t="n"/>
      <c r="P71" s="52" t="n"/>
      <c r="Q71" s="52" t="n"/>
      <c r="R71" s="52" t="inlineStr">
        <is>
          <t>1002,1002</t>
        </is>
      </c>
      <c r="S71" s="141" t="n"/>
      <c r="T71" s="141" t="n"/>
      <c r="U71" s="141" t="n"/>
      <c r="V71" s="135" t="n"/>
      <c r="W71" s="141" t="n"/>
      <c r="X71" s="141" t="inlineStr">
        <is>
          <t>buff</t>
        </is>
      </c>
      <c r="Y71" s="141" t="n"/>
      <c r="Z71" s="137" t="inlineStr">
        <is>
          <t>為我防全體附加防禦上升2層</t>
        </is>
      </c>
      <c r="AA71" s="150" t="n"/>
      <c r="AB71" s="150" t="n"/>
      <c r="AC71" s="150" t="n"/>
      <c r="AD71" s="149" t="n"/>
      <c r="AE71" s="57" t="n"/>
      <c r="AF71" s="57" t="n"/>
      <c r="AG71" s="57" t="n"/>
      <c r="AH71" s="47" t="n"/>
      <c r="AI71" s="47" t="n"/>
    </row>
    <row r="72" ht="15.75" customHeight="1" s="142">
      <c r="A72" s="141">
        <f>A71+1</f>
        <v/>
      </c>
      <c r="B72" s="137" t="inlineStr">
        <is>
          <t>集中一擊</t>
        </is>
      </c>
      <c r="C72" s="135" t="n">
        <v>1</v>
      </c>
      <c r="D72" s="135" t="n"/>
      <c r="E72" s="135" t="n"/>
      <c r="F72" s="135" t="n">
        <v>1</v>
      </c>
      <c r="G72" s="55" t="n">
        <v>3</v>
      </c>
      <c r="H72" s="55" t="n"/>
      <c r="I72" s="135" t="n"/>
      <c r="J72" s="135" t="n"/>
      <c r="K72" s="135" t="n">
        <v>8</v>
      </c>
      <c r="L72" s="135" t="n"/>
      <c r="M72" s="141" t="inlineStr">
        <is>
          <t>phycial</t>
        </is>
      </c>
      <c r="N72" s="51" t="n">
        <v>27</v>
      </c>
      <c r="O72" s="141" t="n"/>
      <c r="P72" s="52" t="n">
        <v>1005</v>
      </c>
      <c r="Q72" s="52" t="n">
        <v>0.4</v>
      </c>
      <c r="R72" s="52" t="n"/>
      <c r="S72" s="141" t="n"/>
      <c r="T72" s="141" t="n"/>
      <c r="U72" s="141" t="n"/>
      <c r="V72" s="135" t="n"/>
      <c r="W72" s="141" t="n"/>
      <c r="X72" s="141" t="inlineStr">
        <is>
          <t>slash</t>
        </is>
      </c>
      <c r="Y72" s="141" t="n"/>
      <c r="Z72" s="137" t="inlineStr">
        <is>
          <t>為敵方1體造成&lt;AD&gt;物攻的物理傷害；並40%為自身附加爆擊傷害上升</t>
        </is>
      </c>
      <c r="AA72" s="150" t="n"/>
      <c r="AB72" s="150" t="n"/>
      <c r="AC72" s="150" t="n"/>
      <c r="AD72" s="149" t="n"/>
      <c r="AE72" s="57" t="n"/>
      <c r="AF72" s="57" t="n"/>
      <c r="AG72" s="57" t="n"/>
      <c r="AH72" s="47" t="n"/>
      <c r="AI72" s="47" t="n"/>
    </row>
    <row r="73" ht="15.75" customHeight="1" s="142">
      <c r="A73" s="141">
        <f>A72+1</f>
        <v/>
      </c>
      <c r="B73" s="137" t="inlineStr">
        <is>
          <t>精神恢復</t>
        </is>
      </c>
      <c r="C73" s="135" t="n">
        <v>-2</v>
      </c>
      <c r="D73" s="135" t="n"/>
      <c r="E73" s="135" t="n"/>
      <c r="F73" s="135" t="n">
        <v>1</v>
      </c>
      <c r="G73" s="55" t="n"/>
      <c r="H73" s="55" t="n"/>
      <c r="I73" s="135" t="n"/>
      <c r="J73" s="135" t="n"/>
      <c r="K73" s="135" t="n">
        <v>11</v>
      </c>
      <c r="L73" s="135" t="n"/>
      <c r="M73" s="141" t="n"/>
      <c r="N73" s="51" t="n">
        <v>38</v>
      </c>
      <c r="O73" s="141" t="n">
        <v>80</v>
      </c>
      <c r="P73" s="52" t="n"/>
      <c r="Q73" s="52" t="n"/>
      <c r="R73" s="52" t="n"/>
      <c r="S73" s="141" t="n"/>
      <c r="T73" s="141" t="n"/>
      <c r="U73" s="141" t="n"/>
      <c r="V73" s="135" t="n"/>
      <c r="W73" s="141" t="n"/>
      <c r="X73" s="141" t="inlineStr">
        <is>
          <t>mana_cost</t>
        </is>
      </c>
      <c r="Y73" s="141" t="n"/>
      <c r="Z73" s="137" t="inlineStr">
        <is>
          <t>為我方2體恢復MP80</t>
        </is>
      </c>
      <c r="AA73" s="150" t="n"/>
      <c r="AB73" s="150" t="n"/>
      <c r="AC73" s="150" t="n"/>
      <c r="AD73" s="149" t="n"/>
      <c r="AE73" s="57" t="n"/>
      <c r="AF73" s="57" t="n"/>
      <c r="AG73" s="57" t="n"/>
      <c r="AH73" s="47" t="n"/>
      <c r="AI73" s="47" t="n"/>
    </row>
    <row r="74" ht="15.75" customHeight="1" s="142">
      <c r="A74" s="141">
        <f>A73+1</f>
        <v/>
      </c>
      <c r="B74" s="137" t="inlineStr">
        <is>
          <t>連鎖突進</t>
        </is>
      </c>
      <c r="C74" s="135" t="n">
        <v>1</v>
      </c>
      <c r="D74" s="135" t="n">
        <v>1</v>
      </c>
      <c r="E74" s="135" t="n"/>
      <c r="F74" s="135" t="n">
        <v>1</v>
      </c>
      <c r="G74" s="55" t="n">
        <v>3.15</v>
      </c>
      <c r="H74" s="55" t="n"/>
      <c r="I74" s="135" t="n"/>
      <c r="J74" s="135" t="n"/>
      <c r="K74" s="135" t="n">
        <v>8</v>
      </c>
      <c r="L74" s="135" t="n"/>
      <c r="M74" s="141" t="inlineStr">
        <is>
          <t>phycial</t>
        </is>
      </c>
      <c r="N74" s="51" t="n">
        <v>30</v>
      </c>
      <c r="O74" s="141" t="n"/>
      <c r="P74" s="52" t="n"/>
      <c r="Q74" s="52" t="n"/>
      <c r="R74" s="52" t="n"/>
      <c r="S74" s="141" t="n"/>
      <c r="T74" s="141" t="n"/>
      <c r="U74" s="141" t="n"/>
      <c r="V74" s="135" t="n"/>
      <c r="W74" s="141" t="n"/>
      <c r="X74" s="141" t="inlineStr">
        <is>
          <t>slash</t>
        </is>
      </c>
      <c r="Y74" s="141" t="n"/>
      <c r="Z74" s="137" t="inlineStr">
        <is>
          <t>為敵方隨機1體造成&lt;AD&gt;物攻的物理傷害2次</t>
        </is>
      </c>
      <c r="AA74" s="150" t="n"/>
      <c r="AB74" s="150" t="n"/>
      <c r="AC74" s="150" t="n"/>
      <c r="AD74" s="149" t="n"/>
      <c r="AE74" s="57" t="n"/>
      <c r="AF74" s="57" t="n"/>
      <c r="AG74" s="57" t="n"/>
      <c r="AH74" s="47" t="n"/>
      <c r="AI74" s="47" t="n"/>
    </row>
    <row r="75" ht="15.75" customHeight="1" s="142">
      <c r="A75" s="141">
        <f>A74+1</f>
        <v/>
      </c>
      <c r="B75" s="137" t="inlineStr">
        <is>
          <t>風暴護障</t>
        </is>
      </c>
      <c r="C75" s="135" t="n">
        <v>-2</v>
      </c>
      <c r="D75" s="135" t="n">
        <v>1</v>
      </c>
      <c r="E75" s="135" t="n"/>
      <c r="F75" s="135" t="n">
        <v>1</v>
      </c>
      <c r="G75" s="55" t="n"/>
      <c r="H75" s="55" t="n">
        <v>1.55</v>
      </c>
      <c r="I75" s="135" t="n"/>
      <c r="J75" s="135" t="n"/>
      <c r="K75" s="135" t="n">
        <v>9</v>
      </c>
      <c r="L75" s="135" t="n"/>
      <c r="M75" s="141" t="inlineStr">
        <is>
          <t>heal</t>
        </is>
      </c>
      <c r="N75" s="51" t="n">
        <v>32</v>
      </c>
      <c r="O75" s="141" t="n"/>
      <c r="P75" s="52" t="n"/>
      <c r="Q75" s="52" t="n"/>
      <c r="R75" s="52" t="n">
        <v>1004</v>
      </c>
      <c r="S75" s="141" t="n">
        <v>0.4</v>
      </c>
      <c r="T75" s="141" t="n"/>
      <c r="U75" s="141" t="n"/>
      <c r="V75" s="135" t="n"/>
      <c r="W75" s="141" t="n"/>
      <c r="X75" s="53" t="inlineStr">
        <is>
          <t>light</t>
        </is>
      </c>
      <c r="Y75" s="141" t="n"/>
      <c r="Z75" s="137" t="inlineStr">
        <is>
          <t>為隨機我方2體恢復&lt;AP&gt;魔攻的HP，並40%附加魔防上升</t>
        </is>
      </c>
      <c r="AA75" s="150" t="n"/>
      <c r="AB75" s="150" t="n"/>
      <c r="AC75" s="150" t="n"/>
      <c r="AD75" s="149" t="n"/>
      <c r="AE75" s="57" t="n"/>
      <c r="AF75" s="57" t="n"/>
      <c r="AG75" s="57" t="n"/>
      <c r="AH75" s="47" t="n"/>
      <c r="AI75" s="47" t="n"/>
    </row>
    <row r="76" ht="15.75" customHeight="1" s="142">
      <c r="A76" s="141">
        <f>A75+1</f>
        <v/>
      </c>
      <c r="B76" s="137" t="inlineStr">
        <is>
          <t>閃擊劍舞</t>
        </is>
      </c>
      <c r="C76" s="135" t="n">
        <v>-1</v>
      </c>
      <c r="D76" s="135" t="n"/>
      <c r="E76" s="135" t="n"/>
      <c r="F76" s="135" t="n">
        <v>1</v>
      </c>
      <c r="G76" s="55" t="n"/>
      <c r="H76" s="55" t="n"/>
      <c r="I76" s="135" t="n"/>
      <c r="J76" s="135" t="n"/>
      <c r="K76" s="135" t="n">
        <v>10</v>
      </c>
      <c r="L76" s="135" t="n"/>
      <c r="M76" s="141" t="n"/>
      <c r="N76" s="51" t="n">
        <v>29</v>
      </c>
      <c r="O76" s="141" t="n"/>
      <c r="P76" s="52" t="n">
        <v>3003</v>
      </c>
      <c r="Q76" s="52" t="n">
        <v>0.25</v>
      </c>
      <c r="R76" s="52" t="n"/>
      <c r="S76" s="141" t="n"/>
      <c r="T76" s="141" t="n"/>
      <c r="U76" s="141" t="n"/>
      <c r="V76" s="135" t="n"/>
      <c r="W76" s="141" t="n"/>
      <c r="X76" s="141" t="inlineStr">
        <is>
          <t>buff</t>
        </is>
      </c>
      <c r="Y76" s="141" t="n"/>
      <c r="Z76" s="141" t="inlineStr">
        <is>
          <t>25%為自身附加行動加快</t>
        </is>
      </c>
      <c r="AA76" s="150" t="n"/>
      <c r="AB76" s="150" t="n"/>
      <c r="AC76" s="150" t="n"/>
      <c r="AD76" s="149" t="n"/>
      <c r="AE76" s="57" t="n"/>
      <c r="AF76" s="57" t="n"/>
      <c r="AG76" s="57" t="n"/>
      <c r="AH76" s="47" t="n"/>
      <c r="AI76" s="47" t="n"/>
    </row>
    <row r="77" ht="14.25" customHeight="1" s="142">
      <c r="A77" s="141" t="n"/>
      <c r="B77" s="7" t="n"/>
      <c r="C77" s="45" t="n"/>
      <c r="D77" s="45" t="n"/>
      <c r="E77" s="45" t="n"/>
      <c r="F77" s="45" t="n"/>
      <c r="G77" s="45" t="n"/>
      <c r="H77" s="45" t="n"/>
      <c r="I77" s="45" t="n"/>
      <c r="J77" s="45" t="n"/>
      <c r="K77" s="45" t="n"/>
      <c r="L77" s="45" t="n"/>
      <c r="N77" s="46" t="n"/>
      <c r="P77" s="47" t="n"/>
      <c r="Q77" s="47" t="n"/>
      <c r="R77" s="47" t="n"/>
      <c r="V77" s="45" t="n"/>
      <c r="AG77" s="47" t="n"/>
      <c r="AH77" s="47" t="n"/>
      <c r="AI77" s="47" t="n"/>
    </row>
    <row r="78" ht="14.25" customHeight="1" s="142">
      <c r="A78" s="23" t="inlineStr">
        <is>
          <t>skill_id</t>
        </is>
      </c>
      <c r="B78" s="136" t="inlineStr">
        <is>
          <t>技能名稱</t>
        </is>
      </c>
      <c r="C78" s="48" t="inlineStr">
        <is>
          <t>攻擊對象數量</t>
        </is>
      </c>
      <c r="D78" s="48" t="inlineStr">
        <is>
          <t>是否為隨機</t>
        </is>
      </c>
      <c r="E78" s="48" t="inlineStr">
        <is>
          <t>是否自身施放</t>
        </is>
      </c>
      <c r="F78" s="48" t="inlineStr">
        <is>
          <t>重複執行次數</t>
        </is>
      </c>
      <c r="G78" s="40" t="inlineStr">
        <is>
          <t>AD(技能係數)</t>
        </is>
      </c>
      <c r="H78" s="40" t="inlineStr">
        <is>
          <t>AP(技能係數)</t>
        </is>
      </c>
      <c r="I78" s="40" t="inlineStr">
        <is>
          <t>AGI</t>
        </is>
      </c>
      <c r="J78" s="40" t="inlineStr">
        <is>
          <t>current_hp</t>
        </is>
      </c>
      <c r="K78" s="40" t="inlineStr">
        <is>
          <t>cooldown</t>
        </is>
      </c>
      <c r="L78" s="40" t="inlineStr">
        <is>
          <t>isrole</t>
        </is>
      </c>
      <c r="M78" s="23" t="inlineStr">
        <is>
          <t>type</t>
        </is>
      </c>
      <c r="N78" s="49" t="inlineStr">
        <is>
          <t>MP_cost</t>
        </is>
      </c>
      <c r="O78" s="23" t="inlineStr">
        <is>
          <t>MP_revocer</t>
        </is>
      </c>
      <c r="P78" s="50" t="inlineStr">
        <is>
          <t>self_add_buff_id</t>
        </is>
      </c>
      <c r="Q78" s="50" t="inlineStr">
        <is>
          <t>self_buff_rate_overwrite</t>
        </is>
      </c>
      <c r="R78" s="40" t="inlineStr">
        <is>
          <t>add_buff_id</t>
        </is>
      </c>
      <c r="S78" s="40" t="inlineStr">
        <is>
          <t>add_buff_rate_overwrite</t>
        </is>
      </c>
      <c r="T78" s="23" t="inlineStr">
        <is>
          <t>remove_buff_id</t>
        </is>
      </c>
      <c r="U78" s="50" t="inlineStr">
        <is>
          <t>remove_buff_rate_overwrite</t>
        </is>
      </c>
      <c r="V78" s="135" t="inlineStr">
        <is>
          <t>isMpDamage</t>
        </is>
      </c>
      <c r="W78" s="23" t="inlineStr">
        <is>
          <t>prefeb_atk</t>
        </is>
      </c>
      <c r="X78" s="23" t="inlineStr">
        <is>
          <t>prefeb_hit1</t>
        </is>
      </c>
      <c r="Y78" s="23" t="inlineStr">
        <is>
          <t>prefeb_hit2</t>
        </is>
      </c>
      <c r="Z78" s="136" t="inlineStr">
        <is>
          <t>說明</t>
        </is>
      </c>
      <c r="AA78" s="150" t="n"/>
      <c r="AB78" s="150" t="n"/>
      <c r="AC78" s="150" t="n"/>
      <c r="AD78" s="149" t="n"/>
      <c r="AG78" s="47" t="n"/>
      <c r="AH78" s="47" t="n"/>
      <c r="AI78" s="47" t="n"/>
    </row>
    <row r="79" ht="14.25" customHeight="1" s="142">
      <c r="A79" s="141" t="n">
        <v>890001</v>
      </c>
      <c r="B79" s="137" t="inlineStr">
        <is>
          <t>狂怒一擊</t>
        </is>
      </c>
      <c r="C79" s="135" t="n">
        <v>1</v>
      </c>
      <c r="D79" s="135" t="n"/>
      <c r="E79" s="135" t="n"/>
      <c r="F79" s="135" t="n"/>
      <c r="G79" s="135" t="n">
        <v>3</v>
      </c>
      <c r="H79" s="141" t="n"/>
      <c r="I79" s="135" t="n"/>
      <c r="J79" s="135" t="n"/>
      <c r="K79" s="135" t="n"/>
      <c r="L79" s="135" t="n"/>
      <c r="M79" s="141" t="inlineStr">
        <is>
          <t>phycial</t>
        </is>
      </c>
      <c r="N79" s="51" t="n"/>
      <c r="O79" s="141" t="n"/>
      <c r="P79" s="52" t="n"/>
      <c r="Q79" s="52" t="n"/>
      <c r="R79" s="135" t="n">
        <v>5002</v>
      </c>
      <c r="S79" s="135" t="n">
        <v>0.5</v>
      </c>
      <c r="T79" s="141" t="n"/>
      <c r="U79" s="141" t="n"/>
      <c r="V79" s="135" t="n"/>
      <c r="W79" s="141" t="n"/>
      <c r="X79" s="141" t="inlineStr">
        <is>
          <t>stab</t>
        </is>
      </c>
      <c r="Y79" s="141" t="n"/>
      <c r="Z79" s="137" t="inlineStr">
        <is>
          <t>對敵方1體造成&lt;AD&gt;物攻的物理傷害，並50%附加暈眩</t>
        </is>
      </c>
      <c r="AA79" s="150" t="n"/>
      <c r="AB79" s="150" t="n"/>
      <c r="AC79" s="150" t="n"/>
      <c r="AD79" s="149" t="n"/>
      <c r="AG79" s="47" t="n"/>
      <c r="AH79" s="47" t="n"/>
      <c r="AI79" s="47" t="n"/>
    </row>
    <row r="80" ht="14.25" customHeight="1" s="142">
      <c r="A80" s="141" t="n">
        <v>890002</v>
      </c>
      <c r="B80" s="137" t="inlineStr">
        <is>
          <t>重斧防禦</t>
        </is>
      </c>
      <c r="C80" s="135" t="n">
        <v>-2</v>
      </c>
      <c r="D80" s="135" t="n">
        <v>1</v>
      </c>
      <c r="E80" s="135" t="n"/>
      <c r="F80" s="135" t="n"/>
      <c r="G80" s="135" t="n">
        <v>3</v>
      </c>
      <c r="H80" s="141" t="n"/>
      <c r="I80" s="135" t="n"/>
      <c r="J80" s="135" t="n"/>
      <c r="K80" s="135" t="n"/>
      <c r="L80" s="135" t="n"/>
      <c r="M80" s="141" t="inlineStr">
        <is>
          <t>shield</t>
        </is>
      </c>
      <c r="N80" s="51" t="n"/>
      <c r="O80" s="141" t="n"/>
      <c r="P80" s="52" t="n"/>
      <c r="Q80" s="52" t="n"/>
      <c r="R80" s="135" t="n">
        <v>1999</v>
      </c>
      <c r="S80" s="135" t="n"/>
      <c r="T80" s="141" t="n"/>
      <c r="U80" s="141" t="n"/>
      <c r="V80" s="135" t="n"/>
      <c r="W80" s="141" t="n"/>
      <c r="X80" s="141" t="inlineStr">
        <is>
          <t>shield1</t>
        </is>
      </c>
      <c r="Y80" s="141" t="n"/>
      <c r="Z80" s="137" t="inlineStr">
        <is>
          <t>對我方隨機2體附加&lt;AD&gt;的護盾</t>
        </is>
      </c>
      <c r="AA80" s="150" t="n"/>
      <c r="AB80" s="150" t="n"/>
      <c r="AC80" s="150" t="n"/>
      <c r="AD80" s="149" t="n"/>
      <c r="AG80" s="47" t="n"/>
      <c r="AH80" s="47" t="n"/>
      <c r="AI80" s="47" t="n"/>
    </row>
    <row r="81" ht="14.25" customHeight="1" s="142">
      <c r="A81" s="141" t="n">
        <v>890003</v>
      </c>
      <c r="B81" s="137" t="inlineStr">
        <is>
          <t>全速攻擊</t>
        </is>
      </c>
      <c r="C81" s="135" t="n">
        <v>2</v>
      </c>
      <c r="D81" s="135" t="n"/>
      <c r="E81" s="135" t="n"/>
      <c r="F81" s="135" t="n"/>
      <c r="G81" s="135" t="n">
        <v>1.65</v>
      </c>
      <c r="H81" s="141" t="n"/>
      <c r="I81" s="135" t="n"/>
      <c r="J81" s="135" t="n"/>
      <c r="K81" s="135" t="n"/>
      <c r="L81" s="135" t="n"/>
      <c r="M81" s="141" t="inlineStr">
        <is>
          <t>phycial</t>
        </is>
      </c>
      <c r="N81" s="51" t="n"/>
      <c r="O81" s="141" t="n"/>
      <c r="P81" s="52" t="n">
        <v>3003</v>
      </c>
      <c r="Q81" s="52" t="n"/>
      <c r="R81" s="135" t="n"/>
      <c r="S81" s="135" t="n"/>
      <c r="T81" s="141" t="n"/>
      <c r="U81" s="141" t="n"/>
      <c r="V81" s="135" t="n"/>
      <c r="W81" s="141" t="n"/>
      <c r="X81" s="141" t="inlineStr">
        <is>
          <t>slash</t>
        </is>
      </c>
      <c r="Y81" s="141" t="n"/>
      <c r="Z81" s="137" t="inlineStr">
        <is>
          <t>對敵方2體造成&lt;AD&gt;物攻的物理傷害，並為自身附加行動加快</t>
        </is>
      </c>
      <c r="AA81" s="150" t="n"/>
      <c r="AB81" s="150" t="n"/>
      <c r="AC81" s="150" t="n"/>
      <c r="AD81" s="149" t="n"/>
      <c r="AG81" s="47" t="n"/>
      <c r="AH81" s="47" t="n"/>
      <c r="AI81" s="47" t="n"/>
    </row>
    <row r="82" ht="14.25" customHeight="1" s="142">
      <c r="A82" s="141" t="n">
        <v>890004</v>
      </c>
      <c r="B82" s="137" t="inlineStr">
        <is>
          <t>劇毒匕首</t>
        </is>
      </c>
      <c r="C82" s="135" t="n">
        <v>1</v>
      </c>
      <c r="D82" s="135" t="n"/>
      <c r="E82" s="135" t="n"/>
      <c r="F82" s="135" t="n"/>
      <c r="G82" s="135" t="n">
        <v>3.1</v>
      </c>
      <c r="H82" s="141" t="n"/>
      <c r="I82" s="135" t="n"/>
      <c r="J82" s="135" t="n"/>
      <c r="K82" s="135" t="n"/>
      <c r="L82" s="135" t="n"/>
      <c r="M82" s="141" t="inlineStr">
        <is>
          <t>phycial</t>
        </is>
      </c>
      <c r="N82" s="51" t="n"/>
      <c r="O82" s="141" t="n"/>
      <c r="P82" s="52" t="n"/>
      <c r="Q82" s="52" t="n"/>
      <c r="R82" s="135" t="n">
        <v>4004</v>
      </c>
      <c r="S82" s="135" t="n"/>
      <c r="T82" s="141" t="n"/>
      <c r="U82" s="141" t="n"/>
      <c r="V82" s="135" t="n"/>
      <c r="W82" s="141" t="n"/>
      <c r="X82" s="141" t="inlineStr">
        <is>
          <t>stab</t>
        </is>
      </c>
      <c r="Y82" s="141" t="n"/>
      <c r="Z82" s="137" t="inlineStr">
        <is>
          <t>對敵方1體造成&lt;AD&gt;物攻的物理傷害，並附加中毒效果</t>
        </is>
      </c>
      <c r="AA82" s="150" t="n"/>
      <c r="AB82" s="150" t="n"/>
      <c r="AC82" s="150" t="n"/>
      <c r="AD82" s="149" t="n"/>
      <c r="AG82" s="47" t="n"/>
      <c r="AH82" s="47" t="n"/>
      <c r="AI82" s="47" t="n"/>
    </row>
    <row r="83" ht="14.25" customHeight="1" s="142">
      <c r="A83" s="141" t="n">
        <v>890005</v>
      </c>
      <c r="B83" s="137" t="inlineStr">
        <is>
          <t>全體點燃</t>
        </is>
      </c>
      <c r="C83" s="135" t="n">
        <v>5</v>
      </c>
      <c r="D83" s="135" t="n"/>
      <c r="E83" s="135" t="n"/>
      <c r="F83" s="135" t="n"/>
      <c r="G83" s="135" t="n"/>
      <c r="H83" s="141" t="n">
        <v>0.6</v>
      </c>
      <c r="I83" s="135" t="n"/>
      <c r="J83" s="135" t="n"/>
      <c r="K83" s="135" t="n"/>
      <c r="L83" s="135" t="n"/>
      <c r="M83" s="141" t="inlineStr">
        <is>
          <t>magic</t>
        </is>
      </c>
      <c r="N83" s="51" t="n"/>
      <c r="O83" s="141" t="n"/>
      <c r="P83" s="52" t="n"/>
      <c r="Q83" s="52" t="n"/>
      <c r="R83" s="135" t="n">
        <v>4001</v>
      </c>
      <c r="S83" s="135" t="n"/>
      <c r="T83" s="141" t="n"/>
      <c r="U83" s="141" t="n"/>
      <c r="V83" s="135" t="n"/>
      <c r="W83" s="141" t="inlineStr">
        <is>
          <t>magic_fire</t>
        </is>
      </c>
      <c r="X83" s="141" t="inlineStr">
        <is>
          <t>fire</t>
        </is>
      </c>
      <c r="Y83" s="141" t="n"/>
      <c r="Z83" s="137" t="inlineStr">
        <is>
          <t>對敵方全體造成&lt;AP&gt;魔攻的魔法傷害，並附加灼傷</t>
        </is>
      </c>
      <c r="AA83" s="150" t="n"/>
      <c r="AB83" s="150" t="n"/>
      <c r="AC83" s="150" t="n"/>
      <c r="AD83" s="149" t="n"/>
      <c r="AG83" s="47" t="n"/>
      <c r="AH83" s="47" t="n"/>
      <c r="AI83" s="47" t="n"/>
    </row>
    <row r="84" ht="14.25" customHeight="1" s="142">
      <c r="A84" s="141" t="n">
        <v>890006</v>
      </c>
      <c r="B84" s="137" t="inlineStr">
        <is>
          <t>治療術</t>
        </is>
      </c>
      <c r="C84" s="135" t="n">
        <v>-2</v>
      </c>
      <c r="D84" s="135" t="n">
        <v>1</v>
      </c>
      <c r="E84" s="135" t="n"/>
      <c r="F84" s="135" t="n"/>
      <c r="G84" s="135" t="n"/>
      <c r="H84" s="141" t="n">
        <v>3</v>
      </c>
      <c r="I84" s="135" t="n"/>
      <c r="J84" s="135" t="n"/>
      <c r="K84" s="135" t="n"/>
      <c r="L84" s="135" t="n"/>
      <c r="M84" s="141" t="inlineStr">
        <is>
          <t>heal</t>
        </is>
      </c>
      <c r="N84" s="51" t="n"/>
      <c r="O84" s="141" t="n"/>
      <c r="P84" s="52" t="n"/>
      <c r="Q84" s="52" t="n"/>
      <c r="R84" s="52" t="n"/>
      <c r="S84" s="141" t="n"/>
      <c r="T84" s="141" t="n"/>
      <c r="U84" s="141" t="n"/>
      <c r="V84" s="135" t="n"/>
      <c r="W84" s="141" t="n"/>
      <c r="X84" s="141" t="inlineStr">
        <is>
          <t>heal</t>
        </is>
      </c>
      <c r="Y84" s="141" t="n"/>
      <c r="Z84" s="137" t="inlineStr">
        <is>
          <t>對我方隨機2體&lt;AP&gt;魔攻的HP恢復</t>
        </is>
      </c>
      <c r="AA84" s="150" t="n"/>
      <c r="AB84" s="150" t="n"/>
      <c r="AC84" s="150" t="n"/>
      <c r="AD84" s="149" t="n"/>
      <c r="AG84" s="47" t="n"/>
      <c r="AH84" s="47" t="n"/>
      <c r="AI84" s="47" t="n"/>
    </row>
    <row r="85" ht="14.25" customHeight="1" s="142">
      <c r="A85" s="141" t="n">
        <v>890007</v>
      </c>
      <c r="B85" s="137" t="inlineStr">
        <is>
          <t>天翔十字閃</t>
        </is>
      </c>
      <c r="C85" s="135" t="n">
        <v>3</v>
      </c>
      <c r="D85" s="135" t="n"/>
      <c r="E85" s="135" t="n"/>
      <c r="F85" s="135" t="n"/>
      <c r="G85" s="135" t="n"/>
      <c r="H85" s="135" t="n"/>
      <c r="I85" s="135" t="n"/>
      <c r="J85" s="135" t="n"/>
      <c r="K85" s="135" t="n"/>
      <c r="L85" s="135" t="n"/>
      <c r="M85" s="141" t="inlineStr">
        <is>
          <t>phycial</t>
        </is>
      </c>
      <c r="N85" s="51" t="n"/>
      <c r="O85" s="141" t="n"/>
      <c r="P85" s="52" t="n"/>
      <c r="Q85" s="52" t="n"/>
      <c r="R85" s="58">
        <f>"2002,2002"</f>
        <v/>
      </c>
      <c r="S85" s="141" t="n"/>
      <c r="T85" s="141" t="n"/>
      <c r="U85" s="141" t="n"/>
      <c r="V85" s="135" t="n"/>
      <c r="W85" s="141" t="n"/>
      <c r="X85" s="141" t="inlineStr">
        <is>
          <t>slash</t>
        </is>
      </c>
      <c r="Y85" s="141" t="n"/>
      <c r="Z85" s="137" t="inlineStr">
        <is>
          <t>為敵方3名敵人造成&lt;AD&gt;物理傷害，並附加防禦下降2層</t>
        </is>
      </c>
      <c r="AA85" s="150" t="n"/>
      <c r="AB85" s="150" t="n"/>
      <c r="AC85" s="150" t="n"/>
      <c r="AD85" s="149" t="n"/>
      <c r="AG85" s="47" t="n"/>
      <c r="AH85" s="47" t="n"/>
      <c r="AI85" s="47" t="n"/>
    </row>
    <row r="86" ht="14.25" customHeight="1" s="142">
      <c r="C86" s="45" t="n"/>
      <c r="D86" s="45" t="n"/>
      <c r="E86" s="45" t="n"/>
      <c r="F86" s="45" t="n"/>
      <c r="G86" s="45" t="n"/>
      <c r="H86" s="45" t="n"/>
      <c r="I86" s="45" t="n"/>
      <c r="J86" s="45" t="n"/>
      <c r="K86" s="45" t="n"/>
      <c r="L86" s="45" t="n"/>
      <c r="N86" s="46" t="n"/>
      <c r="P86" s="47" t="n"/>
      <c r="Q86" s="47" t="n"/>
      <c r="R86" s="47" t="n"/>
      <c r="V86" s="45" t="n"/>
      <c r="AG86" s="47" t="n"/>
      <c r="AH86" s="47" t="n"/>
      <c r="AI86" s="47" t="n"/>
    </row>
    <row r="87" ht="14.25" customHeight="1" s="142">
      <c r="A87" s="23" t="inlineStr">
        <is>
          <t>skill_id</t>
        </is>
      </c>
      <c r="B87" s="136" t="inlineStr">
        <is>
          <t>技能名稱</t>
        </is>
      </c>
      <c r="C87" s="48" t="inlineStr">
        <is>
          <t>攻擊對象數量</t>
        </is>
      </c>
      <c r="D87" s="48" t="inlineStr">
        <is>
          <t>是否為隨機</t>
        </is>
      </c>
      <c r="E87" s="48" t="inlineStr">
        <is>
          <t>是否自身施放</t>
        </is>
      </c>
      <c r="F87" s="48" t="inlineStr">
        <is>
          <t>重複執行次數</t>
        </is>
      </c>
      <c r="G87" s="40" t="inlineStr">
        <is>
          <t>AD(技能係數)</t>
        </is>
      </c>
      <c r="H87" s="40" t="inlineStr">
        <is>
          <t>AP(技能係數)</t>
        </is>
      </c>
      <c r="I87" s="40" t="inlineStr">
        <is>
          <t>AGI</t>
        </is>
      </c>
      <c r="J87" s="40" t="inlineStr">
        <is>
          <t>current_hp</t>
        </is>
      </c>
      <c r="K87" s="40" t="inlineStr">
        <is>
          <t>cooldown</t>
        </is>
      </c>
      <c r="L87" s="40" t="inlineStr">
        <is>
          <t>isrole</t>
        </is>
      </c>
      <c r="M87" s="23" t="inlineStr">
        <is>
          <t>type</t>
        </is>
      </c>
      <c r="N87" s="49" t="inlineStr">
        <is>
          <t>MP_cost</t>
        </is>
      </c>
      <c r="O87" s="23" t="inlineStr">
        <is>
          <t>MP_revocer</t>
        </is>
      </c>
      <c r="P87" s="50" t="inlineStr">
        <is>
          <t>self_add_buff_id</t>
        </is>
      </c>
      <c r="Q87" s="50" t="inlineStr">
        <is>
          <t>self_buff_rate_overwrite</t>
        </is>
      </c>
      <c r="R87" s="50" t="inlineStr">
        <is>
          <t>add_buff_id</t>
        </is>
      </c>
      <c r="S87" s="50" t="inlineStr">
        <is>
          <t>add_buff_rate_overwrite</t>
        </is>
      </c>
      <c r="T87" s="23" t="inlineStr">
        <is>
          <t>remove_buff_id</t>
        </is>
      </c>
      <c r="U87" s="50" t="inlineStr">
        <is>
          <t>remove_buff_rate_overwrite</t>
        </is>
      </c>
      <c r="V87" s="135" t="inlineStr">
        <is>
          <t>isMpDamage</t>
        </is>
      </c>
      <c r="W87" s="23" t="inlineStr">
        <is>
          <t>prefeb_atk</t>
        </is>
      </c>
      <c r="X87" s="23" t="inlineStr">
        <is>
          <t>prefeb_hit1</t>
        </is>
      </c>
      <c r="Y87" s="23" t="inlineStr">
        <is>
          <t>prefeb_hit2</t>
        </is>
      </c>
      <c r="Z87" s="136" t="inlineStr">
        <is>
          <t>說明</t>
        </is>
      </c>
      <c r="AA87" s="150" t="n"/>
      <c r="AB87" s="150" t="n"/>
      <c r="AC87" s="150" t="n"/>
      <c r="AD87" s="149" t="n"/>
      <c r="AG87" s="47" t="n"/>
      <c r="AH87" s="47" t="n"/>
      <c r="AI87" s="47" t="n"/>
    </row>
    <row r="88" ht="14.25" customHeight="1" s="142">
      <c r="A88" s="141" t="n">
        <v>990001</v>
      </c>
      <c r="B88" s="137" t="inlineStr">
        <is>
          <t>全體物攻上升</t>
        </is>
      </c>
      <c r="C88" s="135" t="n">
        <v>-5</v>
      </c>
      <c r="D88" s="135" t="n"/>
      <c r="E88" s="141" t="n"/>
      <c r="F88" s="135" t="n"/>
      <c r="G88" s="135" t="n"/>
      <c r="H88" s="135" t="n"/>
      <c r="I88" s="135" t="n"/>
      <c r="J88" s="135" t="n"/>
      <c r="K88" s="135" t="n">
        <v>3</v>
      </c>
      <c r="L88" s="135" t="n"/>
      <c r="M88" s="141" t="n"/>
      <c r="N88" s="51" t="n"/>
      <c r="O88" s="141" t="n"/>
      <c r="P88" s="52" t="n"/>
      <c r="Q88" s="52" t="n"/>
      <c r="R88" s="135" t="n">
        <v>1001</v>
      </c>
      <c r="S88" s="135" t="n"/>
      <c r="T88" s="135" t="n"/>
      <c r="U88" s="135" t="n"/>
      <c r="V88" s="135" t="n"/>
      <c r="W88" s="135" t="n"/>
      <c r="X88" s="135" t="inlineStr">
        <is>
          <t>buff</t>
        </is>
      </c>
      <c r="Y88" s="135" t="n"/>
      <c r="Z88" s="137" t="inlineStr">
        <is>
          <t>為我方全體物攻上升</t>
        </is>
      </c>
      <c r="AA88" s="150" t="n"/>
      <c r="AB88" s="150" t="n"/>
      <c r="AC88" s="150" t="n"/>
      <c r="AD88" s="149" t="n"/>
      <c r="AG88" s="47" t="n"/>
      <c r="AH88" s="47" t="n"/>
      <c r="AI88" s="47" t="n"/>
    </row>
    <row r="89" ht="14.25" customHeight="1" s="142">
      <c r="A89" s="141" t="n">
        <v>990002</v>
      </c>
      <c r="B89" s="137" t="inlineStr">
        <is>
          <t>全體防禦力上升</t>
        </is>
      </c>
      <c r="C89" s="135" t="n">
        <v>-5</v>
      </c>
      <c r="D89" s="135" t="n"/>
      <c r="E89" s="141" t="n"/>
      <c r="F89" s="135" t="n"/>
      <c r="G89" s="135" t="n"/>
      <c r="H89" s="135" t="n"/>
      <c r="I89" s="135" t="n"/>
      <c r="J89" s="135" t="n"/>
      <c r="K89" s="135" t="n">
        <v>3</v>
      </c>
      <c r="L89" s="135" t="n"/>
      <c r="M89" s="141" t="n"/>
      <c r="N89" s="51" t="n"/>
      <c r="O89" s="141" t="n"/>
      <c r="P89" s="52" t="n"/>
      <c r="Q89" s="52" t="n"/>
      <c r="R89" s="135" t="n">
        <v>1002</v>
      </c>
      <c r="S89" s="135" t="n"/>
      <c r="T89" s="135" t="n"/>
      <c r="U89" s="135" t="n"/>
      <c r="V89" s="135" t="n"/>
      <c r="W89" s="135" t="n"/>
      <c r="X89" s="135" t="inlineStr">
        <is>
          <t>buff</t>
        </is>
      </c>
      <c r="Y89" s="135" t="n"/>
      <c r="Z89" s="137" t="inlineStr">
        <is>
          <t>為我方全體防禦力上升</t>
        </is>
      </c>
      <c r="AA89" s="150" t="n"/>
      <c r="AB89" s="150" t="n"/>
      <c r="AC89" s="150" t="n"/>
      <c r="AD89" s="149" t="n"/>
      <c r="AG89" s="47" t="n"/>
      <c r="AH89" s="47" t="n"/>
      <c r="AI89" s="47" t="n"/>
    </row>
    <row r="90" ht="14.25" customHeight="1" s="142">
      <c r="A90" s="141" t="n">
        <v>990003</v>
      </c>
      <c r="B90" s="137" t="inlineStr">
        <is>
          <t>全體技能傷害上升</t>
        </is>
      </c>
      <c r="C90" s="135" t="n">
        <v>-5</v>
      </c>
      <c r="D90" s="135" t="n"/>
      <c r="E90" s="141" t="n"/>
      <c r="F90" s="135" t="n"/>
      <c r="G90" s="135" t="n"/>
      <c r="H90" s="135" t="n"/>
      <c r="I90" s="135" t="n"/>
      <c r="J90" s="135" t="n"/>
      <c r="K90" s="135" t="n">
        <v>3</v>
      </c>
      <c r="L90" s="135" t="n"/>
      <c r="M90" s="141" t="n"/>
      <c r="N90" s="51" t="n"/>
      <c r="O90" s="141" t="n"/>
      <c r="P90" s="52" t="n"/>
      <c r="Q90" s="52" t="n"/>
      <c r="R90" s="135" t="n">
        <v>1007</v>
      </c>
      <c r="S90" s="135" t="n"/>
      <c r="T90" s="135" t="n"/>
      <c r="U90" s="135" t="n"/>
      <c r="V90" s="135" t="n"/>
      <c r="W90" s="135" t="n"/>
      <c r="X90" s="135" t="inlineStr">
        <is>
          <t>buff</t>
        </is>
      </c>
      <c r="Y90" s="135" t="n"/>
      <c r="Z90" s="137" t="inlineStr">
        <is>
          <t>為我方全體技能傷害上升</t>
        </is>
      </c>
      <c r="AA90" s="150" t="n"/>
      <c r="AB90" s="150" t="n"/>
      <c r="AC90" s="150" t="n"/>
      <c r="AD90" s="149" t="n"/>
      <c r="AG90" s="47" t="n"/>
      <c r="AH90" s="47" t="n"/>
      <c r="AI90" s="47" t="n"/>
    </row>
    <row r="91" ht="14.25" customHeight="1" s="142">
      <c r="A91" s="141" t="n">
        <v>990004</v>
      </c>
      <c r="B91" s="137" t="inlineStr">
        <is>
          <t>全體爆擊率上升</t>
        </is>
      </c>
      <c r="C91" s="135" t="n">
        <v>-5</v>
      </c>
      <c r="D91" s="135" t="n"/>
      <c r="E91" s="141" t="n"/>
      <c r="F91" s="135" t="n"/>
      <c r="G91" s="135" t="n"/>
      <c r="H91" s="135" t="n"/>
      <c r="I91" s="135" t="n"/>
      <c r="J91" s="135" t="n"/>
      <c r="K91" s="135" t="n">
        <v>3</v>
      </c>
      <c r="L91" s="135" t="n"/>
      <c r="M91" s="141" t="n"/>
      <c r="N91" s="51" t="n"/>
      <c r="O91" s="141" t="n"/>
      <c r="P91" s="52" t="n"/>
      <c r="Q91" s="52" t="n"/>
      <c r="R91" s="135" t="n">
        <v>1005</v>
      </c>
      <c r="S91" s="135" t="n"/>
      <c r="T91" s="135" t="n"/>
      <c r="U91" s="135" t="n"/>
      <c r="V91" s="135" t="n"/>
      <c r="W91" s="135" t="n"/>
      <c r="X91" s="135" t="inlineStr">
        <is>
          <t>buff</t>
        </is>
      </c>
      <c r="Y91" s="135" t="n"/>
      <c r="Z91" s="137" t="inlineStr">
        <is>
          <t>為我方全體爆擊率上升</t>
        </is>
      </c>
      <c r="AA91" s="150" t="n"/>
      <c r="AB91" s="150" t="n"/>
      <c r="AC91" s="150" t="n"/>
      <c r="AD91" s="149" t="n"/>
      <c r="AG91" s="47" t="n"/>
      <c r="AH91" s="47" t="n"/>
      <c r="AI91" s="47" t="n"/>
    </row>
    <row r="92" ht="14.25" customHeight="1" s="142">
      <c r="A92" s="141" t="n">
        <v>990005</v>
      </c>
      <c r="B92" s="137" t="inlineStr">
        <is>
          <t>全體魔攻上升</t>
        </is>
      </c>
      <c r="C92" s="135" t="n">
        <v>-5</v>
      </c>
      <c r="D92" s="135" t="n"/>
      <c r="E92" s="141" t="n"/>
      <c r="F92" s="135" t="n"/>
      <c r="G92" s="135" t="n"/>
      <c r="H92" s="135" t="n"/>
      <c r="I92" s="135" t="n"/>
      <c r="J92" s="135" t="n"/>
      <c r="K92" s="135" t="n">
        <v>3</v>
      </c>
      <c r="L92" s="135" t="n"/>
      <c r="M92" s="141" t="n"/>
      <c r="N92" s="51" t="n"/>
      <c r="O92" s="141" t="n"/>
      <c r="P92" s="52" t="n"/>
      <c r="Q92" s="52" t="n"/>
      <c r="R92" s="135" t="n">
        <v>1003</v>
      </c>
      <c r="S92" s="135" t="n"/>
      <c r="T92" s="135" t="n"/>
      <c r="U92" s="135" t="n"/>
      <c r="V92" s="135" t="n"/>
      <c r="W92" s="135" t="n"/>
      <c r="X92" s="135" t="inlineStr">
        <is>
          <t>buff</t>
        </is>
      </c>
      <c r="Y92" s="135" t="n"/>
      <c r="Z92" s="137" t="inlineStr">
        <is>
          <t>為我方全體魔攻上升</t>
        </is>
      </c>
      <c r="AA92" s="150" t="n"/>
      <c r="AB92" s="150" t="n"/>
      <c r="AC92" s="150" t="n"/>
      <c r="AD92" s="149" t="n"/>
    </row>
    <row r="93" ht="14.25" customHeight="1" s="142">
      <c r="A93" s="141" t="n">
        <v>990006</v>
      </c>
      <c r="B93" s="137" t="inlineStr">
        <is>
          <t>全隊魔防上升</t>
        </is>
      </c>
      <c r="C93" s="135" t="n">
        <v>-5</v>
      </c>
      <c r="D93" s="135" t="n"/>
      <c r="E93" s="141" t="n"/>
      <c r="F93" s="135" t="n"/>
      <c r="G93" s="135" t="n"/>
      <c r="H93" s="135" t="n"/>
      <c r="I93" s="135" t="n"/>
      <c r="J93" s="135" t="n"/>
      <c r="K93" s="135" t="n">
        <v>3</v>
      </c>
      <c r="L93" s="135" t="n"/>
      <c r="M93" s="141" t="n"/>
      <c r="N93" s="51" t="n"/>
      <c r="O93" s="141" t="n"/>
      <c r="P93" s="52" t="n"/>
      <c r="Q93" s="52" t="n"/>
      <c r="R93" s="135" t="n">
        <v>1004</v>
      </c>
      <c r="S93" s="135" t="n"/>
      <c r="T93" s="135" t="n"/>
      <c r="U93" s="135" t="n"/>
      <c r="V93" s="135" t="n"/>
      <c r="W93" s="135" t="n"/>
      <c r="X93" s="135" t="inlineStr">
        <is>
          <t>buff</t>
        </is>
      </c>
      <c r="Y93" s="135" t="n"/>
      <c r="Z93" s="137" t="inlineStr">
        <is>
          <t>為我方全隊魔防上升</t>
        </is>
      </c>
      <c r="AA93" s="150" t="n"/>
      <c r="AB93" s="150" t="n"/>
      <c r="AC93" s="150" t="n"/>
      <c r="AD93" s="149" t="n"/>
    </row>
    <row r="94" ht="14.25" customHeight="1" s="142">
      <c r="A94" s="141" t="n">
        <v>990007</v>
      </c>
      <c r="B94" s="137" t="inlineStr">
        <is>
          <t>人劍合一</t>
        </is>
      </c>
      <c r="C94" s="135" t="n">
        <v>-5</v>
      </c>
      <c r="D94" s="135" t="n"/>
      <c r="E94" s="141" t="n"/>
      <c r="F94" s="135" t="n"/>
      <c r="G94" s="135" t="n"/>
      <c r="H94" s="135" t="n"/>
      <c r="I94" s="135" t="n"/>
      <c r="J94" s="135" t="n"/>
      <c r="K94" s="135" t="n">
        <v>3</v>
      </c>
      <c r="L94" s="135" t="n"/>
      <c r="M94" s="141" t="n"/>
      <c r="N94" s="51" t="n"/>
      <c r="O94" s="141" t="n"/>
      <c r="P94" s="52" t="n"/>
      <c r="Q94" s="52" t="n"/>
      <c r="R94" s="135" t="n">
        <v>3020</v>
      </c>
      <c r="S94" s="135" t="n"/>
      <c r="T94" s="135" t="n"/>
      <c r="U94" s="135" t="n"/>
      <c r="V94" s="135" t="n"/>
      <c r="W94" s="135" t="n"/>
      <c r="X94" s="135" t="inlineStr">
        <is>
          <t>buff</t>
        </is>
      </c>
      <c r="Y94" s="135" t="n"/>
      <c r="Z94" s="137" t="inlineStr">
        <is>
          <t>為所有#名刀附加攻擊上升5層與爆擊傷害上升5層</t>
        </is>
      </c>
      <c r="AA94" s="150" t="n"/>
      <c r="AB94" s="150" t="n"/>
      <c r="AC94" s="150" t="n"/>
      <c r="AD94" s="149" t="n"/>
    </row>
    <row r="95" ht="14.25" customHeight="1" s="142">
      <c r="C95" s="45" t="n"/>
      <c r="D95" s="45" t="n"/>
      <c r="E95" s="45" t="n"/>
      <c r="F95" s="45" t="n"/>
      <c r="G95" s="45" t="n"/>
      <c r="H95" s="45" t="n"/>
      <c r="I95" s="45" t="n"/>
      <c r="J95" s="45" t="n"/>
      <c r="K95" s="45" t="n"/>
      <c r="L95" s="45" t="n"/>
      <c r="N95" s="46" t="n"/>
      <c r="P95" s="47" t="n"/>
      <c r="Q95" s="47" t="n"/>
      <c r="R95" s="47" t="n"/>
      <c r="V95" s="45" t="n"/>
    </row>
    <row r="96" ht="14.25" customHeight="1" s="142">
      <c r="A96" s="23" t="inlineStr">
        <is>
          <t>skill_id</t>
        </is>
      </c>
      <c r="B96" s="136" t="inlineStr">
        <is>
          <t>技能名稱</t>
        </is>
      </c>
      <c r="C96" s="48" t="inlineStr">
        <is>
          <t>攻擊對象數量</t>
        </is>
      </c>
      <c r="D96" s="48" t="inlineStr">
        <is>
          <t>是否為隨機</t>
        </is>
      </c>
      <c r="E96" s="48" t="inlineStr">
        <is>
          <t>是否自身施放</t>
        </is>
      </c>
      <c r="F96" s="48" t="inlineStr">
        <is>
          <t>攻擊次數</t>
        </is>
      </c>
      <c r="G96" s="40" t="inlineStr">
        <is>
          <t>AD(技能係數)</t>
        </is>
      </c>
      <c r="H96" s="40" t="inlineStr">
        <is>
          <t>AP(技能係數)</t>
        </is>
      </c>
      <c r="I96" s="40" t="inlineStr">
        <is>
          <t>AGI</t>
        </is>
      </c>
      <c r="J96" s="40" t="inlineStr">
        <is>
          <t>current_hp</t>
        </is>
      </c>
      <c r="K96" s="40" t="inlineStr">
        <is>
          <t>cooldown</t>
        </is>
      </c>
      <c r="L96" s="40" t="inlineStr">
        <is>
          <t>isrole</t>
        </is>
      </c>
      <c r="M96" s="23" t="inlineStr">
        <is>
          <t>type</t>
        </is>
      </c>
      <c r="N96" s="49" t="inlineStr">
        <is>
          <t>MP_cost</t>
        </is>
      </c>
      <c r="O96" s="23" t="inlineStr">
        <is>
          <t>MP_revocer</t>
        </is>
      </c>
      <c r="P96" s="50" t="inlineStr">
        <is>
          <t>self_add_buff_id</t>
        </is>
      </c>
      <c r="Q96" s="50" t="inlineStr">
        <is>
          <t>self_buff_rate</t>
        </is>
      </c>
      <c r="R96" s="50" t="inlineStr">
        <is>
          <t>add_buff_id</t>
        </is>
      </c>
      <c r="S96" s="50" t="inlineStr">
        <is>
          <t>add_buff_rate_overwrite</t>
        </is>
      </c>
      <c r="T96" s="23" t="inlineStr">
        <is>
          <t>remove_buff_id</t>
        </is>
      </c>
      <c r="U96" s="50" t="inlineStr">
        <is>
          <t>remove_buff_rate_overwrite</t>
        </is>
      </c>
      <c r="V96" s="135" t="inlineStr">
        <is>
          <t>isMpDamage</t>
        </is>
      </c>
      <c r="W96" s="23" t="inlineStr">
        <is>
          <t>prefeb_atk</t>
        </is>
      </c>
      <c r="X96" s="23" t="inlineStr">
        <is>
          <t>prefeb_hit1</t>
        </is>
      </c>
      <c r="Y96" s="23" t="inlineStr">
        <is>
          <t>prefeb_hit2</t>
        </is>
      </c>
      <c r="Z96" s="136" t="inlineStr">
        <is>
          <t>說明</t>
        </is>
      </c>
      <c r="AA96" s="150" t="n"/>
      <c r="AB96" s="150" t="n"/>
      <c r="AC96" s="150" t="n"/>
      <c r="AD96" s="149" t="n"/>
    </row>
    <row r="97" ht="14.25" customHeight="1" s="142">
      <c r="A97" s="135" t="n">
        <v>211001</v>
      </c>
      <c r="B97" s="137" t="inlineStr">
        <is>
          <t>業火一閃★</t>
        </is>
      </c>
      <c r="C97" s="135" t="n">
        <v>2</v>
      </c>
      <c r="D97" s="135" t="n"/>
      <c r="E97" s="141" t="n"/>
      <c r="F97" s="135" t="n">
        <v>1</v>
      </c>
      <c r="G97" s="135" t="n"/>
      <c r="H97" s="135" t="n">
        <v>2.4</v>
      </c>
      <c r="I97" s="135" t="n"/>
      <c r="J97" s="135" t="n"/>
      <c r="K97" s="135" t="n"/>
      <c r="L97" s="135" t="n"/>
      <c r="M97" s="141" t="inlineStr">
        <is>
          <t>magic</t>
        </is>
      </c>
      <c r="N97" s="51" t="n">
        <v>96</v>
      </c>
      <c r="O97" s="141" t="n"/>
      <c r="P97" s="52" t="n"/>
      <c r="Q97" s="52" t="n"/>
      <c r="R97" s="52" t="n">
        <v>4001</v>
      </c>
      <c r="S97" s="52" t="n">
        <v>0.5</v>
      </c>
      <c r="T97" s="141" t="n"/>
      <c r="U97" s="141" t="n"/>
      <c r="V97" s="135" t="n"/>
      <c r="W97" s="141" t="inlineStr">
        <is>
          <t>magic_fire</t>
        </is>
      </c>
      <c r="X97" s="141" t="inlineStr">
        <is>
          <t>fire</t>
        </is>
      </c>
      <c r="Y97" s="141" t="n"/>
      <c r="Z97" s="137" t="inlineStr">
        <is>
          <t>對隨機敵方2體造成&lt;AP&gt;魔攻的魔法傷害，並50%機率附加灼傷</t>
        </is>
      </c>
      <c r="AA97" s="150" t="n"/>
      <c r="AB97" s="150" t="n"/>
      <c r="AC97" s="150" t="n"/>
      <c r="AD97" s="149" t="n"/>
    </row>
    <row r="98" ht="14.25" customHeight="1" s="142">
      <c r="A98" s="135" t="n">
        <v>212001</v>
      </c>
      <c r="B98" s="137" t="inlineStr">
        <is>
          <t>業火一閃★2</t>
        </is>
      </c>
      <c r="C98" s="135" t="n">
        <v>4</v>
      </c>
      <c r="D98" s="135" t="n"/>
      <c r="E98" s="141" t="n"/>
      <c r="F98" s="135" t="n">
        <v>1</v>
      </c>
      <c r="G98" s="135" t="n"/>
      <c r="H98" s="135" t="n">
        <v>2.4</v>
      </c>
      <c r="I98" s="135" t="n"/>
      <c r="J98" s="135" t="n"/>
      <c r="K98" s="135" t="n"/>
      <c r="L98" s="135" t="n"/>
      <c r="M98" s="141" t="inlineStr">
        <is>
          <t>magic</t>
        </is>
      </c>
      <c r="N98" s="51">
        <f>N97-4</f>
        <v/>
      </c>
      <c r="O98" s="141" t="n"/>
      <c r="P98" s="52" t="n"/>
      <c r="Q98" s="52" t="n"/>
      <c r="R98" s="52" t="n">
        <v>4001</v>
      </c>
      <c r="S98" s="52" t="n">
        <v>0.7</v>
      </c>
      <c r="T98" s="141" t="n"/>
      <c r="U98" s="141" t="n"/>
      <c r="V98" s="135" t="n"/>
      <c r="W98" s="141" t="inlineStr">
        <is>
          <t>magic_fire</t>
        </is>
      </c>
      <c r="X98" s="141" t="inlineStr">
        <is>
          <t>fire</t>
        </is>
      </c>
      <c r="Y98" s="141" t="n"/>
      <c r="Z98" s="137" t="inlineStr">
        <is>
          <t>對隨機敵方2體造成&lt;AP&gt;魔攻的魔法傷害，並70%機率附加灼傷</t>
        </is>
      </c>
      <c r="AA98" s="150" t="n"/>
      <c r="AB98" s="150" t="n"/>
      <c r="AC98" s="150" t="n"/>
      <c r="AD98" s="149" t="n"/>
    </row>
    <row r="99" ht="14.25" customHeight="1" s="142">
      <c r="A99" s="135" t="n">
        <v>213001</v>
      </c>
      <c r="B99" s="137" t="inlineStr">
        <is>
          <t>業火一閃★3</t>
        </is>
      </c>
      <c r="C99" s="135" t="n">
        <v>4</v>
      </c>
      <c r="D99" s="135" t="n"/>
      <c r="E99" s="141" t="n"/>
      <c r="F99" s="135" t="n">
        <v>1</v>
      </c>
      <c r="G99" s="135" t="n"/>
      <c r="H99" s="135" t="n">
        <v>2.4</v>
      </c>
      <c r="I99" s="135" t="n"/>
      <c r="J99" s="135" t="n"/>
      <c r="K99" s="135" t="n"/>
      <c r="L99" s="135" t="n"/>
      <c r="M99" s="141" t="inlineStr">
        <is>
          <t>magic</t>
        </is>
      </c>
      <c r="N99" s="51">
        <f>N98-4</f>
        <v/>
      </c>
      <c r="O99" s="141" t="n"/>
      <c r="P99" s="52" t="n"/>
      <c r="Q99" s="52" t="n"/>
      <c r="R99" s="52" t="n">
        <v>4001</v>
      </c>
      <c r="S99" s="52" t="n">
        <v>0.7</v>
      </c>
      <c r="T99" s="141" t="n"/>
      <c r="U99" s="141" t="n"/>
      <c r="V99" s="135" t="n"/>
      <c r="W99" s="141" t="inlineStr">
        <is>
          <t>magic_fire</t>
        </is>
      </c>
      <c r="X99" s="141" t="inlineStr">
        <is>
          <t>fire</t>
        </is>
      </c>
      <c r="Y99" s="141" t="n"/>
      <c r="Z99" s="137" t="inlineStr">
        <is>
          <t>對隨機敵方4體造成&lt;AP&gt;魔攻的魔法傷害，並70%機率附加灼傷</t>
        </is>
      </c>
      <c r="AA99" s="150" t="n"/>
      <c r="AB99" s="150" t="n"/>
      <c r="AC99" s="150" t="n"/>
      <c r="AD99" s="149" t="n"/>
    </row>
    <row r="100" ht="14.25" customHeight="1" s="142">
      <c r="A100" s="135" t="n">
        <v>214001</v>
      </c>
      <c r="B100" s="137" t="inlineStr">
        <is>
          <t>業火一閃★4</t>
        </is>
      </c>
      <c r="C100" s="135" t="n">
        <v>4</v>
      </c>
      <c r="D100" s="135" t="n"/>
      <c r="E100" s="141" t="n"/>
      <c r="F100" s="135" t="n">
        <v>1</v>
      </c>
      <c r="G100" s="135" t="n"/>
      <c r="H100" s="135" t="n">
        <v>2.4</v>
      </c>
      <c r="I100" s="135" t="n"/>
      <c r="J100" s="135" t="n"/>
      <c r="K100" s="135" t="n"/>
      <c r="L100" s="135" t="n"/>
      <c r="M100" s="141" t="inlineStr">
        <is>
          <t>magic</t>
        </is>
      </c>
      <c r="N100" s="51">
        <f>N99-4</f>
        <v/>
      </c>
      <c r="O100" s="141" t="n"/>
      <c r="P100" s="52" t="n"/>
      <c r="Q100" s="52" t="n"/>
      <c r="R100" s="52" t="n">
        <v>4001</v>
      </c>
      <c r="S100" s="141" t="n"/>
      <c r="T100" s="141" t="n"/>
      <c r="U100" s="141" t="n"/>
      <c r="V100" s="135" t="n"/>
      <c r="W100" s="141" t="inlineStr">
        <is>
          <t>magic_fire</t>
        </is>
      </c>
      <c r="X100" s="141" t="inlineStr">
        <is>
          <t>fire</t>
        </is>
      </c>
      <c r="Y100" s="141" t="n"/>
      <c r="Z100" s="137" t="inlineStr">
        <is>
          <t>對隨機敵方4體造成&lt;AP&gt;魔攻的魔法傷害，並100%機率附加灼傷</t>
        </is>
      </c>
      <c r="AA100" s="150" t="n"/>
      <c r="AB100" s="150" t="n"/>
      <c r="AC100" s="150" t="n"/>
      <c r="AD100" s="149" t="n"/>
    </row>
    <row r="101" ht="14.25" customHeight="1" s="142">
      <c r="A101" s="135" t="n">
        <v>215001</v>
      </c>
      <c r="B101" s="137" t="inlineStr">
        <is>
          <t>業火一閃•極</t>
        </is>
      </c>
      <c r="C101" s="135" t="n">
        <v>4</v>
      </c>
      <c r="D101" s="135" t="n"/>
      <c r="E101" s="141" t="n"/>
      <c r="F101" s="135" t="n">
        <v>1</v>
      </c>
      <c r="G101" s="135" t="n"/>
      <c r="H101" s="135" t="n">
        <v>2.4</v>
      </c>
      <c r="I101" s="135" t="n"/>
      <c r="J101" s="135" t="n"/>
      <c r="K101" s="135" t="n"/>
      <c r="L101" s="135" t="n"/>
      <c r="M101" s="141" t="inlineStr">
        <is>
          <t>magic</t>
        </is>
      </c>
      <c r="N101" s="51">
        <f>N100-4</f>
        <v/>
      </c>
      <c r="O101" s="141" t="n"/>
      <c r="P101" s="52" t="n"/>
      <c r="Q101" s="52" t="n"/>
      <c r="R101" s="52" t="n">
        <v>4001</v>
      </c>
      <c r="S101" s="141" t="n"/>
      <c r="T101" s="141" t="n"/>
      <c r="U101" s="141" t="n">
        <v>1999</v>
      </c>
      <c r="V101" s="135" t="n"/>
      <c r="W101" s="141" t="inlineStr">
        <is>
          <t>magic_fire</t>
        </is>
      </c>
      <c r="X101" s="141" t="inlineStr">
        <is>
          <t>fire</t>
        </is>
      </c>
      <c r="Y101" s="141" t="n"/>
      <c r="Z101" s="137" t="inlineStr">
        <is>
          <t>對隨機敵方4體造成&lt;AP&gt;魔攻的魔法傷害，並100%機率附加灼傷；並解除受擊者護盾效果</t>
        </is>
      </c>
      <c r="AA101" s="150" t="n"/>
      <c r="AB101" s="150" t="n"/>
      <c r="AC101" s="150" t="n"/>
      <c r="AD101" s="149" t="n"/>
    </row>
    <row r="102" ht="15.75" customHeight="1" s="142">
      <c r="A102" s="135">
        <f>A97+1</f>
        <v/>
      </c>
      <c r="B102" s="137" t="inlineStr">
        <is>
          <t>除魔霜障★</t>
        </is>
      </c>
      <c r="C102" s="135" t="n">
        <v>2</v>
      </c>
      <c r="D102" s="135" t="n">
        <v>1</v>
      </c>
      <c r="E102" s="141" t="n"/>
      <c r="F102" s="135" t="n">
        <v>1</v>
      </c>
      <c r="G102" s="135" t="n"/>
      <c r="H102" s="135" t="n">
        <v>2.5</v>
      </c>
      <c r="I102" s="135" t="n"/>
      <c r="J102" s="135" t="n"/>
      <c r="K102" s="135" t="n"/>
      <c r="L102" s="135" t="n"/>
      <c r="M102" s="141" t="inlineStr">
        <is>
          <t>magic</t>
        </is>
      </c>
      <c r="N102" s="51" t="n">
        <v>95</v>
      </c>
      <c r="O102" s="141" t="n"/>
      <c r="P102" s="52" t="n"/>
      <c r="Q102" s="52" t="n"/>
      <c r="R102" s="52">
        <f>"4002,2004"</f>
        <v/>
      </c>
      <c r="S102" s="52" t="n">
        <v>0.4</v>
      </c>
      <c r="T102" s="141" t="n"/>
      <c r="U102" s="141" t="n"/>
      <c r="V102" s="135" t="n"/>
      <c r="W102" s="53" t="inlineStr">
        <is>
          <t>magic_throw</t>
        </is>
      </c>
      <c r="X102" s="53" t="inlineStr">
        <is>
          <t>explode</t>
        </is>
      </c>
      <c r="Y102" s="141" t="n"/>
      <c r="Z102" s="137" t="inlineStr">
        <is>
          <t>對隨機敵方2體造成&lt;AP&gt;魔攻的魔法傷害，並40%機率附加凍傷與魔防下降1層</t>
        </is>
      </c>
      <c r="AA102" s="150" t="n"/>
      <c r="AB102" s="150" t="n"/>
      <c r="AC102" s="150" t="n"/>
      <c r="AD102" s="149" t="n"/>
    </row>
    <row r="103" ht="15.75" customHeight="1" s="142">
      <c r="A103" s="135">
        <f>A98+1</f>
        <v/>
      </c>
      <c r="B103" s="137" t="inlineStr">
        <is>
          <t>除魔霜障★2</t>
        </is>
      </c>
      <c r="C103" s="135" t="n">
        <v>2</v>
      </c>
      <c r="D103" s="135" t="n">
        <v>1</v>
      </c>
      <c r="E103" s="141" t="n"/>
      <c r="F103" s="135" t="n">
        <v>1</v>
      </c>
      <c r="G103" s="135" t="n"/>
      <c r="H103" s="135" t="n">
        <v>2.5</v>
      </c>
      <c r="I103" s="135" t="n"/>
      <c r="J103" s="135" t="n"/>
      <c r="K103" s="135" t="n"/>
      <c r="L103" s="135" t="n"/>
      <c r="M103" s="141" t="inlineStr">
        <is>
          <t>magic</t>
        </is>
      </c>
      <c r="N103" s="51">
        <f>N102-4</f>
        <v/>
      </c>
      <c r="O103" s="141" t="n"/>
      <c r="P103" s="52" t="n"/>
      <c r="Q103" s="52" t="n"/>
      <c r="R103" s="52">
        <f>"4002,2004"</f>
        <v/>
      </c>
      <c r="S103" s="52" t="n">
        <v>0.5</v>
      </c>
      <c r="T103" s="141" t="n"/>
      <c r="U103" s="141" t="n"/>
      <c r="V103" s="135" t="n"/>
      <c r="W103" s="53" t="inlineStr">
        <is>
          <t>magic_throw</t>
        </is>
      </c>
      <c r="X103" s="53" t="inlineStr">
        <is>
          <t>explode</t>
        </is>
      </c>
      <c r="Y103" s="141" t="n"/>
      <c r="Z103" s="137" t="inlineStr">
        <is>
          <t>對隨機敵方2體造成&lt;AP&gt;魔攻的魔法傷害，並50%機率附加凍傷與魔防下降1層</t>
        </is>
      </c>
      <c r="AA103" s="150" t="n"/>
      <c r="AB103" s="150" t="n"/>
      <c r="AC103" s="150" t="n"/>
      <c r="AD103" s="149" t="n"/>
    </row>
    <row r="104" ht="15.75" customHeight="1" s="142">
      <c r="A104" s="135">
        <f>A99+1</f>
        <v/>
      </c>
      <c r="B104" s="137" t="inlineStr">
        <is>
          <t>除魔霜障★3</t>
        </is>
      </c>
      <c r="C104" s="135" t="n">
        <v>3</v>
      </c>
      <c r="D104" s="135" t="n">
        <v>1</v>
      </c>
      <c r="E104" s="141" t="n"/>
      <c r="F104" s="135" t="n">
        <v>1</v>
      </c>
      <c r="G104" s="135" t="n"/>
      <c r="H104" s="135" t="n">
        <v>2.5</v>
      </c>
      <c r="I104" s="135" t="n"/>
      <c r="J104" s="135" t="n"/>
      <c r="K104" s="135" t="n"/>
      <c r="L104" s="135" t="n"/>
      <c r="M104" s="141" t="inlineStr">
        <is>
          <t>magic</t>
        </is>
      </c>
      <c r="N104" s="51">
        <f>N103-4</f>
        <v/>
      </c>
      <c r="O104" s="141" t="n"/>
      <c r="P104" s="52" t="n"/>
      <c r="Q104" s="52" t="n"/>
      <c r="R104" s="52">
        <f>"4002,2004"</f>
        <v/>
      </c>
      <c r="S104" s="52" t="n">
        <v>0.5</v>
      </c>
      <c r="T104" s="141" t="n"/>
      <c r="U104" s="141" t="n"/>
      <c r="V104" s="135" t="n"/>
      <c r="W104" s="53" t="inlineStr">
        <is>
          <t>magic_throw</t>
        </is>
      </c>
      <c r="X104" s="53" t="inlineStr">
        <is>
          <t>explode</t>
        </is>
      </c>
      <c r="Y104" s="141" t="n"/>
      <c r="Z104" s="137" t="inlineStr">
        <is>
          <t>對隨機敵方3體造成&lt;AP&gt;魔攻的魔法傷害，並50%機率附加凍傷與魔防下降1層</t>
        </is>
      </c>
      <c r="AA104" s="150" t="n"/>
      <c r="AB104" s="150" t="n"/>
      <c r="AC104" s="150" t="n"/>
      <c r="AD104" s="149" t="n"/>
    </row>
    <row r="105" ht="15.75" customHeight="1" s="142">
      <c r="A105" s="135">
        <f>A100+1</f>
        <v/>
      </c>
      <c r="B105" s="137" t="inlineStr">
        <is>
          <t>除魔霜障★4</t>
        </is>
      </c>
      <c r="C105" s="135" t="n">
        <v>3</v>
      </c>
      <c r="D105" s="135" t="n">
        <v>1</v>
      </c>
      <c r="E105" s="141" t="n"/>
      <c r="F105" s="135" t="n">
        <v>1</v>
      </c>
      <c r="G105" s="135" t="n"/>
      <c r="H105" s="135" t="n">
        <v>2.5</v>
      </c>
      <c r="I105" s="135" t="n"/>
      <c r="J105" s="135" t="n"/>
      <c r="K105" s="135" t="n"/>
      <c r="L105" s="135" t="n"/>
      <c r="M105" s="141" t="inlineStr">
        <is>
          <t>magic</t>
        </is>
      </c>
      <c r="N105" s="51">
        <f>N104-4</f>
        <v/>
      </c>
      <c r="O105" s="141" t="n"/>
      <c r="P105" s="52" t="n"/>
      <c r="Q105" s="52" t="n"/>
      <c r="R105" s="52">
        <f>"4002,2004,5003"</f>
        <v/>
      </c>
      <c r="S105" s="52" t="n">
        <v>0.5</v>
      </c>
      <c r="T105" s="141" t="n"/>
      <c r="U105" s="141" t="n"/>
      <c r="V105" s="135" t="n"/>
      <c r="W105" s="53" t="inlineStr">
        <is>
          <t>magic_throw</t>
        </is>
      </c>
      <c r="X105" s="53" t="inlineStr">
        <is>
          <t>explode</t>
        </is>
      </c>
      <c r="Y105" s="141" t="n"/>
      <c r="Z105" s="137" t="inlineStr">
        <is>
          <t>對隨機敵方2體造成&lt;AP&gt;魔攻的魔法傷害，並50%機率附加凍傷、50%機率冰凍與魔防下降1層</t>
        </is>
      </c>
      <c r="AA105" s="150" t="n"/>
      <c r="AB105" s="150" t="n"/>
      <c r="AC105" s="150" t="n"/>
      <c r="AD105" s="149" t="n"/>
    </row>
    <row r="106" ht="15.75" customHeight="1" s="142">
      <c r="A106" s="135">
        <f>A101+1</f>
        <v/>
      </c>
      <c r="B106" s="137" t="inlineStr">
        <is>
          <t>除魔霜障•極</t>
        </is>
      </c>
      <c r="C106" s="135" t="n">
        <v>3</v>
      </c>
      <c r="D106" s="135" t="n">
        <v>1</v>
      </c>
      <c r="E106" s="141" t="n"/>
      <c r="F106" s="135" t="n">
        <v>1</v>
      </c>
      <c r="G106" s="135" t="n"/>
      <c r="H106" s="135" t="n">
        <v>2.5</v>
      </c>
      <c r="I106" s="135" t="n"/>
      <c r="J106" s="135" t="n"/>
      <c r="K106" s="135" t="n"/>
      <c r="L106" s="135" t="n"/>
      <c r="M106" s="141" t="inlineStr">
        <is>
          <t>magic</t>
        </is>
      </c>
      <c r="N106" s="51">
        <f>N105-4</f>
        <v/>
      </c>
      <c r="O106" s="141" t="n"/>
      <c r="P106" s="52" t="n"/>
      <c r="Q106" s="52" t="n"/>
      <c r="R106" s="52">
        <f>"4002,2004,5003"</f>
        <v/>
      </c>
      <c r="S106" s="52" t="n">
        <v>0.8</v>
      </c>
      <c r="T106" s="141" t="n"/>
      <c r="U106" s="141" t="n"/>
      <c r="V106" s="135" t="n"/>
      <c r="W106" s="53" t="inlineStr">
        <is>
          <t>magic_throw</t>
        </is>
      </c>
      <c r="X106" s="53" t="inlineStr">
        <is>
          <t>explode</t>
        </is>
      </c>
      <c r="Y106" s="141" t="n"/>
      <c r="Z106" s="137" t="inlineStr">
        <is>
          <t>對隨機敵方2體造成&lt;AP&gt;魔攻的魔法傷害，並80%機率附加凍傷、80%機率冰凍與魔防下降1層</t>
        </is>
      </c>
      <c r="AA106" s="150" t="n"/>
      <c r="AB106" s="150" t="n"/>
      <c r="AC106" s="150" t="n"/>
      <c r="AD106" s="149" t="n"/>
    </row>
    <row r="107" ht="15.75" customHeight="1" s="142">
      <c r="A107" s="135">
        <f>A102+1</f>
        <v/>
      </c>
      <c r="B107" s="137" t="inlineStr">
        <is>
          <t>萬物洗淨★</t>
        </is>
      </c>
      <c r="C107" s="135" t="n">
        <v>-2</v>
      </c>
      <c r="D107" s="135" t="n"/>
      <c r="E107" s="141" t="n"/>
      <c r="F107" s="135" t="n">
        <v>1</v>
      </c>
      <c r="G107" s="135" t="n"/>
      <c r="H107" s="135" t="n">
        <v>2.4</v>
      </c>
      <c r="I107" s="135" t="n"/>
      <c r="J107" s="135" t="n"/>
      <c r="K107" s="135" t="n"/>
      <c r="L107" s="135" t="n"/>
      <c r="M107" s="141" t="inlineStr">
        <is>
          <t>heal</t>
        </is>
      </c>
      <c r="N107" s="51" t="n">
        <v>48</v>
      </c>
      <c r="O107" s="141" t="n"/>
      <c r="P107" s="52" t="n"/>
      <c r="Q107" s="52" t="n"/>
      <c r="R107" s="52">
        <f>"2002,2002"</f>
        <v/>
      </c>
      <c r="S107" s="141" t="n"/>
      <c r="T107" s="141" t="n"/>
      <c r="U107" s="141" t="n"/>
      <c r="V107" s="135" t="n"/>
      <c r="W107" s="53" t="inlineStr">
        <is>
          <t>magic_throw</t>
        </is>
      </c>
      <c r="X107" s="53" t="inlineStr">
        <is>
          <t>explode</t>
        </is>
      </c>
      <c r="Y107" s="141" t="n"/>
      <c r="Z107" s="137" t="inlineStr">
        <is>
          <t>為我方2體恢復&lt;AP&gt;魔攻的HP，為受治療的對象附加防禦上升效果2層</t>
        </is>
      </c>
      <c r="AA107" s="150" t="n"/>
      <c r="AB107" s="150" t="n"/>
      <c r="AC107" s="150" t="n"/>
      <c r="AD107" s="149" t="n"/>
    </row>
    <row r="108" ht="15.75" customHeight="1" s="142">
      <c r="A108" s="135">
        <f>A103+1</f>
        <v/>
      </c>
      <c r="B108" s="137" t="inlineStr">
        <is>
          <t>萬物洗淨★2</t>
        </is>
      </c>
      <c r="C108" s="135" t="n">
        <v>-2</v>
      </c>
      <c r="D108" s="135" t="n"/>
      <c r="E108" s="141" t="n"/>
      <c r="F108" s="135" t="n">
        <v>1</v>
      </c>
      <c r="G108" s="135" t="n"/>
      <c r="H108" s="135" t="n">
        <v>2.4</v>
      </c>
      <c r="I108" s="135" t="n"/>
      <c r="J108" s="135" t="n"/>
      <c r="K108" s="135" t="n"/>
      <c r="L108" s="135" t="n"/>
      <c r="M108" s="141" t="inlineStr">
        <is>
          <t>heal</t>
        </is>
      </c>
      <c r="N108" s="51">
        <f>N107-4</f>
        <v/>
      </c>
      <c r="O108" s="141" t="n"/>
      <c r="P108" s="52" t="n"/>
      <c r="Q108" s="52" t="n"/>
      <c r="R108" s="52">
        <f>"2002,2002"</f>
        <v/>
      </c>
      <c r="S108" s="141" t="n"/>
      <c r="T108" s="141">
        <f>"4001"</f>
        <v/>
      </c>
      <c r="U108" s="141" t="n"/>
      <c r="V108" s="135" t="n"/>
      <c r="W108" s="53" t="inlineStr">
        <is>
          <t>magic_throw</t>
        </is>
      </c>
      <c r="X108" s="53" t="inlineStr">
        <is>
          <t>explode</t>
        </is>
      </c>
      <c r="Y108" s="141" t="n"/>
      <c r="Z108" s="137" t="inlineStr">
        <is>
          <t>為我方2體恢復&lt;AP&gt;魔攻的HP，為受治療的對象附加防禦上升效果2層並且解除灼傷</t>
        </is>
      </c>
      <c r="AA108" s="150" t="n"/>
      <c r="AB108" s="150" t="n"/>
      <c r="AC108" s="150" t="n"/>
      <c r="AD108" s="149" t="n"/>
    </row>
    <row r="109" ht="15.75" customHeight="1" s="142">
      <c r="A109" s="135">
        <f>A104+1</f>
        <v/>
      </c>
      <c r="B109" s="137" t="inlineStr">
        <is>
          <t>萬物洗淨★3</t>
        </is>
      </c>
      <c r="C109" s="135" t="n">
        <v>-2</v>
      </c>
      <c r="D109" s="135" t="n"/>
      <c r="E109" s="141" t="n"/>
      <c r="F109" s="135" t="n">
        <v>1</v>
      </c>
      <c r="G109" s="135" t="n"/>
      <c r="H109" s="135" t="n">
        <v>2.4</v>
      </c>
      <c r="I109" s="135" t="n"/>
      <c r="J109" s="135" t="n"/>
      <c r="K109" s="135" t="n"/>
      <c r="L109" s="135" t="n"/>
      <c r="M109" s="141" t="inlineStr">
        <is>
          <t>heal</t>
        </is>
      </c>
      <c r="N109" s="51">
        <f>N108-4</f>
        <v/>
      </c>
      <c r="O109" s="141" t="n"/>
      <c r="P109" s="52" t="n"/>
      <c r="Q109" s="52" t="n"/>
      <c r="R109" s="52">
        <f>"2002,2002"</f>
        <v/>
      </c>
      <c r="S109" s="141" t="n"/>
      <c r="T109" s="141">
        <f>"4001"</f>
        <v/>
      </c>
      <c r="U109" s="141" t="n"/>
      <c r="V109" s="135" t="n"/>
      <c r="W109" s="53" t="inlineStr">
        <is>
          <t>magic_throw</t>
        </is>
      </c>
      <c r="X109" s="53" t="inlineStr">
        <is>
          <t>explode</t>
        </is>
      </c>
      <c r="Y109" s="141" t="n"/>
      <c r="Z109" s="137" t="inlineStr">
        <is>
          <t>為我方2體恢復&lt;AP&gt;魔攻的HP，為受治療的對象附加防禦上升效果2層與並持續回魔效果且解除灼傷</t>
        </is>
      </c>
      <c r="AA109" s="150" t="n"/>
      <c r="AB109" s="150" t="n"/>
      <c r="AC109" s="150" t="n"/>
      <c r="AD109" s="149" t="n"/>
    </row>
    <row r="110" ht="15.75" customHeight="1" s="142">
      <c r="A110" s="135">
        <f>A105+1</f>
        <v/>
      </c>
      <c r="B110" s="137" t="inlineStr">
        <is>
          <t>萬物洗淨★4</t>
        </is>
      </c>
      <c r="C110" s="135" t="n">
        <v>-4</v>
      </c>
      <c r="D110" s="135" t="n"/>
      <c r="E110" s="141" t="n"/>
      <c r="F110" s="135" t="n">
        <v>1</v>
      </c>
      <c r="G110" s="135" t="n"/>
      <c r="H110" s="135" t="n">
        <v>2.4</v>
      </c>
      <c r="I110" s="135" t="n"/>
      <c r="J110" s="135" t="n"/>
      <c r="K110" s="135" t="n"/>
      <c r="L110" s="135" t="n"/>
      <c r="M110" s="141" t="inlineStr">
        <is>
          <t>heal</t>
        </is>
      </c>
      <c r="N110" s="51">
        <f>N109-4</f>
        <v/>
      </c>
      <c r="O110" s="141" t="n"/>
      <c r="P110" s="52" t="n"/>
      <c r="Q110" s="52" t="n"/>
      <c r="R110" s="52">
        <f>"2002,2002"</f>
        <v/>
      </c>
      <c r="S110" s="141" t="n"/>
      <c r="T110" s="141">
        <f>"4001"</f>
        <v/>
      </c>
      <c r="U110" s="141" t="n"/>
      <c r="V110" s="135" t="n"/>
      <c r="W110" s="53" t="inlineStr">
        <is>
          <t>magic_throw</t>
        </is>
      </c>
      <c r="X110" s="53" t="inlineStr">
        <is>
          <t>explode</t>
        </is>
      </c>
      <c r="Y110" s="141" t="n"/>
      <c r="Z110" s="137" t="inlineStr">
        <is>
          <t>為我方4體恢復&lt;AP&gt;魔攻的HP，為受治療的對象附加防禦上升效果2層與並持續回魔效果且解除灼傷</t>
        </is>
      </c>
      <c r="AA110" s="150" t="n"/>
      <c r="AB110" s="150" t="n"/>
      <c r="AC110" s="150" t="n"/>
      <c r="AD110" s="149" t="n"/>
    </row>
    <row r="111" ht="15.75" customHeight="1" s="142">
      <c r="A111" s="135">
        <f>A106+1</f>
        <v/>
      </c>
      <c r="B111" s="137" t="inlineStr">
        <is>
          <t>萬物洗淨•極</t>
        </is>
      </c>
      <c r="C111" s="135" t="n">
        <v>-4</v>
      </c>
      <c r="D111" s="135" t="n"/>
      <c r="E111" s="141" t="n"/>
      <c r="F111" s="135" t="n">
        <v>1</v>
      </c>
      <c r="G111" s="135" t="n"/>
      <c r="H111" s="135" t="n">
        <v>2.4</v>
      </c>
      <c r="I111" s="135" t="n"/>
      <c r="J111" s="135" t="n"/>
      <c r="K111" s="135" t="n"/>
      <c r="L111" s="135" t="n"/>
      <c r="M111" s="141" t="inlineStr">
        <is>
          <t>heal</t>
        </is>
      </c>
      <c r="N111" s="51">
        <f>N110-4</f>
        <v/>
      </c>
      <c r="O111" s="141" t="n"/>
      <c r="P111" s="52" t="n"/>
      <c r="Q111" s="52" t="n"/>
      <c r="R111" s="52">
        <f>"2002,2002"</f>
        <v/>
      </c>
      <c r="S111" s="141" t="n"/>
      <c r="T111" s="59">
        <f>"4001,4002,4003,4004,4005,5001,5002,5003,5004"</f>
        <v/>
      </c>
      <c r="U111" s="141" t="n"/>
      <c r="V111" s="135" t="n"/>
      <c r="W111" s="53" t="inlineStr">
        <is>
          <t>magic_throw</t>
        </is>
      </c>
      <c r="X111" s="53" t="inlineStr">
        <is>
          <t>explode</t>
        </is>
      </c>
      <c r="Y111" s="141" t="n"/>
      <c r="Z111" s="137" t="inlineStr">
        <is>
          <t>為我方2體恢復&lt;AP&gt;魔攻的HP，為受治療的對象附加防禦上升效果2層與並持續回魔效果且解除所有異常狀態</t>
        </is>
      </c>
      <c r="AA111" s="150" t="n"/>
      <c r="AB111" s="150" t="n"/>
      <c r="AC111" s="150" t="n"/>
      <c r="AD111" s="149" t="n"/>
    </row>
    <row r="112" ht="14.25" customHeight="1" s="142">
      <c r="A112" s="135">
        <f>A107+1</f>
        <v/>
      </c>
      <c r="B112" s="137" t="inlineStr">
        <is>
          <t>防禦崩解★</t>
        </is>
      </c>
      <c r="C112" s="135" t="n">
        <v>4</v>
      </c>
      <c r="D112" s="135" t="n">
        <v>1</v>
      </c>
      <c r="E112" s="141" t="n"/>
      <c r="F112" s="135" t="n">
        <v>1</v>
      </c>
      <c r="G112" s="135" t="n">
        <v>1.25</v>
      </c>
      <c r="H112" s="135" t="n"/>
      <c r="I112" s="135" t="n"/>
      <c r="J112" s="135" t="n"/>
      <c r="K112" s="135" t="n"/>
      <c r="L112" s="135" t="n"/>
      <c r="M112" s="141" t="inlineStr">
        <is>
          <t>phycial</t>
        </is>
      </c>
      <c r="N112" s="51" t="n">
        <v>47</v>
      </c>
      <c r="O112" s="141" t="n"/>
      <c r="P112" s="52" t="n"/>
      <c r="Q112" s="52" t="n"/>
      <c r="R112" s="52">
        <f>"2001,2005,2005"</f>
        <v/>
      </c>
      <c r="S112" s="141" t="n"/>
      <c r="T112" s="141" t="n"/>
      <c r="U112" s="141" t="n"/>
      <c r="V112" s="135" t="n"/>
      <c r="W112" s="141" t="n"/>
      <c r="X112" s="141" t="inlineStr">
        <is>
          <t>slash</t>
        </is>
      </c>
      <c r="Y112" s="141" t="n"/>
      <c r="Z112" s="137" t="inlineStr">
        <is>
          <t>對隨機敵方4體造成&lt;AD&gt;物攻的物理攻擊，附加防禦下降與2層爆擊下降</t>
        </is>
      </c>
      <c r="AA112" s="150" t="n"/>
      <c r="AB112" s="150" t="n"/>
      <c r="AC112" s="150" t="n"/>
      <c r="AD112" s="149" t="n"/>
    </row>
    <row r="113" ht="14.25" customHeight="1" s="142">
      <c r="A113" s="135">
        <f>A108+1</f>
        <v/>
      </c>
      <c r="B113" s="137" t="inlineStr">
        <is>
          <t>防禦崩解★2</t>
        </is>
      </c>
      <c r="C113" s="135" t="n">
        <v>5</v>
      </c>
      <c r="D113" s="135" t="n">
        <v>1</v>
      </c>
      <c r="E113" s="141" t="n"/>
      <c r="F113" s="135" t="n">
        <v>1</v>
      </c>
      <c r="G113" s="135" t="n">
        <v>1.25</v>
      </c>
      <c r="H113" s="135" t="n"/>
      <c r="I113" s="135" t="n"/>
      <c r="J113" s="135" t="n"/>
      <c r="K113" s="135" t="n"/>
      <c r="L113" s="135" t="n"/>
      <c r="M113" s="141" t="inlineStr">
        <is>
          <t>phycial</t>
        </is>
      </c>
      <c r="N113" s="51">
        <f>N112-4</f>
        <v/>
      </c>
      <c r="O113" s="141" t="n"/>
      <c r="P113" s="52" t="n"/>
      <c r="Q113" s="52" t="n"/>
      <c r="R113" s="52">
        <f>"2001,2005,2005"</f>
        <v/>
      </c>
      <c r="S113" s="141" t="n"/>
      <c r="T113" s="141" t="n"/>
      <c r="U113" s="141" t="n"/>
      <c r="V113" s="135" t="n"/>
      <c r="W113" s="141" t="n"/>
      <c r="X113" s="141" t="inlineStr">
        <is>
          <t>slash</t>
        </is>
      </c>
      <c r="Y113" s="141" t="n"/>
      <c r="Z113" s="137" t="inlineStr">
        <is>
          <t>對隨機敵方全體造成&lt;AD&gt;物攻的物理攻擊，附加防禦下降與2層爆擊下降</t>
        </is>
      </c>
      <c r="AA113" s="150" t="n"/>
      <c r="AB113" s="150" t="n"/>
      <c r="AC113" s="150" t="n"/>
      <c r="AD113" s="149" t="n"/>
    </row>
    <row r="114" ht="14.25" customHeight="1" s="142">
      <c r="A114" s="135">
        <f>A109+1</f>
        <v/>
      </c>
      <c r="B114" s="137" t="inlineStr">
        <is>
          <t>防禦崩解★3</t>
        </is>
      </c>
      <c r="C114" s="135" t="n">
        <v>5</v>
      </c>
      <c r="D114" s="135" t="n">
        <v>1</v>
      </c>
      <c r="E114" s="141" t="n"/>
      <c r="F114" s="135" t="n">
        <v>1</v>
      </c>
      <c r="G114" s="135" t="n">
        <v>1.25</v>
      </c>
      <c r="H114" s="135" t="n"/>
      <c r="I114" s="135" t="n"/>
      <c r="J114" s="135" t="n"/>
      <c r="K114" s="135" t="n"/>
      <c r="L114" s="135" t="n"/>
      <c r="M114" s="141" t="inlineStr">
        <is>
          <t>phycial</t>
        </is>
      </c>
      <c r="N114" s="51">
        <f>N113-4</f>
        <v/>
      </c>
      <c r="O114" s="141" t="n"/>
      <c r="P114" s="52" t="n"/>
      <c r="Q114" s="52" t="n"/>
      <c r="R114" s="52">
        <f>"2001,2001,2004,2004,2005,2005"</f>
        <v/>
      </c>
      <c r="S114" s="141" t="n"/>
      <c r="T114" s="141" t="n"/>
      <c r="U114" s="141" t="n"/>
      <c r="V114" s="135" t="n"/>
      <c r="W114" s="141" t="n"/>
      <c r="X114" s="141" t="inlineStr">
        <is>
          <t>slash</t>
        </is>
      </c>
      <c r="Y114" s="141" t="n"/>
      <c r="Z114" s="137" t="inlineStr">
        <is>
          <t>對隨機敵方全體造成&lt;AD&gt;物攻的物理攻擊，附加防禦與魔防下降2層與2層爆擊下降</t>
        </is>
      </c>
      <c r="AA114" s="150" t="n"/>
      <c r="AB114" s="150" t="n"/>
      <c r="AC114" s="150" t="n"/>
      <c r="AD114" s="149" t="n"/>
    </row>
    <row r="115" ht="14.25" customHeight="1" s="142">
      <c r="A115" s="135">
        <f>A110+1</f>
        <v/>
      </c>
      <c r="B115" s="137" t="inlineStr">
        <is>
          <t>防禦崩解★4</t>
        </is>
      </c>
      <c r="C115" s="135" t="n">
        <v>5</v>
      </c>
      <c r="D115" s="135" t="n">
        <v>1</v>
      </c>
      <c r="E115" s="141" t="n"/>
      <c r="F115" s="135" t="n">
        <v>1</v>
      </c>
      <c r="G115" s="135" t="n">
        <v>1.25</v>
      </c>
      <c r="H115" s="135" t="n"/>
      <c r="I115" s="135" t="n"/>
      <c r="J115" s="135" t="n"/>
      <c r="K115" s="135" t="n"/>
      <c r="L115" s="135" t="n"/>
      <c r="M115" s="141" t="inlineStr">
        <is>
          <t>phycial</t>
        </is>
      </c>
      <c r="N115" s="51">
        <f>N114-4</f>
        <v/>
      </c>
      <c r="O115" s="141" t="n"/>
      <c r="P115" s="52" t="n"/>
      <c r="Q115" s="52" t="n"/>
      <c r="R115" s="52">
        <f>"2001,2001,2004,2004,2005,2005,2007,2007"</f>
        <v/>
      </c>
      <c r="S115" s="141" t="n"/>
      <c r="T115" s="141" t="n"/>
      <c r="U115" s="141" t="n"/>
      <c r="V115" s="135" t="n"/>
      <c r="W115" s="141" t="n"/>
      <c r="X115" s="141" t="inlineStr">
        <is>
          <t>slash</t>
        </is>
      </c>
      <c r="Y115" s="141" t="n"/>
      <c r="Z115" s="137" t="inlineStr">
        <is>
          <t>對隨機敵方全體造成&lt;AD&gt;物攻的物理攻擊，附加防禦與魔防下降2層、爆擊下降2層、技能傷害下降2層</t>
        </is>
      </c>
      <c r="AA115" s="150" t="n"/>
      <c r="AB115" s="150" t="n"/>
      <c r="AC115" s="150" t="n"/>
      <c r="AD115" s="149" t="n"/>
    </row>
    <row r="116" ht="14.25" customHeight="1" s="142">
      <c r="A116" s="135">
        <f>A111+1</f>
        <v/>
      </c>
      <c r="B116" s="137" t="inlineStr">
        <is>
          <t>防禦崩解•極</t>
        </is>
      </c>
      <c r="C116" s="135" t="n">
        <v>5</v>
      </c>
      <c r="D116" s="135" t="n">
        <v>1</v>
      </c>
      <c r="E116" s="141" t="n"/>
      <c r="F116" s="135" t="n">
        <v>1</v>
      </c>
      <c r="G116" s="135" t="n">
        <v>1.25</v>
      </c>
      <c r="H116" s="135" t="n"/>
      <c r="I116" s="135" t="n"/>
      <c r="J116" s="135" t="n"/>
      <c r="K116" s="135" t="n"/>
      <c r="L116" s="135" t="n"/>
      <c r="M116" s="141" t="inlineStr">
        <is>
          <t>phycial</t>
        </is>
      </c>
      <c r="N116" s="51">
        <f>N115-4</f>
        <v/>
      </c>
      <c r="O116" s="141" t="n"/>
      <c r="P116" s="52" t="n"/>
      <c r="Q116" s="52" t="n"/>
      <c r="R116" s="52">
        <f>"2001,2001,2004,2004,2005,2005,2007,2007"</f>
        <v/>
      </c>
      <c r="S116" s="141" t="n"/>
      <c r="T116" s="52">
        <f>"1001,1002,1003,1004,1005,1006,1007,1008,1009,1010"</f>
        <v/>
      </c>
      <c r="U116" s="141" t="n"/>
      <c r="V116" s="135" t="n"/>
      <c r="W116" s="141" t="n"/>
      <c r="X116" s="141" t="inlineStr">
        <is>
          <t>slash</t>
        </is>
      </c>
      <c r="Y116" s="141" t="n"/>
      <c r="Z116" s="137" t="inlineStr">
        <is>
          <t>對隨機敵方全體造成&lt;AD&gt;物攻的物理攻擊，附加防禦與魔防下降2層、爆擊下降2層、技能傷害下降2層，並清除對象的上升狀態</t>
        </is>
      </c>
      <c r="AA116" s="150" t="n"/>
      <c r="AB116" s="150" t="n"/>
      <c r="AC116" s="150" t="n"/>
      <c r="AD116" s="149" t="n"/>
    </row>
    <row r="117" ht="14.25" customHeight="1" s="142">
      <c r="A117" s="135">
        <f>A112+1</f>
        <v/>
      </c>
      <c r="B117" s="137" t="inlineStr">
        <is>
          <t>極限斬擊★</t>
        </is>
      </c>
      <c r="C117" s="135" t="n">
        <v>1</v>
      </c>
      <c r="D117" s="135" t="n">
        <v>1</v>
      </c>
      <c r="E117" s="141" t="n"/>
      <c r="F117" s="135" t="n">
        <v>1</v>
      </c>
      <c r="G117" s="135" t="n">
        <v>5</v>
      </c>
      <c r="H117" s="135" t="n"/>
      <c r="I117" s="135" t="n"/>
      <c r="J117" s="135" t="n"/>
      <c r="K117" s="135" t="n"/>
      <c r="L117" s="135" t="n"/>
      <c r="M117" s="141" t="inlineStr">
        <is>
          <t>phycial</t>
        </is>
      </c>
      <c r="N117" s="51" t="n">
        <v>49</v>
      </c>
      <c r="O117" s="141" t="n"/>
      <c r="P117" s="52" t="n">
        <v>1005</v>
      </c>
      <c r="R117" s="52" t="n">
        <v>2008</v>
      </c>
      <c r="S117" s="141" t="n"/>
      <c r="T117" s="141" t="n"/>
      <c r="U117" s="141" t="n"/>
      <c r="V117" s="135" t="n"/>
      <c r="W117" s="141" t="n"/>
      <c r="X117" s="141" t="inlineStr">
        <is>
          <t>slash</t>
        </is>
      </c>
      <c r="Y117" s="141" t="n"/>
      <c r="Z117" s="137" t="inlineStr">
        <is>
          <t>對敵方隨機1體造成&lt;AD&gt;物攻的物理攻擊，並附加爆擊抗性下降，附加自身爆擊上升</t>
        </is>
      </c>
      <c r="AA117" s="150" t="n"/>
      <c r="AB117" s="150" t="n"/>
      <c r="AC117" s="150" t="n"/>
      <c r="AD117" s="149" t="n"/>
    </row>
    <row r="118" ht="14.25" customHeight="1" s="142">
      <c r="A118" s="135">
        <f>A113+1</f>
        <v/>
      </c>
      <c r="B118" s="137" t="inlineStr">
        <is>
          <t>極限斬擊★2</t>
        </is>
      </c>
      <c r="C118" s="135" t="n">
        <v>1</v>
      </c>
      <c r="D118" s="135" t="n">
        <v>1</v>
      </c>
      <c r="E118" s="141" t="n"/>
      <c r="F118" s="135" t="n">
        <v>1</v>
      </c>
      <c r="G118" s="135" t="n">
        <v>5</v>
      </c>
      <c r="H118" s="135" t="n"/>
      <c r="I118" s="135" t="n"/>
      <c r="J118" s="135" t="n"/>
      <c r="K118" s="135" t="n"/>
      <c r="L118" s="135" t="n"/>
      <c r="M118" s="141" t="inlineStr">
        <is>
          <t>phycial</t>
        </is>
      </c>
      <c r="N118" s="51">
        <f>N117-4</f>
        <v/>
      </c>
      <c r="O118" s="141" t="n"/>
      <c r="P118" s="52">
        <f>"1005,3003"</f>
        <v/>
      </c>
      <c r="Q118" s="52" t="n"/>
      <c r="R118" s="52" t="n">
        <v>2008</v>
      </c>
      <c r="S118" s="141" t="n"/>
      <c r="T118" s="141" t="n"/>
      <c r="U118" s="141" t="n"/>
      <c r="V118" s="135" t="n"/>
      <c r="W118" s="141" t="n"/>
      <c r="X118" s="141" t="inlineStr">
        <is>
          <t>slash</t>
        </is>
      </c>
      <c r="Y118" s="141" t="n"/>
      <c r="Z118" s="137" t="inlineStr">
        <is>
          <t>對敵方隨機1體造成&lt;AD&gt;物攻的物理攻擊，並附加爆擊抗性下降，附加自身爆擊上升、行動加快</t>
        </is>
      </c>
      <c r="AA118" s="150" t="n"/>
      <c r="AB118" s="150" t="n"/>
      <c r="AC118" s="150" t="n"/>
      <c r="AD118" s="149" t="n"/>
    </row>
    <row r="119" ht="14.25" customHeight="1" s="142">
      <c r="A119" s="135">
        <f>A114+1</f>
        <v/>
      </c>
      <c r="B119" s="137" t="inlineStr">
        <is>
          <t>極限斬擊★3</t>
        </is>
      </c>
      <c r="C119" s="135" t="n">
        <v>1</v>
      </c>
      <c r="D119" s="135" t="n">
        <v>1</v>
      </c>
      <c r="E119" s="141" t="n"/>
      <c r="F119" s="135" t="n">
        <v>1</v>
      </c>
      <c r="G119" s="135" t="n">
        <v>5</v>
      </c>
      <c r="H119" s="135" t="n"/>
      <c r="I119" s="135" t="n"/>
      <c r="J119" s="135" t="n"/>
      <c r="K119" s="135" t="n"/>
      <c r="L119" s="135" t="n"/>
      <c r="M119" s="141" t="inlineStr">
        <is>
          <t>phycial</t>
        </is>
      </c>
      <c r="N119" s="51">
        <f>N118-4</f>
        <v/>
      </c>
      <c r="O119" s="141" t="n"/>
      <c r="P119" s="52">
        <f>"1005,3003,3010"</f>
        <v/>
      </c>
      <c r="R119" s="52" t="n">
        <v>2008</v>
      </c>
      <c r="S119" s="141" t="n"/>
      <c r="T119" s="141" t="n"/>
      <c r="U119" s="141" t="n"/>
      <c r="V119" s="135" t="n"/>
      <c r="W119" s="141" t="n"/>
      <c r="X119" s="141" t="inlineStr">
        <is>
          <t>slash</t>
        </is>
      </c>
      <c r="Y119" s="141" t="n"/>
      <c r="Z119" s="137" t="inlineStr">
        <is>
          <t>對敵方隨機1體造成&lt;AD&gt;物攻的物理攻擊，附加自身爆擊上升額外附加自身爆擊上升、行動加快與妖刀效果</t>
        </is>
      </c>
      <c r="AA119" s="150" t="n"/>
      <c r="AB119" s="150" t="n"/>
      <c r="AC119" s="150" t="n"/>
      <c r="AD119" s="149" t="n"/>
    </row>
    <row r="120" ht="14.25" customHeight="1" s="142">
      <c r="A120" s="135">
        <f>A115+1</f>
        <v/>
      </c>
      <c r="B120" s="137" t="inlineStr">
        <is>
          <t>極限斬擊★4</t>
        </is>
      </c>
      <c r="C120" s="135" t="n">
        <v>1</v>
      </c>
      <c r="D120" s="135" t="n">
        <v>1</v>
      </c>
      <c r="E120" s="141" t="n"/>
      <c r="F120" s="135" t="n">
        <v>1</v>
      </c>
      <c r="G120" s="135" t="n">
        <v>5</v>
      </c>
      <c r="H120" s="135" t="n"/>
      <c r="I120" s="135" t="n"/>
      <c r="J120" s="135" t="n"/>
      <c r="K120" s="135" t="n"/>
      <c r="L120" s="135" t="n"/>
      <c r="M120" s="141" t="inlineStr">
        <is>
          <t>phycial</t>
        </is>
      </c>
      <c r="N120" s="51">
        <f>N119-4</f>
        <v/>
      </c>
      <c r="O120" s="141" t="n"/>
      <c r="P120" s="52">
        <f>"1005,3003,3010"</f>
        <v/>
      </c>
      <c r="Q120" s="52" t="n"/>
      <c r="R120" s="52" t="n">
        <v>2008</v>
      </c>
      <c r="S120" s="141" t="n"/>
      <c r="T120" s="141" t="n"/>
      <c r="U120" s="141" t="n"/>
      <c r="V120" s="135" t="n"/>
      <c r="W120" s="141" t="n"/>
      <c r="X120" s="141" t="inlineStr">
        <is>
          <t>slash</t>
        </is>
      </c>
      <c r="Y120" s="141" t="n"/>
      <c r="Z120" s="137" t="inlineStr">
        <is>
          <t>對敵方隨機1體造成&lt;AD&gt;物攻的物理攻擊，附加自身爆擊上升額外附加自身爆擊上升、行動加快與妖刀效果</t>
        </is>
      </c>
      <c r="AA120" s="150" t="n"/>
      <c r="AB120" s="150" t="n"/>
      <c r="AC120" s="150" t="n"/>
      <c r="AD120" s="149" t="n"/>
    </row>
    <row r="121" ht="14.25" customHeight="1" s="142">
      <c r="A121" s="135">
        <f>A116+1</f>
        <v/>
      </c>
      <c r="B121" s="137" t="inlineStr">
        <is>
          <t>極限斬擊•極</t>
        </is>
      </c>
      <c r="C121" s="135" t="n">
        <v>1</v>
      </c>
      <c r="D121" s="135" t="n">
        <v>1</v>
      </c>
      <c r="E121" s="141" t="n"/>
      <c r="F121" s="135" t="n">
        <v>1</v>
      </c>
      <c r="G121" s="135" t="n">
        <v>5</v>
      </c>
      <c r="H121" s="135" t="n"/>
      <c r="I121" s="135" t="n"/>
      <c r="J121" s="135" t="n"/>
      <c r="K121" s="135" t="n"/>
      <c r="L121" s="135" t="n"/>
      <c r="M121" s="141" t="inlineStr">
        <is>
          <t>phycial</t>
        </is>
      </c>
      <c r="N121" s="51">
        <f>N120-4</f>
        <v/>
      </c>
      <c r="O121" s="141" t="n"/>
      <c r="P121" s="52">
        <f>"1005,3003,3010,3011"</f>
        <v/>
      </c>
      <c r="Q121" s="52" t="n"/>
      <c r="R121" s="52" t="n">
        <v>1005</v>
      </c>
      <c r="S121" s="141" t="n"/>
      <c r="T121" s="141" t="n"/>
      <c r="U121" s="141" t="n"/>
      <c r="V121" s="135" t="n"/>
      <c r="W121" s="141" t="n"/>
      <c r="X121" s="141" t="inlineStr">
        <is>
          <t>slash</t>
        </is>
      </c>
      <c r="Y121" s="141" t="n"/>
      <c r="Z121" s="137" t="inlineStr">
        <is>
          <t>對敵方隨機1體造成&lt;AD&gt;物攻的物理攻擊，附加自身爆擊上升額外附加自身爆擊上升、行動加快、妖刀與妖刀●滅效果</t>
        </is>
      </c>
      <c r="AA121" s="150" t="n"/>
      <c r="AB121" s="150" t="n"/>
      <c r="AC121" s="150" t="n"/>
      <c r="AD121" s="149" t="n"/>
    </row>
    <row r="122" ht="15.75" customHeight="1" s="142">
      <c r="A122" s="135">
        <f>A117+1</f>
        <v/>
      </c>
      <c r="B122" s="137" t="inlineStr">
        <is>
          <t>神威退魔★</t>
        </is>
      </c>
      <c r="C122" s="135" t="n">
        <v>-2</v>
      </c>
      <c r="D122" s="135" t="n">
        <v>1</v>
      </c>
      <c r="E122" s="141" t="n"/>
      <c r="F122" s="135" t="n">
        <v>1</v>
      </c>
      <c r="G122" s="135" t="n"/>
      <c r="H122" s="135" t="n"/>
      <c r="I122" s="135" t="n"/>
      <c r="J122" s="135" t="n"/>
      <c r="K122" s="135" t="n"/>
      <c r="L122" s="135" t="n"/>
      <c r="M122" s="141" t="n"/>
      <c r="N122" s="51" t="n">
        <v>80</v>
      </c>
      <c r="O122" s="141" t="n"/>
      <c r="P122" s="52" t="n">
        <v>3001</v>
      </c>
      <c r="Q122" s="52" t="n"/>
      <c r="R122" s="52" t="n">
        <v>1996</v>
      </c>
      <c r="S122" s="141" t="n"/>
      <c r="T122" s="141" t="n"/>
      <c r="U122" s="141" t="n"/>
      <c r="V122" s="135" t="n"/>
      <c r="W122" s="141" t="n"/>
      <c r="X122" s="53" t="inlineStr">
        <is>
          <t>buff</t>
        </is>
      </c>
      <c r="Y122" s="141" t="n"/>
      <c r="Z122" s="137" t="inlineStr">
        <is>
          <t>為我方2體隨機附加傷害分擔；並附加自身持續恢復效果</t>
        </is>
      </c>
      <c r="AA122" s="150" t="n"/>
      <c r="AB122" s="150" t="n"/>
      <c r="AC122" s="150" t="n"/>
      <c r="AD122" s="149" t="n"/>
    </row>
    <row r="123" ht="15.75" customHeight="1" s="142">
      <c r="A123" s="135">
        <f>A118+1</f>
        <v/>
      </c>
      <c r="B123" s="137" t="inlineStr">
        <is>
          <t>神威退魔★2</t>
        </is>
      </c>
      <c r="C123" s="135" t="n">
        <v>-2</v>
      </c>
      <c r="D123" s="135" t="n">
        <v>1</v>
      </c>
      <c r="E123" s="141" t="n"/>
      <c r="F123" s="135" t="n">
        <v>1</v>
      </c>
      <c r="G123" s="135" t="n"/>
      <c r="H123" s="135" t="n"/>
      <c r="I123" s="135" t="n"/>
      <c r="J123" s="135" t="n"/>
      <c r="K123" s="135" t="n"/>
      <c r="L123" s="135" t="n"/>
      <c r="M123" s="141" t="n"/>
      <c r="N123" s="51">
        <f>N122-4</f>
        <v/>
      </c>
      <c r="O123" s="141" t="n"/>
      <c r="P123" s="52">
        <f>"3001,1012"</f>
        <v/>
      </c>
      <c r="Q123" s="52" t="n"/>
      <c r="R123" s="52" t="n">
        <v>1996</v>
      </c>
      <c r="S123" s="141" t="n"/>
      <c r="T123" s="141" t="n"/>
      <c r="U123" s="141" t="n"/>
      <c r="V123" s="135" t="n"/>
      <c r="W123" s="141" t="n"/>
      <c r="X123" s="53" t="inlineStr">
        <is>
          <t>buff</t>
        </is>
      </c>
      <c r="Y123" s="141" t="n"/>
      <c r="Z123" s="137" t="inlineStr">
        <is>
          <t>為我方2體隨機附加傷害分擔；並附加自身持續恢復與減少受到傷害效果</t>
        </is>
      </c>
      <c r="AA123" s="150" t="n"/>
      <c r="AB123" s="150" t="n"/>
      <c r="AC123" s="150" t="n"/>
      <c r="AD123" s="149" t="n"/>
    </row>
    <row r="124" ht="15.75" customHeight="1" s="142">
      <c r="A124" s="135">
        <f>A119+1</f>
        <v/>
      </c>
      <c r="B124" s="137" t="inlineStr">
        <is>
          <t>神威退魔★3</t>
        </is>
      </c>
      <c r="C124" s="135" t="n">
        <v>-3</v>
      </c>
      <c r="D124" s="135" t="n">
        <v>1</v>
      </c>
      <c r="E124" s="141" t="n"/>
      <c r="F124" s="135" t="n">
        <v>1</v>
      </c>
      <c r="G124" s="135" t="n"/>
      <c r="H124" s="135" t="n"/>
      <c r="I124" s="135" t="n"/>
      <c r="J124" s="135" t="n"/>
      <c r="K124" s="135" t="n"/>
      <c r="L124" s="135" t="n"/>
      <c r="M124" s="141" t="n"/>
      <c r="N124" s="51">
        <f>N123-4</f>
        <v/>
      </c>
      <c r="O124" s="141" t="n"/>
      <c r="P124" s="52">
        <f>"3001,1012"</f>
        <v/>
      </c>
      <c r="Q124" s="52" t="n"/>
      <c r="R124" s="52" t="n">
        <v>1996</v>
      </c>
      <c r="S124" s="141" t="n"/>
      <c r="T124" s="141" t="n"/>
      <c r="U124" s="141" t="n"/>
      <c r="V124" s="135" t="n"/>
      <c r="W124" s="141" t="n"/>
      <c r="X124" s="53" t="inlineStr">
        <is>
          <t>buff</t>
        </is>
      </c>
      <c r="Y124" s="141" t="n"/>
      <c r="Z124" s="137" t="inlineStr">
        <is>
          <t>為我方3體隨機附加傷害分擔；並附加自身持續恢復與減少受到傷害效果</t>
        </is>
      </c>
      <c r="AA124" s="150" t="n"/>
      <c r="AB124" s="150" t="n"/>
      <c r="AC124" s="150" t="n"/>
      <c r="AD124" s="149" t="n"/>
    </row>
    <row r="125" ht="15.75" customHeight="1" s="142">
      <c r="A125" s="135">
        <f>A120+1</f>
        <v/>
      </c>
      <c r="B125" s="137" t="inlineStr">
        <is>
          <t>神威退魔★4</t>
        </is>
      </c>
      <c r="C125" s="135" t="n">
        <v>-3</v>
      </c>
      <c r="D125" s="135" t="n">
        <v>1</v>
      </c>
      <c r="E125" s="141" t="n"/>
      <c r="F125" s="135" t="n">
        <v>1</v>
      </c>
      <c r="G125" s="135" t="n"/>
      <c r="H125" s="135" t="n"/>
      <c r="I125" s="135" t="n"/>
      <c r="J125" s="135" t="n"/>
      <c r="K125" s="135" t="n"/>
      <c r="L125" s="135" t="n"/>
      <c r="M125" s="141" t="n"/>
      <c r="N125" s="51">
        <f>N124-4</f>
        <v/>
      </c>
      <c r="O125" s="141" t="n"/>
      <c r="P125" s="52">
        <f>"3001,1012,1012"</f>
        <v/>
      </c>
      <c r="Q125" s="52" t="n"/>
      <c r="R125" s="52" t="n">
        <v>1996</v>
      </c>
      <c r="S125" s="141" t="n"/>
      <c r="T125" s="141" t="n"/>
      <c r="U125" s="141" t="n"/>
      <c r="V125" s="135" t="n"/>
      <c r="W125" s="141" t="n"/>
      <c r="X125" s="53" t="inlineStr">
        <is>
          <t>buff</t>
        </is>
      </c>
      <c r="Y125" s="141" t="n"/>
      <c r="Z125" s="137" t="inlineStr">
        <is>
          <t>為我方3體隨機附加傷害分擔；並附加自身持續恢復與2層減少受到傷害效果</t>
        </is>
      </c>
      <c r="AA125" s="150" t="n"/>
      <c r="AB125" s="150" t="n"/>
      <c r="AC125" s="150" t="n"/>
      <c r="AD125" s="149" t="n"/>
    </row>
    <row r="126" ht="15.75" customHeight="1" s="142">
      <c r="A126" s="135">
        <f>A121+1</f>
        <v/>
      </c>
      <c r="B126" s="137" t="inlineStr">
        <is>
          <t>神威退魔•極</t>
        </is>
      </c>
      <c r="C126" s="135" t="n">
        <v>-3</v>
      </c>
      <c r="D126" s="135" t="n">
        <v>1</v>
      </c>
      <c r="E126" s="141" t="n"/>
      <c r="F126" s="135" t="n">
        <v>1</v>
      </c>
      <c r="G126" s="135" t="n"/>
      <c r="H126" s="135" t="n"/>
      <c r="I126" s="135" t="n"/>
      <c r="J126" s="135" t="n"/>
      <c r="K126" s="135" t="n"/>
      <c r="L126" s="135" t="n"/>
      <c r="M126" s="141" t="n"/>
      <c r="N126" s="51">
        <f>N125-4</f>
        <v/>
      </c>
      <c r="O126" s="141" t="n"/>
      <c r="P126" s="52">
        <f>"3001,1012,1012"</f>
        <v/>
      </c>
      <c r="Q126" s="52" t="n"/>
      <c r="R126" s="52" t="n">
        <v>1996</v>
      </c>
      <c r="S126" s="141" t="n"/>
      <c r="T126" s="141" t="n"/>
      <c r="U126" s="141" t="n">
        <v>4002</v>
      </c>
      <c r="V126" s="135" t="n"/>
      <c r="W126" s="141" t="n"/>
      <c r="X126" s="53" t="inlineStr">
        <is>
          <t>buff</t>
        </is>
      </c>
      <c r="Y126" s="141" t="n"/>
      <c r="Z126" s="137" t="inlineStr">
        <is>
          <t>為我方3體隨機附加傷害分擔；並附加自身持續恢復與2層減少受到傷害效果；額外解除凍傷效果</t>
        </is>
      </c>
      <c r="AA126" s="150" t="n"/>
      <c r="AB126" s="150" t="n"/>
      <c r="AC126" s="150" t="n"/>
      <c r="AD126" s="149" t="n"/>
    </row>
    <row r="127" ht="15.75" customHeight="1" s="142">
      <c r="A127" s="135">
        <f>A122+1</f>
        <v/>
      </c>
      <c r="B127" s="137" t="inlineStr">
        <is>
          <t>陰月靈鋒★</t>
        </is>
      </c>
      <c r="C127" s="135" t="n">
        <v>-2</v>
      </c>
      <c r="D127" s="135" t="n"/>
      <c r="E127" s="141" t="n"/>
      <c r="F127" s="135" t="n">
        <v>1</v>
      </c>
      <c r="G127" s="135" t="n"/>
      <c r="H127" s="135" t="n">
        <v>2.5</v>
      </c>
      <c r="I127" s="135" t="n"/>
      <c r="J127" s="135" t="n"/>
      <c r="K127" s="135" t="n"/>
      <c r="L127" s="135" t="n"/>
      <c r="M127" s="141" t="inlineStr">
        <is>
          <t>shield</t>
        </is>
      </c>
      <c r="N127" s="51" t="n">
        <v>48</v>
      </c>
      <c r="O127" s="141" t="n"/>
      <c r="P127" s="52" t="n"/>
      <c r="Q127" s="52" t="n"/>
      <c r="R127" s="52">
        <f>"1999,1996"</f>
        <v/>
      </c>
      <c r="S127" s="141" t="n"/>
      <c r="T127" s="141" t="n"/>
      <c r="U127" s="141" t="n"/>
      <c r="V127" s="135" t="n"/>
      <c r="W127" s="141" t="n"/>
      <c r="X127" s="53" t="inlineStr">
        <is>
          <t>buff</t>
        </is>
      </c>
      <c r="Y127" s="141" t="n"/>
      <c r="Z127" s="137" t="inlineStr">
        <is>
          <t>為我方2體附加附加自身&lt;AD&gt;物攻的護盾並附加傷害分擔效果</t>
        </is>
      </c>
      <c r="AA127" s="150" t="n"/>
      <c r="AB127" s="150" t="n"/>
      <c r="AC127" s="150" t="n"/>
      <c r="AD127" s="149" t="n"/>
    </row>
    <row r="128" ht="15.75" customHeight="1" s="142">
      <c r="A128" s="135">
        <f>A123+1</f>
        <v/>
      </c>
      <c r="B128" s="137" t="inlineStr">
        <is>
          <t>陰月靈鋒★2</t>
        </is>
      </c>
      <c r="C128" s="135" t="n">
        <v>-2</v>
      </c>
      <c r="D128" s="135" t="n"/>
      <c r="E128" s="141" t="n"/>
      <c r="F128" s="135" t="n">
        <v>1</v>
      </c>
      <c r="G128" s="135" t="n"/>
      <c r="H128" s="135" t="n">
        <v>2.5</v>
      </c>
      <c r="I128" s="135" t="n"/>
      <c r="J128" s="135" t="n"/>
      <c r="K128" s="135" t="n"/>
      <c r="L128" s="135" t="n"/>
      <c r="M128" s="141" t="inlineStr">
        <is>
          <t>shield</t>
        </is>
      </c>
      <c r="N128" s="51">
        <f>N127-4</f>
        <v/>
      </c>
      <c r="O128" s="141" t="n"/>
      <c r="P128" s="52" t="n">
        <v>3003</v>
      </c>
      <c r="Q128" s="52" t="n"/>
      <c r="R128" s="52">
        <f>"1999,1996"</f>
        <v/>
      </c>
      <c r="S128" s="141" t="n"/>
      <c r="T128" s="141" t="n"/>
      <c r="U128" s="141" t="n"/>
      <c r="V128" s="135" t="n"/>
      <c r="W128" s="141" t="n"/>
      <c r="X128" s="53" t="inlineStr">
        <is>
          <t>buff</t>
        </is>
      </c>
      <c r="Y128" s="141" t="n"/>
      <c r="Z128" s="137" t="inlineStr">
        <is>
          <t>為我方2體附加附加自身&lt;AD&gt;物攻的護盾並附加傷害分擔效果；額外為自身附加行動加快效果</t>
        </is>
      </c>
      <c r="AA128" s="150" t="n"/>
      <c r="AB128" s="150" t="n"/>
      <c r="AC128" s="150" t="n"/>
      <c r="AD128" s="149" t="n"/>
    </row>
    <row r="129" ht="15.75" customHeight="1" s="142">
      <c r="A129" s="135">
        <f>A124+1</f>
        <v/>
      </c>
      <c r="B129" s="137" t="inlineStr">
        <is>
          <t>陰月靈鋒★3</t>
        </is>
      </c>
      <c r="C129" s="135" t="n">
        <v>-2</v>
      </c>
      <c r="D129" s="135" t="n"/>
      <c r="E129" s="141" t="n"/>
      <c r="F129" s="135" t="n">
        <v>1</v>
      </c>
      <c r="G129" s="135" t="n"/>
      <c r="H129" s="135" t="n">
        <v>2.5</v>
      </c>
      <c r="I129" s="135" t="n"/>
      <c r="J129" s="135" t="n"/>
      <c r="K129" s="135" t="n"/>
      <c r="L129" s="135" t="n"/>
      <c r="M129" s="141" t="inlineStr">
        <is>
          <t>shield</t>
        </is>
      </c>
      <c r="N129" s="51">
        <f>N128-4</f>
        <v/>
      </c>
      <c r="O129" s="141" t="n"/>
      <c r="P129" s="52">
        <f>"3003,1997"</f>
        <v/>
      </c>
      <c r="Q129" s="52" t="n"/>
      <c r="R129" s="52">
        <f>"1999,1996"</f>
        <v/>
      </c>
      <c r="S129" s="141" t="n"/>
      <c r="T129" s="141" t="n"/>
      <c r="U129" s="141" t="n"/>
      <c r="V129" s="135" t="n"/>
      <c r="W129" s="141" t="n"/>
      <c r="X129" s="53" t="inlineStr">
        <is>
          <t>buff</t>
        </is>
      </c>
      <c r="Y129" s="141" t="n"/>
      <c r="Z129" s="137" t="inlineStr">
        <is>
          <t>為我方2體附加附加自身&lt;AD&gt;物攻的護盾並附加傷害分擔效果；額外為自身附加行動加快與傷害反射效果</t>
        </is>
      </c>
      <c r="AA129" s="150" t="n"/>
      <c r="AB129" s="150" t="n"/>
      <c r="AC129" s="150" t="n"/>
      <c r="AD129" s="149" t="n"/>
    </row>
    <row r="130" ht="15.75" customHeight="1" s="142">
      <c r="A130" s="135">
        <f>A125+1</f>
        <v/>
      </c>
      <c r="B130" s="137" t="inlineStr">
        <is>
          <t>陰月靈鋒★4</t>
        </is>
      </c>
      <c r="C130" s="135" t="n">
        <v>-2</v>
      </c>
      <c r="D130" s="135" t="n"/>
      <c r="E130" s="141" t="n"/>
      <c r="F130" s="135" t="n">
        <v>1</v>
      </c>
      <c r="G130" s="135" t="n"/>
      <c r="H130" s="135" t="n">
        <v>2.5</v>
      </c>
      <c r="I130" s="135" t="n"/>
      <c r="J130" s="135" t="n"/>
      <c r="K130" s="135" t="n"/>
      <c r="L130" s="135" t="n"/>
      <c r="M130" s="141" t="inlineStr">
        <is>
          <t>shield</t>
        </is>
      </c>
      <c r="N130" s="51">
        <f>N129-4</f>
        <v/>
      </c>
      <c r="O130" s="141" t="n"/>
      <c r="P130" s="52">
        <f>"3003,1997"</f>
        <v/>
      </c>
      <c r="Q130" s="52" t="n"/>
      <c r="R130" s="52">
        <f>"1999,1996,1002,1004"</f>
        <v/>
      </c>
      <c r="S130" s="141" t="n"/>
      <c r="T130" s="141" t="n"/>
      <c r="U130" s="141" t="n"/>
      <c r="V130" s="135" t="n"/>
      <c r="W130" s="141" t="n"/>
      <c r="X130" s="53" t="inlineStr">
        <is>
          <t>buff</t>
        </is>
      </c>
      <c r="Y130" s="141" t="n"/>
      <c r="Z130" s="137" t="inlineStr">
        <is>
          <t>為我方2體附加附加自身&lt;AD&gt;物攻的護盾、傷害分擔、魔防上升與防禦上升效果；額外為自身附加行動加快與傷害反射效果</t>
        </is>
      </c>
      <c r="AA130" s="150" t="n"/>
      <c r="AB130" s="150" t="n"/>
      <c r="AC130" s="150" t="n"/>
      <c r="AD130" s="149" t="n"/>
    </row>
    <row r="131" ht="15.75" customHeight="1" s="142">
      <c r="A131" s="135">
        <f>A126+1</f>
        <v/>
      </c>
      <c r="B131" s="137" t="inlineStr">
        <is>
          <t>陰月靈鋒•極</t>
        </is>
      </c>
      <c r="C131" s="135" t="n">
        <v>-3</v>
      </c>
      <c r="D131" s="135" t="n"/>
      <c r="E131" s="141" t="n"/>
      <c r="F131" s="135" t="n">
        <v>1</v>
      </c>
      <c r="G131" s="135" t="n"/>
      <c r="H131" s="135" t="n">
        <v>2.5</v>
      </c>
      <c r="I131" s="135" t="n"/>
      <c r="J131" s="135" t="n"/>
      <c r="K131" s="135" t="n"/>
      <c r="L131" s="135" t="n"/>
      <c r="M131" s="141" t="inlineStr">
        <is>
          <t>shield</t>
        </is>
      </c>
      <c r="N131" s="51">
        <f>N130-4</f>
        <v/>
      </c>
      <c r="O131" s="141" t="n"/>
      <c r="P131" s="52">
        <f>"3003,1997"</f>
        <v/>
      </c>
      <c r="Q131" s="52" t="n"/>
      <c r="R131" s="52">
        <f>"1999,1996,1002,1004"</f>
        <v/>
      </c>
      <c r="S131" s="141" t="n"/>
      <c r="T131" s="141" t="n"/>
      <c r="U131" s="141" t="n"/>
      <c r="V131" s="135" t="n"/>
      <c r="W131" s="141" t="n"/>
      <c r="X131" s="53" t="inlineStr">
        <is>
          <t>buff</t>
        </is>
      </c>
      <c r="Y131" s="141" t="n"/>
      <c r="Z131" s="137" t="inlineStr">
        <is>
          <t>為我方3體附加附加自身&lt;AD&gt;物攻的護盾、傷害分擔、魔防上升與防禦上升效果；額外為自身附加行動加快與傷害反射效果</t>
        </is>
      </c>
      <c r="AA131" s="150" t="n"/>
      <c r="AB131" s="150" t="n"/>
      <c r="AC131" s="150" t="n"/>
      <c r="AD131" s="149" t="n"/>
    </row>
    <row r="132" ht="15.75" customHeight="1" s="142">
      <c r="A132" s="135">
        <f>A127+1</f>
        <v/>
      </c>
      <c r="B132" s="54" t="inlineStr">
        <is>
          <t>聖劍光輝★</t>
        </is>
      </c>
      <c r="C132" s="135" t="n">
        <v>1</v>
      </c>
      <c r="D132" s="55" t="n"/>
      <c r="E132" s="141" t="n"/>
      <c r="F132" s="135" t="n">
        <v>1</v>
      </c>
      <c r="G132" s="55" t="n"/>
      <c r="H132" s="55" t="n">
        <v>4.8</v>
      </c>
      <c r="I132" s="135" t="n"/>
      <c r="J132" s="135" t="n"/>
      <c r="K132" s="135" t="n"/>
      <c r="L132" s="135" t="n"/>
      <c r="M132" s="141" t="inlineStr">
        <is>
          <t>magic</t>
        </is>
      </c>
      <c r="N132" s="51" t="n">
        <v>96</v>
      </c>
      <c r="O132" s="54" t="n"/>
      <c r="P132" s="56" t="n">
        <v>1003</v>
      </c>
      <c r="Q132" s="56" t="n"/>
      <c r="R132" s="56" t="n">
        <v>4001</v>
      </c>
      <c r="S132" s="54" t="n">
        <v>0.5</v>
      </c>
      <c r="T132" s="54" t="n"/>
      <c r="U132" s="54" t="n"/>
      <c r="V132" s="55" t="n"/>
      <c r="W132" s="53" t="inlineStr">
        <is>
          <t>magic_throw</t>
        </is>
      </c>
      <c r="X132" s="53" t="inlineStr">
        <is>
          <t>explode</t>
        </is>
      </c>
      <c r="Y132" s="53" t="n"/>
      <c r="Z132" s="137" t="inlineStr">
        <is>
          <t>對敵方1體造成&lt;AP&gt;魔攻的魔法傷害，並50%機率灼傷；並額外自身附加魔攻上升</t>
        </is>
      </c>
      <c r="AA132" s="150" t="n"/>
      <c r="AB132" s="150" t="n"/>
      <c r="AC132" s="150" t="n"/>
      <c r="AD132" s="149" t="n"/>
    </row>
    <row r="133" ht="15.75" customHeight="1" s="142">
      <c r="A133" s="135">
        <f>A128+1</f>
        <v/>
      </c>
      <c r="B133" s="54" t="inlineStr">
        <is>
          <t>聖劍光輝★2</t>
        </is>
      </c>
      <c r="C133" s="135" t="n">
        <v>1</v>
      </c>
      <c r="D133" s="55" t="n"/>
      <c r="E133" s="141" t="n"/>
      <c r="F133" s="135" t="n">
        <v>1</v>
      </c>
      <c r="G133" s="55" t="n"/>
      <c r="H133" s="55" t="n">
        <v>4.8</v>
      </c>
      <c r="I133" s="135" t="n"/>
      <c r="J133" s="135" t="n"/>
      <c r="K133" s="135" t="n"/>
      <c r="L133" s="135" t="n"/>
      <c r="M133" s="141" t="inlineStr">
        <is>
          <t>magic</t>
        </is>
      </c>
      <c r="N133" s="51">
        <f>N132-4</f>
        <v/>
      </c>
      <c r="O133" s="54" t="n"/>
      <c r="P133" s="56" t="n"/>
      <c r="Q133" s="56" t="n"/>
      <c r="R133" s="56" t="n">
        <v>4001</v>
      </c>
      <c r="S133" s="54" t="n"/>
      <c r="T133" s="54" t="n"/>
      <c r="U133" s="54" t="n"/>
      <c r="V133" s="55" t="n"/>
      <c r="W133" s="53" t="inlineStr">
        <is>
          <t>magic_throw</t>
        </is>
      </c>
      <c r="X133" s="53" t="inlineStr">
        <is>
          <t>explode</t>
        </is>
      </c>
      <c r="Y133" s="53" t="n"/>
      <c r="Z133" s="137" t="inlineStr">
        <is>
          <t>對敵方1體造成&lt;AP&gt;魔攻的魔法傷害，並100%機率灼傷；並額外自身附加魔攻上升</t>
        </is>
      </c>
      <c r="AA133" s="150" t="n"/>
      <c r="AB133" s="150" t="n"/>
      <c r="AC133" s="150" t="n"/>
      <c r="AD133" s="149" t="n"/>
    </row>
    <row r="134" ht="15.75" customHeight="1" s="142">
      <c r="A134" s="135">
        <f>A129+1</f>
        <v/>
      </c>
      <c r="B134" s="54" t="inlineStr">
        <is>
          <t>聖劍光輝★3</t>
        </is>
      </c>
      <c r="C134" s="135" t="n">
        <v>2</v>
      </c>
      <c r="D134" s="55" t="n"/>
      <c r="E134" s="141" t="n"/>
      <c r="F134" s="135" t="n">
        <v>1</v>
      </c>
      <c r="G134" s="55" t="n"/>
      <c r="H134" s="55" t="n">
        <v>4.8</v>
      </c>
      <c r="I134" s="135" t="n"/>
      <c r="J134" s="135" t="n"/>
      <c r="K134" s="135" t="n"/>
      <c r="L134" s="135" t="n"/>
      <c r="M134" s="141" t="inlineStr">
        <is>
          <t>magic</t>
        </is>
      </c>
      <c r="N134" s="51">
        <f>N133-4</f>
        <v/>
      </c>
      <c r="O134" s="54" t="n"/>
      <c r="P134" s="56" t="n"/>
      <c r="Q134" s="56" t="n"/>
      <c r="R134" s="56" t="n">
        <v>4001</v>
      </c>
      <c r="S134" s="54" t="n"/>
      <c r="T134" s="54" t="n"/>
      <c r="U134" s="54" t="n"/>
      <c r="V134" s="55" t="n"/>
      <c r="W134" s="53" t="inlineStr">
        <is>
          <t>magic_throw</t>
        </is>
      </c>
      <c r="X134" s="53" t="inlineStr">
        <is>
          <t>explode</t>
        </is>
      </c>
      <c r="Y134" s="53" t="n"/>
      <c r="Z134" s="137" t="inlineStr">
        <is>
          <t>對敵方2體造成&lt;AP&gt;魔攻的魔法傷害，並100%機率灼傷；並額外自身附加魔攻上升</t>
        </is>
      </c>
      <c r="AA134" s="150" t="n"/>
      <c r="AB134" s="150" t="n"/>
      <c r="AC134" s="150" t="n"/>
      <c r="AD134" s="149" t="n"/>
    </row>
    <row r="135" ht="15.75" customHeight="1" s="142">
      <c r="A135" s="135">
        <f>A130+1</f>
        <v/>
      </c>
      <c r="B135" s="54" t="inlineStr">
        <is>
          <t>聖劍光輝★4</t>
        </is>
      </c>
      <c r="C135" s="135" t="n">
        <v>2</v>
      </c>
      <c r="D135" s="55" t="n"/>
      <c r="E135" s="141" t="n"/>
      <c r="F135" s="135" t="n">
        <v>1</v>
      </c>
      <c r="G135" s="55" t="n"/>
      <c r="H135" s="55" t="n">
        <v>4.8</v>
      </c>
      <c r="I135" s="135" t="n"/>
      <c r="J135" s="135" t="n"/>
      <c r="K135" s="135" t="n"/>
      <c r="L135" s="135" t="n"/>
      <c r="M135" s="141" t="inlineStr">
        <is>
          <t>magic</t>
        </is>
      </c>
      <c r="N135" s="51">
        <f>N134-4</f>
        <v/>
      </c>
      <c r="O135" s="54" t="n"/>
      <c r="P135" s="56" t="n">
        <v>3003</v>
      </c>
      <c r="Q135" s="56" t="n"/>
      <c r="R135" s="56" t="n">
        <v>4001</v>
      </c>
      <c r="S135" s="54" t="n"/>
      <c r="T135" s="54" t="n"/>
      <c r="U135" s="54" t="n"/>
      <c r="V135" s="55" t="n"/>
      <c r="W135" s="53" t="inlineStr">
        <is>
          <t>magic_throw</t>
        </is>
      </c>
      <c r="X135" s="53" t="inlineStr">
        <is>
          <t>explode</t>
        </is>
      </c>
      <c r="Y135" s="53" t="n"/>
      <c r="Z135" s="137" t="inlineStr">
        <is>
          <t>對敵方2體造成&lt;AP&gt;魔攻的魔法傷害，並100%機率灼傷；並額外自身附加魔攻上升與行動加快</t>
        </is>
      </c>
      <c r="AA135" s="150" t="n"/>
      <c r="AB135" s="150" t="n"/>
      <c r="AC135" s="150" t="n"/>
      <c r="AD135" s="149" t="n"/>
    </row>
    <row r="136" ht="15.75" customHeight="1" s="142">
      <c r="A136" s="135">
        <f>A131+1</f>
        <v/>
      </c>
      <c r="B136" s="54" t="inlineStr">
        <is>
          <t>聖劍光輝•極</t>
        </is>
      </c>
      <c r="C136" s="135" t="n">
        <v>3</v>
      </c>
      <c r="D136" s="55" t="n"/>
      <c r="E136" s="141" t="n"/>
      <c r="F136" s="135" t="n">
        <v>1</v>
      </c>
      <c r="G136" s="55" t="n"/>
      <c r="H136" s="55" t="n">
        <v>4.8</v>
      </c>
      <c r="I136" s="135" t="n"/>
      <c r="J136" s="135" t="n"/>
      <c r="K136" s="135" t="n"/>
      <c r="L136" s="135" t="n"/>
      <c r="M136" s="141" t="inlineStr">
        <is>
          <t>magic</t>
        </is>
      </c>
      <c r="N136" s="51">
        <f>N135-4</f>
        <v/>
      </c>
      <c r="O136" s="54" t="n"/>
      <c r="P136" s="56" t="n">
        <v>3003</v>
      </c>
      <c r="Q136" s="56" t="n"/>
      <c r="R136" s="56" t="n">
        <v>4001</v>
      </c>
      <c r="S136" s="54" t="n"/>
      <c r="T136" s="54" t="n"/>
      <c r="U136" s="54" t="n"/>
      <c r="V136" s="55" t="n"/>
      <c r="W136" s="53" t="inlineStr">
        <is>
          <t>magic_throw</t>
        </is>
      </c>
      <c r="X136" s="53" t="inlineStr">
        <is>
          <t>explode</t>
        </is>
      </c>
      <c r="Y136" s="53" t="n"/>
      <c r="Z136" s="137" t="inlineStr">
        <is>
          <t>對敵方3體造成&lt;AP&gt;魔攻的魔法傷害，並100%機率灼傷；並額外自身附加魔攻上升與行動加快</t>
        </is>
      </c>
      <c r="AA136" s="150" t="n"/>
      <c r="AB136" s="150" t="n"/>
      <c r="AC136" s="150" t="n"/>
      <c r="AD136" s="149" t="n"/>
    </row>
    <row r="137" ht="15.75" customHeight="1" s="142">
      <c r="A137" s="135">
        <f>A132+1</f>
        <v/>
      </c>
      <c r="B137" s="54" t="inlineStr">
        <is>
          <t>神威震嶽★</t>
        </is>
      </c>
      <c r="C137" s="135" t="n">
        <v>1</v>
      </c>
      <c r="D137" s="55" t="n"/>
      <c r="E137" s="141" t="n"/>
      <c r="F137" s="135" t="n">
        <v>1</v>
      </c>
      <c r="G137" s="55" t="n">
        <v>4.8</v>
      </c>
      <c r="H137" s="55" t="n"/>
      <c r="I137" s="135" t="n"/>
      <c r="J137" s="135" t="n"/>
      <c r="K137" s="135" t="n"/>
      <c r="L137" s="135" t="n"/>
      <c r="M137" s="141" t="inlineStr">
        <is>
          <t>phycial</t>
        </is>
      </c>
      <c r="N137" s="51" t="n">
        <v>96</v>
      </c>
      <c r="O137" s="54" t="n"/>
      <c r="P137" s="56">
        <f>"1005,3003"</f>
        <v/>
      </c>
      <c r="Q137" s="56" t="n"/>
      <c r="R137" s="56" t="n"/>
      <c r="S137" s="54" t="n"/>
      <c r="T137" s="54" t="n"/>
      <c r="U137" s="54" t="n"/>
      <c r="V137" s="55" t="n"/>
      <c r="W137" s="53" t="inlineStr">
        <is>
          <t>magic_throw</t>
        </is>
      </c>
      <c r="X137" s="53" t="inlineStr">
        <is>
          <t>explode</t>
        </is>
      </c>
      <c r="Y137" s="53" t="n"/>
      <c r="Z137" s="137" t="inlineStr">
        <is>
          <t>對敵方1體造成&lt;AP&gt;魔攻的魔法傷害；並為自身附加爆擊上升與自身行動加快</t>
        </is>
      </c>
      <c r="AA137" s="150" t="n"/>
      <c r="AB137" s="150" t="n"/>
      <c r="AC137" s="150" t="n"/>
      <c r="AD137" s="149" t="n"/>
    </row>
    <row r="138" ht="15.75" customHeight="1" s="142">
      <c r="A138" s="135">
        <f>A133+1</f>
        <v/>
      </c>
      <c r="B138" s="54" t="inlineStr">
        <is>
          <t>神威震嶽★2</t>
        </is>
      </c>
      <c r="C138" s="135" t="n">
        <v>1</v>
      </c>
      <c r="D138" s="55" t="n"/>
      <c r="E138" s="141" t="n"/>
      <c r="F138" s="135" t="n">
        <v>1</v>
      </c>
      <c r="G138" s="55" t="n">
        <v>4.8</v>
      </c>
      <c r="H138" s="55" t="n"/>
      <c r="I138" s="135" t="n"/>
      <c r="J138" s="135" t="n"/>
      <c r="K138" s="135" t="n"/>
      <c r="L138" s="135" t="n"/>
      <c r="M138" s="141" t="inlineStr">
        <is>
          <t>phycial</t>
        </is>
      </c>
      <c r="N138" s="51">
        <f>N137-4</f>
        <v/>
      </c>
      <c r="O138" s="54" t="n"/>
      <c r="P138" s="56">
        <f>"1005,3003,1007"</f>
        <v/>
      </c>
      <c r="Q138" s="56" t="n"/>
      <c r="R138" s="56" t="n"/>
      <c r="S138" s="54" t="n"/>
      <c r="T138" s="54" t="n"/>
      <c r="U138" s="54" t="n"/>
      <c r="V138" s="55" t="n"/>
      <c r="W138" s="53" t="inlineStr">
        <is>
          <t>magic_throw</t>
        </is>
      </c>
      <c r="X138" s="53" t="inlineStr">
        <is>
          <t>explode</t>
        </is>
      </c>
      <c r="Y138" s="53" t="n"/>
      <c r="Z138" s="137" t="inlineStr">
        <is>
          <t>對敵方1體造成&lt;AP&gt;魔攻的魔法傷害；並為自身附加爆擊上升、自身行動加快與能傷害上升</t>
        </is>
      </c>
      <c r="AA138" s="150" t="n"/>
      <c r="AB138" s="150" t="n"/>
      <c r="AC138" s="150" t="n"/>
      <c r="AD138" s="149" t="n"/>
    </row>
    <row r="139" ht="15.75" customHeight="1" s="142">
      <c r="A139" s="135">
        <f>A134+1</f>
        <v/>
      </c>
      <c r="B139" s="54" t="inlineStr">
        <is>
          <t>神威震嶽★2</t>
        </is>
      </c>
      <c r="C139" s="135" t="n">
        <v>1</v>
      </c>
      <c r="D139" s="55" t="n"/>
      <c r="E139" s="141" t="n"/>
      <c r="F139" s="135" t="n">
        <v>1</v>
      </c>
      <c r="G139" s="55" t="n">
        <v>4.8</v>
      </c>
      <c r="H139" s="55" t="n"/>
      <c r="I139" s="135" t="n"/>
      <c r="J139" s="135" t="n"/>
      <c r="K139" s="135" t="n"/>
      <c r="L139" s="135" t="n"/>
      <c r="M139" s="141" t="inlineStr">
        <is>
          <t>phycial</t>
        </is>
      </c>
      <c r="N139" s="51">
        <f>N138-4</f>
        <v/>
      </c>
      <c r="O139" s="54" t="n"/>
      <c r="P139" s="56">
        <f>"1005,3003,1007,1006"</f>
        <v/>
      </c>
      <c r="Q139" s="56" t="n"/>
      <c r="R139" s="56" t="n"/>
      <c r="S139" s="54" t="n"/>
      <c r="T139" s="54" t="n"/>
      <c r="U139" s="54" t="n"/>
      <c r="V139" s="55" t="n"/>
      <c r="W139" s="53" t="inlineStr">
        <is>
          <t>magic_throw</t>
        </is>
      </c>
      <c r="X139" s="53" t="inlineStr">
        <is>
          <t>explode</t>
        </is>
      </c>
      <c r="Y139" s="53" t="n"/>
      <c r="Z139" s="137" t="inlineStr">
        <is>
          <t>對敵方1體造成&lt;AP&gt;魔攻的魔法傷害；並為自身附加爆擊上升、自身行動加快、技能傷害上升與爆傷上升</t>
        </is>
      </c>
      <c r="AA139" s="150" t="n"/>
      <c r="AB139" s="150" t="n"/>
      <c r="AC139" s="150" t="n"/>
      <c r="AD139" s="149" t="n"/>
    </row>
    <row r="140" ht="15.75" customHeight="1" s="142">
      <c r="A140" s="135">
        <f>A135+1</f>
        <v/>
      </c>
      <c r="B140" s="54" t="inlineStr">
        <is>
          <t>神威震嶽★2</t>
        </is>
      </c>
      <c r="C140" s="135" t="n">
        <v>2</v>
      </c>
      <c r="D140" s="55" t="n"/>
      <c r="E140" s="141" t="n"/>
      <c r="F140" s="135" t="n">
        <v>1</v>
      </c>
      <c r="G140" s="55" t="n">
        <v>4.8</v>
      </c>
      <c r="H140" s="55" t="n"/>
      <c r="I140" s="135" t="n"/>
      <c r="J140" s="135" t="n"/>
      <c r="K140" s="135" t="n"/>
      <c r="L140" s="135" t="n"/>
      <c r="M140" s="141" t="inlineStr">
        <is>
          <t>phycial</t>
        </is>
      </c>
      <c r="N140" s="51">
        <f>N139-4</f>
        <v/>
      </c>
      <c r="O140" s="54" t="n"/>
      <c r="P140" s="56">
        <f>"1005,3003,1007,1006"</f>
        <v/>
      </c>
      <c r="Q140" s="56" t="n"/>
      <c r="R140" s="56" t="n"/>
      <c r="S140" s="54" t="n"/>
      <c r="T140" s="54" t="n"/>
      <c r="U140" s="54" t="n"/>
      <c r="V140" s="55" t="n"/>
      <c r="W140" s="53" t="inlineStr">
        <is>
          <t>magic_throw</t>
        </is>
      </c>
      <c r="X140" s="53" t="inlineStr">
        <is>
          <t>explode</t>
        </is>
      </c>
      <c r="Y140" s="53" t="n"/>
      <c r="Z140" s="137" t="inlineStr">
        <is>
          <t>對敵方2體造成&lt;AP&gt;魔攻的魔法傷害；並為自身附加爆擊上升、自身行動加快、技能傷害上升與爆傷上升</t>
        </is>
      </c>
      <c r="AA140" s="150" t="n"/>
      <c r="AB140" s="150" t="n"/>
      <c r="AC140" s="150" t="n"/>
      <c r="AD140" s="149" t="n"/>
    </row>
    <row r="141" ht="15.75" customHeight="1" s="142">
      <c r="A141" s="135">
        <f>A136+1</f>
        <v/>
      </c>
      <c r="B141" s="54" t="inlineStr">
        <is>
          <t>神威震嶽•極</t>
        </is>
      </c>
      <c r="C141" s="135" t="n">
        <v>2</v>
      </c>
      <c r="D141" s="55" t="n"/>
      <c r="E141" s="141" t="n"/>
      <c r="F141" s="135" t="n">
        <v>1</v>
      </c>
      <c r="G141" s="55" t="n">
        <v>4.8</v>
      </c>
      <c r="H141" s="55" t="n"/>
      <c r="I141" s="135" t="n"/>
      <c r="J141" s="135" t="n"/>
      <c r="K141" s="135" t="n"/>
      <c r="L141" s="135" t="n"/>
      <c r="M141" s="141" t="inlineStr">
        <is>
          <t>phycial</t>
        </is>
      </c>
      <c r="N141" s="51">
        <f>N140-4</f>
        <v/>
      </c>
      <c r="O141" s="54" t="n"/>
      <c r="P141" s="56">
        <f>"3003,1005,1005,1006,1006,1007,1007"</f>
        <v/>
      </c>
      <c r="Q141" s="56" t="n"/>
      <c r="R141" s="56" t="n"/>
      <c r="S141" s="54" t="n"/>
      <c r="T141" s="54" t="n"/>
      <c r="U141" s="54" t="n"/>
      <c r="V141" s="55" t="n"/>
      <c r="W141" s="53" t="inlineStr">
        <is>
          <t>magic_throw</t>
        </is>
      </c>
      <c r="X141" s="53" t="inlineStr">
        <is>
          <t>explode</t>
        </is>
      </c>
      <c r="Y141" s="53" t="n"/>
      <c r="Z141" s="137" t="inlineStr">
        <is>
          <t>對敵方2體造成&lt;AP&gt;魔攻的魔法傷害；並為自身附加自身行動加快、爆擊上升2層、技能傷害上升2層與爆傷上升2層</t>
        </is>
      </c>
      <c r="AA141" s="150" t="n"/>
      <c r="AB141" s="150" t="n"/>
      <c r="AC141" s="150" t="n"/>
      <c r="AD141" s="149" t="n"/>
    </row>
    <row r="142" ht="15.75" customHeight="1" s="142">
      <c r="A142" s="135">
        <f>A137+1</f>
        <v/>
      </c>
      <c r="B142" s="54" t="inlineStr">
        <is>
          <t>血祭詛咒★</t>
        </is>
      </c>
      <c r="C142" s="55" t="n">
        <v>1</v>
      </c>
      <c r="D142" s="55" t="n"/>
      <c r="E142" s="141" t="n"/>
      <c r="F142" s="135" t="n">
        <v>1</v>
      </c>
      <c r="G142" s="55" t="n">
        <v>4.8</v>
      </c>
      <c r="H142" s="55" t="n"/>
      <c r="I142" s="135" t="n"/>
      <c r="J142" s="135" t="n"/>
      <c r="K142" s="135" t="n"/>
      <c r="L142" s="135" t="n"/>
      <c r="M142" s="141" t="inlineStr">
        <is>
          <t>phycial</t>
        </is>
      </c>
      <c r="N142" s="51" t="n">
        <v>48</v>
      </c>
      <c r="O142" s="54" t="n"/>
      <c r="P142" s="56" t="n"/>
      <c r="Q142" s="56" t="n"/>
      <c r="R142" s="56">
        <f>"4003,4004"</f>
        <v/>
      </c>
      <c r="S142" s="54" t="n">
        <v>0.4</v>
      </c>
      <c r="T142" s="54" t="n"/>
      <c r="U142" s="54" t="n"/>
      <c r="V142" s="135" t="n"/>
      <c r="W142" s="53" t="n"/>
      <c r="X142" s="141" t="inlineStr">
        <is>
          <t>slash</t>
        </is>
      </c>
      <c r="Y142" s="53" t="n"/>
      <c r="Z142" s="137" t="inlineStr">
        <is>
          <t>對敵方1體造成&lt;AD&gt;物攻的物理傷害，並40%附加裂傷與中毒</t>
        </is>
      </c>
      <c r="AA142" s="150" t="n"/>
      <c r="AB142" s="150" t="n"/>
      <c r="AC142" s="150" t="n"/>
      <c r="AD142" s="149" t="n"/>
    </row>
    <row r="143" ht="15.75" customHeight="1" s="142">
      <c r="A143" s="135">
        <f>A138+1</f>
        <v/>
      </c>
      <c r="B143" s="54" t="inlineStr">
        <is>
          <t>血祭詛咒★2</t>
        </is>
      </c>
      <c r="C143" s="55" t="n">
        <v>1</v>
      </c>
      <c r="D143" s="55" t="n"/>
      <c r="E143" s="141" t="n"/>
      <c r="F143" s="135" t="n">
        <v>1</v>
      </c>
      <c r="G143" s="55" t="n">
        <v>4.8</v>
      </c>
      <c r="H143" s="55" t="n"/>
      <c r="I143" s="135" t="n"/>
      <c r="J143" s="135" t="n"/>
      <c r="K143" s="135" t="n"/>
      <c r="L143" s="135" t="n"/>
      <c r="M143" s="141" t="inlineStr">
        <is>
          <t>phycial</t>
        </is>
      </c>
      <c r="N143" s="51">
        <f>N142-4</f>
        <v/>
      </c>
      <c r="O143" s="54" t="n"/>
      <c r="P143" s="56" t="n"/>
      <c r="Q143" s="56" t="n"/>
      <c r="R143" s="56">
        <f>"4003,4004,4001"</f>
        <v/>
      </c>
      <c r="S143" s="54" t="n">
        <v>0.4</v>
      </c>
      <c r="T143" s="54" t="n"/>
      <c r="U143" s="54" t="n"/>
      <c r="V143" s="135" t="n"/>
      <c r="W143" s="53" t="n"/>
      <c r="X143" s="141" t="inlineStr">
        <is>
          <t>slash</t>
        </is>
      </c>
      <c r="Y143" s="53" t="n"/>
      <c r="Z143" s="137" t="inlineStr">
        <is>
          <t>對敵方1體造成&lt;AD&gt;物攻的物理傷害，並40%附加裂傷、中毒與灼傷</t>
        </is>
      </c>
      <c r="AA143" s="150" t="n"/>
      <c r="AB143" s="150" t="n"/>
      <c r="AC143" s="150" t="n"/>
      <c r="AD143" s="149" t="n"/>
    </row>
    <row r="144" ht="15.75" customHeight="1" s="142">
      <c r="A144" s="135">
        <f>A139+1</f>
        <v/>
      </c>
      <c r="B144" s="54" t="inlineStr">
        <is>
          <t>血祭詛咒★3</t>
        </is>
      </c>
      <c r="C144" s="55" t="n">
        <v>1</v>
      </c>
      <c r="D144" s="55" t="n"/>
      <c r="E144" s="141" t="n"/>
      <c r="F144" s="135" t="n">
        <v>1</v>
      </c>
      <c r="G144" s="55" t="n">
        <v>4.8</v>
      </c>
      <c r="H144" s="55" t="n"/>
      <c r="I144" s="135" t="n"/>
      <c r="J144" s="135" t="n"/>
      <c r="K144" s="135" t="n"/>
      <c r="L144" s="135" t="n"/>
      <c r="M144" s="141" t="inlineStr">
        <is>
          <t>phycial</t>
        </is>
      </c>
      <c r="N144" s="51">
        <f>N143-4</f>
        <v/>
      </c>
      <c r="O144" s="54" t="n"/>
      <c r="P144" s="56" t="n"/>
      <c r="Q144" s="56" t="n"/>
      <c r="R144" s="56">
        <f>"4003,4004,4001,4002"</f>
        <v/>
      </c>
      <c r="S144" s="54" t="n">
        <v>0.4</v>
      </c>
      <c r="T144" s="54" t="n"/>
      <c r="U144" s="54" t="n"/>
      <c r="V144" s="135" t="n"/>
      <c r="W144" s="53" t="n"/>
      <c r="X144" s="141" t="inlineStr">
        <is>
          <t>slash</t>
        </is>
      </c>
      <c r="Y144" s="53" t="n"/>
      <c r="Z144" s="137" t="inlineStr">
        <is>
          <t>對敵方1體造成&lt;AD&gt;物攻的物理傷害，並40%附加裂傷、中毒、灼傷與凍傷</t>
        </is>
      </c>
      <c r="AA144" s="150" t="n"/>
      <c r="AB144" s="150" t="n"/>
      <c r="AC144" s="150" t="n"/>
      <c r="AD144" s="149" t="n"/>
    </row>
    <row r="145" ht="15.75" customHeight="1" s="142">
      <c r="A145" s="135">
        <f>A140+1</f>
        <v/>
      </c>
      <c r="B145" s="54" t="inlineStr">
        <is>
          <t>血祭詛咒★4</t>
        </is>
      </c>
      <c r="C145" s="55" t="n">
        <v>1</v>
      </c>
      <c r="D145" s="55" t="n"/>
      <c r="E145" s="141" t="n"/>
      <c r="F145" s="135" t="n">
        <v>1</v>
      </c>
      <c r="G145" s="55" t="n">
        <v>4.8</v>
      </c>
      <c r="H145" s="55" t="n"/>
      <c r="I145" s="135" t="n"/>
      <c r="J145" s="135" t="n"/>
      <c r="K145" s="135" t="n"/>
      <c r="L145" s="135" t="n"/>
      <c r="M145" s="141" t="inlineStr">
        <is>
          <t>phycial</t>
        </is>
      </c>
      <c r="N145" s="51">
        <f>N144-4</f>
        <v/>
      </c>
      <c r="O145" s="54" t="n"/>
      <c r="P145" s="56" t="n"/>
      <c r="Q145" s="56" t="n"/>
      <c r="R145" s="56">
        <f>"4003,4004,4001,4002"</f>
        <v/>
      </c>
      <c r="S145" s="54" t="n">
        <v>0.5</v>
      </c>
      <c r="T145" s="54" t="n"/>
      <c r="U145" s="54" t="n"/>
      <c r="V145" s="135" t="n"/>
      <c r="W145" s="53" t="n"/>
      <c r="X145" s="141" t="inlineStr">
        <is>
          <t>slash</t>
        </is>
      </c>
      <c r="Y145" s="53" t="n"/>
      <c r="Z145" s="137" t="inlineStr">
        <is>
          <t>對敵方1體造成&lt;AD&gt;物攻的物理傷害，並50%附加裂傷、中毒、灼傷與凍傷</t>
        </is>
      </c>
      <c r="AA145" s="150" t="n"/>
      <c r="AB145" s="150" t="n"/>
      <c r="AC145" s="150" t="n"/>
      <c r="AD145" s="149" t="n"/>
    </row>
    <row r="146" ht="15.75" customHeight="1" s="142">
      <c r="A146" s="135">
        <f>A141+1</f>
        <v/>
      </c>
      <c r="B146" s="54" t="inlineStr">
        <is>
          <t>血祭詛咒•極</t>
        </is>
      </c>
      <c r="C146" s="55" t="n">
        <v>1</v>
      </c>
      <c r="D146" s="55" t="n"/>
      <c r="E146" s="141" t="n"/>
      <c r="F146" s="135" t="n">
        <v>1</v>
      </c>
      <c r="G146" s="55" t="n">
        <v>4.8</v>
      </c>
      <c r="H146" s="55" t="n"/>
      <c r="I146" s="135" t="n"/>
      <c r="J146" s="135" t="n"/>
      <c r="K146" s="135" t="n"/>
      <c r="L146" s="135" t="n"/>
      <c r="M146" s="141" t="inlineStr">
        <is>
          <t>phycial</t>
        </is>
      </c>
      <c r="N146" s="51">
        <f>N145-4</f>
        <v/>
      </c>
      <c r="O146" s="54" t="n"/>
      <c r="P146" s="56" t="n"/>
      <c r="Q146" s="56" t="n"/>
      <c r="R146" s="56">
        <f>"4003,4004,4001,4002"</f>
        <v/>
      </c>
      <c r="S146" s="54" t="n">
        <v>0.8</v>
      </c>
      <c r="T146" s="54" t="n"/>
      <c r="U146" s="54" t="n"/>
      <c r="V146" s="135" t="n"/>
      <c r="W146" s="53" t="n"/>
      <c r="X146" s="141" t="inlineStr">
        <is>
          <t>slash</t>
        </is>
      </c>
      <c r="Y146" s="53" t="n"/>
      <c r="Z146" s="137" t="inlineStr">
        <is>
          <t>對敵方1體造成&lt;AD&gt;物攻的物理傷害，並80%附加裂傷、中毒、灼傷與凍傷</t>
        </is>
      </c>
      <c r="AA146" s="150" t="n"/>
      <c r="AB146" s="150" t="n"/>
      <c r="AC146" s="150" t="n"/>
      <c r="AD146" s="149" t="n"/>
    </row>
    <row r="147" ht="15.75" customHeight="1" s="142">
      <c r="A147" s="135">
        <f>A142+1</f>
        <v/>
      </c>
      <c r="B147" s="54" t="inlineStr">
        <is>
          <t>神聖庇護★</t>
        </is>
      </c>
      <c r="C147" s="55" t="n">
        <v>-2</v>
      </c>
      <c r="D147" s="55" t="n"/>
      <c r="E147" s="141" t="n"/>
      <c r="F147" s="135" t="n">
        <v>1</v>
      </c>
      <c r="G147" s="55" t="n">
        <v>2.4</v>
      </c>
      <c r="H147" s="55" t="n"/>
      <c r="I147" s="135" t="n"/>
      <c r="J147" s="135" t="n"/>
      <c r="K147" s="135" t="n"/>
      <c r="L147" s="135" t="n"/>
      <c r="M147" s="141" t="inlineStr">
        <is>
          <t>phycial</t>
        </is>
      </c>
      <c r="N147" s="51" t="n">
        <v>48</v>
      </c>
      <c r="O147" s="54" t="n"/>
      <c r="P147" s="56" t="n"/>
      <c r="Q147" s="56" t="n"/>
      <c r="R147" s="56">
        <f>"1999,3002"</f>
        <v/>
      </c>
      <c r="S147" s="54" t="n"/>
      <c r="T147" s="54" t="n"/>
      <c r="U147" s="54" t="n"/>
      <c r="V147" s="135" t="n"/>
      <c r="W147" s="53" t="n"/>
      <c r="X147" s="53" t="inlineStr">
        <is>
          <t>buff</t>
        </is>
      </c>
      <c r="Y147" s="53" t="n"/>
      <c r="Z147" s="137" t="inlineStr">
        <is>
          <t>對我方2體&lt;AD&gt;物攻的護盾與附加持續回魔，自身死亡後3回合將自動重生</t>
        </is>
      </c>
      <c r="AA147" s="150" t="n"/>
      <c r="AB147" s="150" t="n"/>
      <c r="AC147" s="150" t="n"/>
      <c r="AD147" s="149" t="n"/>
    </row>
    <row r="148" ht="15.75" customHeight="1" s="142">
      <c r="A148" s="135">
        <f>A143+1</f>
        <v/>
      </c>
      <c r="B148" s="54" t="inlineStr">
        <is>
          <t>血祭詛咒★2</t>
        </is>
      </c>
      <c r="C148" s="55" t="n">
        <v>-2</v>
      </c>
      <c r="D148" s="55" t="n"/>
      <c r="E148" s="141" t="n"/>
      <c r="F148" s="135" t="n">
        <v>1</v>
      </c>
      <c r="G148" s="55" t="n">
        <v>2.4</v>
      </c>
      <c r="H148" s="55" t="n"/>
      <c r="I148" s="135" t="n"/>
      <c r="J148" s="135" t="n"/>
      <c r="K148" s="135" t="n"/>
      <c r="L148" s="135" t="n"/>
      <c r="M148" s="141" t="inlineStr">
        <is>
          <t>phycial</t>
        </is>
      </c>
      <c r="N148" s="51">
        <f>N147-4</f>
        <v/>
      </c>
      <c r="O148" s="54" t="n"/>
      <c r="P148" s="56" t="n"/>
      <c r="Q148" s="56" t="n"/>
      <c r="R148" s="56">
        <f>"1999,3002,1998"</f>
        <v/>
      </c>
      <c r="S148" s="54" t="n"/>
      <c r="T148" s="54" t="n"/>
      <c r="U148" s="54" t="n"/>
      <c r="V148" s="135" t="n"/>
      <c r="W148" s="53" t="n"/>
      <c r="X148" s="53" t="inlineStr">
        <is>
          <t>buff</t>
        </is>
      </c>
      <c r="Y148" s="53" t="n"/>
      <c r="Z148" s="137" t="inlineStr">
        <is>
          <t>對我方2體&lt;AD&gt;物攻的護盾並附加持續回魔、受護衛效果，自身死亡後3回合將自動重生</t>
        </is>
      </c>
      <c r="AA148" s="150" t="n"/>
      <c r="AB148" s="150" t="n"/>
      <c r="AC148" s="150" t="n"/>
      <c r="AD148" s="149" t="n"/>
    </row>
    <row r="149" ht="15.75" customHeight="1" s="142">
      <c r="A149" s="135">
        <f>A144+1</f>
        <v/>
      </c>
      <c r="B149" s="54" t="inlineStr">
        <is>
          <t>血祭詛咒★3</t>
        </is>
      </c>
      <c r="C149" s="55" t="n">
        <v>-2</v>
      </c>
      <c r="D149" s="55" t="n"/>
      <c r="E149" s="141" t="n"/>
      <c r="F149" s="135" t="n">
        <v>1</v>
      </c>
      <c r="G149" s="55" t="n">
        <v>2.4</v>
      </c>
      <c r="H149" s="55" t="n"/>
      <c r="I149" s="135" t="n"/>
      <c r="J149" s="135" t="n"/>
      <c r="K149" s="135" t="n"/>
      <c r="L149" s="135" t="n"/>
      <c r="M149" s="141" t="inlineStr">
        <is>
          <t>phycial</t>
        </is>
      </c>
      <c r="N149" s="51">
        <f>N148-4</f>
        <v/>
      </c>
      <c r="O149" s="54" t="n"/>
      <c r="P149" s="56" t="n"/>
      <c r="Q149" s="56" t="n"/>
      <c r="R149" s="56">
        <f>"1999,3002,1998,3013"</f>
        <v/>
      </c>
      <c r="S149" s="54" t="n"/>
      <c r="T149" s="54" t="n"/>
      <c r="U149" s="54" t="n"/>
      <c r="V149" s="135" t="n"/>
      <c r="W149" s="53" t="n"/>
      <c r="X149" s="53" t="inlineStr">
        <is>
          <t>buff</t>
        </is>
      </c>
      <c r="Y149" s="53" t="n"/>
      <c r="Z149" s="137" t="inlineStr">
        <is>
          <t>對我方2體&lt;AD&gt;物攻的護盾並附加持續回魔、真言與受護衛效果，自身死亡後3回合將自動重生</t>
        </is>
      </c>
      <c r="AA149" s="150" t="n"/>
      <c r="AB149" s="150" t="n"/>
      <c r="AC149" s="150" t="n"/>
      <c r="AD149" s="149" t="n"/>
    </row>
    <row r="150" ht="15.75" customHeight="1" s="142">
      <c r="A150" s="135">
        <f>A145+1</f>
        <v/>
      </c>
      <c r="B150" s="54" t="inlineStr">
        <is>
          <t>血祭詛咒★4</t>
        </is>
      </c>
      <c r="C150" s="55" t="n">
        <v>-2</v>
      </c>
      <c r="D150" s="55" t="n"/>
      <c r="E150" s="141" t="n"/>
      <c r="F150" s="135" t="n">
        <v>1</v>
      </c>
      <c r="G150" s="55" t="n">
        <v>2.4</v>
      </c>
      <c r="H150" s="55" t="n"/>
      <c r="I150" s="135" t="n"/>
      <c r="J150" s="135" t="n"/>
      <c r="K150" s="135" t="n"/>
      <c r="L150" s="135" t="n"/>
      <c r="M150" s="141" t="inlineStr">
        <is>
          <t>phycial</t>
        </is>
      </c>
      <c r="N150" s="51">
        <f>N149-4</f>
        <v/>
      </c>
      <c r="O150" s="54" t="n"/>
      <c r="P150" s="56" t="n"/>
      <c r="Q150" s="56" t="n"/>
      <c r="R150" s="56">
        <f>"1999,3002,1998,3013"</f>
        <v/>
      </c>
      <c r="S150" s="54" t="n"/>
      <c r="T150" s="54" t="n"/>
      <c r="U150" s="54" t="n"/>
      <c r="V150" s="135" t="n"/>
      <c r="W150" s="53" t="n"/>
      <c r="X150" s="53" t="inlineStr">
        <is>
          <t>buff</t>
        </is>
      </c>
      <c r="Y150" s="53" t="n"/>
      <c r="Z150" s="137" t="inlineStr">
        <is>
          <t>對我方2體&lt;AD&gt;物攻的護盾並附加持續回魔、真言與受護衛效果，自身死亡後3回合將自動重生</t>
        </is>
      </c>
      <c r="AA150" s="150" t="n"/>
      <c r="AB150" s="150" t="n"/>
      <c r="AC150" s="150" t="n"/>
      <c r="AD150" s="149" t="n"/>
    </row>
    <row r="151" ht="15.75" customHeight="1" s="142">
      <c r="A151" s="135">
        <f>A146+1</f>
        <v/>
      </c>
      <c r="B151" s="54" t="inlineStr">
        <is>
          <t>神聖庇護•極</t>
        </is>
      </c>
      <c r="C151" s="55" t="n">
        <v>-2</v>
      </c>
      <c r="D151" s="55" t="n"/>
      <c r="E151" s="141" t="n"/>
      <c r="F151" s="135" t="n">
        <v>1</v>
      </c>
      <c r="G151" s="55" t="n">
        <v>2.4</v>
      </c>
      <c r="H151" s="55" t="n"/>
      <c r="I151" s="135" t="n"/>
      <c r="J151" s="135" t="n"/>
      <c r="K151" s="135" t="n"/>
      <c r="L151" s="135" t="n"/>
      <c r="M151" s="141" t="inlineStr">
        <is>
          <t>phycial</t>
        </is>
      </c>
      <c r="N151" s="51">
        <f>N150-4</f>
        <v/>
      </c>
      <c r="O151" s="54" t="n"/>
      <c r="P151" s="56" t="n"/>
      <c r="Q151" s="56" t="n"/>
      <c r="R151" s="56">
        <f>"1999,3002,1998,3014"</f>
        <v/>
      </c>
      <c r="S151" s="54" t="n"/>
      <c r="T151" s="54" t="n"/>
      <c r="U151" s="54" t="n"/>
      <c r="V151" s="135" t="n"/>
      <c r="W151" s="53" t="n"/>
      <c r="X151" s="53" t="inlineStr">
        <is>
          <t>buff</t>
        </is>
      </c>
      <c r="Y151" s="53" t="n"/>
      <c r="Z151" s="137" t="inlineStr">
        <is>
          <t>對我方2體&lt;AD&gt;物攻的護盾並附加持續回魔、真言、真理與受護衛效果，自身死亡後3回合將自動重生</t>
        </is>
      </c>
      <c r="AA151" s="150" t="n"/>
      <c r="AB151" s="150" t="n"/>
      <c r="AC151" s="150" t="n"/>
      <c r="AD151" s="149" t="n"/>
    </row>
    <row r="152" ht="15.75" customHeight="1" s="142">
      <c r="A152" s="135">
        <f>A147+1</f>
        <v/>
      </c>
      <c r="B152" s="54" t="inlineStr">
        <is>
          <t>龍血洗禮★</t>
        </is>
      </c>
      <c r="C152" s="55" t="n">
        <v>-2</v>
      </c>
      <c r="D152" s="55" t="n">
        <v>1</v>
      </c>
      <c r="E152" s="141" t="n"/>
      <c r="F152" s="135" t="n">
        <v>1</v>
      </c>
      <c r="G152" s="55" t="n"/>
      <c r="H152" s="55" t="n">
        <v>2.5</v>
      </c>
      <c r="I152" s="135" t="n"/>
      <c r="J152" s="135" t="n"/>
      <c r="K152" s="135" t="n"/>
      <c r="L152" s="135" t="n"/>
      <c r="M152" s="141" t="inlineStr">
        <is>
          <t>magic</t>
        </is>
      </c>
      <c r="N152" s="51" t="n">
        <v>99</v>
      </c>
      <c r="O152" s="54" t="n">
        <v>50</v>
      </c>
      <c r="P152" s="56" t="n"/>
      <c r="Q152" s="56" t="n"/>
      <c r="R152" s="56" t="n">
        <v>3004</v>
      </c>
      <c r="S152" s="54" t="n">
        <v>0.3</v>
      </c>
      <c r="T152" s="54" t="n"/>
      <c r="U152" s="54" t="n"/>
      <c r="V152" s="135" t="n"/>
      <c r="W152" s="53" t="n"/>
      <c r="X152" s="141" t="inlineStr">
        <is>
          <t>heal</t>
        </is>
      </c>
      <c r="Y152" s="53" t="n"/>
      <c r="Z152" s="137" t="inlineStr">
        <is>
          <t>對我方隨機2體恢復&lt;AP&gt;魔攻的hp，30%機率附加聖護(減傷+20% 1回)</t>
        </is>
      </c>
      <c r="AA152" s="150" t="n"/>
      <c r="AB152" s="150" t="n"/>
      <c r="AC152" s="150" t="n"/>
      <c r="AD152" s="149" t="n"/>
    </row>
    <row r="153" ht="15.75" customHeight="1" s="142">
      <c r="A153" s="135">
        <f>A148+1</f>
        <v/>
      </c>
      <c r="B153" s="54" t="inlineStr">
        <is>
          <t>龍血洗禮★2</t>
        </is>
      </c>
      <c r="C153" s="55" t="n">
        <v>-3</v>
      </c>
      <c r="D153" s="55" t="n">
        <v>1</v>
      </c>
      <c r="E153" s="141" t="n"/>
      <c r="F153" s="135" t="n">
        <v>1</v>
      </c>
      <c r="G153" s="55" t="n"/>
      <c r="H153" s="55" t="n">
        <v>2.5</v>
      </c>
      <c r="I153" s="135" t="n"/>
      <c r="J153" s="135" t="n"/>
      <c r="K153" s="135" t="n"/>
      <c r="L153" s="135" t="n"/>
      <c r="M153" s="141" t="inlineStr">
        <is>
          <t>magic</t>
        </is>
      </c>
      <c r="N153" s="51">
        <f>N152-4</f>
        <v/>
      </c>
      <c r="O153" s="54" t="n"/>
      <c r="P153" s="56" t="n"/>
      <c r="Q153" s="56" t="n"/>
      <c r="R153" s="56" t="n">
        <v>3004</v>
      </c>
      <c r="S153" s="54" t="n">
        <v>0.3</v>
      </c>
      <c r="T153" s="54" t="n"/>
      <c r="U153" s="54" t="n"/>
      <c r="V153" s="135" t="n"/>
      <c r="W153" s="53" t="n"/>
      <c r="X153" s="141" t="inlineStr">
        <is>
          <t>heal</t>
        </is>
      </c>
      <c r="Y153" s="53" t="n"/>
      <c r="Z153" s="137" t="inlineStr">
        <is>
          <t>對我方隨機2體恢復&lt;AP&gt;魔攻的hp，30%機率附加聖護(減傷+20% 1回)</t>
        </is>
      </c>
      <c r="AA153" s="150" t="n"/>
      <c r="AB153" s="150" t="n"/>
      <c r="AC153" s="150" t="n"/>
      <c r="AD153" s="149" t="n"/>
    </row>
    <row r="154" ht="15.75" customHeight="1" s="142">
      <c r="A154" s="135">
        <f>A149+1</f>
        <v/>
      </c>
      <c r="B154" s="54" t="inlineStr">
        <is>
          <t>龍血洗禮★3</t>
        </is>
      </c>
      <c r="C154" s="55" t="n">
        <v>-3</v>
      </c>
      <c r="D154" s="55" t="n">
        <v>1</v>
      </c>
      <c r="E154" s="141" t="n"/>
      <c r="F154" s="135" t="n">
        <v>1</v>
      </c>
      <c r="G154" s="55" t="n"/>
      <c r="H154" s="55" t="n">
        <v>2.5</v>
      </c>
      <c r="I154" s="135" t="n"/>
      <c r="J154" s="135" t="n"/>
      <c r="K154" s="135" t="n"/>
      <c r="L154" s="135" t="n"/>
      <c r="M154" s="141" t="inlineStr">
        <is>
          <t>magic</t>
        </is>
      </c>
      <c r="N154" s="51">
        <f>N153-4</f>
        <v/>
      </c>
      <c r="O154" s="54" t="n"/>
      <c r="P154" s="56" t="n"/>
      <c r="Q154" s="56" t="n"/>
      <c r="R154" s="56">
        <f>"3004,3015"</f>
        <v/>
      </c>
      <c r="S154" s="54" t="n">
        <v>0.4</v>
      </c>
      <c r="T154" s="54" t="n"/>
      <c r="U154" s="54" t="n"/>
      <c r="V154" s="135" t="n"/>
      <c r="W154" s="53" t="n"/>
      <c r="X154" s="141" t="inlineStr">
        <is>
          <t>heal</t>
        </is>
      </c>
      <c r="Y154" s="53" t="n"/>
      <c r="Z154" s="137" t="inlineStr">
        <is>
          <t>對我方隨機2體恢復&lt;AP&gt;魔攻的hp，30%機率附加聖護(減傷+20% 1回)</t>
        </is>
      </c>
      <c r="AA154" s="150" t="n"/>
      <c r="AB154" s="150" t="n"/>
      <c r="AC154" s="150" t="n"/>
      <c r="AD154" s="149" t="n"/>
    </row>
    <row r="155" ht="15.75" customHeight="1" s="142">
      <c r="A155" s="135">
        <f>A150+1</f>
        <v/>
      </c>
      <c r="B155" s="54" t="inlineStr">
        <is>
          <t>龍血洗禮★4</t>
        </is>
      </c>
      <c r="C155" s="55" t="n">
        <v>-4</v>
      </c>
      <c r="D155" s="55" t="n">
        <v>1</v>
      </c>
      <c r="E155" s="141" t="n"/>
      <c r="F155" s="135" t="n">
        <v>1</v>
      </c>
      <c r="G155" s="55" t="n"/>
      <c r="H155" s="55" t="n">
        <v>2.5</v>
      </c>
      <c r="I155" s="135" t="n"/>
      <c r="J155" s="135" t="n"/>
      <c r="K155" s="135" t="n"/>
      <c r="L155" s="135" t="n"/>
      <c r="M155" s="141" t="inlineStr">
        <is>
          <t>magic</t>
        </is>
      </c>
      <c r="N155" s="51">
        <f>N154-4</f>
        <v/>
      </c>
      <c r="O155" s="54" t="n"/>
      <c r="P155" s="56" t="n"/>
      <c r="Q155" s="56" t="n"/>
      <c r="R155" s="56">
        <f>"3004,3015"</f>
        <v/>
      </c>
      <c r="S155" s="54" t="n">
        <v>0.4</v>
      </c>
      <c r="T155" s="54" t="n"/>
      <c r="U155" s="54" t="n"/>
      <c r="V155" s="135" t="n"/>
      <c r="W155" s="53" t="n"/>
      <c r="X155" s="141" t="inlineStr">
        <is>
          <t>heal</t>
        </is>
      </c>
      <c r="Y155" s="53" t="n"/>
      <c r="Z155" s="137" t="inlineStr">
        <is>
          <t>對我方隨機2體恢復&lt;AP&gt;魔攻的hp，30%機率附加聖護(減傷+20% 1回)</t>
        </is>
      </c>
      <c r="AA155" s="150" t="n"/>
      <c r="AB155" s="150" t="n"/>
      <c r="AC155" s="150" t="n"/>
      <c r="AD155" s="149" t="n"/>
    </row>
    <row r="156" ht="15.75" customHeight="1" s="142">
      <c r="A156" s="135">
        <f>A151+1</f>
        <v/>
      </c>
      <c r="B156" s="54" t="inlineStr">
        <is>
          <t>龍血洗禮•極</t>
        </is>
      </c>
      <c r="C156" s="55" t="n">
        <v>-4</v>
      </c>
      <c r="D156" s="55" t="n">
        <v>1</v>
      </c>
      <c r="E156" s="141" t="n"/>
      <c r="F156" s="135" t="n">
        <v>1</v>
      </c>
      <c r="G156" s="55" t="n"/>
      <c r="H156" s="55" t="n">
        <v>2.5</v>
      </c>
      <c r="I156" s="135" t="n"/>
      <c r="J156" s="135" t="n"/>
      <c r="K156" s="135" t="n"/>
      <c r="L156" s="135" t="n"/>
      <c r="M156" s="141" t="inlineStr">
        <is>
          <t>magic</t>
        </is>
      </c>
      <c r="N156" s="51">
        <f>N155-4</f>
        <v/>
      </c>
      <c r="O156" s="54" t="n"/>
      <c r="P156" s="56" t="n"/>
      <c r="Q156" s="56" t="n"/>
      <c r="R156" s="56">
        <f>"3004,3015,3016"</f>
        <v/>
      </c>
      <c r="S156" s="54" t="n">
        <v>0.5</v>
      </c>
      <c r="T156" s="54" t="n"/>
      <c r="U156" s="54" t="n"/>
      <c r="V156" s="135" t="n"/>
      <c r="W156" s="53" t="n"/>
      <c r="X156" s="141" t="inlineStr">
        <is>
          <t>heal</t>
        </is>
      </c>
      <c r="Y156" s="53" t="n"/>
      <c r="Z156" s="137" t="inlineStr">
        <is>
          <t>對我方隨機2體恢復&lt;AP&gt;魔攻的hp，30%機率附加聖護(減傷+20% 1回)</t>
        </is>
      </c>
      <c r="AA156" s="150" t="n"/>
      <c r="AB156" s="150" t="n"/>
      <c r="AC156" s="150" t="n"/>
      <c r="AD156" s="149" t="n"/>
    </row>
    <row r="157" ht="15.75" customHeight="1" s="142">
      <c r="A157" s="135" t="n"/>
      <c r="B157" s="54" t="n"/>
      <c r="C157" s="55" t="n"/>
      <c r="D157" s="55" t="n"/>
      <c r="E157" s="141" t="n"/>
      <c r="F157" s="135" t="n"/>
      <c r="G157" s="55" t="n"/>
      <c r="H157" s="55" t="n"/>
      <c r="I157" s="135" t="n"/>
      <c r="J157" s="135" t="n"/>
      <c r="K157" s="135" t="n"/>
      <c r="L157" s="135" t="n"/>
      <c r="M157" s="141" t="n"/>
      <c r="N157" s="51" t="n"/>
      <c r="O157" s="54" t="n"/>
      <c r="P157" s="56" t="n"/>
      <c r="Q157" s="56" t="n"/>
      <c r="R157" s="56" t="n"/>
      <c r="S157" s="54" t="n"/>
      <c r="T157" s="54" t="n"/>
      <c r="U157" s="54" t="n"/>
      <c r="V157" s="135" t="n"/>
      <c r="W157" s="53" t="n"/>
      <c r="X157" s="141" t="n"/>
      <c r="Y157" s="53" t="n"/>
      <c r="Z157" s="141" t="n"/>
      <c r="AA157" s="150" t="n"/>
      <c r="AB157" s="150" t="n"/>
      <c r="AC157" s="150" t="n"/>
      <c r="AD157" s="149" t="n"/>
    </row>
    <row r="158" ht="15.75" customHeight="1" s="142">
      <c r="A158" s="135" t="n"/>
      <c r="B158" s="54" t="n"/>
      <c r="C158" s="55" t="n"/>
      <c r="D158" s="55" t="n"/>
      <c r="E158" s="141" t="n"/>
      <c r="F158" s="135" t="n"/>
      <c r="G158" s="55" t="n"/>
      <c r="H158" s="55" t="n"/>
      <c r="I158" s="135" t="n"/>
      <c r="J158" s="135" t="n"/>
      <c r="K158" s="135" t="n"/>
      <c r="L158" s="135" t="n"/>
      <c r="M158" s="141" t="n"/>
      <c r="N158" s="51" t="n"/>
      <c r="O158" s="54" t="n"/>
      <c r="P158" s="56" t="n"/>
      <c r="Q158" s="56" t="n"/>
      <c r="R158" s="56" t="n"/>
      <c r="S158" s="54" t="n"/>
      <c r="T158" s="54" t="n"/>
      <c r="U158" s="54" t="n"/>
      <c r="V158" s="135" t="n"/>
      <c r="W158" s="53" t="n"/>
      <c r="X158" s="141" t="n"/>
      <c r="Y158" s="53" t="n"/>
      <c r="Z158" s="141" t="n"/>
      <c r="AA158" s="150" t="n"/>
      <c r="AB158" s="150" t="n"/>
      <c r="AC158" s="150" t="n"/>
      <c r="AD158" s="149" t="n"/>
    </row>
    <row r="159" ht="15.75" customHeight="1" s="142">
      <c r="A159" s="135" t="n"/>
      <c r="B159" s="54" t="n"/>
      <c r="C159" s="55" t="n"/>
      <c r="D159" s="55" t="n"/>
      <c r="E159" s="141" t="n"/>
      <c r="F159" s="135" t="n"/>
      <c r="G159" s="55" t="n"/>
      <c r="H159" s="55" t="n"/>
      <c r="I159" s="135" t="n"/>
      <c r="J159" s="135" t="n"/>
      <c r="K159" s="135" t="n"/>
      <c r="L159" s="135" t="n"/>
      <c r="M159" s="141" t="n"/>
      <c r="N159" s="51" t="n"/>
      <c r="O159" s="54" t="n"/>
      <c r="P159" s="56" t="n"/>
      <c r="Q159" s="56" t="n"/>
      <c r="R159" s="56" t="n"/>
      <c r="S159" s="54" t="n"/>
      <c r="T159" s="54" t="n"/>
      <c r="U159" s="54" t="n"/>
      <c r="V159" s="135" t="n"/>
      <c r="W159" s="53" t="n"/>
      <c r="X159" s="141" t="n"/>
      <c r="Y159" s="53" t="n"/>
      <c r="Z159" s="141" t="n"/>
      <c r="AA159" s="150" t="n"/>
      <c r="AB159" s="150" t="n"/>
      <c r="AC159" s="150" t="n"/>
      <c r="AD159" s="149" t="n"/>
    </row>
    <row r="160" ht="15.75" customHeight="1" s="142">
      <c r="A160" s="135" t="n"/>
      <c r="B160" s="54" t="n"/>
      <c r="C160" s="55" t="n"/>
      <c r="D160" s="55" t="n"/>
      <c r="E160" s="141" t="n"/>
      <c r="F160" s="135" t="n"/>
      <c r="G160" s="55" t="n"/>
      <c r="H160" s="55" t="n"/>
      <c r="I160" s="135" t="n"/>
      <c r="J160" s="135" t="n"/>
      <c r="K160" s="135" t="n"/>
      <c r="L160" s="135" t="n"/>
      <c r="M160" s="141" t="n"/>
      <c r="N160" s="51" t="n"/>
      <c r="O160" s="54" t="n"/>
      <c r="P160" s="56" t="n"/>
      <c r="Q160" s="56" t="n"/>
      <c r="R160" s="56" t="n"/>
      <c r="S160" s="54" t="n"/>
      <c r="T160" s="54" t="n"/>
      <c r="U160" s="54" t="n"/>
      <c r="V160" s="135" t="n"/>
      <c r="W160" s="53" t="n"/>
      <c r="X160" s="141" t="n"/>
      <c r="Y160" s="53" t="n"/>
      <c r="Z160" s="141" t="n"/>
      <c r="AA160" s="150" t="n"/>
      <c r="AB160" s="150" t="n"/>
      <c r="AC160" s="150" t="n"/>
      <c r="AD160" s="149" t="n"/>
    </row>
    <row r="161" ht="15.75" customHeight="1" s="142">
      <c r="A161" s="135" t="n"/>
      <c r="B161" s="54" t="n"/>
      <c r="C161" s="55" t="n"/>
      <c r="D161" s="55" t="n"/>
      <c r="E161" s="141" t="n"/>
      <c r="F161" s="135" t="n"/>
      <c r="G161" s="55" t="n"/>
      <c r="H161" s="55" t="n"/>
      <c r="I161" s="135" t="n"/>
      <c r="J161" s="135" t="n"/>
      <c r="K161" s="135" t="n"/>
      <c r="L161" s="135" t="n"/>
      <c r="M161" s="141" t="n"/>
      <c r="N161" s="51" t="n"/>
      <c r="O161" s="54" t="n"/>
      <c r="P161" s="56" t="n"/>
      <c r="Q161" s="56" t="n"/>
      <c r="R161" s="56" t="n"/>
      <c r="S161" s="54" t="n"/>
      <c r="T161" s="54" t="n"/>
      <c r="U161" s="54" t="n"/>
      <c r="V161" s="135" t="n"/>
      <c r="W161" s="53" t="n"/>
      <c r="X161" s="141" t="n"/>
      <c r="Y161" s="53" t="n"/>
      <c r="Z161" s="141" t="n"/>
      <c r="AA161" s="150" t="n"/>
      <c r="AB161" s="150" t="n"/>
      <c r="AC161" s="150" t="n"/>
      <c r="AD161" s="149" t="n"/>
    </row>
    <row r="162" ht="15.75" customHeight="1" s="142">
      <c r="A162" s="135" t="n"/>
      <c r="B162" s="141" t="n"/>
      <c r="C162" s="135" t="n"/>
      <c r="D162" s="135" t="n"/>
      <c r="E162" s="141" t="n"/>
      <c r="F162" s="135" t="n"/>
      <c r="G162" s="135" t="n"/>
      <c r="H162" s="135" t="n"/>
      <c r="I162" s="135" t="n"/>
      <c r="J162" s="135" t="n"/>
      <c r="K162" s="135" t="n"/>
      <c r="L162" s="135" t="n"/>
      <c r="M162" s="141" t="n"/>
      <c r="N162" s="51" t="n"/>
      <c r="O162" s="141" t="n"/>
      <c r="P162" s="52" t="n"/>
      <c r="Q162" s="52" t="n"/>
      <c r="R162" s="52" t="n"/>
      <c r="S162" s="141" t="n"/>
      <c r="T162" s="141" t="n"/>
      <c r="U162" s="141" t="n"/>
      <c r="V162" s="135" t="n"/>
      <c r="W162" s="53" t="n"/>
      <c r="X162" s="53" t="n"/>
      <c r="Y162" s="141" t="n"/>
      <c r="Z162" s="141" t="n"/>
      <c r="AA162" s="141" t="n"/>
      <c r="AB162" s="141" t="n"/>
      <c r="AC162" s="141" t="n"/>
      <c r="AD162" s="141" t="n"/>
    </row>
    <row r="163" ht="14.25" customHeight="1" s="142">
      <c r="A163" s="23" t="inlineStr">
        <is>
          <t>skill_id</t>
        </is>
      </c>
      <c r="B163" s="136" t="inlineStr">
        <is>
          <t>技能名稱</t>
        </is>
      </c>
      <c r="C163" s="48" t="inlineStr">
        <is>
          <t>攻擊對象數量</t>
        </is>
      </c>
      <c r="D163" s="48" t="inlineStr">
        <is>
          <t>是否為隨機</t>
        </is>
      </c>
      <c r="E163" s="48" t="inlineStr">
        <is>
          <t>是否自身施放</t>
        </is>
      </c>
      <c r="F163" s="48" t="inlineStr">
        <is>
          <t>攻擊次數</t>
        </is>
      </c>
      <c r="G163" s="40" t="inlineStr">
        <is>
          <t>AD(技能係數)</t>
        </is>
      </c>
      <c r="H163" s="40" t="inlineStr">
        <is>
          <t>AP(技能係數)</t>
        </is>
      </c>
      <c r="I163" s="40" t="inlineStr">
        <is>
          <t>AGI</t>
        </is>
      </c>
      <c r="J163" s="40" t="inlineStr">
        <is>
          <t>current_hp</t>
        </is>
      </c>
      <c r="K163" s="40" t="inlineStr">
        <is>
          <t>cooldown</t>
        </is>
      </c>
      <c r="L163" s="40" t="inlineStr">
        <is>
          <t>isrole</t>
        </is>
      </c>
      <c r="M163" s="23" t="inlineStr">
        <is>
          <t>type</t>
        </is>
      </c>
      <c r="N163" s="49" t="inlineStr">
        <is>
          <t>MP_cost</t>
        </is>
      </c>
      <c r="O163" s="23" t="inlineStr">
        <is>
          <t>MP_revocer</t>
        </is>
      </c>
      <c r="P163" s="50" t="inlineStr">
        <is>
          <t>self_add_buff_id</t>
        </is>
      </c>
      <c r="Q163" s="50" t="inlineStr">
        <is>
          <t>self_buff_rate</t>
        </is>
      </c>
      <c r="R163" s="50" t="inlineStr">
        <is>
          <t>add_buff_id</t>
        </is>
      </c>
      <c r="S163" s="50" t="inlineStr">
        <is>
          <t>add_buff_rate_overwrite</t>
        </is>
      </c>
      <c r="T163" s="23" t="inlineStr">
        <is>
          <t>remove_buff_id</t>
        </is>
      </c>
      <c r="U163" s="50" t="inlineStr">
        <is>
          <t>remove_buff_rate_overwrite</t>
        </is>
      </c>
      <c r="V163" s="135" t="inlineStr">
        <is>
          <t>isMpDamage</t>
        </is>
      </c>
      <c r="W163" s="23" t="inlineStr">
        <is>
          <t>prefeb_atk</t>
        </is>
      </c>
      <c r="X163" s="23" t="inlineStr">
        <is>
          <t>prefeb_hit1</t>
        </is>
      </c>
      <c r="Y163" s="23" t="inlineStr">
        <is>
          <t>prefeb_hit2</t>
        </is>
      </c>
      <c r="Z163" s="136" t="inlineStr">
        <is>
          <t>說明</t>
        </is>
      </c>
      <c r="AA163" s="150" t="n"/>
      <c r="AB163" s="150" t="n"/>
      <c r="AC163" s="150" t="n"/>
      <c r="AD163" s="149" t="n"/>
    </row>
    <row r="164" ht="14.25" customHeight="1" s="142">
      <c r="A164" s="135" t="n">
        <v>311001</v>
      </c>
      <c r="B164" s="137" t="inlineStr">
        <is>
          <t>炎帝降世★</t>
        </is>
      </c>
      <c r="C164" s="135" t="n">
        <v>5</v>
      </c>
      <c r="D164" s="135" t="n"/>
      <c r="E164" s="135" t="n"/>
      <c r="F164" s="135" t="n">
        <v>1</v>
      </c>
      <c r="G164" s="135" t="n"/>
      <c r="H164" s="135" t="n">
        <v>1</v>
      </c>
      <c r="I164" s="135" t="n"/>
      <c r="J164" s="135" t="n"/>
      <c r="K164" s="135" t="n">
        <v>7</v>
      </c>
      <c r="L164" s="135" t="n"/>
      <c r="M164" s="141" t="inlineStr">
        <is>
          <t>magic</t>
        </is>
      </c>
      <c r="N164" s="51" t="n">
        <v>103</v>
      </c>
      <c r="O164" s="141" t="n"/>
      <c r="P164" s="52" t="n"/>
      <c r="Q164" s="52" t="n"/>
      <c r="R164" s="52" t="n">
        <v>4001</v>
      </c>
      <c r="S164" s="141" t="n"/>
      <c r="T164" s="141" t="n"/>
      <c r="U164" s="141" t="n"/>
      <c r="V164" s="135" t="n"/>
      <c r="W164" s="141" t="inlineStr">
        <is>
          <t>magic_fire</t>
        </is>
      </c>
      <c r="X164" s="141" t="inlineStr">
        <is>
          <t>fire</t>
        </is>
      </c>
      <c r="Y164" s="141" t="n"/>
      <c r="Z164" s="137" t="inlineStr">
        <is>
          <t>對敵方全體造成&lt;AP&gt;魔攻的魔法傷害，並附加灼傷效果</t>
        </is>
      </c>
      <c r="AA164" s="150" t="n"/>
      <c r="AB164" s="150" t="n"/>
      <c r="AC164" s="150" t="n"/>
      <c r="AD164" s="149" t="n"/>
    </row>
    <row r="165" ht="14.25" customHeight="1" s="142">
      <c r="A165" s="135" t="n">
        <v>312001</v>
      </c>
      <c r="B165" s="137" t="inlineStr">
        <is>
          <t>炎帝降世★2</t>
        </is>
      </c>
      <c r="C165" s="135" t="n">
        <v>5</v>
      </c>
      <c r="D165" s="135" t="n"/>
      <c r="E165" s="135" t="n"/>
      <c r="F165" s="135" t="n">
        <v>1</v>
      </c>
      <c r="G165" s="135" t="n"/>
      <c r="H165" s="135" t="n">
        <v>1</v>
      </c>
      <c r="I165" s="135" t="n"/>
      <c r="J165" s="135" t="n"/>
      <c r="K165" s="135">
        <f>K164</f>
        <v/>
      </c>
      <c r="L165" s="135" t="n"/>
      <c r="M165" s="141" t="inlineStr">
        <is>
          <t>magic</t>
        </is>
      </c>
      <c r="N165" s="51">
        <f>N164-4</f>
        <v/>
      </c>
      <c r="O165" s="141" t="n"/>
      <c r="P165" s="52" t="n">
        <v>3008</v>
      </c>
      <c r="Q165" s="52" t="n"/>
      <c r="R165" s="52" t="n">
        <v>4001</v>
      </c>
      <c r="S165" s="141" t="n"/>
      <c r="T165" s="141" t="n"/>
      <c r="U165" s="141" t="n"/>
      <c r="V165" s="135" t="n"/>
      <c r="W165" s="141" t="inlineStr">
        <is>
          <t>magic_fire</t>
        </is>
      </c>
      <c r="X165" s="141" t="inlineStr">
        <is>
          <t>fire</t>
        </is>
      </c>
      <c r="Y165" s="141" t="n"/>
      <c r="Z165" s="137" t="inlineStr">
        <is>
          <t>對敵方全體造成&lt;AP&gt;魔攻的魔法傷害，並附加灼傷效果；自身額外附加炎帝效果</t>
        </is>
      </c>
      <c r="AA165" s="150" t="n"/>
      <c r="AB165" s="150" t="n"/>
      <c r="AC165" s="150" t="n"/>
      <c r="AD165" s="149" t="n"/>
    </row>
    <row r="166" ht="14.25" customHeight="1" s="142">
      <c r="A166" s="135" t="n">
        <v>313001</v>
      </c>
      <c r="B166" s="137" t="inlineStr">
        <is>
          <t>炎帝降世★3</t>
        </is>
      </c>
      <c r="C166" s="135" t="n">
        <v>5</v>
      </c>
      <c r="D166" s="135" t="n"/>
      <c r="E166" s="135" t="n"/>
      <c r="F166" s="135" t="n">
        <v>1</v>
      </c>
      <c r="G166" s="135" t="n"/>
      <c r="H166" s="135" t="n">
        <v>1</v>
      </c>
      <c r="I166" s="135" t="n"/>
      <c r="J166" s="135" t="n"/>
      <c r="K166" s="135">
        <f>K164-1</f>
        <v/>
      </c>
      <c r="L166" s="135" t="n"/>
      <c r="M166" s="141" t="inlineStr">
        <is>
          <t>magic</t>
        </is>
      </c>
      <c r="N166" s="51">
        <f>N165-4</f>
        <v/>
      </c>
      <c r="O166" s="141" t="n"/>
      <c r="P166" s="52" t="n"/>
      <c r="Q166" s="52" t="n"/>
      <c r="R166" s="52" t="n">
        <v>4001</v>
      </c>
      <c r="S166" s="141" t="n"/>
      <c r="T166" s="141" t="n"/>
      <c r="U166" s="141" t="n"/>
      <c r="V166" s="135" t="n"/>
      <c r="W166" s="141" t="inlineStr">
        <is>
          <t>magic_fire</t>
        </is>
      </c>
      <c r="X166" s="141" t="inlineStr">
        <is>
          <t>fire</t>
        </is>
      </c>
      <c r="Y166" s="141" t="n"/>
      <c r="Z166" s="137" t="inlineStr">
        <is>
          <t>對敵方全體造成&lt;AP&gt;魔攻的魔法傷害，並附加灼傷效果</t>
        </is>
      </c>
      <c r="AA166" s="150" t="n"/>
      <c r="AB166" s="150" t="n"/>
      <c r="AC166" s="150" t="n"/>
      <c r="AD166" s="149" t="n"/>
    </row>
    <row r="167" ht="14.25" customHeight="1" s="142">
      <c r="A167" s="135" t="n">
        <v>314001</v>
      </c>
      <c r="B167" s="137" t="inlineStr">
        <is>
          <t>炎帝降世★4</t>
        </is>
      </c>
      <c r="C167" s="135" t="n">
        <v>5</v>
      </c>
      <c r="D167" s="135" t="n"/>
      <c r="E167" s="135" t="n"/>
      <c r="F167" s="135" t="n">
        <v>1</v>
      </c>
      <c r="G167" s="135" t="n"/>
      <c r="H167" s="135" t="n">
        <v>1</v>
      </c>
      <c r="I167" s="135" t="n"/>
      <c r="J167" s="135" t="n"/>
      <c r="K167" s="135">
        <f>K166-1</f>
        <v/>
      </c>
      <c r="L167" s="135" t="n"/>
      <c r="M167" s="141" t="inlineStr">
        <is>
          <t>magic</t>
        </is>
      </c>
      <c r="N167" s="51">
        <f>N166-4</f>
        <v/>
      </c>
      <c r="O167" s="141" t="n"/>
      <c r="P167" s="52" t="n"/>
      <c r="Q167" s="52" t="n"/>
      <c r="R167" s="52" t="n">
        <v>4001</v>
      </c>
      <c r="S167" s="141" t="n"/>
      <c r="T167" s="141" t="n"/>
      <c r="U167" s="141" t="n"/>
      <c r="V167" s="135" t="n"/>
      <c r="W167" s="141" t="inlineStr">
        <is>
          <t>magic_fire</t>
        </is>
      </c>
      <c r="X167" s="141" t="inlineStr">
        <is>
          <t>fire</t>
        </is>
      </c>
      <c r="Y167" s="141" t="n"/>
      <c r="Z167" s="137" t="inlineStr">
        <is>
          <t>對敵方全體造成&lt;AP&gt;魔攻的魔法傷害，並附加灼傷效果</t>
        </is>
      </c>
      <c r="AA167" s="150" t="n"/>
      <c r="AB167" s="150" t="n"/>
      <c r="AC167" s="150" t="n"/>
      <c r="AD167" s="149" t="n"/>
    </row>
    <row r="168" ht="14.25" customHeight="1" s="142">
      <c r="A168" s="135" t="n">
        <v>315001</v>
      </c>
      <c r="B168" s="137" t="inlineStr">
        <is>
          <t>炎帝降世•極</t>
        </is>
      </c>
      <c r="C168" s="135" t="n">
        <v>5</v>
      </c>
      <c r="D168" s="135" t="n"/>
      <c r="E168" s="135" t="n"/>
      <c r="F168" s="135" t="n">
        <v>1</v>
      </c>
      <c r="G168" s="135" t="n"/>
      <c r="H168" s="135" t="n">
        <v>1</v>
      </c>
      <c r="I168" s="135" t="n"/>
      <c r="J168" s="135" t="n"/>
      <c r="K168" s="135">
        <f>K167</f>
        <v/>
      </c>
      <c r="L168" s="135" t="n"/>
      <c r="M168" s="141" t="inlineStr">
        <is>
          <t>magic</t>
        </is>
      </c>
      <c r="N168" s="51">
        <f>N167-4</f>
        <v/>
      </c>
      <c r="O168" s="141" t="n"/>
      <c r="P168" s="52" t="n">
        <v>3009</v>
      </c>
      <c r="Q168" s="52" t="n"/>
      <c r="R168" s="52" t="n">
        <v>4001</v>
      </c>
      <c r="S168" s="141" t="n"/>
      <c r="T168" s="141" t="n"/>
      <c r="U168" s="141" t="n"/>
      <c r="V168" s="135" t="n"/>
      <c r="W168" s="141" t="inlineStr">
        <is>
          <t>magic_fire</t>
        </is>
      </c>
      <c r="X168" s="141" t="inlineStr">
        <is>
          <t>fire</t>
        </is>
      </c>
      <c r="Y168" s="141" t="n"/>
      <c r="Z168" s="137" t="inlineStr">
        <is>
          <t>對敵方全體造成&lt;AP&gt;魔攻的魔法傷害，並附加灼傷效果；自身額外附加炎帝與極•炎帝效果</t>
        </is>
      </c>
      <c r="AA168" s="150" t="n"/>
      <c r="AB168" s="150" t="n"/>
      <c r="AC168" s="150" t="n"/>
      <c r="AD168" s="149" t="n"/>
    </row>
    <row r="169" ht="15.75" customHeight="1" s="142">
      <c r="A169" s="135">
        <f>A164+1</f>
        <v/>
      </c>
      <c r="B169" s="137" t="inlineStr">
        <is>
          <t>神酒破鬼陣★</t>
        </is>
      </c>
      <c r="C169" s="135" t="n">
        <v>3</v>
      </c>
      <c r="D169" s="135" t="n"/>
      <c r="E169" s="135" t="n"/>
      <c r="F169" s="135" t="n">
        <v>1</v>
      </c>
      <c r="G169" s="135" t="n"/>
      <c r="H169" s="135" t="n">
        <v>1.6</v>
      </c>
      <c r="I169" s="135" t="n"/>
      <c r="J169" s="135" t="n"/>
      <c r="K169" s="135" t="n">
        <v>8</v>
      </c>
      <c r="L169" s="135" t="n"/>
      <c r="M169" s="141" t="inlineStr">
        <is>
          <t>magic</t>
        </is>
      </c>
      <c r="N169" s="51" t="n">
        <v>96</v>
      </c>
      <c r="O169" s="141" t="n"/>
      <c r="P169" s="52" t="n"/>
      <c r="Q169" s="52" t="n"/>
      <c r="R169" s="52" t="n">
        <v>2004</v>
      </c>
      <c r="S169" s="141" t="n"/>
      <c r="T169" s="141" t="n"/>
      <c r="U169" s="141" t="n"/>
      <c r="V169" s="135" t="n"/>
      <c r="W169" s="53" t="inlineStr">
        <is>
          <t>magic_ice</t>
        </is>
      </c>
      <c r="X169" s="53" t="inlineStr">
        <is>
          <t>ice</t>
        </is>
      </c>
      <c r="Y169" s="141" t="n"/>
      <c r="Z169" s="137" t="inlineStr">
        <is>
          <t>對敵方3體造成&lt;AP&gt;魔攻的魔法傷害，並附加魔防下降3層</t>
        </is>
      </c>
      <c r="AA169" s="150" t="n"/>
      <c r="AB169" s="150" t="n"/>
      <c r="AC169" s="150" t="n"/>
      <c r="AD169" s="149" t="n"/>
    </row>
    <row r="170" ht="15.75" customHeight="1" s="142">
      <c r="A170" s="135">
        <f>A165+1</f>
        <v/>
      </c>
      <c r="B170" s="137" t="inlineStr">
        <is>
          <t>神酒破鬼陣★2</t>
        </is>
      </c>
      <c r="C170" s="135" t="n">
        <v>3</v>
      </c>
      <c r="D170" s="135" t="n"/>
      <c r="E170" s="135" t="n"/>
      <c r="F170" s="135" t="n">
        <v>1</v>
      </c>
      <c r="G170" s="135" t="n"/>
      <c r="H170" s="135" t="n">
        <v>1.6</v>
      </c>
      <c r="I170" s="135" t="n"/>
      <c r="J170" s="135" t="n"/>
      <c r="K170" s="135">
        <f>K169</f>
        <v/>
      </c>
      <c r="L170" s="135" t="n"/>
      <c r="M170" s="141" t="inlineStr">
        <is>
          <t>magic</t>
        </is>
      </c>
      <c r="N170" s="51">
        <f>N169-4</f>
        <v/>
      </c>
      <c r="O170" s="141" t="n"/>
      <c r="P170" s="52" t="n"/>
      <c r="Q170" s="52" t="n"/>
      <c r="R170" s="52">
        <f>"2004,2004,2004"</f>
        <v/>
      </c>
      <c r="S170" s="141" t="n"/>
      <c r="T170" s="141" t="n"/>
      <c r="U170" s="141" t="n"/>
      <c r="V170" s="135" t="n"/>
      <c r="W170" s="53" t="inlineStr">
        <is>
          <t>magic_ice</t>
        </is>
      </c>
      <c r="X170" s="53" t="inlineStr">
        <is>
          <t>ice</t>
        </is>
      </c>
      <c r="Y170" s="141" t="n"/>
      <c r="Z170" s="137" t="inlineStr">
        <is>
          <t>對敵方3體造成&lt;AP&gt;魔攻的魔法傷害，並附加魔防下降3層與凍傷效果</t>
        </is>
      </c>
      <c r="AA170" s="150" t="n"/>
      <c r="AB170" s="150" t="n"/>
      <c r="AC170" s="150" t="n"/>
      <c r="AD170" s="149" t="n"/>
    </row>
    <row r="171" ht="15.75" customHeight="1" s="142">
      <c r="A171" s="135">
        <f>A166+1</f>
        <v/>
      </c>
      <c r="B171" s="137" t="inlineStr">
        <is>
          <t>神酒破鬼陣★3</t>
        </is>
      </c>
      <c r="C171" s="135" t="n">
        <v>3</v>
      </c>
      <c r="D171" s="135" t="n"/>
      <c r="E171" s="135" t="n"/>
      <c r="F171" s="135" t="n">
        <v>1</v>
      </c>
      <c r="G171" s="135" t="n"/>
      <c r="H171" s="135" t="n">
        <v>1.6</v>
      </c>
      <c r="I171" s="135" t="n"/>
      <c r="J171" s="135" t="n"/>
      <c r="K171" s="135">
        <f>K169-1</f>
        <v/>
      </c>
      <c r="L171" s="135" t="n"/>
      <c r="M171" s="141" t="inlineStr">
        <is>
          <t>magic</t>
        </is>
      </c>
      <c r="N171" s="51">
        <f>N170-4</f>
        <v/>
      </c>
      <c r="O171" s="141" t="n"/>
      <c r="P171" s="52" t="n"/>
      <c r="Q171" s="52" t="n"/>
      <c r="R171" s="52">
        <f>"2004,2004,2004,4002"</f>
        <v/>
      </c>
      <c r="S171" s="141" t="n"/>
      <c r="T171" s="141" t="n"/>
      <c r="U171" s="141" t="n"/>
      <c r="V171" s="135" t="n"/>
      <c r="W171" s="53" t="inlineStr">
        <is>
          <t>magic_ice</t>
        </is>
      </c>
      <c r="X171" s="53" t="inlineStr">
        <is>
          <t>ice</t>
        </is>
      </c>
      <c r="Y171" s="141" t="n"/>
      <c r="Z171" s="137" t="inlineStr">
        <is>
          <t>對敵方3體造成&lt;AP&gt;魔攻的魔法傷害，並附加魔防下降3層與凍傷效果</t>
        </is>
      </c>
      <c r="AA171" s="150" t="n"/>
      <c r="AB171" s="150" t="n"/>
      <c r="AC171" s="150" t="n"/>
      <c r="AD171" s="149" t="n"/>
    </row>
    <row r="172" ht="15.75" customHeight="1" s="142">
      <c r="A172" s="135">
        <f>A167+1</f>
        <v/>
      </c>
      <c r="B172" s="137" t="inlineStr">
        <is>
          <t>神酒破鬼陣★4</t>
        </is>
      </c>
      <c r="C172" s="135" t="n">
        <v>3</v>
      </c>
      <c r="D172" s="135" t="n"/>
      <c r="E172" s="135" t="n"/>
      <c r="F172" s="135" t="n">
        <v>1</v>
      </c>
      <c r="G172" s="135" t="n"/>
      <c r="H172" s="135" t="n">
        <v>1.6</v>
      </c>
      <c r="I172" s="135" t="n"/>
      <c r="J172" s="135" t="n"/>
      <c r="K172" s="135">
        <f>K171-1</f>
        <v/>
      </c>
      <c r="L172" s="135" t="n"/>
      <c r="M172" s="141" t="inlineStr">
        <is>
          <t>magic</t>
        </is>
      </c>
      <c r="N172" s="51">
        <f>N171-4</f>
        <v/>
      </c>
      <c r="O172" s="141" t="n"/>
      <c r="P172" s="52" t="n"/>
      <c r="Q172" s="52" t="n"/>
      <c r="R172" s="52">
        <f>"2004,2004,2004,4002"</f>
        <v/>
      </c>
      <c r="S172" s="141" t="n"/>
      <c r="T172" s="141" t="n"/>
      <c r="U172" s="141" t="n"/>
      <c r="V172" s="135" t="n"/>
      <c r="W172" s="53" t="inlineStr">
        <is>
          <t>magic_ice</t>
        </is>
      </c>
      <c r="X172" s="53" t="inlineStr">
        <is>
          <t>ice</t>
        </is>
      </c>
      <c r="Y172" s="141" t="n"/>
      <c r="Z172" s="137" t="inlineStr">
        <is>
          <t>對敵方3體造成&lt;AP&gt;魔攻的魔法傷害，並附加魔防下降3層與凍傷效果</t>
        </is>
      </c>
      <c r="AA172" s="150" t="n"/>
      <c r="AB172" s="150" t="n"/>
      <c r="AC172" s="150" t="n"/>
      <c r="AD172" s="149" t="n"/>
    </row>
    <row r="173" ht="15.75" customHeight="1" s="142">
      <c r="A173" s="135">
        <f>A168+1</f>
        <v/>
      </c>
      <c r="B173" s="137" t="inlineStr">
        <is>
          <t>神酒破鬼陣•極</t>
        </is>
      </c>
      <c r="C173" s="135" t="n">
        <v>3</v>
      </c>
      <c r="D173" s="135" t="n"/>
      <c r="E173" s="135" t="n"/>
      <c r="F173" s="135" t="n">
        <v>1</v>
      </c>
      <c r="G173" s="135" t="n"/>
      <c r="H173" s="135" t="n">
        <v>1.6</v>
      </c>
      <c r="I173" s="135" t="n"/>
      <c r="J173" s="135" t="n"/>
      <c r="K173" s="135">
        <f>K172</f>
        <v/>
      </c>
      <c r="L173" s="135" t="n"/>
      <c r="M173" s="141" t="inlineStr">
        <is>
          <t>magic</t>
        </is>
      </c>
      <c r="N173" s="51">
        <f>N172-4</f>
        <v/>
      </c>
      <c r="O173" s="141" t="n"/>
      <c r="P173" s="52" t="n"/>
      <c r="Q173" s="52" t="n"/>
      <c r="R173" s="52">
        <f>"2004,2004,2004,4002,4002,4002"</f>
        <v/>
      </c>
      <c r="S173" s="141" t="n"/>
      <c r="T173" s="141" t="n"/>
      <c r="U173" s="141" t="n"/>
      <c r="V173" s="135" t="n"/>
      <c r="W173" s="53" t="inlineStr">
        <is>
          <t>magic_ice</t>
        </is>
      </c>
      <c r="X173" s="53" t="inlineStr">
        <is>
          <t>ice</t>
        </is>
      </c>
      <c r="Y173" s="141" t="n"/>
      <c r="Z173" s="137" t="inlineStr">
        <is>
          <t>對敵方3體造成&lt;AP&gt;魔攻的魔法傷害，並附加魔防下降3層與3層凍傷效果</t>
        </is>
      </c>
      <c r="AA173" s="150" t="n"/>
      <c r="AB173" s="150" t="n"/>
      <c r="AC173" s="150" t="n"/>
      <c r="AD173" s="149" t="n"/>
    </row>
    <row r="174" ht="14.25" customHeight="1" s="142">
      <c r="A174" s="135">
        <f>A169+1</f>
        <v/>
      </c>
      <c r="B174" s="137" t="inlineStr">
        <is>
          <t>清泉怒濤★</t>
        </is>
      </c>
      <c r="C174" s="135" t="n">
        <v>-5</v>
      </c>
      <c r="D174" s="135" t="n"/>
      <c r="E174" s="135" t="n"/>
      <c r="F174" s="135" t="n">
        <v>1</v>
      </c>
      <c r="G174" s="135" t="n"/>
      <c r="H174" s="135" t="n">
        <v>1</v>
      </c>
      <c r="I174" s="135" t="n"/>
      <c r="J174" s="135" t="n"/>
      <c r="K174" s="135" t="n">
        <v>6</v>
      </c>
      <c r="L174" s="135" t="n"/>
      <c r="M174" s="141" t="inlineStr">
        <is>
          <t>heal</t>
        </is>
      </c>
      <c r="N174" s="51" t="n">
        <v>49</v>
      </c>
      <c r="O174" s="141" t="n"/>
      <c r="P174" s="52" t="n"/>
      <c r="Q174" s="52" t="n"/>
      <c r="R174" s="52" t="n"/>
      <c r="S174" s="141" t="n"/>
      <c r="T174" s="141" t="n"/>
      <c r="U174" s="141" t="n"/>
      <c r="V174" s="135" t="n"/>
      <c r="W174" s="141" t="n"/>
      <c r="X174" s="141" t="inlineStr">
        <is>
          <t>heal</t>
        </is>
      </c>
      <c r="Y174" s="141" t="n"/>
      <c r="Z174" s="137" t="inlineStr">
        <is>
          <t>對我方全體恢復魔攻&lt;AP&gt;的HP</t>
        </is>
      </c>
      <c r="AA174" s="150" t="n"/>
      <c r="AB174" s="150" t="n"/>
      <c r="AC174" s="150" t="n"/>
      <c r="AD174" s="149" t="n"/>
    </row>
    <row r="175" ht="14.25" customHeight="1" s="142">
      <c r="A175" s="135">
        <f>A170+1</f>
        <v/>
      </c>
      <c r="B175" s="137" t="inlineStr">
        <is>
          <t>清泉怒濤★2</t>
        </is>
      </c>
      <c r="C175" s="135" t="n">
        <v>-5</v>
      </c>
      <c r="D175" s="135" t="n"/>
      <c r="E175" s="135" t="n"/>
      <c r="F175" s="135" t="n">
        <v>1</v>
      </c>
      <c r="G175" s="135" t="n"/>
      <c r="H175" s="135" t="n">
        <v>1</v>
      </c>
      <c r="I175" s="135" t="n"/>
      <c r="J175" s="135" t="n"/>
      <c r="K175" s="135">
        <f>K174</f>
        <v/>
      </c>
      <c r="L175" s="135" t="n"/>
      <c r="M175" s="141" t="inlineStr">
        <is>
          <t>heal</t>
        </is>
      </c>
      <c r="N175" s="51">
        <f>N174-4</f>
        <v/>
      </c>
      <c r="O175" s="141" t="n"/>
      <c r="P175" s="52" t="n"/>
      <c r="Q175" s="52" t="n"/>
      <c r="R175" s="52">
        <f>"1001,1001,1003,1003"</f>
        <v/>
      </c>
      <c r="S175" s="141" t="n"/>
      <c r="T175" s="141" t="n"/>
      <c r="U175" s="141" t="n"/>
      <c r="V175" s="135" t="n"/>
      <c r="W175" s="141" t="n"/>
      <c r="X175" s="141" t="inlineStr">
        <is>
          <t>heal</t>
        </is>
      </c>
      <c r="Y175" s="141" t="n"/>
      <c r="Z175" s="137" t="inlineStr">
        <is>
          <t>對我方全體恢復魔攻&lt;AP&gt;的HP,並額外附加攻擊上升與魔攻上升2層</t>
        </is>
      </c>
      <c r="AA175" s="150" t="n"/>
      <c r="AB175" s="150" t="n"/>
      <c r="AC175" s="150" t="n"/>
      <c r="AD175" s="149" t="n"/>
      <c r="AF175" s="57" t="n"/>
      <c r="AG175" s="57" t="n"/>
      <c r="AH175" s="47" t="n"/>
      <c r="AI175" s="57" t="n"/>
    </row>
    <row r="176" ht="14.25" customHeight="1" s="142">
      <c r="A176" s="135">
        <f>A171+1</f>
        <v/>
      </c>
      <c r="B176" s="137" t="inlineStr">
        <is>
          <t>清泉怒濤★3</t>
        </is>
      </c>
      <c r="C176" s="135" t="n">
        <v>-5</v>
      </c>
      <c r="D176" s="135" t="n"/>
      <c r="E176" s="135" t="n"/>
      <c r="F176" s="135" t="n">
        <v>1</v>
      </c>
      <c r="G176" s="135" t="n"/>
      <c r="H176" s="135" t="n">
        <v>1</v>
      </c>
      <c r="I176" s="135" t="n"/>
      <c r="J176" s="135" t="n"/>
      <c r="K176" s="135">
        <f>K174-1</f>
        <v/>
      </c>
      <c r="L176" s="135" t="n"/>
      <c r="M176" s="141" t="inlineStr">
        <is>
          <t>heal</t>
        </is>
      </c>
      <c r="N176" s="51">
        <f>N175-4</f>
        <v/>
      </c>
      <c r="O176" s="141" t="n"/>
      <c r="P176" s="52" t="n"/>
      <c r="Q176" s="52" t="n"/>
      <c r="R176" s="52">
        <f>"1001,1001,1003,1003"</f>
        <v/>
      </c>
      <c r="S176" s="141" t="n"/>
      <c r="T176" s="141" t="n"/>
      <c r="U176" s="141" t="n"/>
      <c r="V176" s="135" t="n"/>
      <c r="W176" s="141" t="n"/>
      <c r="X176" s="141" t="inlineStr">
        <is>
          <t>heal</t>
        </is>
      </c>
      <c r="Y176" s="141" t="n"/>
      <c r="Z176" s="137" t="inlineStr">
        <is>
          <t>對我方全體恢復魔攻&lt;AP&gt;的HP,並額外附加攻擊上升與魔攻上升2層</t>
        </is>
      </c>
      <c r="AA176" s="150" t="n"/>
      <c r="AB176" s="150" t="n"/>
      <c r="AC176" s="150" t="n"/>
      <c r="AD176" s="149" t="n"/>
      <c r="AF176" s="57" t="n"/>
      <c r="AG176" s="57" t="n"/>
      <c r="AH176" s="47" t="n"/>
      <c r="AI176" s="57" t="n"/>
    </row>
    <row r="177" ht="14.25" customHeight="1" s="142">
      <c r="A177" s="135">
        <f>A172+1</f>
        <v/>
      </c>
      <c r="B177" s="137" t="inlineStr">
        <is>
          <t>清泉怒濤★4</t>
        </is>
      </c>
      <c r="C177" s="135" t="n">
        <v>-5</v>
      </c>
      <c r="D177" s="135" t="n"/>
      <c r="E177" s="135" t="n"/>
      <c r="F177" s="135" t="n">
        <v>1</v>
      </c>
      <c r="G177" s="135" t="n"/>
      <c r="H177" s="135" t="n">
        <v>1</v>
      </c>
      <c r="I177" s="135" t="n"/>
      <c r="J177" s="135" t="n"/>
      <c r="K177" s="135">
        <f>K176-1</f>
        <v/>
      </c>
      <c r="L177" s="135" t="n"/>
      <c r="M177" s="141" t="inlineStr">
        <is>
          <t>heal</t>
        </is>
      </c>
      <c r="N177" s="51">
        <f>N176-4</f>
        <v/>
      </c>
      <c r="O177" s="141" t="n"/>
      <c r="P177" s="52" t="n"/>
      <c r="Q177" s="52" t="n"/>
      <c r="R177" s="52">
        <f>"1001,1001,1003,1003"</f>
        <v/>
      </c>
      <c r="S177" s="141" t="n"/>
      <c r="T177" s="141" t="n"/>
      <c r="U177" s="141" t="n"/>
      <c r="V177" s="135" t="n"/>
      <c r="W177" s="141" t="n"/>
      <c r="X177" s="141" t="inlineStr">
        <is>
          <t>heal</t>
        </is>
      </c>
      <c r="Y177" s="141" t="n"/>
      <c r="Z177" s="137" t="inlineStr">
        <is>
          <t>對我方全體恢復魔攻&lt;AP&gt;的HP,並額外附加攻擊上升與魔攻上升2層</t>
        </is>
      </c>
      <c r="AA177" s="150" t="n"/>
      <c r="AB177" s="150" t="n"/>
      <c r="AC177" s="150" t="n"/>
      <c r="AD177" s="149" t="n"/>
      <c r="AF177" s="57" t="n"/>
      <c r="AG177" s="57" t="n"/>
      <c r="AH177" s="47" t="n"/>
      <c r="AI177" s="57" t="n"/>
    </row>
    <row r="178" ht="14.25" customHeight="1" s="142">
      <c r="A178" s="135">
        <f>A173+1</f>
        <v/>
      </c>
      <c r="B178" s="137" t="inlineStr">
        <is>
          <t>清泉怒濤•極</t>
        </is>
      </c>
      <c r="C178" s="135" t="n">
        <v>-5</v>
      </c>
      <c r="D178" s="135" t="n"/>
      <c r="E178" s="135" t="n"/>
      <c r="F178" s="135" t="n">
        <v>1</v>
      </c>
      <c r="G178" s="135" t="n"/>
      <c r="H178" s="135" t="n">
        <v>1</v>
      </c>
      <c r="I178" s="135" t="n"/>
      <c r="J178" s="135" t="n"/>
      <c r="K178" s="135">
        <f>K177</f>
        <v/>
      </c>
      <c r="L178" s="135" t="n"/>
      <c r="M178" s="141" t="inlineStr">
        <is>
          <t>heal</t>
        </is>
      </c>
      <c r="N178" s="51">
        <f>N177-4</f>
        <v/>
      </c>
      <c r="O178" s="141" t="n"/>
      <c r="P178" s="52" t="n"/>
      <c r="Q178" s="52" t="n"/>
      <c r="R178" s="52">
        <f>"1001,1001,1003,1003,1005,1007"</f>
        <v/>
      </c>
      <c r="S178" s="141" t="n"/>
      <c r="T178" s="141" t="n"/>
      <c r="U178" s="141" t="n"/>
      <c r="V178" s="135" t="n"/>
      <c r="W178" s="141" t="n"/>
      <c r="X178" s="141" t="inlineStr">
        <is>
          <t>heal</t>
        </is>
      </c>
      <c r="Y178" s="141" t="n"/>
      <c r="Z178" s="137" t="inlineStr">
        <is>
          <t>對我方全體恢復魔攻&lt;AP&gt;的HP,並額外附加攻擊上升2層、魔攻上升2層、技能傷害上升與爆擊上升效果</t>
        </is>
      </c>
      <c r="AA178" s="150" t="n"/>
      <c r="AB178" s="150" t="n"/>
      <c r="AC178" s="150" t="n"/>
      <c r="AD178" s="149" t="n"/>
      <c r="AF178" s="57" t="n"/>
      <c r="AG178" s="57" t="n"/>
      <c r="AH178" s="47" t="n"/>
      <c r="AI178" s="57" t="n"/>
    </row>
    <row r="179" ht="14.25" customHeight="1" s="142">
      <c r="A179" s="135">
        <f>A174+1</f>
        <v/>
      </c>
      <c r="B179" s="143" t="inlineStr">
        <is>
          <t>神罰裁決★1</t>
        </is>
      </c>
      <c r="C179" s="135" t="n">
        <v>3</v>
      </c>
      <c r="D179" s="135" t="n"/>
      <c r="E179" s="135" t="n"/>
      <c r="F179" s="135" t="n">
        <v>1</v>
      </c>
      <c r="G179" s="135" t="n">
        <v>1.6</v>
      </c>
      <c r="H179" s="135" t="n"/>
      <c r="I179" s="135" t="n"/>
      <c r="J179" s="135" t="n"/>
      <c r="K179" s="135" t="n">
        <v>7</v>
      </c>
      <c r="L179" s="135" t="n"/>
      <c r="M179" s="141" t="inlineStr">
        <is>
          <t>phycial</t>
        </is>
      </c>
      <c r="N179" s="51" t="n">
        <v>48</v>
      </c>
      <c r="O179" s="141" t="n"/>
      <c r="P179" s="52" t="n">
        <v>3003</v>
      </c>
      <c r="Q179" s="52" t="n"/>
      <c r="R179" s="52" t="n"/>
      <c r="S179" s="141" t="n"/>
      <c r="T179" s="141" t="n"/>
      <c r="U179" s="141" t="n"/>
      <c r="V179" s="135" t="n"/>
      <c r="W179" s="141" t="n"/>
      <c r="X179" s="141" t="inlineStr">
        <is>
          <t>stab</t>
        </is>
      </c>
      <c r="Y179" s="141" t="n"/>
      <c r="Z179" s="137" t="inlineStr">
        <is>
          <t>對敵方3體造成&lt;AD&gt;物攻的物理傷害，自身附加行動加快</t>
        </is>
      </c>
      <c r="AA179" s="150" t="n"/>
      <c r="AB179" s="150" t="n"/>
      <c r="AC179" s="150" t="n"/>
      <c r="AD179" s="149" t="n"/>
    </row>
    <row r="180" ht="14.25" customHeight="1" s="142">
      <c r="A180" s="135">
        <f>A175+1</f>
        <v/>
      </c>
      <c r="B180" s="143" t="inlineStr">
        <is>
          <t>神罰裁決★2</t>
        </is>
      </c>
      <c r="C180" s="135" t="n">
        <v>3</v>
      </c>
      <c r="D180" s="135" t="n"/>
      <c r="E180" s="135" t="n"/>
      <c r="F180" s="135" t="n">
        <v>1</v>
      </c>
      <c r="G180" s="135" t="n">
        <v>1.6</v>
      </c>
      <c r="H180" s="135" t="n"/>
      <c r="I180" s="135" t="n"/>
      <c r="J180" s="135" t="n"/>
      <c r="K180" s="135">
        <f>K179</f>
        <v/>
      </c>
      <c r="L180" s="135" t="n"/>
      <c r="M180" s="141" t="inlineStr">
        <is>
          <t>phycial</t>
        </is>
      </c>
      <c r="N180" s="51">
        <f>N179-4</f>
        <v/>
      </c>
      <c r="O180" s="141" t="n"/>
      <c r="P180" s="52" t="n">
        <v>3003</v>
      </c>
      <c r="Q180" s="52" t="n"/>
      <c r="R180" s="52" t="n"/>
      <c r="S180" s="141" t="n"/>
      <c r="T180" s="141" t="n"/>
      <c r="U180" s="141" t="n"/>
      <c r="V180" s="135" t="n"/>
      <c r="W180" s="141" t="n"/>
      <c r="X180" s="141" t="inlineStr">
        <is>
          <t>stab</t>
        </is>
      </c>
      <c r="Y180" s="141" t="n"/>
      <c r="Z180" s="137" t="inlineStr">
        <is>
          <t>對敵方3體造成&lt;AD&gt;物攻的物理傷害，自身附加行動加快</t>
        </is>
      </c>
      <c r="AA180" s="150" t="n"/>
      <c r="AB180" s="150" t="n"/>
      <c r="AC180" s="150" t="n"/>
      <c r="AD180" s="149" t="n"/>
      <c r="AF180" s="57" t="n"/>
      <c r="AG180" s="57" t="n"/>
      <c r="AH180" s="47" t="n"/>
      <c r="AI180" s="57" t="n"/>
    </row>
    <row r="181" ht="14.25" customHeight="1" s="142">
      <c r="A181" s="135">
        <f>A176+1</f>
        <v/>
      </c>
      <c r="B181" s="143" t="inlineStr">
        <is>
          <t>神罰裁決★3</t>
        </is>
      </c>
      <c r="C181" s="135" t="n">
        <v>3</v>
      </c>
      <c r="D181" s="135" t="n"/>
      <c r="E181" s="135" t="n"/>
      <c r="F181" s="135" t="n">
        <v>1</v>
      </c>
      <c r="G181" s="135" t="n">
        <v>1.6</v>
      </c>
      <c r="H181" s="135" t="n"/>
      <c r="I181" s="135" t="n"/>
      <c r="J181" s="135" t="n"/>
      <c r="K181" s="135">
        <f>K179-1</f>
        <v/>
      </c>
      <c r="L181" s="135" t="n"/>
      <c r="M181" s="141" t="inlineStr">
        <is>
          <t>phycial</t>
        </is>
      </c>
      <c r="N181" s="51">
        <f>N180-4</f>
        <v/>
      </c>
      <c r="O181" s="141" t="n"/>
      <c r="P181" s="52" t="n">
        <v>3003</v>
      </c>
      <c r="Q181" s="52" t="n"/>
      <c r="R181" s="52" t="n">
        <v>5001</v>
      </c>
      <c r="S181" s="141" t="n"/>
      <c r="T181" s="141" t="n"/>
      <c r="U181" s="141" t="n"/>
      <c r="V181" s="135" t="n"/>
      <c r="W181" s="141" t="n"/>
      <c r="X181" s="141" t="inlineStr">
        <is>
          <t>stab</t>
        </is>
      </c>
      <c r="Y181" s="141" t="n"/>
      <c r="Z181" s="137" t="inlineStr">
        <is>
          <t>對敵方3體造成&lt;AD&gt;物攻的物理傷害，自身附加行動加快；40%附加對象麻痺狀態</t>
        </is>
      </c>
      <c r="AA181" s="150" t="n"/>
      <c r="AB181" s="150" t="n"/>
      <c r="AC181" s="150" t="n"/>
      <c r="AD181" s="149" t="n"/>
      <c r="AF181" s="57" t="n"/>
      <c r="AG181" s="57" t="n"/>
      <c r="AH181" s="47" t="n"/>
      <c r="AI181" s="57" t="n"/>
    </row>
    <row r="182" ht="14.25" customHeight="1" s="142">
      <c r="A182" s="135">
        <f>A177+1</f>
        <v/>
      </c>
      <c r="B182" s="143" t="inlineStr">
        <is>
          <t>神罰裁決★4</t>
        </is>
      </c>
      <c r="C182" s="135" t="n">
        <v>3</v>
      </c>
      <c r="D182" s="135" t="n"/>
      <c r="E182" s="135" t="n"/>
      <c r="F182" s="135" t="n">
        <v>1</v>
      </c>
      <c r="G182" s="135" t="n">
        <v>1.6</v>
      </c>
      <c r="H182" s="135" t="n"/>
      <c r="I182" s="135" t="n"/>
      <c r="J182" s="135" t="n"/>
      <c r="K182" s="135">
        <f>K181-1</f>
        <v/>
      </c>
      <c r="L182" s="135" t="n"/>
      <c r="M182" s="141" t="inlineStr">
        <is>
          <t>phycial</t>
        </is>
      </c>
      <c r="N182" s="51">
        <f>N181-4</f>
        <v/>
      </c>
      <c r="O182" s="141" t="n"/>
      <c r="P182" s="52" t="n">
        <v>3003</v>
      </c>
      <c r="Q182" s="52" t="n"/>
      <c r="R182" s="52" t="n">
        <v>5001</v>
      </c>
      <c r="S182" s="141" t="n"/>
      <c r="T182" s="141" t="n"/>
      <c r="U182" s="141" t="n"/>
      <c r="V182" s="135" t="n"/>
      <c r="W182" s="141" t="n"/>
      <c r="X182" s="141" t="inlineStr">
        <is>
          <t>stab</t>
        </is>
      </c>
      <c r="Y182" s="141" t="n"/>
      <c r="Z182" s="137" t="inlineStr">
        <is>
          <t>對敵方3體造成&lt;AD&gt;物攻的物理傷害，自身附加行動加快；40%附加對象麻痺狀態</t>
        </is>
      </c>
      <c r="AA182" s="150" t="n"/>
      <c r="AB182" s="150" t="n"/>
      <c r="AC182" s="150" t="n"/>
      <c r="AD182" s="149" t="n"/>
      <c r="AF182" s="57" t="n"/>
      <c r="AG182" s="57" t="n"/>
      <c r="AH182" s="47" t="n"/>
      <c r="AI182" s="57" t="n"/>
    </row>
    <row r="183" ht="14.25" customHeight="1" s="142">
      <c r="A183" s="135">
        <f>A178+1</f>
        <v/>
      </c>
      <c r="B183" s="143" t="inlineStr">
        <is>
          <t>神罰裁決•極</t>
        </is>
      </c>
      <c r="C183" s="135" t="n">
        <v>3</v>
      </c>
      <c r="D183" s="135" t="n"/>
      <c r="E183" s="135" t="n"/>
      <c r="F183" s="135" t="n">
        <v>1</v>
      </c>
      <c r="G183" s="135" t="n">
        <v>1.6</v>
      </c>
      <c r="H183" s="135" t="n"/>
      <c r="I183" s="135" t="n"/>
      <c r="J183" s="135" t="n"/>
      <c r="K183" s="135">
        <f>K182</f>
        <v/>
      </c>
      <c r="L183" s="135" t="n"/>
      <c r="M183" s="141" t="inlineStr">
        <is>
          <t>phycial</t>
        </is>
      </c>
      <c r="N183" s="51">
        <f>N182-4</f>
        <v/>
      </c>
      <c r="O183" s="141" t="n"/>
      <c r="P183" s="52" t="n">
        <v>3003</v>
      </c>
      <c r="Q183" s="52" t="n"/>
      <c r="R183" s="52" t="n">
        <v>5001</v>
      </c>
      <c r="S183" s="141" t="n"/>
      <c r="T183" s="141" t="n"/>
      <c r="U183" s="141" t="n"/>
      <c r="V183" s="135" t="n"/>
      <c r="W183" s="141" t="n"/>
      <c r="X183" s="141" t="inlineStr">
        <is>
          <t>stab</t>
        </is>
      </c>
      <c r="Y183" s="141" t="n"/>
      <c r="Z183" s="137" t="inlineStr">
        <is>
          <t>對敵方3體造成&lt;AD&gt;物攻的物理傷害，自身附加行動加快；40%附加對象麻痺狀態</t>
        </is>
      </c>
      <c r="AA183" s="150" t="n"/>
      <c r="AB183" s="150" t="n"/>
      <c r="AC183" s="150" t="n"/>
      <c r="AD183" s="149" t="n"/>
      <c r="AF183" s="57" t="n"/>
      <c r="AG183" s="57" t="n"/>
      <c r="AH183" s="47" t="n"/>
      <c r="AI183" s="57" t="n"/>
    </row>
    <row r="184" ht="14.25" customHeight="1" s="142">
      <c r="A184" s="135">
        <f>A179+1</f>
        <v/>
      </c>
      <c r="B184" s="137" t="inlineStr">
        <is>
          <t>一刀流・破★</t>
        </is>
      </c>
      <c r="C184" s="135" t="n">
        <v>1</v>
      </c>
      <c r="D184" s="135" t="n"/>
      <c r="E184" s="135" t="n"/>
      <c r="F184" s="135" t="n">
        <v>1</v>
      </c>
      <c r="G184" s="135" t="n">
        <v>4.8</v>
      </c>
      <c r="H184" s="135" t="n"/>
      <c r="I184" s="135" t="n"/>
      <c r="J184" s="135" t="n"/>
      <c r="K184" s="135" t="n">
        <v>6</v>
      </c>
      <c r="L184" s="135" t="n"/>
      <c r="M184" s="141" t="inlineStr">
        <is>
          <t>phycial</t>
        </is>
      </c>
      <c r="N184" s="51" t="n">
        <v>48</v>
      </c>
      <c r="O184" s="141" t="n"/>
      <c r="P184" s="52" t="n">
        <v>3007</v>
      </c>
      <c r="Q184" s="52" t="n"/>
      <c r="R184" s="52" t="n"/>
      <c r="S184" s="141" t="n"/>
      <c r="T184" s="141" t="n"/>
      <c r="U184" s="141" t="n"/>
      <c r="V184" s="135" t="n"/>
      <c r="W184" s="141" t="n"/>
      <c r="X184" s="141" t="inlineStr">
        <is>
          <t>slash2</t>
        </is>
      </c>
      <c r="Y184" s="141" t="n"/>
      <c r="Z184" s="137" t="inlineStr">
        <is>
          <t>對敵方1體造成&lt;AD&gt;物攻的物理傷害，為自身附加鬼人狀態</t>
        </is>
      </c>
      <c r="AA184" s="150" t="n"/>
      <c r="AB184" s="150" t="n"/>
      <c r="AC184" s="150" t="n"/>
      <c r="AD184" s="149" t="n"/>
    </row>
    <row r="185" ht="14.25" customHeight="1" s="142">
      <c r="A185" s="135">
        <f>A180+1</f>
        <v/>
      </c>
      <c r="B185" s="137" t="inlineStr">
        <is>
          <t>一刀流・破★2</t>
        </is>
      </c>
      <c r="C185" s="135" t="n">
        <v>1</v>
      </c>
      <c r="D185" s="135" t="n"/>
      <c r="E185" s="135" t="n"/>
      <c r="F185" s="135" t="n">
        <v>1</v>
      </c>
      <c r="G185" s="135" t="n">
        <v>4.8</v>
      </c>
      <c r="H185" s="135" t="n"/>
      <c r="I185" s="135" t="n"/>
      <c r="J185" s="135" t="n"/>
      <c r="K185" s="135">
        <f>K184</f>
        <v/>
      </c>
      <c r="L185" s="135" t="n"/>
      <c r="M185" s="141" t="inlineStr">
        <is>
          <t>phycial</t>
        </is>
      </c>
      <c r="N185" s="51">
        <f>N184-4</f>
        <v/>
      </c>
      <c r="O185" s="141" t="n"/>
      <c r="P185" s="52" t="n">
        <v>3007</v>
      </c>
      <c r="Q185" s="52" t="n"/>
      <c r="R185" s="52" t="n"/>
      <c r="S185" s="141" t="n"/>
      <c r="T185" s="141" t="n"/>
      <c r="U185" s="141" t="n"/>
      <c r="V185" s="135" t="n"/>
      <c r="W185" s="141" t="n"/>
      <c r="X185" s="141" t="inlineStr">
        <is>
          <t>slash2</t>
        </is>
      </c>
      <c r="Y185" s="141" t="n"/>
      <c r="Z185" s="137" t="inlineStr">
        <is>
          <t>對敵方1體造成&lt;AD&gt;物攻的物理傷害，為自身附加鬼人狀態</t>
        </is>
      </c>
      <c r="AA185" s="150" t="n"/>
      <c r="AB185" s="150" t="n"/>
      <c r="AC185" s="150" t="n"/>
      <c r="AD185" s="149" t="n"/>
      <c r="AF185" s="57" t="n"/>
      <c r="AG185" s="57" t="n"/>
      <c r="AH185" s="47" t="n"/>
      <c r="AI185" s="47" t="n"/>
    </row>
    <row r="186" ht="14.25" customHeight="1" s="142">
      <c r="A186" s="135">
        <f>A181+1</f>
        <v/>
      </c>
      <c r="B186" s="137" t="inlineStr">
        <is>
          <t>一刀流・破★3</t>
        </is>
      </c>
      <c r="C186" s="135" t="n">
        <v>1</v>
      </c>
      <c r="D186" s="135" t="n"/>
      <c r="E186" s="135" t="n"/>
      <c r="F186" s="135" t="n">
        <v>1</v>
      </c>
      <c r="G186" s="135" t="n">
        <v>4.8</v>
      </c>
      <c r="H186" s="135" t="n"/>
      <c r="I186" s="135" t="n"/>
      <c r="J186" s="135" t="n"/>
      <c r="K186" s="135">
        <f>K184-1</f>
        <v/>
      </c>
      <c r="L186" s="135" t="n"/>
      <c r="M186" s="141" t="inlineStr">
        <is>
          <t>phycial</t>
        </is>
      </c>
      <c r="N186" s="51">
        <f>N185-4</f>
        <v/>
      </c>
      <c r="O186" s="141" t="n"/>
      <c r="P186" s="52">
        <f>"3007,3012"</f>
        <v/>
      </c>
      <c r="Q186" s="52" t="n"/>
      <c r="R186" s="52" t="n"/>
      <c r="S186" s="141" t="n"/>
      <c r="T186" s="141" t="n"/>
      <c r="U186" s="141" t="n"/>
      <c r="V186" s="135" t="n"/>
      <c r="W186" s="141" t="n"/>
      <c r="X186" s="141" t="inlineStr">
        <is>
          <t>slash2</t>
        </is>
      </c>
      <c r="Y186" s="141" t="n"/>
      <c r="Z186" s="137" t="inlineStr">
        <is>
          <t>對敵方1體造成&lt;AD&gt;物攻的物理傷害，為自身附加鬼人與極意鬼人狀態</t>
        </is>
      </c>
      <c r="AA186" s="150" t="n"/>
      <c r="AB186" s="150" t="n"/>
      <c r="AC186" s="150" t="n"/>
      <c r="AD186" s="149" t="n"/>
      <c r="AF186" s="57" t="n"/>
      <c r="AG186" s="57" t="n"/>
      <c r="AH186" s="47" t="n"/>
      <c r="AI186" s="47" t="n"/>
    </row>
    <row r="187" ht="14.25" customHeight="1" s="142">
      <c r="A187" s="135">
        <f>A182+1</f>
        <v/>
      </c>
      <c r="B187" s="137" t="inlineStr">
        <is>
          <t>一刀流・破★4</t>
        </is>
      </c>
      <c r="C187" s="135" t="n">
        <v>1</v>
      </c>
      <c r="D187" s="135" t="n"/>
      <c r="E187" s="135" t="n"/>
      <c r="F187" s="135" t="n">
        <v>1</v>
      </c>
      <c r="G187" s="135" t="n">
        <v>4.8</v>
      </c>
      <c r="H187" s="135" t="n"/>
      <c r="I187" s="135" t="n"/>
      <c r="J187" s="135" t="n"/>
      <c r="K187" s="135">
        <f>K186-1</f>
        <v/>
      </c>
      <c r="L187" s="135" t="n"/>
      <c r="M187" s="141" t="inlineStr">
        <is>
          <t>phycial</t>
        </is>
      </c>
      <c r="N187" s="51">
        <f>N186-4</f>
        <v/>
      </c>
      <c r="O187" s="141" t="n"/>
      <c r="P187" s="52">
        <f>"3007,3012"</f>
        <v/>
      </c>
      <c r="Q187" s="52" t="n"/>
      <c r="R187" s="52" t="n"/>
      <c r="S187" s="141" t="n"/>
      <c r="T187" s="141" t="n"/>
      <c r="U187" s="141" t="n"/>
      <c r="V187" s="135" t="n"/>
      <c r="W187" s="141" t="n"/>
      <c r="X187" s="141" t="inlineStr">
        <is>
          <t>slash2</t>
        </is>
      </c>
      <c r="Y187" s="141" t="n"/>
      <c r="Z187" s="137" t="inlineStr">
        <is>
          <t>對敵方1體造成&lt;AD&gt;物攻的物理傷害，為自身附加鬼人與極意鬼人狀態</t>
        </is>
      </c>
      <c r="AA187" s="150" t="n"/>
      <c r="AB187" s="150" t="n"/>
      <c r="AC187" s="150" t="n"/>
      <c r="AD187" s="149" t="n"/>
      <c r="AF187" s="57" t="n"/>
      <c r="AG187" s="57" t="n"/>
      <c r="AH187" s="47" t="n"/>
      <c r="AI187" s="47" t="n"/>
    </row>
    <row r="188" ht="14.25" customHeight="1" s="142">
      <c r="A188" s="135">
        <f>A183+1</f>
        <v/>
      </c>
      <c r="B188" s="137" t="inlineStr">
        <is>
          <t>一刀流・斷</t>
        </is>
      </c>
      <c r="C188" s="135" t="n">
        <v>1</v>
      </c>
      <c r="D188" s="135" t="n"/>
      <c r="E188" s="135" t="n"/>
      <c r="F188" s="135" t="n">
        <v>1</v>
      </c>
      <c r="G188" s="135" t="n">
        <v>4.8</v>
      </c>
      <c r="H188" s="135" t="n"/>
      <c r="I188" s="135" t="n"/>
      <c r="J188" s="135" t="n"/>
      <c r="K188" s="135">
        <f>K187</f>
        <v/>
      </c>
      <c r="L188" s="135" t="n"/>
      <c r="M188" s="141" t="inlineStr">
        <is>
          <t>phycial</t>
        </is>
      </c>
      <c r="N188" s="51">
        <f>N187-4</f>
        <v/>
      </c>
      <c r="O188" s="141" t="n"/>
      <c r="P188" s="52">
        <f>"3007,3012"</f>
        <v/>
      </c>
      <c r="Q188" s="52" t="n"/>
      <c r="R188" s="52" t="n"/>
      <c r="S188" s="141" t="n"/>
      <c r="T188" s="141" t="n"/>
      <c r="U188" s="141" t="n"/>
      <c r="V188" s="135" t="n"/>
      <c r="W188" s="141" t="n"/>
      <c r="X188" s="141" t="inlineStr">
        <is>
          <t>slash2</t>
        </is>
      </c>
      <c r="Y188" s="141" t="n"/>
      <c r="Z188" s="137" t="inlineStr">
        <is>
          <t>對敵方1體造成&lt;AD&gt;物攻的物理傷害，為自身附加鬼人與極意鬼人狀態</t>
        </is>
      </c>
      <c r="AA188" s="150" t="n"/>
      <c r="AB188" s="150" t="n"/>
      <c r="AC188" s="150" t="n"/>
      <c r="AD188" s="149" t="n"/>
    </row>
    <row r="189" ht="14.25" customHeight="1" s="142">
      <c r="A189" s="135">
        <f>A184+1</f>
        <v/>
      </c>
      <c r="B189" s="137" t="inlineStr">
        <is>
          <t>鏡花身法★</t>
        </is>
      </c>
      <c r="C189" s="135" t="n">
        <v>-5</v>
      </c>
      <c r="D189" s="135" t="n"/>
      <c r="E189" s="135" t="n"/>
      <c r="F189" s="135" t="n">
        <v>1</v>
      </c>
      <c r="G189" s="135" t="n"/>
      <c r="H189" s="135" t="n">
        <v>1</v>
      </c>
      <c r="I189" s="135" t="n"/>
      <c r="J189" s="135" t="n"/>
      <c r="K189" s="135" t="n">
        <v>6</v>
      </c>
      <c r="L189" s="135" t="n"/>
      <c r="M189" s="141" t="inlineStr">
        <is>
          <t>shield</t>
        </is>
      </c>
      <c r="N189" s="51" t="n">
        <v>98</v>
      </c>
      <c r="O189" s="141" t="n"/>
      <c r="P189" s="52" t="n"/>
      <c r="Q189" s="52" t="n"/>
      <c r="R189" s="52" t="n">
        <v>1999</v>
      </c>
      <c r="S189" s="141" t="n"/>
      <c r="T189" s="141" t="n"/>
      <c r="U189" s="141" t="n"/>
      <c r="V189" s="135" t="n"/>
      <c r="W189" s="141" t="n"/>
      <c r="X189" s="141" t="inlineStr">
        <is>
          <t>shield1</t>
        </is>
      </c>
      <c r="Y189" s="141" t="n"/>
      <c r="Z189" s="137" t="inlineStr">
        <is>
          <t>對我方全體附加魔攻&lt;AP&gt;的護盾</t>
        </is>
      </c>
      <c r="AA189" s="150" t="n"/>
      <c r="AB189" s="150" t="n"/>
      <c r="AC189" s="150" t="n"/>
      <c r="AD189" s="149" t="n"/>
      <c r="AF189" s="57" t="n"/>
      <c r="AG189" s="57" t="n"/>
      <c r="AH189" s="47" t="n"/>
      <c r="AI189" s="57" t="n"/>
    </row>
    <row r="190" ht="14.25" customHeight="1" s="142">
      <c r="A190" s="135">
        <f>A185+1</f>
        <v/>
      </c>
      <c r="B190" s="137" t="inlineStr">
        <is>
          <t>鏡花身法★2</t>
        </is>
      </c>
      <c r="C190" s="135" t="n">
        <v>-5</v>
      </c>
      <c r="D190" s="135" t="n"/>
      <c r="E190" s="135" t="n"/>
      <c r="F190" s="135" t="n">
        <v>1</v>
      </c>
      <c r="G190" s="135" t="n"/>
      <c r="H190" s="135" t="n">
        <v>1</v>
      </c>
      <c r="I190" s="135" t="n"/>
      <c r="J190" s="135" t="n"/>
      <c r="K190" s="135">
        <f>K189</f>
        <v/>
      </c>
      <c r="L190" s="135" t="n"/>
      <c r="M190" s="141" t="inlineStr">
        <is>
          <t>shield</t>
        </is>
      </c>
      <c r="N190" s="51">
        <f>N189-4</f>
        <v/>
      </c>
      <c r="O190" s="141" t="n"/>
      <c r="P190" s="52" t="n"/>
      <c r="Q190" s="52" t="n"/>
      <c r="R190" s="52">
        <f>"1999,1012"</f>
        <v/>
      </c>
      <c r="S190" s="141" t="n"/>
      <c r="T190" s="141" t="n"/>
      <c r="U190" s="141" t="n"/>
      <c r="V190" s="135" t="n"/>
      <c r="W190" s="141" t="n"/>
      <c r="X190" s="141" t="inlineStr">
        <is>
          <t>shield1</t>
        </is>
      </c>
      <c r="Y190" s="141" t="n"/>
      <c r="Z190" s="137" t="inlineStr">
        <is>
          <t>對我方全體附加魔攻&lt;AP&gt;的護盾；額外附加減少受到傷害1層</t>
        </is>
      </c>
      <c r="AA190" s="150" t="n"/>
      <c r="AB190" s="150" t="n"/>
      <c r="AC190" s="150" t="n"/>
      <c r="AD190" s="149" t="n"/>
      <c r="AF190" s="57" t="n"/>
      <c r="AG190" s="57" t="n"/>
      <c r="AH190" s="47" t="n"/>
      <c r="AI190" s="57" t="n"/>
    </row>
    <row r="191" ht="14.25" customHeight="1" s="142">
      <c r="A191" s="135">
        <f>A186+1</f>
        <v/>
      </c>
      <c r="B191" s="137" t="inlineStr">
        <is>
          <t>鏡花身法★3</t>
        </is>
      </c>
      <c r="C191" s="135" t="n">
        <v>-5</v>
      </c>
      <c r="D191" s="135" t="n"/>
      <c r="E191" s="135" t="n"/>
      <c r="F191" s="135" t="n">
        <v>1</v>
      </c>
      <c r="G191" s="135" t="n"/>
      <c r="H191" s="135" t="n">
        <v>1</v>
      </c>
      <c r="I191" s="135" t="n"/>
      <c r="J191" s="135" t="n"/>
      <c r="K191" s="135">
        <f>K189-1</f>
        <v/>
      </c>
      <c r="L191" s="135" t="n"/>
      <c r="M191" s="141" t="inlineStr">
        <is>
          <t>shield</t>
        </is>
      </c>
      <c r="N191" s="51">
        <f>N190-4</f>
        <v/>
      </c>
      <c r="O191" s="141" t="n"/>
      <c r="P191" s="52" t="n"/>
      <c r="Q191" s="52" t="n"/>
      <c r="R191" s="52">
        <f>"1999,1012"</f>
        <v/>
      </c>
      <c r="S191" s="141" t="n"/>
      <c r="T191" s="141" t="n"/>
      <c r="U191" s="141" t="n"/>
      <c r="V191" s="135" t="n"/>
      <c r="W191" s="141" t="n"/>
      <c r="X191" s="141" t="inlineStr">
        <is>
          <t>shield1</t>
        </is>
      </c>
      <c r="Y191" s="141" t="n"/>
      <c r="Z191" s="137" t="inlineStr">
        <is>
          <t>對我方全體附加魔攻&lt;AP&gt;的護盾；額外附加減少受到傷害1層</t>
        </is>
      </c>
      <c r="AA191" s="150" t="n"/>
      <c r="AB191" s="150" t="n"/>
      <c r="AC191" s="150" t="n"/>
      <c r="AD191" s="149" t="n"/>
      <c r="AF191" s="57" t="n"/>
      <c r="AG191" s="57" t="n"/>
      <c r="AH191" s="47" t="n"/>
      <c r="AI191" s="57" t="n"/>
    </row>
    <row r="192" ht="14.25" customHeight="1" s="142">
      <c r="A192" s="135">
        <f>A187+1</f>
        <v/>
      </c>
      <c r="B192" s="137" t="inlineStr">
        <is>
          <t>鏡花身法★4</t>
        </is>
      </c>
      <c r="C192" s="135" t="n">
        <v>-5</v>
      </c>
      <c r="D192" s="135" t="n"/>
      <c r="E192" s="135" t="n"/>
      <c r="F192" s="135" t="n">
        <v>1</v>
      </c>
      <c r="G192" s="135" t="n"/>
      <c r="H192" s="135" t="n">
        <v>1</v>
      </c>
      <c r="I192" s="135" t="n"/>
      <c r="J192" s="135" t="n"/>
      <c r="K192" s="135">
        <f>K191-1</f>
        <v/>
      </c>
      <c r="L192" s="135" t="n"/>
      <c r="M192" s="141" t="inlineStr">
        <is>
          <t>shield</t>
        </is>
      </c>
      <c r="N192" s="51">
        <f>N191-4</f>
        <v/>
      </c>
      <c r="O192" s="141" t="n"/>
      <c r="P192" s="52" t="n"/>
      <c r="Q192" s="52" t="n"/>
      <c r="R192" s="52">
        <f>"1999,1012"</f>
        <v/>
      </c>
      <c r="S192" s="141" t="n"/>
      <c r="T192" s="141" t="n"/>
      <c r="U192" s="141" t="n"/>
      <c r="V192" s="135" t="n"/>
      <c r="W192" s="141" t="n"/>
      <c r="X192" s="141" t="inlineStr">
        <is>
          <t>shield1</t>
        </is>
      </c>
      <c r="Y192" s="141" t="n"/>
      <c r="Z192" s="137" t="inlineStr">
        <is>
          <t>對我方全體附加魔攻&lt;AP&gt;的護盾；額外附加減少受到傷害1層</t>
        </is>
      </c>
      <c r="AA192" s="150" t="n"/>
      <c r="AB192" s="150" t="n"/>
      <c r="AC192" s="150" t="n"/>
      <c r="AD192" s="149" t="n"/>
      <c r="AF192" s="57" t="n"/>
      <c r="AG192" s="57" t="n"/>
      <c r="AH192" s="47" t="n"/>
      <c r="AI192" s="57" t="n"/>
    </row>
    <row r="193" ht="14.25" customHeight="1" s="142">
      <c r="A193" s="135">
        <f>A188+1</f>
        <v/>
      </c>
      <c r="B193" s="137" t="inlineStr">
        <is>
          <t>鏡花身法•極</t>
        </is>
      </c>
      <c r="C193" s="135" t="n">
        <v>-5</v>
      </c>
      <c r="D193" s="135" t="n"/>
      <c r="E193" s="135" t="n"/>
      <c r="F193" s="135" t="n">
        <v>1</v>
      </c>
      <c r="G193" s="135" t="n"/>
      <c r="H193" s="135" t="n">
        <v>1</v>
      </c>
      <c r="I193" s="135" t="n"/>
      <c r="J193" s="135" t="n"/>
      <c r="K193" s="135">
        <f>K192</f>
        <v/>
      </c>
      <c r="L193" s="135" t="n"/>
      <c r="M193" s="141" t="inlineStr">
        <is>
          <t>shield</t>
        </is>
      </c>
      <c r="N193" s="51">
        <f>N192-4</f>
        <v/>
      </c>
      <c r="O193" s="141" t="n"/>
      <c r="P193" s="52" t="n"/>
      <c r="Q193" s="52" t="n"/>
      <c r="R193" s="52">
        <f>"1999,1012,1012,1012"</f>
        <v/>
      </c>
      <c r="S193" s="141" t="n"/>
      <c r="T193" s="141" t="n"/>
      <c r="U193" s="141" t="n"/>
      <c r="V193" s="135" t="n"/>
      <c r="W193" s="141" t="n"/>
      <c r="X193" s="141" t="inlineStr">
        <is>
          <t>shield1</t>
        </is>
      </c>
      <c r="Y193" s="141" t="n"/>
      <c r="Z193" s="137" t="inlineStr">
        <is>
          <t>對我方全體附加魔攻&lt;AP&gt;的護盾；額外附加減少受到傷害3層</t>
        </is>
      </c>
      <c r="AA193" s="150" t="n"/>
      <c r="AB193" s="150" t="n"/>
      <c r="AC193" s="150" t="n"/>
      <c r="AD193" s="149" t="n"/>
      <c r="AF193" s="57" t="n"/>
      <c r="AG193" s="57" t="n"/>
      <c r="AH193" s="47" t="n"/>
      <c r="AI193" s="57" t="n"/>
    </row>
    <row r="194" ht="15.75" customHeight="1" s="142">
      <c r="A194" s="135">
        <f>A189+1</f>
        <v/>
      </c>
      <c r="B194" s="137" t="inlineStr">
        <is>
          <t>魂力獻祭★</t>
        </is>
      </c>
      <c r="C194" s="135" t="n">
        <v>2</v>
      </c>
      <c r="D194" s="135" t="n">
        <v>1</v>
      </c>
      <c r="E194" s="135" t="n"/>
      <c r="F194" s="135" t="n">
        <v>1</v>
      </c>
      <c r="G194" s="135" t="n">
        <v>2.5</v>
      </c>
      <c r="H194" s="135" t="n"/>
      <c r="I194" s="135" t="n"/>
      <c r="J194" s="135" t="n"/>
      <c r="K194" s="135" t="n">
        <v>8</v>
      </c>
      <c r="L194" s="135" t="n"/>
      <c r="M194" s="141" t="inlineStr">
        <is>
          <t>phycial</t>
        </is>
      </c>
      <c r="N194" s="51" t="n">
        <v>105</v>
      </c>
      <c r="O194" s="141" t="n"/>
      <c r="P194" s="52" t="n"/>
      <c r="Q194" s="52" t="n"/>
      <c r="R194" s="52" t="n">
        <v>2005</v>
      </c>
      <c r="S194" s="141" t="n"/>
      <c r="T194" s="141" t="n"/>
      <c r="U194" s="141" t="n"/>
      <c r="V194" s="135" t="n"/>
      <c r="W194" s="53" t="inlineStr">
        <is>
          <t>magic_throw</t>
        </is>
      </c>
      <c r="X194" s="53" t="inlineStr">
        <is>
          <t>explode</t>
        </is>
      </c>
      <c r="Y194" s="141" t="n"/>
      <c r="Z194" s="137" t="inlineStr">
        <is>
          <t>為敵方隨機2體造成&lt;AP&gt;魔攻的魔法傷害，附加爆擊下降</t>
        </is>
      </c>
      <c r="AA194" s="150" t="n"/>
      <c r="AB194" s="150" t="n"/>
      <c r="AC194" s="150" t="n"/>
      <c r="AD194" s="149" t="n"/>
    </row>
    <row r="195" ht="15.75" customHeight="1" s="142">
      <c r="A195" s="135">
        <f>A190+1</f>
        <v/>
      </c>
      <c r="B195" s="137" t="inlineStr">
        <is>
          <t>魂力獻祭★2</t>
        </is>
      </c>
      <c r="C195" s="135" t="n">
        <v>2</v>
      </c>
      <c r="D195" s="135" t="n">
        <v>1</v>
      </c>
      <c r="E195" s="135" t="n"/>
      <c r="F195" s="135" t="n">
        <v>1</v>
      </c>
      <c r="G195" s="135" t="n">
        <v>2.5</v>
      </c>
      <c r="H195" s="135" t="n"/>
      <c r="I195" s="135" t="n"/>
      <c r="J195" s="135" t="n"/>
      <c r="K195" s="135">
        <f>K194</f>
        <v/>
      </c>
      <c r="L195" s="135" t="n"/>
      <c r="M195" s="141" t="inlineStr">
        <is>
          <t>phycial</t>
        </is>
      </c>
      <c r="N195" s="51">
        <f>N194-4</f>
        <v/>
      </c>
      <c r="O195" s="141" t="n"/>
      <c r="P195" s="52" t="n"/>
      <c r="Q195" s="52" t="n"/>
      <c r="R195" s="52">
        <f>"2005,2001"</f>
        <v/>
      </c>
      <c r="S195" s="141" t="n"/>
      <c r="T195" s="141" t="n"/>
      <c r="U195" s="141" t="n"/>
      <c r="V195" s="135" t="n"/>
      <c r="W195" s="53" t="inlineStr">
        <is>
          <t>magic_throw</t>
        </is>
      </c>
      <c r="X195" s="53" t="inlineStr">
        <is>
          <t>explode</t>
        </is>
      </c>
      <c r="Y195" s="141" t="n"/>
      <c r="Z195" s="137" t="inlineStr">
        <is>
          <t>為敵方隨機2體造成&lt;AP&gt;魔攻的魔法傷害，附加爆擊下降與攻擊下降效果</t>
        </is>
      </c>
      <c r="AA195" s="150" t="n"/>
      <c r="AB195" s="150" t="n"/>
      <c r="AC195" s="150" t="n"/>
      <c r="AD195" s="149" t="n"/>
    </row>
    <row r="196" ht="15.75" customHeight="1" s="142">
      <c r="A196" s="135">
        <f>A191+1</f>
        <v/>
      </c>
      <c r="B196" s="137" t="inlineStr">
        <is>
          <t>魂力獻祭★3</t>
        </is>
      </c>
      <c r="C196" s="135" t="n">
        <v>2</v>
      </c>
      <c r="D196" s="135" t="n">
        <v>1</v>
      </c>
      <c r="E196" s="135" t="n"/>
      <c r="F196" s="135" t="n">
        <v>1</v>
      </c>
      <c r="G196" s="135" t="n">
        <v>2.5</v>
      </c>
      <c r="H196" s="135" t="n"/>
      <c r="I196" s="135" t="n"/>
      <c r="J196" s="135" t="n"/>
      <c r="K196" s="135">
        <f>K194-1</f>
        <v/>
      </c>
      <c r="L196" s="135" t="n"/>
      <c r="M196" s="141" t="inlineStr">
        <is>
          <t>phycial</t>
        </is>
      </c>
      <c r="N196" s="51">
        <f>N195-4</f>
        <v/>
      </c>
      <c r="O196" s="141" t="n"/>
      <c r="P196" s="52" t="n"/>
      <c r="Q196" s="52" t="n"/>
      <c r="R196" s="52">
        <f>"2005,2001"</f>
        <v/>
      </c>
      <c r="S196" s="141" t="n"/>
      <c r="T196" s="141" t="n"/>
      <c r="U196" s="141" t="n"/>
      <c r="V196" s="135" t="n"/>
      <c r="W196" s="53" t="inlineStr">
        <is>
          <t>magic_throw</t>
        </is>
      </c>
      <c r="X196" s="53" t="inlineStr">
        <is>
          <t>explode</t>
        </is>
      </c>
      <c r="Y196" s="141" t="n"/>
      <c r="Z196" s="137" t="inlineStr">
        <is>
          <t>為敵方隨機2體造成&lt;AP&gt;魔攻的魔法傷害，附加爆擊下降與攻擊下降效果</t>
        </is>
      </c>
      <c r="AA196" s="150" t="n"/>
      <c r="AB196" s="150" t="n"/>
      <c r="AC196" s="150" t="n"/>
      <c r="AD196" s="149" t="n"/>
    </row>
    <row r="197" ht="15.75" customHeight="1" s="142">
      <c r="A197" s="135">
        <f>A192+1</f>
        <v/>
      </c>
      <c r="B197" s="137" t="inlineStr">
        <is>
          <t>魂力獻祭★4</t>
        </is>
      </c>
      <c r="C197" s="135" t="n">
        <v>2</v>
      </c>
      <c r="D197" s="135" t="n">
        <v>1</v>
      </c>
      <c r="E197" s="135" t="n"/>
      <c r="F197" s="135" t="n">
        <v>1</v>
      </c>
      <c r="G197" s="135" t="n">
        <v>2.5</v>
      </c>
      <c r="H197" s="135" t="n"/>
      <c r="I197" s="135" t="n"/>
      <c r="J197" s="135" t="n"/>
      <c r="K197" s="135">
        <f>K196-1</f>
        <v/>
      </c>
      <c r="L197" s="135" t="n"/>
      <c r="M197" s="141" t="inlineStr">
        <is>
          <t>phycial</t>
        </is>
      </c>
      <c r="N197" s="51">
        <f>N196-4</f>
        <v/>
      </c>
      <c r="O197" s="141" t="n"/>
      <c r="P197" s="52" t="n"/>
      <c r="Q197" s="52" t="n"/>
      <c r="R197" s="52">
        <f>"2005,2001"</f>
        <v/>
      </c>
      <c r="S197" s="141" t="n"/>
      <c r="T197" s="141" t="n"/>
      <c r="U197" s="141" t="n"/>
      <c r="V197" s="135" t="n"/>
      <c r="W197" s="53" t="inlineStr">
        <is>
          <t>magic_throw</t>
        </is>
      </c>
      <c r="X197" s="53" t="inlineStr">
        <is>
          <t>explode</t>
        </is>
      </c>
      <c r="Y197" s="141" t="n"/>
      <c r="Z197" s="137" t="inlineStr">
        <is>
          <t>為敵方隨機2體造成&lt;AP&gt;魔攻的魔法傷害，附加爆擊下降與攻擊下降效果</t>
        </is>
      </c>
      <c r="AA197" s="150" t="n"/>
      <c r="AB197" s="150" t="n"/>
      <c r="AC197" s="150" t="n"/>
      <c r="AD197" s="149" t="n"/>
    </row>
    <row r="198" ht="15.75" customHeight="1" s="142">
      <c r="A198" s="135">
        <f>A193+1</f>
        <v/>
      </c>
      <c r="B198" s="137" t="inlineStr">
        <is>
          <t>魂力獻祭•極</t>
        </is>
      </c>
      <c r="C198" s="135" t="n">
        <v>3</v>
      </c>
      <c r="D198" s="135" t="n">
        <v>1</v>
      </c>
      <c r="E198" s="135" t="n"/>
      <c r="F198" s="135" t="n">
        <v>1</v>
      </c>
      <c r="G198" s="135" t="n">
        <v>2.5</v>
      </c>
      <c r="H198" s="135" t="n"/>
      <c r="I198" s="135" t="n"/>
      <c r="J198" s="135" t="n"/>
      <c r="K198" s="135">
        <f>K197</f>
        <v/>
      </c>
      <c r="L198" s="135" t="n"/>
      <c r="M198" s="141" t="inlineStr">
        <is>
          <t>phycial</t>
        </is>
      </c>
      <c r="N198" s="51">
        <f>N197-4</f>
        <v/>
      </c>
      <c r="O198" s="141" t="n"/>
      <c r="P198" s="52" t="n"/>
      <c r="Q198" s="52" t="n"/>
      <c r="R198" s="52">
        <f>"2005,2001,2002,2004"</f>
        <v/>
      </c>
      <c r="S198" s="141" t="n"/>
      <c r="T198" s="141" t="n"/>
      <c r="U198" s="141" t="n"/>
      <c r="V198" s="135" t="n"/>
      <c r="W198" s="53" t="inlineStr">
        <is>
          <t>magic_throw</t>
        </is>
      </c>
      <c r="X198" s="53" t="inlineStr">
        <is>
          <t>explode</t>
        </is>
      </c>
      <c r="Y198" s="141" t="n"/>
      <c r="Z198" s="137" t="inlineStr">
        <is>
          <t>為敵方隨機3體造成&lt;AP&gt;魔攻的魔法傷害，附加爆擊下降、攻擊下降、防禦下降與魔防下降效果</t>
        </is>
      </c>
      <c r="AA198" s="150" t="n"/>
      <c r="AB198" s="150" t="n"/>
      <c r="AC198" s="150" t="n"/>
      <c r="AD198" s="149" t="n"/>
    </row>
    <row r="199" ht="15.75" customHeight="1" s="142">
      <c r="A199" s="135">
        <f>A194+1</f>
        <v/>
      </c>
      <c r="B199" s="137" t="inlineStr">
        <is>
          <t>誓約之火★</t>
        </is>
      </c>
      <c r="C199" s="135" t="n">
        <v>-5</v>
      </c>
      <c r="D199" s="135" t="n"/>
      <c r="E199" s="135" t="n"/>
      <c r="F199" s="135" t="n">
        <v>1</v>
      </c>
      <c r="G199" s="55" t="n"/>
      <c r="H199" s="55" t="n"/>
      <c r="I199" s="135" t="n"/>
      <c r="J199" s="135" t="n"/>
      <c r="K199" s="135" t="n">
        <v>5</v>
      </c>
      <c r="L199" s="135" t="n"/>
      <c r="M199" s="141" t="n"/>
      <c r="N199" s="51" t="n">
        <v>90</v>
      </c>
      <c r="O199" s="141" t="n"/>
      <c r="P199" s="52" t="n"/>
      <c r="Q199" s="52" t="n"/>
      <c r="R199" s="52">
        <f>"1003,1003"</f>
        <v/>
      </c>
      <c r="S199" s="141" t="n"/>
      <c r="T199" s="141" t="n"/>
      <c r="U199" s="141" t="n"/>
      <c r="V199" s="135" t="n"/>
      <c r="W199" s="141" t="n"/>
      <c r="X199" s="141" t="inlineStr">
        <is>
          <t>buff</t>
        </is>
      </c>
      <c r="Y199" s="141" t="n"/>
      <c r="Z199" s="137" t="inlineStr">
        <is>
          <t>對我方全體附加魔攻上升2層</t>
        </is>
      </c>
      <c r="AA199" s="150" t="n"/>
      <c r="AB199" s="150" t="n"/>
      <c r="AC199" s="150" t="n"/>
      <c r="AD199" s="149" t="n"/>
    </row>
    <row r="200" ht="15.75" customHeight="1" s="142">
      <c r="A200" s="135">
        <f>A195+1</f>
        <v/>
      </c>
      <c r="B200" s="137" t="inlineStr">
        <is>
          <t>誓約之火★2</t>
        </is>
      </c>
      <c r="C200" s="135" t="n">
        <v>-5</v>
      </c>
      <c r="D200" s="135" t="n"/>
      <c r="E200" s="135" t="n"/>
      <c r="F200" s="135" t="n">
        <v>1</v>
      </c>
      <c r="G200" s="55" t="n"/>
      <c r="H200" s="55" t="n">
        <v>1.5</v>
      </c>
      <c r="I200" s="135" t="n"/>
      <c r="J200" s="135" t="n"/>
      <c r="K200" s="135">
        <f>K199</f>
        <v/>
      </c>
      <c r="L200" s="135" t="n"/>
      <c r="M200" s="141" t="inlineStr">
        <is>
          <t>shield</t>
        </is>
      </c>
      <c r="N200" s="51">
        <f>N199-4</f>
        <v/>
      </c>
      <c r="O200" s="141" t="n"/>
      <c r="P200" s="52" t="n"/>
      <c r="Q200" s="52" t="n"/>
      <c r="R200" s="52">
        <f>"1003,1003,1999"</f>
        <v/>
      </c>
      <c r="S200" s="141" t="n"/>
      <c r="T200" s="141" t="n"/>
      <c r="U200" s="141" t="n"/>
      <c r="V200" s="135" t="n"/>
      <c r="W200" s="141" t="n"/>
      <c r="X200" s="141" t="inlineStr">
        <is>
          <t>buff</t>
        </is>
      </c>
      <c r="Y200" s="141" t="n"/>
      <c r="Z200" s="137" t="inlineStr">
        <is>
          <t>對我方全體附加魔攻上升2層與魔攻的&lt;AP&gt;護頓效果</t>
        </is>
      </c>
      <c r="AA200" s="150" t="n"/>
      <c r="AB200" s="150" t="n"/>
      <c r="AC200" s="150" t="n"/>
      <c r="AD200" s="149" t="n"/>
    </row>
    <row r="201" ht="15.75" customHeight="1" s="142">
      <c r="A201" s="135">
        <f>A196+1</f>
        <v/>
      </c>
      <c r="B201" s="137" t="inlineStr">
        <is>
          <t>誓約之火★3</t>
        </is>
      </c>
      <c r="C201" s="135" t="n">
        <v>-5</v>
      </c>
      <c r="D201" s="135" t="n"/>
      <c r="E201" s="135" t="n"/>
      <c r="F201" s="135" t="n">
        <v>1</v>
      </c>
      <c r="G201" s="55" t="n"/>
      <c r="H201" s="55" t="n">
        <v>1.5</v>
      </c>
      <c r="I201" s="135" t="n"/>
      <c r="J201" s="135" t="n"/>
      <c r="K201" s="135">
        <f>K199-1</f>
        <v/>
      </c>
      <c r="L201" s="135" t="n"/>
      <c r="M201" s="141" t="inlineStr">
        <is>
          <t>shield</t>
        </is>
      </c>
      <c r="N201" s="51">
        <f>N200-4</f>
        <v/>
      </c>
      <c r="O201" s="141" t="n"/>
      <c r="P201" s="52" t="n"/>
      <c r="Q201" s="52" t="n"/>
      <c r="R201" s="52">
        <f>"1003,1003,1999"</f>
        <v/>
      </c>
      <c r="S201" s="141" t="n"/>
      <c r="T201" s="141" t="n"/>
      <c r="U201" s="141" t="n"/>
      <c r="V201" s="135" t="n"/>
      <c r="W201" s="141" t="n"/>
      <c r="X201" s="141" t="inlineStr">
        <is>
          <t>buff</t>
        </is>
      </c>
      <c r="Y201" s="141" t="n"/>
      <c r="Z201" s="137" t="inlineStr">
        <is>
          <t>對我方全體附加魔攻上升2層與魔攻的&lt;AP&gt;護頓效果</t>
        </is>
      </c>
      <c r="AA201" s="150" t="n"/>
      <c r="AB201" s="150" t="n"/>
      <c r="AC201" s="150" t="n"/>
      <c r="AD201" s="149" t="n"/>
    </row>
    <row r="202" ht="15.75" customHeight="1" s="142">
      <c r="A202" s="135">
        <f>A197+1</f>
        <v/>
      </c>
      <c r="B202" s="137" t="inlineStr">
        <is>
          <t>誓約之火★4</t>
        </is>
      </c>
      <c r="C202" s="135" t="n">
        <v>-5</v>
      </c>
      <c r="D202" s="135" t="n"/>
      <c r="E202" s="135" t="n"/>
      <c r="F202" s="135" t="n">
        <v>1</v>
      </c>
      <c r="G202" s="55" t="n"/>
      <c r="H202" s="55" t="n">
        <v>1.5</v>
      </c>
      <c r="I202" s="135" t="n"/>
      <c r="J202" s="135" t="n"/>
      <c r="K202" s="135">
        <f>K201-1</f>
        <v/>
      </c>
      <c r="L202" s="135" t="n"/>
      <c r="M202" s="141" t="inlineStr">
        <is>
          <t>shield</t>
        </is>
      </c>
      <c r="N202" s="51">
        <f>N201-4</f>
        <v/>
      </c>
      <c r="O202" s="141" t="n"/>
      <c r="P202" s="52" t="n"/>
      <c r="Q202" s="52" t="n"/>
      <c r="R202" s="52">
        <f>"1003,1003,1999"</f>
        <v/>
      </c>
      <c r="S202" s="141" t="n"/>
      <c r="T202" s="141" t="n"/>
      <c r="U202" s="141" t="n"/>
      <c r="V202" s="135" t="n"/>
      <c r="W202" s="141" t="n"/>
      <c r="X202" s="141" t="inlineStr">
        <is>
          <t>buff</t>
        </is>
      </c>
      <c r="Y202" s="141" t="n"/>
      <c r="Z202" s="137" t="inlineStr">
        <is>
          <t>對我方全體附加魔攻上升2層與魔攻的&lt;AP&gt;護頓效果</t>
        </is>
      </c>
      <c r="AA202" s="150" t="n"/>
      <c r="AB202" s="150" t="n"/>
      <c r="AC202" s="150" t="n"/>
      <c r="AD202" s="149" t="n"/>
      <c r="AE202" s="57" t="n"/>
    </row>
    <row r="203" ht="15.75" customHeight="1" s="142">
      <c r="A203" s="135">
        <f>A198+1</f>
        <v/>
      </c>
      <c r="B203" s="137" t="inlineStr">
        <is>
          <t>誓約之火•極</t>
        </is>
      </c>
      <c r="C203" s="135" t="n">
        <v>-5</v>
      </c>
      <c r="D203" s="135" t="n"/>
      <c r="E203" s="135" t="n"/>
      <c r="F203" s="135" t="n">
        <v>1</v>
      </c>
      <c r="G203" s="55" t="n"/>
      <c r="H203" s="55" t="n">
        <v>1.5</v>
      </c>
      <c r="I203" s="135" t="n"/>
      <c r="J203" s="135" t="n"/>
      <c r="K203" s="135">
        <f>K202</f>
        <v/>
      </c>
      <c r="L203" s="135" t="n"/>
      <c r="M203" s="141" t="inlineStr">
        <is>
          <t>shield</t>
        </is>
      </c>
      <c r="N203" s="51">
        <f>N202-4</f>
        <v/>
      </c>
      <c r="O203" s="141" t="n"/>
      <c r="P203" s="52" t="n"/>
      <c r="Q203" s="52" t="n"/>
      <c r="R203" s="52">
        <f>"1003,1003,1999,1006,1006"</f>
        <v/>
      </c>
      <c r="S203" s="141" t="n"/>
      <c r="T203" s="141" t="n"/>
      <c r="U203" s="141" t="n"/>
      <c r="V203" s="135" t="n"/>
      <c r="W203" s="141" t="n"/>
      <c r="X203" s="141" t="inlineStr">
        <is>
          <t>buff</t>
        </is>
      </c>
      <c r="Y203" s="141" t="n"/>
      <c r="Z203" s="137" t="inlineStr">
        <is>
          <t>對我方全體附加魔攻上升2層、爆傷上升2層與魔攻的&lt;AP&gt;護頓效果</t>
        </is>
      </c>
      <c r="AA203" s="150" t="n"/>
      <c r="AB203" s="150" t="n"/>
      <c r="AC203" s="150" t="n"/>
      <c r="AD203" s="149" t="n"/>
      <c r="AE203" s="57" t="n"/>
    </row>
    <row r="204" ht="15.75" customHeight="1" s="142">
      <c r="A204" s="135">
        <f>A199+1</f>
        <v/>
      </c>
      <c r="B204" s="137" t="inlineStr">
        <is>
          <t>震天雷霆斬★</t>
        </is>
      </c>
      <c r="C204" s="135" t="n">
        <v>1</v>
      </c>
      <c r="D204" s="135" t="n">
        <v>1</v>
      </c>
      <c r="E204" s="135" t="n"/>
      <c r="F204" s="135" t="n">
        <v>3</v>
      </c>
      <c r="G204" s="55" t="n">
        <v>1.6</v>
      </c>
      <c r="H204" s="55" t="n"/>
      <c r="I204" s="135" t="n"/>
      <c r="J204" s="135" t="n"/>
      <c r="K204" s="135" t="n">
        <v>4</v>
      </c>
      <c r="L204" s="135" t="n"/>
      <c r="M204" s="141" t="inlineStr">
        <is>
          <t>phycial</t>
        </is>
      </c>
      <c r="N204" s="51" t="n">
        <v>23</v>
      </c>
      <c r="O204" s="141" t="n"/>
      <c r="P204" s="52" t="n">
        <v>1001</v>
      </c>
      <c r="Q204" s="52" t="n">
        <v>0.4</v>
      </c>
      <c r="R204" s="52" t="n"/>
      <c r="S204" s="141" t="n"/>
      <c r="T204" s="141" t="n"/>
      <c r="U204" s="141" t="n"/>
      <c r="V204" s="135" t="n"/>
      <c r="W204" s="141" t="n"/>
      <c r="X204" s="141" t="inlineStr">
        <is>
          <t>slash</t>
        </is>
      </c>
      <c r="Y204" s="141" t="n"/>
      <c r="Z204" s="137" t="inlineStr">
        <is>
          <t>對敵方隨機1體造成&lt;AD&gt;物攻的物理傷害共3次，40%自身附加攻擊上升</t>
        </is>
      </c>
      <c r="AA204" s="150" t="n"/>
      <c r="AB204" s="150" t="n"/>
      <c r="AC204" s="150" t="n"/>
      <c r="AD204" s="149" t="n"/>
      <c r="AE204" s="57" t="n"/>
      <c r="AF204" s="57" t="n"/>
      <c r="AG204" s="57" t="n"/>
      <c r="AH204" s="47" t="n"/>
      <c r="AI204" s="57" t="n"/>
    </row>
    <row r="205" ht="15.75" customHeight="1" s="142">
      <c r="A205" s="135">
        <f>A200+1</f>
        <v/>
      </c>
      <c r="B205" s="137" t="inlineStr">
        <is>
          <t>震天雷霆斬★2</t>
        </is>
      </c>
      <c r="C205" s="135" t="n">
        <v>1</v>
      </c>
      <c r="D205" s="135" t="n">
        <v>1</v>
      </c>
      <c r="E205" s="135" t="n"/>
      <c r="F205" s="135" t="n">
        <v>4</v>
      </c>
      <c r="G205" s="55" t="n">
        <v>1.6</v>
      </c>
      <c r="H205" s="55" t="n"/>
      <c r="I205" s="135" t="n"/>
      <c r="J205" s="135" t="n"/>
      <c r="K205" s="135">
        <f>K204</f>
        <v/>
      </c>
      <c r="L205" s="135" t="n"/>
      <c r="M205" s="141" t="inlineStr">
        <is>
          <t>phycial</t>
        </is>
      </c>
      <c r="N205" s="51">
        <f>N204-4</f>
        <v/>
      </c>
      <c r="O205" s="141" t="n"/>
      <c r="P205" s="52" t="n">
        <v>1001</v>
      </c>
      <c r="Q205" s="52" t="n">
        <v>0.4</v>
      </c>
      <c r="R205" s="52" t="n"/>
      <c r="S205" s="141" t="n"/>
      <c r="T205" s="141" t="n"/>
      <c r="U205" s="141" t="n"/>
      <c r="V205" s="135" t="n"/>
      <c r="W205" s="141" t="n"/>
      <c r="X205" s="141" t="inlineStr">
        <is>
          <t>slash</t>
        </is>
      </c>
      <c r="Y205" s="141" t="n"/>
      <c r="Z205" s="137" t="inlineStr">
        <is>
          <t>對敵方隨機1體造成&lt;AD&gt;物攻的物理傷害共4次，40%自身附加攻擊上升</t>
        </is>
      </c>
      <c r="AA205" s="150" t="n"/>
      <c r="AB205" s="150" t="n"/>
      <c r="AC205" s="150" t="n"/>
      <c r="AD205" s="149" t="n"/>
      <c r="AE205" s="57" t="n"/>
      <c r="AF205" s="57" t="n"/>
      <c r="AG205" s="57" t="n"/>
      <c r="AH205" s="47" t="n"/>
      <c r="AI205" s="57" t="n"/>
    </row>
    <row r="206" ht="15.75" customHeight="1" s="142">
      <c r="A206" s="135">
        <f>A201+1</f>
        <v/>
      </c>
      <c r="B206" s="137" t="inlineStr">
        <is>
          <t>震天雷霆斬★3</t>
        </is>
      </c>
      <c r="C206" s="135" t="n">
        <v>1</v>
      </c>
      <c r="D206" s="135" t="n">
        <v>1</v>
      </c>
      <c r="E206" s="135" t="n"/>
      <c r="F206" s="135" t="n">
        <v>4</v>
      </c>
      <c r="G206" s="55" t="n">
        <v>1.6</v>
      </c>
      <c r="H206" s="55" t="n"/>
      <c r="I206" s="135" t="n"/>
      <c r="J206" s="135" t="n"/>
      <c r="K206" s="135">
        <f>K204-1</f>
        <v/>
      </c>
      <c r="L206" s="135" t="n"/>
      <c r="M206" s="141" t="inlineStr">
        <is>
          <t>phycial</t>
        </is>
      </c>
      <c r="N206" s="51">
        <f>N205-4</f>
        <v/>
      </c>
      <c r="O206" s="141" t="n"/>
      <c r="P206" s="52" t="n">
        <v>1001</v>
      </c>
      <c r="Q206" s="52" t="n">
        <v>0.4</v>
      </c>
      <c r="R206" s="52" t="n"/>
      <c r="S206" s="141" t="n"/>
      <c r="T206" s="141" t="n"/>
      <c r="U206" s="141" t="n"/>
      <c r="V206" s="135" t="n"/>
      <c r="W206" s="141" t="n"/>
      <c r="X206" s="141" t="inlineStr">
        <is>
          <t>slash</t>
        </is>
      </c>
      <c r="Y206" s="141" t="n"/>
      <c r="Z206" s="137" t="inlineStr">
        <is>
          <t>對敵方隨機1體造成&lt;AD&gt;物攻的物理傷害共4次，40%自身附加攻擊上升</t>
        </is>
      </c>
      <c r="AA206" s="150" t="n"/>
      <c r="AB206" s="150" t="n"/>
      <c r="AC206" s="150" t="n"/>
      <c r="AD206" s="149" t="n"/>
      <c r="AE206" s="57" t="n"/>
      <c r="AF206" s="57" t="n"/>
      <c r="AG206" s="57" t="n"/>
      <c r="AH206" s="47" t="n"/>
      <c r="AI206" s="57" t="n"/>
    </row>
    <row r="207" ht="15.75" customHeight="1" s="142">
      <c r="A207" s="135">
        <f>A202+1</f>
        <v/>
      </c>
      <c r="B207" s="137" t="inlineStr">
        <is>
          <t>震天雷霆斬★4</t>
        </is>
      </c>
      <c r="C207" s="135" t="n">
        <v>1</v>
      </c>
      <c r="D207" s="135" t="n">
        <v>1</v>
      </c>
      <c r="E207" s="135" t="n"/>
      <c r="F207" s="135" t="n">
        <v>4</v>
      </c>
      <c r="G207" s="55" t="n">
        <v>1.6</v>
      </c>
      <c r="H207" s="55" t="n"/>
      <c r="I207" s="135" t="n"/>
      <c r="J207" s="135" t="n"/>
      <c r="K207" s="135">
        <f>K206-1</f>
        <v/>
      </c>
      <c r="L207" s="135" t="n"/>
      <c r="M207" s="141" t="inlineStr">
        <is>
          <t>phycial</t>
        </is>
      </c>
      <c r="N207" s="51">
        <f>N206-4</f>
        <v/>
      </c>
      <c r="O207" s="141" t="n"/>
      <c r="P207" s="52" t="n">
        <v>1001</v>
      </c>
      <c r="Q207" s="52" t="n">
        <v>0.4</v>
      </c>
      <c r="R207" s="52" t="n"/>
      <c r="S207" s="141" t="n"/>
      <c r="T207" s="141" t="n"/>
      <c r="U207" s="141" t="n"/>
      <c r="V207" s="135" t="n"/>
      <c r="W207" s="141" t="n"/>
      <c r="X207" s="141" t="inlineStr">
        <is>
          <t>slash</t>
        </is>
      </c>
      <c r="Y207" s="141" t="n"/>
      <c r="Z207" s="137" t="inlineStr">
        <is>
          <t>對敵方隨機1體造成&lt;AD&gt;物攻的物理傷害共4次，40%自身附加攻擊上升</t>
        </is>
      </c>
      <c r="AA207" s="150" t="n"/>
      <c r="AB207" s="150" t="n"/>
      <c r="AC207" s="150" t="n"/>
      <c r="AD207" s="149" t="n"/>
      <c r="AE207" s="57" t="n"/>
      <c r="AF207" s="57" t="n"/>
      <c r="AG207" s="57" t="n"/>
      <c r="AH207" s="47" t="n"/>
      <c r="AI207" s="57" t="n"/>
    </row>
    <row r="208" ht="15.75" customHeight="1" s="142">
      <c r="A208" s="135">
        <f>A203+1</f>
        <v/>
      </c>
      <c r="B208" s="137" t="inlineStr">
        <is>
          <t>震天雷霆斬•破</t>
        </is>
      </c>
      <c r="C208" s="135" t="n">
        <v>1</v>
      </c>
      <c r="D208" s="135" t="n">
        <v>1</v>
      </c>
      <c r="E208" s="135" t="n"/>
      <c r="F208" s="135" t="n">
        <v>6</v>
      </c>
      <c r="G208" s="55" t="n">
        <v>1.6</v>
      </c>
      <c r="H208" s="55" t="n"/>
      <c r="I208" s="135" t="n"/>
      <c r="J208" s="135" t="n"/>
      <c r="K208" s="135">
        <f>K207</f>
        <v/>
      </c>
      <c r="L208" s="135" t="n"/>
      <c r="M208" s="141" t="inlineStr">
        <is>
          <t>phycial</t>
        </is>
      </c>
      <c r="N208" s="51">
        <f>N207-4</f>
        <v/>
      </c>
      <c r="O208" s="141" t="n"/>
      <c r="P208" s="52" t="n">
        <v>1001</v>
      </c>
      <c r="Q208" s="52" t="n">
        <v>0.4</v>
      </c>
      <c r="R208" s="52" t="n"/>
      <c r="S208" s="141" t="n"/>
      <c r="T208" s="141" t="n"/>
      <c r="U208" s="141" t="n"/>
      <c r="V208" s="135" t="n"/>
      <c r="W208" s="141" t="n"/>
      <c r="X208" s="141" t="inlineStr">
        <is>
          <t>slash</t>
        </is>
      </c>
      <c r="Y208" s="141" t="n"/>
      <c r="Z208" s="137" t="inlineStr">
        <is>
          <t>對敵方隨機1體造成&lt;AD&gt;物攻的物理傷害共6次，40%自身附加攻擊上升</t>
        </is>
      </c>
      <c r="AA208" s="150" t="n"/>
      <c r="AB208" s="150" t="n"/>
      <c r="AC208" s="150" t="n"/>
      <c r="AD208" s="149" t="n"/>
      <c r="AE208" s="57" t="n"/>
      <c r="AF208" s="57" t="n"/>
      <c r="AG208" s="57" t="n"/>
      <c r="AH208" s="47" t="n"/>
      <c r="AI208" s="57" t="n"/>
    </row>
    <row r="209" ht="15.75" customHeight="1" s="142">
      <c r="A209" s="135">
        <f>A204+1</f>
        <v/>
      </c>
      <c r="B209" s="137" t="inlineStr">
        <is>
          <t>噬魂開鋒★</t>
        </is>
      </c>
      <c r="C209" s="135" t="n">
        <v>1</v>
      </c>
      <c r="D209" s="135" t="n">
        <v>1</v>
      </c>
      <c r="E209" s="135" t="n"/>
      <c r="F209" s="135" t="n">
        <v>1</v>
      </c>
      <c r="G209" s="55" t="n">
        <v>5</v>
      </c>
      <c r="H209" s="55" t="n"/>
      <c r="I209" s="135" t="n"/>
      <c r="J209" s="135" t="n"/>
      <c r="K209" s="135" t="n">
        <v>5</v>
      </c>
      <c r="L209" s="135" t="n"/>
      <c r="M209" s="141" t="inlineStr">
        <is>
          <t>phycial</t>
        </is>
      </c>
      <c r="N209" s="51" t="n">
        <v>100</v>
      </c>
      <c r="O209" s="141" t="n"/>
      <c r="P209" s="52" t="n"/>
      <c r="Q209" s="52" t="n"/>
      <c r="R209" s="52" t="n">
        <v>5004</v>
      </c>
      <c r="S209" s="141" t="n">
        <v>0.4</v>
      </c>
      <c r="T209" s="141" t="n"/>
      <c r="U209" s="141" t="n"/>
      <c r="V209" s="135" t="n"/>
      <c r="W209" s="53" t="inlineStr">
        <is>
          <t>magic_throw</t>
        </is>
      </c>
      <c r="X209" s="53" t="inlineStr">
        <is>
          <t>explode</t>
        </is>
      </c>
      <c r="Y209" s="141" t="n"/>
      <c r="Z209" s="137" t="inlineStr">
        <is>
          <t>對敵方1體隨機造成&lt;AD&gt;物攻的物理傷害，額外40%附加停止</t>
        </is>
      </c>
      <c r="AA209" s="150" t="n"/>
      <c r="AB209" s="150" t="n"/>
      <c r="AC209" s="150" t="n"/>
      <c r="AD209" s="149" t="n"/>
      <c r="AE209" s="57" t="n"/>
    </row>
    <row r="210" ht="15.75" customHeight="1" s="142">
      <c r="A210" s="135">
        <f>A205+1</f>
        <v/>
      </c>
      <c r="B210" s="137" t="inlineStr">
        <is>
          <t>噬魂開鋒★2</t>
        </is>
      </c>
      <c r="C210" s="135" t="n">
        <v>1</v>
      </c>
      <c r="D210" s="135" t="n">
        <v>1</v>
      </c>
      <c r="E210" s="135" t="n"/>
      <c r="F210" s="135" t="n">
        <v>1</v>
      </c>
      <c r="G210" s="55" t="n">
        <v>5</v>
      </c>
      <c r="H210" s="55" t="n"/>
      <c r="I210" s="135" t="n"/>
      <c r="J210" s="135" t="n"/>
      <c r="K210" s="135">
        <f>K209</f>
        <v/>
      </c>
      <c r="L210" s="135" t="n"/>
      <c r="M210" s="141" t="inlineStr">
        <is>
          <t>phycial</t>
        </is>
      </c>
      <c r="N210" s="51">
        <f>N209-4</f>
        <v/>
      </c>
      <c r="O210" s="141" t="n"/>
      <c r="P210" s="52" t="n"/>
      <c r="Q210" s="52" t="n"/>
      <c r="R210" s="52">
        <f>"5002,5004"</f>
        <v/>
      </c>
      <c r="S210" s="141" t="n">
        <v>0.4</v>
      </c>
      <c r="T210" s="141" t="n"/>
      <c r="U210" s="141" t="n"/>
      <c r="V210" s="135" t="n"/>
      <c r="W210" s="53" t="inlineStr">
        <is>
          <t>magic_throw</t>
        </is>
      </c>
      <c r="X210" s="53" t="inlineStr">
        <is>
          <t>explode</t>
        </is>
      </c>
      <c r="Y210" s="141" t="n"/>
      <c r="Z210" s="137" t="inlineStr">
        <is>
          <t>對敵方1體隨機造成&lt;AD&gt;物攻的物理傷害，額外40%附加停止與暈眩</t>
        </is>
      </c>
      <c r="AA210" s="150" t="n"/>
      <c r="AB210" s="150" t="n"/>
      <c r="AC210" s="150" t="n"/>
      <c r="AD210" s="149" t="n"/>
      <c r="AE210" s="57" t="n"/>
      <c r="AF210" s="57" t="n"/>
      <c r="AG210" s="57" t="n"/>
      <c r="AH210" s="47" t="n"/>
      <c r="AI210" s="57" t="n"/>
    </row>
    <row r="211" ht="15.75" customHeight="1" s="142">
      <c r="A211" s="135">
        <f>A206+1</f>
        <v/>
      </c>
      <c r="B211" s="137" t="inlineStr">
        <is>
          <t>噬魂開鋒★3</t>
        </is>
      </c>
      <c r="C211" s="135" t="n">
        <v>1</v>
      </c>
      <c r="D211" s="135" t="n">
        <v>1</v>
      </c>
      <c r="E211" s="135" t="n"/>
      <c r="F211" s="135" t="n">
        <v>1</v>
      </c>
      <c r="G211" s="55" t="n">
        <v>5</v>
      </c>
      <c r="H211" s="55" t="n"/>
      <c r="I211" s="135" t="n"/>
      <c r="J211" s="135" t="n"/>
      <c r="K211" s="135">
        <f>K209-1</f>
        <v/>
      </c>
      <c r="L211" s="135" t="n"/>
      <c r="M211" s="141" t="inlineStr">
        <is>
          <t>phycial</t>
        </is>
      </c>
      <c r="N211" s="51">
        <f>N210-4</f>
        <v/>
      </c>
      <c r="O211" s="141" t="n"/>
      <c r="P211" s="52" t="n"/>
      <c r="Q211" s="52" t="n"/>
      <c r="R211" s="52">
        <f>"5002,5004"</f>
        <v/>
      </c>
      <c r="S211" s="141" t="n">
        <v>0.4</v>
      </c>
      <c r="T211" s="141" t="n"/>
      <c r="U211" s="141" t="n"/>
      <c r="V211" s="135" t="n"/>
      <c r="W211" s="53" t="inlineStr">
        <is>
          <t>magic_throw</t>
        </is>
      </c>
      <c r="X211" s="53" t="inlineStr">
        <is>
          <t>explode</t>
        </is>
      </c>
      <c r="Y211" s="141" t="n"/>
      <c r="Z211" s="137" t="inlineStr">
        <is>
          <t>對敵方1體隨機造成&lt;AD&gt;物攻的物理傷害，額外40%附加停止與暈眩</t>
        </is>
      </c>
      <c r="AA211" s="150" t="n"/>
      <c r="AB211" s="150" t="n"/>
      <c r="AC211" s="150" t="n"/>
      <c r="AD211" s="149" t="n"/>
      <c r="AE211" s="57" t="n"/>
      <c r="AF211" s="57" t="n"/>
      <c r="AG211" s="57" t="n"/>
      <c r="AH211" s="47" t="n"/>
      <c r="AI211" s="57" t="n"/>
    </row>
    <row r="212" ht="15.75" customHeight="1" s="142">
      <c r="A212" s="135">
        <f>A207+1</f>
        <v/>
      </c>
      <c r="B212" s="137" t="inlineStr">
        <is>
          <t>噬魂開鋒★4</t>
        </is>
      </c>
      <c r="C212" s="135" t="n">
        <v>1</v>
      </c>
      <c r="D212" s="135" t="n">
        <v>1</v>
      </c>
      <c r="E212" s="135" t="n"/>
      <c r="F212" s="135" t="n">
        <v>1</v>
      </c>
      <c r="G212" s="55" t="n">
        <v>5</v>
      </c>
      <c r="H212" s="55" t="n"/>
      <c r="I212" s="135" t="n"/>
      <c r="J212" s="135" t="n"/>
      <c r="K212" s="135">
        <f>K211-1</f>
        <v/>
      </c>
      <c r="L212" s="135" t="n"/>
      <c r="M212" s="141" t="inlineStr">
        <is>
          <t>phycial</t>
        </is>
      </c>
      <c r="N212" s="51">
        <f>N211-4</f>
        <v/>
      </c>
      <c r="O212" s="141" t="n"/>
      <c r="P212" s="52" t="n"/>
      <c r="Q212" s="52" t="n"/>
      <c r="R212" s="52">
        <f>"5002,5004"</f>
        <v/>
      </c>
      <c r="S212" s="141" t="n">
        <v>0.4</v>
      </c>
      <c r="T212" s="141" t="n"/>
      <c r="U212" s="141" t="n"/>
      <c r="V212" s="135" t="n"/>
      <c r="W212" s="53" t="inlineStr">
        <is>
          <t>magic_throw</t>
        </is>
      </c>
      <c r="X212" s="53" t="inlineStr">
        <is>
          <t>explode</t>
        </is>
      </c>
      <c r="Y212" s="141" t="n"/>
      <c r="Z212" s="137" t="inlineStr">
        <is>
          <t>對敵方1體隨機造成&lt;AD&gt;物攻的物理傷害，額外40%附加停止與暈眩</t>
        </is>
      </c>
      <c r="AA212" s="150" t="n"/>
      <c r="AB212" s="150" t="n"/>
      <c r="AC212" s="150" t="n"/>
      <c r="AD212" s="149" t="n"/>
      <c r="AF212" s="57" t="n"/>
      <c r="AG212" s="57" t="n"/>
      <c r="AH212" s="47" t="n"/>
      <c r="AI212" s="57" t="n"/>
    </row>
    <row r="213" ht="15.75" customHeight="1" s="142">
      <c r="A213" s="135">
        <f>A208+1</f>
        <v/>
      </c>
      <c r="B213" s="137" t="inlineStr">
        <is>
          <t>噬魂開鋒•破</t>
        </is>
      </c>
      <c r="C213" s="135" t="n">
        <v>2</v>
      </c>
      <c r="D213" s="135" t="n">
        <v>1</v>
      </c>
      <c r="E213" s="135" t="n"/>
      <c r="F213" s="135" t="n">
        <v>1</v>
      </c>
      <c r="G213" s="55" t="n">
        <v>5</v>
      </c>
      <c r="H213" s="55" t="n"/>
      <c r="I213" s="135" t="n"/>
      <c r="J213" s="135" t="n"/>
      <c r="K213" s="135">
        <f>K212</f>
        <v/>
      </c>
      <c r="L213" s="135" t="n"/>
      <c r="M213" s="141" t="inlineStr">
        <is>
          <t>phycial</t>
        </is>
      </c>
      <c r="N213" s="51">
        <f>N212-4</f>
        <v/>
      </c>
      <c r="O213" s="141" t="n"/>
      <c r="P213" s="52" t="n"/>
      <c r="Q213" s="52" t="n"/>
      <c r="R213" s="52">
        <f>"5002,5004,5001"</f>
        <v/>
      </c>
      <c r="S213" s="141" t="n">
        <v>0.4</v>
      </c>
      <c r="T213" s="141" t="n"/>
      <c r="U213" s="141" t="n"/>
      <c r="V213" s="135" t="n"/>
      <c r="W213" s="53" t="inlineStr">
        <is>
          <t>magic_throw</t>
        </is>
      </c>
      <c r="X213" s="53" t="inlineStr">
        <is>
          <t>explode</t>
        </is>
      </c>
      <c r="Y213" s="141" t="n"/>
      <c r="Z213" s="137" t="inlineStr">
        <is>
          <t>對敵方2體隨機造成&lt;AD&gt;物攻的物理傷害，額外40%附加停止、暈眩與麻痺</t>
        </is>
      </c>
      <c r="AA213" s="150" t="n"/>
      <c r="AB213" s="150" t="n"/>
      <c r="AC213" s="150" t="n"/>
      <c r="AD213" s="149" t="n"/>
      <c r="AF213" s="57" t="n"/>
      <c r="AG213" s="57" t="n"/>
      <c r="AH213" s="47" t="n"/>
      <c r="AI213" s="57" t="n"/>
    </row>
    <row r="214" ht="15.75" customHeight="1" s="142">
      <c r="A214" s="135">
        <f>A209+1</f>
        <v/>
      </c>
      <c r="B214" s="137" t="inlineStr">
        <is>
          <t>聖光衝擊★</t>
        </is>
      </c>
      <c r="C214" s="135" t="n">
        <v>1</v>
      </c>
      <c r="D214" s="135" t="n"/>
      <c r="E214" s="135" t="n"/>
      <c r="F214" s="135" t="n">
        <v>1</v>
      </c>
      <c r="G214" s="55" t="n">
        <v>4.8</v>
      </c>
      <c r="H214" s="55" t="n"/>
      <c r="I214" s="135" t="n"/>
      <c r="J214" s="135" t="n"/>
      <c r="K214" s="135" t="n">
        <v>6</v>
      </c>
      <c r="L214" s="135" t="n"/>
      <c r="M214" s="141" t="inlineStr">
        <is>
          <t>phycial</t>
        </is>
      </c>
      <c r="N214" s="51" t="n">
        <v>44</v>
      </c>
      <c r="O214" s="141" t="n"/>
      <c r="P214" s="52" t="n"/>
      <c r="Q214" s="52" t="n"/>
      <c r="R214" s="52" t="n">
        <v>5002</v>
      </c>
      <c r="S214" s="141" t="n">
        <v>0.4</v>
      </c>
      <c r="T214" s="141" t="n"/>
      <c r="U214" s="141" t="n"/>
      <c r="V214" s="135" t="n"/>
      <c r="W214" s="141" t="n"/>
      <c r="X214" s="141" t="inlineStr">
        <is>
          <t>stab</t>
        </is>
      </c>
      <c r="Y214" s="141" t="n"/>
      <c r="Z214" s="137" t="inlineStr">
        <is>
          <t>對敵方1體造成&lt;AD&gt;物攻的物理傷害，造成40%暈眩</t>
        </is>
      </c>
      <c r="AA214" s="150" t="n"/>
      <c r="AB214" s="150" t="n"/>
      <c r="AC214" s="150" t="n"/>
      <c r="AD214" s="149" t="n"/>
    </row>
    <row r="215" ht="15.75" customHeight="1" s="142">
      <c r="A215" s="135">
        <f>A210+1</f>
        <v/>
      </c>
      <c r="B215" s="137" t="inlineStr">
        <is>
          <t>聖光衝擊★2</t>
        </is>
      </c>
      <c r="C215" s="135" t="n">
        <v>1</v>
      </c>
      <c r="D215" s="135" t="n"/>
      <c r="E215" s="135" t="n"/>
      <c r="F215" s="135" t="n">
        <v>1</v>
      </c>
      <c r="G215" s="55" t="n">
        <v>4.8</v>
      </c>
      <c r="H215" s="55" t="n"/>
      <c r="I215" s="135" t="n"/>
      <c r="J215" s="135" t="n"/>
      <c r="K215" s="135">
        <f>K214</f>
        <v/>
      </c>
      <c r="L215" s="135" t="n"/>
      <c r="M215" s="141" t="inlineStr">
        <is>
          <t>phycial</t>
        </is>
      </c>
      <c r="N215" s="51">
        <f>N214-4</f>
        <v/>
      </c>
      <c r="O215" s="141" t="n"/>
      <c r="P215" s="52">
        <f>"3001,3002"</f>
        <v/>
      </c>
      <c r="Q215" s="52" t="n"/>
      <c r="R215" s="52" t="n">
        <v>5002</v>
      </c>
      <c r="S215" s="141" t="n">
        <v>0.4</v>
      </c>
      <c r="T215" s="141" t="n"/>
      <c r="U215" s="141" t="n"/>
      <c r="V215" s="135" t="n"/>
      <c r="W215" s="141" t="n"/>
      <c r="X215" s="141" t="inlineStr">
        <is>
          <t>stab</t>
        </is>
      </c>
      <c r="Y215" s="141" t="n"/>
      <c r="Z215" s="137" t="inlineStr">
        <is>
          <t>對敵方1體造成&lt;AD&gt;物攻的物理傷害，造成40%暈眩；為自身附加持續回魔與持續恢復效果</t>
        </is>
      </c>
      <c r="AA215" s="150" t="n"/>
      <c r="AB215" s="150" t="n"/>
      <c r="AC215" s="150" t="n"/>
      <c r="AD215" s="149" t="n"/>
      <c r="AF215" s="57" t="n"/>
      <c r="AG215" s="57" t="n"/>
      <c r="AH215" s="47" t="n"/>
      <c r="AI215" s="57" t="n"/>
    </row>
    <row r="216" ht="15.75" customHeight="1" s="142">
      <c r="A216" s="135">
        <f>A211+1</f>
        <v/>
      </c>
      <c r="B216" s="137" t="inlineStr">
        <is>
          <t>聖光衝擊★3</t>
        </is>
      </c>
      <c r="C216" s="135" t="n">
        <v>1</v>
      </c>
      <c r="D216" s="135" t="n"/>
      <c r="E216" s="135" t="n"/>
      <c r="F216" s="135" t="n">
        <v>1</v>
      </c>
      <c r="G216" s="55" t="n">
        <v>4.8</v>
      </c>
      <c r="H216" s="55" t="n"/>
      <c r="I216" s="135" t="n"/>
      <c r="J216" s="135" t="n"/>
      <c r="K216" s="135">
        <f>K214-1</f>
        <v/>
      </c>
      <c r="L216" s="135" t="n"/>
      <c r="M216" s="141" t="inlineStr">
        <is>
          <t>phycial</t>
        </is>
      </c>
      <c r="N216" s="51">
        <f>N215-4</f>
        <v/>
      </c>
      <c r="O216" s="141" t="n"/>
      <c r="P216" s="52">
        <f>"3001,3002"</f>
        <v/>
      </c>
      <c r="Q216" s="52" t="n"/>
      <c r="R216" s="52" t="n">
        <v>5002</v>
      </c>
      <c r="S216" s="141" t="n">
        <v>0.4</v>
      </c>
      <c r="T216" s="141" t="n"/>
      <c r="U216" s="141" t="n"/>
      <c r="V216" s="135" t="n"/>
      <c r="W216" s="141" t="n"/>
      <c r="X216" s="141" t="inlineStr">
        <is>
          <t>stab</t>
        </is>
      </c>
      <c r="Y216" s="141" t="n"/>
      <c r="Z216" s="137" t="inlineStr">
        <is>
          <t>對敵方1體造成&lt;AD&gt;物攻的物理傷害，造成40%暈眩；為自身附加持續回魔與持續恢復效果</t>
        </is>
      </c>
      <c r="AA216" s="150" t="n"/>
      <c r="AB216" s="150" t="n"/>
      <c r="AC216" s="150" t="n"/>
      <c r="AD216" s="149" t="n"/>
      <c r="AF216" s="57" t="n"/>
      <c r="AG216" s="57" t="n"/>
      <c r="AH216" s="47" t="n"/>
      <c r="AI216" s="57" t="n"/>
    </row>
    <row r="217" ht="15.75" customHeight="1" s="142">
      <c r="A217" s="135">
        <f>A212+1</f>
        <v/>
      </c>
      <c r="B217" s="137" t="inlineStr">
        <is>
          <t>聖光衝擊★4</t>
        </is>
      </c>
      <c r="C217" s="135" t="n">
        <v>1</v>
      </c>
      <c r="D217" s="135" t="n"/>
      <c r="E217" s="135" t="n"/>
      <c r="F217" s="135" t="n">
        <v>1</v>
      </c>
      <c r="G217" s="55" t="n">
        <v>4.8</v>
      </c>
      <c r="H217" s="55" t="n"/>
      <c r="I217" s="135" t="n"/>
      <c r="J217" s="135" t="n"/>
      <c r="K217" s="135">
        <f>K216-1</f>
        <v/>
      </c>
      <c r="L217" s="135" t="n"/>
      <c r="M217" s="141" t="inlineStr">
        <is>
          <t>phycial</t>
        </is>
      </c>
      <c r="N217" s="51">
        <f>N216-4</f>
        <v/>
      </c>
      <c r="O217" s="141" t="n"/>
      <c r="P217" s="52">
        <f>"3001,3002"</f>
        <v/>
      </c>
      <c r="Q217" s="52" t="n"/>
      <c r="R217" s="52" t="n">
        <v>5002</v>
      </c>
      <c r="S217" s="141" t="n">
        <v>0.4</v>
      </c>
      <c r="T217" s="141" t="n"/>
      <c r="U217" s="141" t="n"/>
      <c r="V217" s="135" t="n"/>
      <c r="W217" s="141" t="n"/>
      <c r="X217" s="141" t="inlineStr">
        <is>
          <t>stab</t>
        </is>
      </c>
      <c r="Y217" s="141" t="n"/>
      <c r="Z217" s="137" t="inlineStr">
        <is>
          <t>對敵方1體造成&lt;AD&gt;物攻的物理傷害，造成40%暈眩；為自身附加持續回魔與持續恢復效果</t>
        </is>
      </c>
      <c r="AA217" s="150" t="n"/>
      <c r="AB217" s="150" t="n"/>
      <c r="AC217" s="150" t="n"/>
      <c r="AD217" s="149" t="n"/>
      <c r="AF217" s="57" t="n"/>
      <c r="AG217" s="57" t="n"/>
      <c r="AH217" s="47" t="n"/>
      <c r="AI217" s="57" t="n"/>
    </row>
    <row r="218" ht="15.75" customHeight="1" s="142">
      <c r="A218" s="135">
        <f>A213+1</f>
        <v/>
      </c>
      <c r="B218" s="137" t="inlineStr">
        <is>
          <t>聖光衝擊•破</t>
        </is>
      </c>
      <c r="C218" s="135" t="n">
        <v>1</v>
      </c>
      <c r="D218" s="135" t="n"/>
      <c r="E218" s="135" t="n"/>
      <c r="F218" s="135" t="n">
        <v>1</v>
      </c>
      <c r="G218" s="55" t="n">
        <v>4.8</v>
      </c>
      <c r="H218" s="55" t="n"/>
      <c r="I218" s="135" t="n"/>
      <c r="J218" s="135" t="n"/>
      <c r="K218" s="135">
        <f>K217</f>
        <v/>
      </c>
      <c r="L218" s="135" t="n"/>
      <c r="M218" s="141" t="inlineStr">
        <is>
          <t>phycial</t>
        </is>
      </c>
      <c r="N218" s="51">
        <f>N217-4</f>
        <v/>
      </c>
      <c r="O218" s="141" t="n"/>
      <c r="P218" s="52">
        <f>"3001,3002"</f>
        <v/>
      </c>
      <c r="Q218" s="52" t="n"/>
      <c r="R218" s="52" t="n">
        <v>5002</v>
      </c>
      <c r="S218" s="141" t="n"/>
      <c r="T218" s="141" t="n"/>
      <c r="U218" s="141" t="n"/>
      <c r="V218" s="135" t="n"/>
      <c r="W218" s="141" t="n"/>
      <c r="X218" s="141" t="inlineStr">
        <is>
          <t>stab</t>
        </is>
      </c>
      <c r="Y218" s="141" t="n"/>
      <c r="Z218" s="137" t="inlineStr">
        <is>
          <t>對敵方1體造成&lt;AD&gt;物攻的物理傷害，造成100%暈眩；為自身附加持續回魔與持續恢復效果</t>
        </is>
      </c>
      <c r="AA218" s="150" t="n"/>
      <c r="AB218" s="150" t="n"/>
      <c r="AC218" s="150" t="n"/>
      <c r="AD218" s="149" t="n"/>
      <c r="AE218" s="57" t="n"/>
      <c r="AF218" s="57" t="n"/>
      <c r="AG218" s="57" t="n"/>
      <c r="AH218" s="47" t="n"/>
      <c r="AI218" s="57" t="n"/>
    </row>
    <row r="219" ht="15.75" customHeight="1" s="142">
      <c r="A219" s="135">
        <f>A214+1</f>
        <v/>
      </c>
      <c r="B219" s="137" t="inlineStr">
        <is>
          <t>英雄意志★</t>
        </is>
      </c>
      <c r="C219" s="135" t="n">
        <v>-1</v>
      </c>
      <c r="D219" s="135" t="n"/>
      <c r="E219" s="135" t="n"/>
      <c r="F219" s="135" t="n">
        <v>1</v>
      </c>
      <c r="G219" s="55" t="n"/>
      <c r="H219" s="55" t="n">
        <v>4.8</v>
      </c>
      <c r="I219" s="135" t="n"/>
      <c r="J219" s="135" t="n"/>
      <c r="K219" s="135" t="n">
        <v>7</v>
      </c>
      <c r="L219" s="135" t="n"/>
      <c r="M219" s="141" t="inlineStr">
        <is>
          <t>heal</t>
        </is>
      </c>
      <c r="N219" s="51" t="n">
        <v>48</v>
      </c>
      <c r="O219" s="141" t="n">
        <v>150</v>
      </c>
      <c r="P219" s="52" t="n"/>
      <c r="Q219" s="52" t="n"/>
      <c r="R219" s="52" t="n">
        <v>3017</v>
      </c>
      <c r="S219" s="141" t="n"/>
      <c r="T219" s="141" t="n"/>
      <c r="U219" s="141" t="n"/>
      <c r="V219" s="135" t="n"/>
      <c r="W219" s="141" t="n"/>
      <c r="X219" s="141" t="inlineStr">
        <is>
          <t>heal</t>
        </is>
      </c>
      <c r="Y219" s="141" t="n"/>
      <c r="Z219" s="137" t="inlineStr">
        <is>
          <t>對我方1體恢復魔攻&lt;AP&gt;的hp，追加立即恢復對象mp150</t>
        </is>
      </c>
      <c r="AA219" s="150" t="n"/>
      <c r="AB219" s="150" t="n"/>
      <c r="AC219" s="150" t="n"/>
      <c r="AD219" s="149" t="n"/>
      <c r="AE219" s="57" t="n"/>
    </row>
    <row r="220" ht="15.75" customHeight="1" s="142">
      <c r="A220" s="135">
        <f>A215+1</f>
        <v/>
      </c>
      <c r="B220" s="137" t="inlineStr">
        <is>
          <t>英雄意志★2</t>
        </is>
      </c>
      <c r="C220" s="135" t="n">
        <v>-1</v>
      </c>
      <c r="D220" s="135" t="n"/>
      <c r="E220" s="135" t="n"/>
      <c r="F220" s="135" t="n">
        <v>1</v>
      </c>
      <c r="G220" s="55" t="n"/>
      <c r="H220" s="55" t="n">
        <v>4.8</v>
      </c>
      <c r="I220" s="135" t="n"/>
      <c r="J220" s="135" t="n"/>
      <c r="K220" s="135">
        <f>K219</f>
        <v/>
      </c>
      <c r="L220" s="135" t="n"/>
      <c r="M220" s="141" t="inlineStr">
        <is>
          <t>heal</t>
        </is>
      </c>
      <c r="N220" s="51">
        <f>N219-4</f>
        <v/>
      </c>
      <c r="O220" s="141" t="n">
        <v>150</v>
      </c>
      <c r="P220" s="52" t="n"/>
      <c r="Q220" s="52" t="n"/>
      <c r="R220" s="52" t="n">
        <v>3017</v>
      </c>
      <c r="S220" s="141" t="n"/>
      <c r="T220" s="141" t="n"/>
      <c r="U220" s="141" t="n"/>
      <c r="V220" s="135" t="n"/>
      <c r="W220" s="141" t="n"/>
      <c r="X220" s="141" t="inlineStr">
        <is>
          <t>heal</t>
        </is>
      </c>
      <c r="Y220" s="141" t="n"/>
      <c r="Z220" s="137" t="inlineStr">
        <is>
          <t>對我方1體恢復魔攻&lt;AP&gt;的hp，追加立即恢復對象mp150，並附加不屈效果</t>
        </is>
      </c>
      <c r="AA220" s="150" t="n"/>
      <c r="AB220" s="150" t="n"/>
      <c r="AC220" s="150" t="n"/>
      <c r="AD220" s="149" t="n"/>
      <c r="AE220" s="57" t="n"/>
      <c r="AF220" s="57" t="n"/>
      <c r="AG220" s="57" t="n"/>
      <c r="AH220" s="47" t="n"/>
      <c r="AI220" s="47" t="n"/>
    </row>
    <row r="221" ht="15.75" customHeight="1" s="142">
      <c r="A221" s="135">
        <f>A216+1</f>
        <v/>
      </c>
      <c r="B221" s="137" t="inlineStr">
        <is>
          <t>英雄意志★3</t>
        </is>
      </c>
      <c r="C221" s="135" t="n">
        <v>-1</v>
      </c>
      <c r="D221" s="135" t="n"/>
      <c r="E221" s="135" t="n"/>
      <c r="F221" s="135" t="n">
        <v>1</v>
      </c>
      <c r="G221" s="55" t="n"/>
      <c r="H221" s="55" t="n">
        <v>4.8</v>
      </c>
      <c r="I221" s="135" t="n"/>
      <c r="J221" s="135" t="n"/>
      <c r="K221" s="135">
        <f>K219-1</f>
        <v/>
      </c>
      <c r="L221" s="135" t="n"/>
      <c r="M221" s="141" t="inlineStr">
        <is>
          <t>heal</t>
        </is>
      </c>
      <c r="N221" s="51">
        <f>N220-4</f>
        <v/>
      </c>
      <c r="O221" s="141" t="n">
        <v>150</v>
      </c>
      <c r="P221" s="52" t="n"/>
      <c r="Q221" s="52" t="n"/>
      <c r="R221" s="52" t="n">
        <v>3017</v>
      </c>
      <c r="S221" s="141" t="n"/>
      <c r="T221" s="141" t="n"/>
      <c r="U221" s="141" t="n"/>
      <c r="V221" s="135" t="n"/>
      <c r="W221" s="141" t="n"/>
      <c r="X221" s="141" t="inlineStr">
        <is>
          <t>heal</t>
        </is>
      </c>
      <c r="Y221" s="141" t="n"/>
      <c r="Z221" s="137" t="inlineStr">
        <is>
          <t>對我方1體恢復魔攻&lt;AP&gt;的hp，追加立即恢復對象mp150，並附加不屈效果</t>
        </is>
      </c>
      <c r="AA221" s="150" t="n"/>
      <c r="AB221" s="150" t="n"/>
      <c r="AC221" s="150" t="n"/>
      <c r="AD221" s="149" t="n"/>
      <c r="AE221" s="57" t="n"/>
      <c r="AF221" s="57" t="n"/>
      <c r="AG221" s="57" t="n"/>
      <c r="AH221" s="47" t="n"/>
      <c r="AI221" s="47" t="n"/>
    </row>
    <row r="222" ht="15.75" customHeight="1" s="142">
      <c r="A222" s="135">
        <f>A217+1</f>
        <v/>
      </c>
      <c r="B222" s="137" t="inlineStr">
        <is>
          <t>英雄意志★4</t>
        </is>
      </c>
      <c r="C222" s="135" t="n">
        <v>-1</v>
      </c>
      <c r="D222" s="135" t="n"/>
      <c r="E222" s="135" t="n"/>
      <c r="F222" s="135" t="n">
        <v>1</v>
      </c>
      <c r="G222" s="55" t="n"/>
      <c r="H222" s="55" t="n">
        <v>4.8</v>
      </c>
      <c r="I222" s="135" t="n"/>
      <c r="J222" s="135" t="n"/>
      <c r="K222" s="135">
        <f>K221-1</f>
        <v/>
      </c>
      <c r="L222" s="135" t="n"/>
      <c r="M222" s="141" t="inlineStr">
        <is>
          <t>heal</t>
        </is>
      </c>
      <c r="N222" s="51">
        <f>N221-4</f>
        <v/>
      </c>
      <c r="O222" s="141" t="n">
        <v>150</v>
      </c>
      <c r="P222" s="52" t="n"/>
      <c r="Q222" s="52" t="n"/>
      <c r="R222" s="52" t="n">
        <v>3017</v>
      </c>
      <c r="S222" s="141" t="n"/>
      <c r="T222" s="141" t="n"/>
      <c r="U222" s="141" t="n"/>
      <c r="V222" s="135" t="n"/>
      <c r="W222" s="141" t="n"/>
      <c r="X222" s="141" t="inlineStr">
        <is>
          <t>heal</t>
        </is>
      </c>
      <c r="Y222" s="141" t="n"/>
      <c r="Z222" s="137" t="inlineStr">
        <is>
          <t>對我方1體恢復魔攻&lt;AP&gt;的hp，追加立即恢復對象mp150，並附加不屈效果</t>
        </is>
      </c>
      <c r="AA222" s="150" t="n"/>
      <c r="AB222" s="150" t="n"/>
      <c r="AC222" s="150" t="n"/>
      <c r="AD222" s="149" t="n"/>
      <c r="AE222" s="57" t="n"/>
      <c r="AF222" s="57" t="n"/>
      <c r="AG222" s="57" t="n"/>
      <c r="AH222" s="47" t="n"/>
      <c r="AI222" s="47" t="n"/>
    </row>
    <row r="223" ht="15.75" customHeight="1" s="142">
      <c r="A223" s="135">
        <f>A218+1</f>
        <v/>
      </c>
      <c r="B223" s="137" t="inlineStr">
        <is>
          <t>英雄意志•堅</t>
        </is>
      </c>
      <c r="C223" s="135" t="n">
        <v>-2</v>
      </c>
      <c r="D223" s="135" t="n"/>
      <c r="E223" s="135" t="n"/>
      <c r="F223" s="135" t="n">
        <v>1</v>
      </c>
      <c r="G223" s="55" t="n"/>
      <c r="H223" s="55" t="n">
        <v>4.8</v>
      </c>
      <c r="I223" s="135" t="n"/>
      <c r="J223" s="135" t="n">
        <v>0.3</v>
      </c>
      <c r="K223" s="135">
        <f>K222</f>
        <v/>
      </c>
      <c r="L223" s="135" t="n"/>
      <c r="M223" s="141" t="inlineStr">
        <is>
          <t>heal</t>
        </is>
      </c>
      <c r="N223" s="51">
        <f>N222-4</f>
        <v/>
      </c>
      <c r="O223" s="141" t="n">
        <v>150</v>
      </c>
      <c r="P223" s="52" t="n"/>
      <c r="Q223" s="52" t="n"/>
      <c r="R223" s="52" t="n">
        <v>3017</v>
      </c>
      <c r="S223" s="141" t="n"/>
      <c r="T223" s="141" t="n"/>
      <c r="U223" s="141" t="n"/>
      <c r="V223" s="135" t="n"/>
      <c r="W223" s="141" t="n"/>
      <c r="X223" s="141" t="inlineStr">
        <is>
          <t>heal</t>
        </is>
      </c>
      <c r="Y223" s="141" t="n"/>
      <c r="Z223" s="137" t="inlineStr">
        <is>
          <t>對我方2恢復魔攻&lt;AP&gt;的hp，追加立即恢復對象mp150，恢復的對象額外追加現在HP30%的血量恢復</t>
        </is>
      </c>
      <c r="AA223" s="150" t="n"/>
      <c r="AB223" s="150" t="n"/>
      <c r="AC223" s="150" t="n"/>
      <c r="AD223" s="149" t="n"/>
      <c r="AE223" s="57" t="n"/>
      <c r="AF223" s="57" t="n"/>
      <c r="AG223" s="57" t="n"/>
      <c r="AH223" s="47" t="n"/>
      <c r="AI223" s="47" t="n"/>
    </row>
    <row r="224" ht="15.75" customHeight="1" s="142">
      <c r="A224" s="135" t="n"/>
      <c r="B224" s="141" t="n"/>
      <c r="C224" s="135" t="n"/>
      <c r="D224" s="135" t="n"/>
      <c r="E224" s="135" t="n"/>
      <c r="F224" s="135" t="n"/>
      <c r="G224" s="55" t="n"/>
      <c r="H224" s="55" t="n"/>
      <c r="I224" s="135" t="n"/>
      <c r="J224" s="135" t="n"/>
      <c r="K224" s="135" t="n"/>
      <c r="L224" s="135" t="n"/>
      <c r="M224" s="141" t="n"/>
      <c r="N224" s="51" t="n"/>
      <c r="O224" s="141" t="n"/>
      <c r="P224" s="52" t="n"/>
      <c r="Q224" s="52" t="n"/>
      <c r="R224" s="52" t="n"/>
      <c r="S224" s="141" t="n"/>
      <c r="T224" s="141" t="n"/>
      <c r="U224" s="141" t="n"/>
      <c r="V224" s="135" t="n"/>
      <c r="W224" s="141" t="n"/>
      <c r="X224" s="141" t="n"/>
      <c r="Y224" s="141" t="n"/>
      <c r="Z224" s="141" t="n"/>
      <c r="AA224" s="150" t="n"/>
      <c r="AB224" s="150" t="n"/>
      <c r="AC224" s="150" t="n"/>
      <c r="AD224" s="149" t="n"/>
      <c r="AE224" s="57" t="n"/>
      <c r="AF224" s="57" t="n"/>
      <c r="AG224" s="57" t="n"/>
      <c r="AH224" s="47" t="n"/>
      <c r="AI224" s="47" t="n"/>
    </row>
    <row r="225" ht="15.75" customHeight="1" s="142">
      <c r="A225" s="135" t="n"/>
      <c r="B225" s="141" t="n"/>
      <c r="C225" s="135" t="n"/>
      <c r="D225" s="135" t="n"/>
      <c r="E225" s="135" t="n"/>
      <c r="F225" s="135" t="n"/>
      <c r="G225" s="55" t="n"/>
      <c r="H225" s="55" t="n"/>
      <c r="I225" s="135" t="n"/>
      <c r="J225" s="135" t="n"/>
      <c r="K225" s="135" t="n"/>
      <c r="L225" s="135" t="n"/>
      <c r="M225" s="141" t="n"/>
      <c r="N225" s="51" t="n"/>
      <c r="O225" s="141" t="n"/>
      <c r="P225" s="52" t="n"/>
      <c r="Q225" s="52" t="n"/>
      <c r="R225" s="52" t="n"/>
      <c r="S225" s="141" t="n"/>
      <c r="T225" s="141" t="n"/>
      <c r="U225" s="141" t="n"/>
      <c r="V225" s="135" t="n"/>
      <c r="W225" s="141" t="n"/>
      <c r="X225" s="141" t="n"/>
      <c r="Y225" s="141" t="n"/>
      <c r="Z225" s="141" t="n"/>
      <c r="AA225" s="150" t="n"/>
      <c r="AB225" s="150" t="n"/>
      <c r="AC225" s="150" t="n"/>
      <c r="AD225" s="149" t="n"/>
      <c r="AE225" s="57" t="n"/>
      <c r="AF225" s="57" t="n"/>
      <c r="AG225" s="57" t="n"/>
      <c r="AH225" s="47" t="n"/>
      <c r="AI225" s="47" t="n"/>
    </row>
    <row r="226" ht="15.75" customHeight="1" s="142">
      <c r="A226" s="135" t="n"/>
      <c r="B226" s="141" t="n"/>
      <c r="C226" s="135" t="n"/>
      <c r="D226" s="135" t="n"/>
      <c r="E226" s="135" t="n"/>
      <c r="F226" s="135" t="n"/>
      <c r="G226" s="55" t="n"/>
      <c r="H226" s="55" t="n"/>
      <c r="I226" s="135" t="n"/>
      <c r="J226" s="135" t="n"/>
      <c r="K226" s="135" t="n"/>
      <c r="L226" s="135" t="n"/>
      <c r="M226" s="141" t="n"/>
      <c r="N226" s="51" t="n"/>
      <c r="O226" s="141" t="n"/>
      <c r="P226" s="52" t="n"/>
      <c r="Q226" s="52" t="n"/>
      <c r="R226" s="52" t="n"/>
      <c r="S226" s="141" t="n"/>
      <c r="T226" s="141" t="n"/>
      <c r="U226" s="141" t="n"/>
      <c r="V226" s="135" t="n"/>
      <c r="W226" s="141" t="n"/>
      <c r="X226" s="141" t="n"/>
      <c r="Y226" s="141" t="n"/>
      <c r="Z226" s="141" t="n"/>
      <c r="AA226" s="150" t="n"/>
      <c r="AB226" s="150" t="n"/>
      <c r="AC226" s="150" t="n"/>
      <c r="AD226" s="149" t="n"/>
      <c r="AE226" s="57" t="n"/>
      <c r="AF226" s="57" t="n"/>
      <c r="AG226" s="57" t="n"/>
      <c r="AH226" s="47" t="n"/>
      <c r="AI226" s="47" t="n"/>
    </row>
    <row r="227" ht="15.75" customHeight="1" s="142">
      <c r="A227" s="135" t="n"/>
      <c r="B227" s="141" t="n"/>
      <c r="C227" s="135" t="n"/>
      <c r="D227" s="135" t="n"/>
      <c r="E227" s="135" t="n"/>
      <c r="F227" s="135" t="n"/>
      <c r="G227" s="55" t="n"/>
      <c r="H227" s="55" t="n"/>
      <c r="I227" s="135" t="n"/>
      <c r="J227" s="135" t="n"/>
      <c r="K227" s="135" t="n"/>
      <c r="L227" s="135" t="n"/>
      <c r="M227" s="141" t="n"/>
      <c r="N227" s="51" t="n"/>
      <c r="O227" s="141" t="n"/>
      <c r="P227" s="52" t="n"/>
      <c r="Q227" s="52" t="n"/>
      <c r="R227" s="52" t="n"/>
      <c r="S227" s="141" t="n"/>
      <c r="T227" s="141" t="n"/>
      <c r="U227" s="141" t="n"/>
      <c r="V227" s="135" t="n"/>
      <c r="W227" s="141" t="n"/>
      <c r="X227" s="141" t="n"/>
      <c r="Y227" s="141" t="n"/>
      <c r="Z227" s="141" t="n"/>
      <c r="AA227" s="150" t="n"/>
      <c r="AB227" s="150" t="n"/>
      <c r="AC227" s="150" t="n"/>
      <c r="AD227" s="149" t="n"/>
      <c r="AE227" s="57" t="n"/>
      <c r="AF227" s="57" t="n"/>
      <c r="AG227" s="57" t="n"/>
      <c r="AH227" s="47" t="n"/>
      <c r="AI227" s="47" t="n"/>
    </row>
    <row r="228" ht="15.75" customHeight="1" s="142">
      <c r="A228" s="135" t="n"/>
      <c r="B228" s="141" t="n"/>
      <c r="C228" s="135" t="n"/>
      <c r="D228" s="135" t="n"/>
      <c r="E228" s="135" t="n"/>
      <c r="F228" s="135" t="n"/>
      <c r="G228" s="55" t="n"/>
      <c r="H228" s="55" t="n"/>
      <c r="I228" s="135" t="n"/>
      <c r="J228" s="135" t="n"/>
      <c r="K228" s="135" t="n"/>
      <c r="L228" s="135" t="n"/>
      <c r="M228" s="141" t="n"/>
      <c r="N228" s="51" t="n"/>
      <c r="O228" s="141" t="n"/>
      <c r="P228" s="52" t="n"/>
      <c r="Q228" s="52" t="n"/>
      <c r="R228" s="52" t="n"/>
      <c r="S228" s="141" t="n"/>
      <c r="T228" s="141" t="n"/>
      <c r="U228" s="141" t="n"/>
      <c r="V228" s="135" t="n"/>
      <c r="W228" s="141" t="n"/>
      <c r="X228" s="141" t="n"/>
      <c r="Y228" s="141" t="n"/>
      <c r="Z228" s="141" t="n"/>
      <c r="AA228" s="150" t="n"/>
      <c r="AB228" s="150" t="n"/>
      <c r="AC228" s="150" t="n"/>
      <c r="AD228" s="149" t="n"/>
      <c r="AE228" s="57" t="n"/>
      <c r="AF228" s="57" t="n"/>
      <c r="AG228" s="57" t="n"/>
      <c r="AH228" s="47" t="n"/>
      <c r="AI228" s="47" t="n"/>
    </row>
    <row r="229" ht="14.25" customHeight="1" s="142"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45" t="n"/>
      <c r="L229" s="45" t="n"/>
      <c r="N229" s="46" t="n"/>
      <c r="P229" s="47" t="n"/>
      <c r="Q229" s="47" t="n"/>
      <c r="R229" s="47" t="n"/>
      <c r="V229" s="45" t="n"/>
      <c r="AE229" s="57" t="n"/>
    </row>
    <row r="230" ht="14.25" customHeight="1" s="142">
      <c r="A230" s="23" t="inlineStr">
        <is>
          <t>skill_id</t>
        </is>
      </c>
      <c r="B230" s="136" t="inlineStr">
        <is>
          <t>技能名稱</t>
        </is>
      </c>
      <c r="C230" s="48" t="inlineStr">
        <is>
          <t>攻擊對象數量</t>
        </is>
      </c>
      <c r="D230" s="48" t="inlineStr">
        <is>
          <t>是否為隨機</t>
        </is>
      </c>
      <c r="E230" s="48" t="inlineStr">
        <is>
          <t>是否自身施放</t>
        </is>
      </c>
      <c r="F230" s="48" t="inlineStr">
        <is>
          <t>攻擊次數</t>
        </is>
      </c>
      <c r="G230" s="40" t="inlineStr">
        <is>
          <t>AD(技能係數)</t>
        </is>
      </c>
      <c r="H230" s="40" t="inlineStr">
        <is>
          <t>AP(技能係數)</t>
        </is>
      </c>
      <c r="I230" s="40" t="inlineStr">
        <is>
          <t>AGI</t>
        </is>
      </c>
      <c r="J230" s="40" t="inlineStr">
        <is>
          <t>current_hp</t>
        </is>
      </c>
      <c r="K230" s="40" t="inlineStr">
        <is>
          <t>cooldown</t>
        </is>
      </c>
      <c r="L230" s="40" t="inlineStr">
        <is>
          <t>isrole</t>
        </is>
      </c>
      <c r="M230" s="23" t="inlineStr">
        <is>
          <t>type</t>
        </is>
      </c>
      <c r="N230" s="49" t="inlineStr">
        <is>
          <t>MP_cost</t>
        </is>
      </c>
      <c r="O230" s="23" t="inlineStr">
        <is>
          <t>MP_revocer</t>
        </is>
      </c>
      <c r="P230" s="50" t="inlineStr">
        <is>
          <t>self_add_buff_id</t>
        </is>
      </c>
      <c r="Q230" s="50" t="inlineStr">
        <is>
          <t>self_buff_rate</t>
        </is>
      </c>
      <c r="R230" s="50" t="inlineStr">
        <is>
          <t>add_buff_id</t>
        </is>
      </c>
      <c r="S230" s="50" t="inlineStr">
        <is>
          <t>add_buff_rate_overwrite</t>
        </is>
      </c>
      <c r="T230" s="23" t="inlineStr">
        <is>
          <t>remove_buff_id</t>
        </is>
      </c>
      <c r="U230" s="50" t="inlineStr">
        <is>
          <t>remove_buff_rate_overwrite</t>
        </is>
      </c>
      <c r="V230" s="135" t="inlineStr">
        <is>
          <t>isMpDamage</t>
        </is>
      </c>
      <c r="W230" s="23" t="inlineStr">
        <is>
          <t>prefeb_atk</t>
        </is>
      </c>
      <c r="X230" s="23" t="inlineStr">
        <is>
          <t>prefeb_hit1</t>
        </is>
      </c>
      <c r="Y230" s="23" t="inlineStr">
        <is>
          <t>prefeb_hit2</t>
        </is>
      </c>
      <c r="Z230" s="136" t="inlineStr">
        <is>
          <t>說明</t>
        </is>
      </c>
      <c r="AA230" s="150" t="n"/>
      <c r="AB230" s="150" t="n"/>
      <c r="AC230" s="150" t="n"/>
      <c r="AD230" s="149" t="n"/>
      <c r="AE230" s="57" t="n"/>
    </row>
    <row r="231" ht="14.25" customHeight="1" s="142">
      <c r="A231" s="135" t="n">
        <v>400001</v>
      </c>
      <c r="B231" s="137" t="inlineStr">
        <is>
          <t>野蠻衝撞</t>
        </is>
      </c>
      <c r="C231" s="135" t="n">
        <v>2</v>
      </c>
      <c r="D231" s="135" t="n"/>
      <c r="E231" s="135" t="n"/>
      <c r="F231" s="135" t="n">
        <v>1</v>
      </c>
      <c r="G231" s="141" t="n">
        <v>2</v>
      </c>
      <c r="H231" s="141" t="n"/>
      <c r="I231" s="135" t="n"/>
      <c r="J231" s="135" t="n"/>
      <c r="K231" s="135" t="n"/>
      <c r="L231" s="135" t="n"/>
      <c r="M231" s="141" t="inlineStr">
        <is>
          <t>phycial</t>
        </is>
      </c>
      <c r="N231" s="51" t="n">
        <v>30</v>
      </c>
      <c r="O231" s="141" t="n"/>
      <c r="P231" s="52" t="n"/>
      <c r="Q231" s="52" t="n"/>
      <c r="R231" s="52" t="n"/>
      <c r="S231" s="141" t="n"/>
      <c r="T231" s="141" t="n"/>
      <c r="U231" s="141" t="n"/>
      <c r="V231" s="141" t="n"/>
      <c r="W231" s="141" t="n"/>
      <c r="X231" s="141" t="inlineStr">
        <is>
          <t>beat</t>
        </is>
      </c>
      <c r="Y231" s="141" t="n"/>
      <c r="Z231" s="137" t="inlineStr">
        <is>
          <t>對敵方2體造成&lt;AD&gt;物攻的物理傷害</t>
        </is>
      </c>
      <c r="AA231" s="150" t="n"/>
      <c r="AB231" s="150" t="n"/>
      <c r="AC231" s="150" t="n"/>
      <c r="AD231" s="149" t="n"/>
      <c r="AE231" s="57" t="n"/>
    </row>
    <row r="232" ht="14.25" customHeight="1" s="142">
      <c r="A232" s="135" t="n">
        <v>400002</v>
      </c>
      <c r="B232" s="137" t="inlineStr">
        <is>
          <t>爪擊</t>
        </is>
      </c>
      <c r="C232" s="135" t="n">
        <v>1</v>
      </c>
      <c r="D232" s="135" t="n"/>
      <c r="E232" s="135" t="n"/>
      <c r="F232" s="135" t="n">
        <v>1</v>
      </c>
      <c r="G232" s="141" t="n">
        <v>4</v>
      </c>
      <c r="H232" s="141" t="n"/>
      <c r="I232" s="135" t="n"/>
      <c r="J232" s="135" t="n"/>
      <c r="K232" s="135" t="n"/>
      <c r="L232" s="135" t="n"/>
      <c r="M232" s="141" t="inlineStr">
        <is>
          <t>phycial</t>
        </is>
      </c>
      <c r="N232" s="51" t="n">
        <v>18</v>
      </c>
      <c r="O232" s="141" t="n"/>
      <c r="P232" s="52" t="n"/>
      <c r="Q232" s="141" t="n"/>
      <c r="R232" s="52" t="n">
        <v>4003</v>
      </c>
      <c r="S232" s="52" t="n">
        <v>0.4</v>
      </c>
      <c r="T232" s="141" t="n"/>
      <c r="U232" s="141" t="n"/>
      <c r="V232" s="141" t="n"/>
      <c r="W232" s="141" t="n"/>
      <c r="X232" s="141" t="inlineStr">
        <is>
          <t>slash</t>
        </is>
      </c>
      <c r="Y232" s="141" t="n"/>
      <c r="Z232" s="137" t="inlineStr">
        <is>
          <t>對敵方1體造成&lt;AD&gt;物攻的物理傷害，並40%附加裂傷</t>
        </is>
      </c>
      <c r="AA232" s="150" t="n"/>
      <c r="AB232" s="150" t="n"/>
      <c r="AC232" s="150" t="n"/>
      <c r="AD232" s="149" t="n"/>
    </row>
    <row r="233" ht="15.75" customHeight="1" s="142">
      <c r="A233" s="135" t="n">
        <v>400003</v>
      </c>
      <c r="B233" s="137" t="inlineStr">
        <is>
          <t>尖石攻擊</t>
        </is>
      </c>
      <c r="C233" s="135" t="n">
        <v>3</v>
      </c>
      <c r="D233" s="135" t="n"/>
      <c r="E233" s="135" t="n"/>
      <c r="F233" s="135" t="n">
        <v>1</v>
      </c>
      <c r="G233" s="141" t="n">
        <v>1.8</v>
      </c>
      <c r="H233" s="141" t="n"/>
      <c r="I233" s="135" t="n"/>
      <c r="J233" s="135" t="n"/>
      <c r="K233" s="135" t="n"/>
      <c r="L233" s="135" t="n"/>
      <c r="M233" s="141" t="inlineStr">
        <is>
          <t>phycial</t>
        </is>
      </c>
      <c r="N233" s="51" t="n">
        <v>40</v>
      </c>
      <c r="O233" s="141" t="n"/>
      <c r="P233" s="52" t="n"/>
      <c r="Q233" s="141" t="n"/>
      <c r="R233" s="52" t="n">
        <v>5002</v>
      </c>
      <c r="S233" s="52" t="n">
        <v>0.25</v>
      </c>
      <c r="T233" s="141" t="n"/>
      <c r="U233" s="141" t="n"/>
      <c r="V233" s="141" t="n"/>
      <c r="W233" s="141" t="n"/>
      <c r="X233" s="53" t="inlineStr">
        <is>
          <t>explode</t>
        </is>
      </c>
      <c r="Y233" s="141" t="n"/>
      <c r="Z233" s="137" t="inlineStr">
        <is>
          <t>對敵方3體造成&lt;AD&gt;物攻的物理傷害，並25%附加暈眩</t>
        </is>
      </c>
      <c r="AA233" s="150" t="n"/>
      <c r="AB233" s="150" t="n"/>
      <c r="AC233" s="150" t="n"/>
      <c r="AD233" s="149" t="n"/>
    </row>
    <row r="234" ht="14.25" customHeight="1" s="142">
      <c r="A234" s="135" t="n">
        <v>400004</v>
      </c>
      <c r="B234" s="137" t="inlineStr">
        <is>
          <t>咬痕</t>
        </is>
      </c>
      <c r="C234" s="135" t="n">
        <v>1</v>
      </c>
      <c r="D234" s="135" t="n"/>
      <c r="E234" s="135" t="n"/>
      <c r="F234" s="135" t="n">
        <v>1</v>
      </c>
      <c r="G234" s="141" t="n">
        <v>4</v>
      </c>
      <c r="H234" s="141" t="n"/>
      <c r="I234" s="135" t="n"/>
      <c r="J234" s="135" t="n"/>
      <c r="K234" s="135" t="n"/>
      <c r="L234" s="135" t="n"/>
      <c r="M234" s="141" t="inlineStr">
        <is>
          <t>phycial</t>
        </is>
      </c>
      <c r="N234" s="51" t="n">
        <v>13</v>
      </c>
      <c r="O234" s="141" t="n"/>
      <c r="P234" s="52" t="n"/>
      <c r="Q234" s="141" t="n"/>
      <c r="R234" s="52" t="n">
        <v>2002</v>
      </c>
      <c r="S234" s="52" t="n">
        <v>0.4</v>
      </c>
      <c r="T234" s="141" t="n"/>
      <c r="U234" s="141" t="n"/>
      <c r="V234" s="141" t="n"/>
      <c r="W234" s="141" t="n"/>
      <c r="X234" s="141" t="inlineStr">
        <is>
          <t>stab</t>
        </is>
      </c>
      <c r="Y234" s="141" t="n"/>
      <c r="Z234" s="137" t="inlineStr">
        <is>
          <t>對敵方1體造成&lt;AD&gt;物攻的物理傷害，並40%附加防禦下降</t>
        </is>
      </c>
      <c r="AA234" s="150" t="n"/>
      <c r="AB234" s="150" t="n"/>
      <c r="AC234" s="150" t="n"/>
      <c r="AD234" s="149" t="n"/>
    </row>
    <row r="235" ht="15.75" customHeight="1" s="142">
      <c r="A235" s="135" t="n">
        <v>400005</v>
      </c>
      <c r="B235" s="137" t="inlineStr">
        <is>
          <t>風刃</t>
        </is>
      </c>
      <c r="C235" s="135" t="n">
        <v>3</v>
      </c>
      <c r="D235" s="135" t="n"/>
      <c r="E235" s="135" t="n"/>
      <c r="F235" s="135" t="n">
        <v>1</v>
      </c>
      <c r="G235" s="141" t="n"/>
      <c r="H235" s="141" t="n">
        <v>1.9</v>
      </c>
      <c r="I235" s="135" t="n"/>
      <c r="J235" s="135" t="n"/>
      <c r="K235" s="135" t="n"/>
      <c r="L235" s="135" t="n"/>
      <c r="M235" s="141" t="inlineStr">
        <is>
          <t>magic</t>
        </is>
      </c>
      <c r="N235" s="51" t="n">
        <v>42</v>
      </c>
      <c r="O235" s="141" t="n"/>
      <c r="P235" s="52" t="n"/>
      <c r="Q235" s="141" t="n"/>
      <c r="R235" s="52" t="n"/>
      <c r="S235" s="52" t="n"/>
      <c r="T235" s="141" t="n"/>
      <c r="U235" s="141" t="n"/>
      <c r="V235" s="141" t="n"/>
      <c r="W235" s="53" t="inlineStr">
        <is>
          <t>magic_throw</t>
        </is>
      </c>
      <c r="X235" s="53" t="inlineStr">
        <is>
          <t>explode</t>
        </is>
      </c>
      <c r="Y235" s="141" t="n"/>
      <c r="Z235" s="137" t="inlineStr">
        <is>
          <t>對敵方3體造成&lt;AP&gt;魔攻的魔法傷害</t>
        </is>
      </c>
      <c r="AA235" s="150" t="n"/>
      <c r="AB235" s="150" t="n"/>
      <c r="AC235" s="150" t="n"/>
      <c r="AD235" s="149" t="n"/>
    </row>
    <row r="236" ht="15.75" customHeight="1" s="142">
      <c r="A236" s="135" t="n">
        <v>400006</v>
      </c>
      <c r="B236" s="137" t="inlineStr">
        <is>
          <t>尖刺射擊</t>
        </is>
      </c>
      <c r="C236" s="135" t="n">
        <v>3</v>
      </c>
      <c r="D236" s="135" t="n"/>
      <c r="E236" s="135" t="n"/>
      <c r="F236" s="135" t="n">
        <v>1</v>
      </c>
      <c r="G236" s="141" t="n">
        <v>1.8</v>
      </c>
      <c r="H236" s="141" t="n"/>
      <c r="I236" s="135" t="n"/>
      <c r="J236" s="135" t="n"/>
      <c r="K236" s="135" t="n"/>
      <c r="L236" s="135" t="n"/>
      <c r="M236" s="141" t="inlineStr">
        <is>
          <t>phycial</t>
        </is>
      </c>
      <c r="N236" s="51" t="n">
        <v>43</v>
      </c>
      <c r="O236" s="141" t="n"/>
      <c r="P236" s="52" t="n"/>
      <c r="Q236" s="141" t="n"/>
      <c r="R236" s="52" t="n"/>
      <c r="S236" s="52" t="n"/>
      <c r="T236" s="141" t="n"/>
      <c r="U236" s="141" t="n"/>
      <c r="V236" s="141" t="n"/>
      <c r="W236" s="141" t="n"/>
      <c r="X236" s="53" t="inlineStr">
        <is>
          <t>explode</t>
        </is>
      </c>
      <c r="Y236" s="141" t="n"/>
      <c r="Z236" s="137" t="inlineStr">
        <is>
          <t>對敵方3體造成&lt;AD&gt;物攻的物理傷害</t>
        </is>
      </c>
      <c r="AA236" s="150" t="n"/>
      <c r="AB236" s="150" t="n"/>
      <c r="AC236" s="150" t="n"/>
      <c r="AD236" s="149" t="n"/>
    </row>
    <row r="237" ht="15.75" customHeight="1" s="142">
      <c r="A237" s="135" t="n">
        <v>400007</v>
      </c>
      <c r="B237" s="137" t="inlineStr">
        <is>
          <t>土石生成</t>
        </is>
      </c>
      <c r="C237" s="135" t="n">
        <v>5</v>
      </c>
      <c r="D237" s="135" t="n"/>
      <c r="E237" s="135" t="n"/>
      <c r="F237" s="135" t="n">
        <v>1</v>
      </c>
      <c r="G237" s="141" t="n"/>
      <c r="H237" s="141" t="n">
        <v>1</v>
      </c>
      <c r="I237" s="135" t="n"/>
      <c r="J237" s="135" t="n"/>
      <c r="K237" s="135" t="n"/>
      <c r="L237" s="135" t="n"/>
      <c r="M237" s="141" t="inlineStr">
        <is>
          <t>magic</t>
        </is>
      </c>
      <c r="N237" s="51" t="n">
        <v>55</v>
      </c>
      <c r="O237" s="141" t="n"/>
      <c r="P237" s="52" t="n"/>
      <c r="Q237" s="141" t="n"/>
      <c r="R237" s="52" t="n">
        <v>2004</v>
      </c>
      <c r="S237" s="52" t="n">
        <v>0.4</v>
      </c>
      <c r="T237" s="141" t="n"/>
      <c r="U237" s="141" t="n"/>
      <c r="V237" s="141" t="n"/>
      <c r="W237" s="53" t="inlineStr">
        <is>
          <t>magic_throw</t>
        </is>
      </c>
      <c r="X237" s="141" t="inlineStr">
        <is>
          <t>debuff</t>
        </is>
      </c>
      <c r="Y237" s="141" t="n"/>
      <c r="Z237" s="137" t="inlineStr">
        <is>
          <t>對敵方全體造成&lt;AP&gt;魔攻的魔法傷害，並40%附加魔防下降</t>
        </is>
      </c>
      <c r="AA237" s="150" t="n"/>
      <c r="AB237" s="150" t="n"/>
      <c r="AC237" s="150" t="n"/>
      <c r="AD237" s="149" t="n"/>
    </row>
    <row r="238" ht="14.25" customHeight="1" s="142">
      <c r="A238" s="135" t="n">
        <v>400008</v>
      </c>
      <c r="B238" s="137" t="inlineStr">
        <is>
          <t>中毒利爪</t>
        </is>
      </c>
      <c r="C238" s="135" t="n">
        <v>2</v>
      </c>
      <c r="D238" s="135" t="n"/>
      <c r="E238" s="135" t="n"/>
      <c r="F238" s="135" t="n">
        <v>1</v>
      </c>
      <c r="G238" s="141" t="n">
        <v>1.8</v>
      </c>
      <c r="H238" s="141" t="n"/>
      <c r="I238" s="135" t="n"/>
      <c r="J238" s="135" t="n"/>
      <c r="K238" s="135" t="n"/>
      <c r="L238" s="135" t="n"/>
      <c r="M238" s="141" t="inlineStr">
        <is>
          <t>phycial</t>
        </is>
      </c>
      <c r="N238" s="51" t="n">
        <v>30</v>
      </c>
      <c r="O238" s="141" t="n"/>
      <c r="P238" s="52" t="n"/>
      <c r="Q238" s="141" t="n"/>
      <c r="R238" s="52" t="n">
        <v>4004</v>
      </c>
      <c r="S238" s="52" t="n">
        <v>0.5</v>
      </c>
      <c r="T238" s="141" t="n"/>
      <c r="U238" s="141" t="n"/>
      <c r="V238" s="141" t="n"/>
      <c r="W238" s="141" t="n"/>
      <c r="X238" s="141" t="inlineStr">
        <is>
          <t>stab</t>
        </is>
      </c>
      <c r="Y238" s="141" t="n"/>
      <c r="Z238" s="137" t="inlineStr">
        <is>
          <t>對敵方2體造成&lt;AD&gt;物攻的物理傷害，並50%附加中毒</t>
        </is>
      </c>
      <c r="AA238" s="150" t="n"/>
      <c r="AB238" s="150" t="n"/>
      <c r="AC238" s="150" t="n"/>
      <c r="AD238" s="149" t="n"/>
    </row>
    <row r="239" ht="15.75" customHeight="1" s="142">
      <c r="A239" s="135" t="n">
        <v>400009</v>
      </c>
      <c r="B239" s="137" t="inlineStr">
        <is>
          <t>火焰啄</t>
        </is>
      </c>
      <c r="C239" s="135" t="n">
        <v>1</v>
      </c>
      <c r="D239" s="135" t="n"/>
      <c r="E239" s="135" t="n"/>
      <c r="F239" s="135" t="n">
        <v>1</v>
      </c>
      <c r="G239" s="141" t="n"/>
      <c r="H239" s="141" t="n">
        <v>3.5</v>
      </c>
      <c r="I239" s="135" t="n"/>
      <c r="J239" s="135" t="n"/>
      <c r="K239" s="135" t="n"/>
      <c r="L239" s="135" t="n"/>
      <c r="M239" s="141" t="inlineStr">
        <is>
          <t>magic</t>
        </is>
      </c>
      <c r="N239" s="51" t="n">
        <v>17</v>
      </c>
      <c r="O239" s="141" t="n"/>
      <c r="P239" s="52" t="n"/>
      <c r="Q239" s="141" t="n"/>
      <c r="R239" s="52" t="n">
        <v>4001</v>
      </c>
      <c r="S239" s="52" t="n">
        <v>0.6</v>
      </c>
      <c r="T239" s="141" t="n"/>
      <c r="U239" s="141" t="n"/>
      <c r="V239" s="141" t="n"/>
      <c r="W239" s="53" t="inlineStr">
        <is>
          <t>magic_fire</t>
        </is>
      </c>
      <c r="X239" s="141" t="inlineStr">
        <is>
          <t>fire</t>
        </is>
      </c>
      <c r="Y239" s="141" t="n"/>
      <c r="Z239" s="137" t="inlineStr">
        <is>
          <t>對敵方1體造成&lt;AP&gt;魔攻的魔法傷害，並60%附加灼傷</t>
        </is>
      </c>
      <c r="AA239" s="150" t="n"/>
      <c r="AB239" s="150" t="n"/>
      <c r="AC239" s="150" t="n"/>
      <c r="AD239" s="149" t="n"/>
    </row>
    <row r="240" ht="15.75" customHeight="1" s="142">
      <c r="A240" s="135" t="n">
        <v>400010</v>
      </c>
      <c r="B240" s="137" t="inlineStr">
        <is>
          <t>絆倒</t>
        </is>
      </c>
      <c r="C240" s="135" t="n">
        <v>2</v>
      </c>
      <c r="D240" s="135" t="n"/>
      <c r="E240" s="135" t="n"/>
      <c r="F240" s="135" t="n">
        <v>1</v>
      </c>
      <c r="G240" s="141" t="n">
        <v>1.2</v>
      </c>
      <c r="H240" s="141" t="n"/>
      <c r="I240" s="135" t="n"/>
      <c r="J240" s="135" t="n"/>
      <c r="K240" s="135" t="n"/>
      <c r="L240" s="135" t="n"/>
      <c r="M240" s="141" t="inlineStr">
        <is>
          <t>phycial</t>
        </is>
      </c>
      <c r="N240" s="51" t="n">
        <v>28</v>
      </c>
      <c r="O240" s="141" t="n"/>
      <c r="P240" s="52" t="n"/>
      <c r="Q240" s="141" t="n"/>
      <c r="R240" s="52" t="n">
        <v>5004</v>
      </c>
      <c r="S240" s="52" t="n">
        <v>0.3</v>
      </c>
      <c r="T240" s="141" t="n"/>
      <c r="U240" s="141" t="n"/>
      <c r="V240" s="135" t="n"/>
      <c r="W240" s="53" t="inlineStr">
        <is>
          <t>magic_throw</t>
        </is>
      </c>
      <c r="X240" s="53" t="inlineStr">
        <is>
          <t>explode</t>
        </is>
      </c>
      <c r="Y240" s="141" t="n"/>
      <c r="Z240" s="137" t="inlineStr">
        <is>
          <t>對敵方3體造成&lt;AP&gt;魔攻的魔法傷害，並30%附加停止</t>
        </is>
      </c>
      <c r="AA240" s="150" t="n"/>
      <c r="AB240" s="150" t="n"/>
      <c r="AC240" s="150" t="n"/>
      <c r="AD240" s="149" t="n"/>
    </row>
    <row r="241" ht="15.75" customHeight="1" s="142">
      <c r="A241" s="135" t="n">
        <v>400011</v>
      </c>
      <c r="B241" s="137" t="inlineStr">
        <is>
          <t>魔法彈</t>
        </is>
      </c>
      <c r="C241" s="135" t="n">
        <v>2</v>
      </c>
      <c r="D241" s="135" t="n"/>
      <c r="E241" s="135" t="n"/>
      <c r="F241" s="135" t="n">
        <v>1</v>
      </c>
      <c r="G241" s="141" t="n"/>
      <c r="H241" s="141" t="n">
        <v>2</v>
      </c>
      <c r="I241" s="135" t="n"/>
      <c r="J241" s="135" t="n"/>
      <c r="K241" s="135" t="n"/>
      <c r="L241" s="135" t="n"/>
      <c r="M241" s="141" t="inlineStr">
        <is>
          <t>magic</t>
        </is>
      </c>
      <c r="N241" s="51" t="n">
        <v>29</v>
      </c>
      <c r="O241" s="141" t="n"/>
      <c r="P241" s="52" t="n"/>
      <c r="Q241" s="141" t="n"/>
      <c r="R241" s="52" t="n"/>
      <c r="S241" s="52" t="n"/>
      <c r="T241" s="141" t="n"/>
      <c r="U241" s="141" t="n"/>
      <c r="V241" s="135" t="n"/>
      <c r="W241" s="53" t="inlineStr">
        <is>
          <t>magic_throw</t>
        </is>
      </c>
      <c r="X241" s="53" t="inlineStr">
        <is>
          <t>explode</t>
        </is>
      </c>
      <c r="Y241" s="141" t="n"/>
      <c r="Z241" s="137" t="inlineStr">
        <is>
          <t>對敵方2體造成&lt;AP&gt;魔攻的魔法傷害</t>
        </is>
      </c>
      <c r="AA241" s="150" t="n"/>
      <c r="AB241" s="150" t="n"/>
      <c r="AC241" s="150" t="n"/>
      <c r="AD241" s="149" t="n"/>
    </row>
    <row r="242" ht="15.75" customHeight="1" s="142">
      <c r="A242" s="135" t="n">
        <v>400012</v>
      </c>
      <c r="B242" s="137" t="inlineStr">
        <is>
          <t>火球攻擊</t>
        </is>
      </c>
      <c r="C242" s="135" t="n">
        <v>2</v>
      </c>
      <c r="D242" s="135" t="n"/>
      <c r="E242" s="135" t="n"/>
      <c r="F242" s="135" t="n">
        <v>1</v>
      </c>
      <c r="G242" s="141" t="n"/>
      <c r="H242" s="141" t="n">
        <v>2</v>
      </c>
      <c r="I242" s="135" t="n"/>
      <c r="J242" s="135" t="n"/>
      <c r="K242" s="135" t="n"/>
      <c r="L242" s="135" t="n"/>
      <c r="M242" s="141" t="inlineStr">
        <is>
          <t>magic</t>
        </is>
      </c>
      <c r="N242" s="51" t="n">
        <v>23</v>
      </c>
      <c r="O242" s="141" t="n"/>
      <c r="P242" s="52" t="n"/>
      <c r="Q242" s="141" t="n"/>
      <c r="R242" s="52" t="n">
        <v>4001</v>
      </c>
      <c r="S242" s="52" t="n">
        <v>0.4</v>
      </c>
      <c r="T242" s="141" t="n"/>
      <c r="U242" s="141" t="n"/>
      <c r="V242" s="135" t="n"/>
      <c r="W242" s="53" t="inlineStr">
        <is>
          <t>magic_fire</t>
        </is>
      </c>
      <c r="X242" s="141" t="inlineStr">
        <is>
          <t>fire</t>
        </is>
      </c>
      <c r="Y242" s="141" t="n"/>
      <c r="Z242" s="137" t="inlineStr">
        <is>
          <t>對敵方2體造成&lt;AP&gt;魔攻的魔法傷害，40%機率附加灼傷</t>
        </is>
      </c>
      <c r="AA242" s="150" t="n"/>
      <c r="AB242" s="150" t="n"/>
      <c r="AC242" s="150" t="n"/>
      <c r="AD242" s="149" t="n"/>
    </row>
    <row r="243" ht="15.75" customHeight="1" s="142">
      <c r="A243" s="135" t="n">
        <v>400013</v>
      </c>
      <c r="B243" s="137" t="inlineStr">
        <is>
          <t>冰椎攻擊</t>
        </is>
      </c>
      <c r="C243" s="135" t="n">
        <v>2</v>
      </c>
      <c r="D243" s="135" t="n"/>
      <c r="E243" s="135" t="n"/>
      <c r="F243" s="135" t="n">
        <v>1</v>
      </c>
      <c r="G243" s="141" t="n"/>
      <c r="H243" s="141" t="n">
        <v>2</v>
      </c>
      <c r="I243" s="135" t="n"/>
      <c r="J243" s="135" t="n"/>
      <c r="K243" s="135" t="n"/>
      <c r="L243" s="135" t="n"/>
      <c r="M243" s="141" t="inlineStr">
        <is>
          <t>magic</t>
        </is>
      </c>
      <c r="N243" s="51" t="n">
        <v>27</v>
      </c>
      <c r="O243" s="141" t="n"/>
      <c r="P243" s="52" t="n"/>
      <c r="Q243" s="141" t="n"/>
      <c r="R243" s="52" t="n">
        <v>4002</v>
      </c>
      <c r="S243" s="52" t="n">
        <v>0.4</v>
      </c>
      <c r="T243" s="141" t="n"/>
      <c r="U243" s="141" t="n"/>
      <c r="V243" s="135" t="n"/>
      <c r="W243" s="53" t="inlineStr">
        <is>
          <t>magic_throw</t>
        </is>
      </c>
      <c r="X243" s="53" t="inlineStr">
        <is>
          <t>explode</t>
        </is>
      </c>
      <c r="Y243" s="141" t="n"/>
      <c r="Z243" s="137" t="inlineStr">
        <is>
          <t>對敵方2體造成&lt;AP&gt;魔攻的魔法傷害，40%機率附加凍傷</t>
        </is>
      </c>
      <c r="AA243" s="150" t="n"/>
      <c r="AB243" s="150" t="n"/>
      <c r="AC243" s="150" t="n"/>
      <c r="AD243" s="149" t="n"/>
    </row>
    <row r="244" ht="14.25" customHeight="1" s="142">
      <c r="A244" s="135" t="n">
        <v>400014</v>
      </c>
      <c r="B244" s="137" t="inlineStr">
        <is>
          <t>毒泥濺射</t>
        </is>
      </c>
      <c r="C244" s="135" t="n">
        <v>4</v>
      </c>
      <c r="D244" s="135" t="n"/>
      <c r="E244" s="135" t="n"/>
      <c r="F244" s="135" t="n">
        <v>1</v>
      </c>
      <c r="G244" s="141" t="n">
        <v>1.2</v>
      </c>
      <c r="H244" s="141" t="n"/>
      <c r="I244" s="135" t="n"/>
      <c r="J244" s="135" t="n"/>
      <c r="K244" s="135" t="n"/>
      <c r="L244" s="135" t="n"/>
      <c r="M244" s="141" t="inlineStr">
        <is>
          <t>phycial</t>
        </is>
      </c>
      <c r="N244" s="51" t="n">
        <v>51</v>
      </c>
      <c r="O244" s="141" t="n"/>
      <c r="P244" s="52" t="n"/>
      <c r="Q244" s="141" t="n"/>
      <c r="R244" s="52" t="n">
        <v>4004</v>
      </c>
      <c r="S244" s="52" t="n">
        <v>0.5</v>
      </c>
      <c r="T244" s="141" t="n"/>
      <c r="U244" s="141" t="n"/>
      <c r="V244" s="135" t="n"/>
      <c r="W244" s="141" t="n"/>
      <c r="X244" s="141" t="inlineStr">
        <is>
          <t>slash</t>
        </is>
      </c>
      <c r="Y244" s="141" t="n"/>
      <c r="Z244" s="137" t="inlineStr">
        <is>
          <t>對敵方4體造成&lt;AD&gt;物攻的物理傷害，並50%附加中毒</t>
        </is>
      </c>
      <c r="AA244" s="150" t="n"/>
      <c r="AB244" s="150" t="n"/>
      <c r="AC244" s="150" t="n"/>
      <c r="AD244" s="149" t="n"/>
    </row>
    <row r="245" ht="14.25" customHeight="1" s="142">
      <c r="A245" s="135" t="n">
        <v>400015</v>
      </c>
      <c r="B245" s="137" t="inlineStr">
        <is>
          <t>金屬衝撞</t>
        </is>
      </c>
      <c r="C245" s="135" t="n">
        <v>2</v>
      </c>
      <c r="D245" s="135" t="n"/>
      <c r="E245" s="135" t="n"/>
      <c r="F245" s="135" t="n">
        <v>1</v>
      </c>
      <c r="G245" s="141" t="n"/>
      <c r="H245" s="141" t="n">
        <v>2</v>
      </c>
      <c r="I245" s="135" t="n"/>
      <c r="J245" s="135" t="n"/>
      <c r="K245" s="135" t="n"/>
      <c r="L245" s="135" t="n"/>
      <c r="M245" s="141" t="inlineStr">
        <is>
          <t>magic</t>
        </is>
      </c>
      <c r="N245" s="51" t="n">
        <v>28</v>
      </c>
      <c r="O245" s="141" t="n"/>
      <c r="P245" s="52" t="n"/>
      <c r="Q245" s="141" t="n"/>
      <c r="R245" s="52" t="n">
        <v>2001</v>
      </c>
      <c r="S245" s="52" t="n">
        <v>0.6</v>
      </c>
      <c r="T245" s="141" t="n"/>
      <c r="U245" s="141" t="n"/>
      <c r="V245" s="135" t="n"/>
      <c r="W245" s="141" t="n"/>
      <c r="X245" s="141" t="inlineStr">
        <is>
          <t>beat</t>
        </is>
      </c>
      <c r="Y245" s="141" t="n"/>
      <c r="Z245" s="137" t="inlineStr">
        <is>
          <t>對敵方2體造成&lt;AD&gt;物攻的物理傷害，並60%附加攻擊下降</t>
        </is>
      </c>
      <c r="AA245" s="150" t="n"/>
      <c r="AB245" s="150" t="n"/>
      <c r="AC245" s="150" t="n"/>
      <c r="AD245" s="149" t="n"/>
    </row>
    <row r="246" ht="14.25" customHeight="1" s="142">
      <c r="A246" s="135" t="n">
        <v>400016</v>
      </c>
      <c r="B246" s="137" t="inlineStr">
        <is>
          <t>尖銳之爪</t>
        </is>
      </c>
      <c r="C246" s="135" t="n">
        <v>3</v>
      </c>
      <c r="D246" s="135" t="n"/>
      <c r="E246" s="135" t="n"/>
      <c r="F246" s="135" t="n">
        <v>1</v>
      </c>
      <c r="G246" s="135" t="n">
        <v>3</v>
      </c>
      <c r="H246" s="135" t="n"/>
      <c r="I246" s="135" t="n"/>
      <c r="J246" s="135" t="n"/>
      <c r="K246" s="135" t="n"/>
      <c r="L246" s="135" t="n"/>
      <c r="M246" s="141" t="inlineStr">
        <is>
          <t>phycial</t>
        </is>
      </c>
      <c r="N246" s="51" t="n">
        <v>25</v>
      </c>
      <c r="O246" s="141" t="n"/>
      <c r="P246" s="52" t="n"/>
      <c r="Q246" s="52" t="n"/>
      <c r="R246" s="52" t="n"/>
      <c r="S246" s="141" t="n"/>
      <c r="T246" s="141" t="n"/>
      <c r="U246" s="141" t="n"/>
      <c r="V246" s="135" t="n"/>
      <c r="W246" s="141" t="n"/>
      <c r="X246" s="141" t="inlineStr">
        <is>
          <t>slash</t>
        </is>
      </c>
      <c r="Y246" s="141" t="n"/>
      <c r="Z246" s="137" t="inlineStr">
        <is>
          <t>對敵方3體造成&lt;AD&gt;物攻的物理傷害，並40%附加裂傷</t>
        </is>
      </c>
      <c r="AA246" s="150" t="n"/>
      <c r="AB246" s="150" t="n"/>
      <c r="AC246" s="150" t="n"/>
      <c r="AD246" s="149" t="n"/>
    </row>
    <row r="247" ht="14.25" customHeight="1" s="142">
      <c r="A247" s="135" t="n">
        <v>400017</v>
      </c>
      <c r="B247" s="137" t="inlineStr">
        <is>
          <t>分裂護盾</t>
        </is>
      </c>
      <c r="C247" s="135" t="n">
        <v>-4</v>
      </c>
      <c r="D247" s="135" t="n"/>
      <c r="E247" s="135" t="n"/>
      <c r="F247" s="135" t="n">
        <v>1</v>
      </c>
      <c r="G247" s="135" t="n"/>
      <c r="H247" s="135" t="n">
        <v>2.5</v>
      </c>
      <c r="I247" s="135" t="n"/>
      <c r="J247" s="135" t="n"/>
      <c r="K247" s="135" t="n"/>
      <c r="L247" s="135" t="n"/>
      <c r="M247" s="141" t="inlineStr">
        <is>
          <t>magic</t>
        </is>
      </c>
      <c r="N247" s="51" t="n">
        <v>80</v>
      </c>
      <c r="O247" s="141" t="n"/>
      <c r="P247" s="52" t="n"/>
      <c r="Q247" s="52" t="n"/>
      <c r="R247" s="52" t="n"/>
      <c r="S247" s="141" t="n"/>
      <c r="T247" s="141" t="n"/>
      <c r="U247" s="141" t="n"/>
      <c r="V247" s="135" t="n"/>
      <c r="W247" s="141" t="n"/>
      <c r="X247" s="141" t="inlineStr">
        <is>
          <t>buff</t>
        </is>
      </c>
      <c r="Y247" s="141" t="n"/>
      <c r="Z247" s="137" t="inlineStr">
        <is>
          <t>對我方4體恢復&lt;AP&gt;魔攻的護盾</t>
        </is>
      </c>
      <c r="AA247" s="150" t="n"/>
      <c r="AB247" s="150" t="n"/>
      <c r="AC247" s="150" t="n"/>
      <c r="AD247" s="149" t="n"/>
    </row>
    <row r="248" ht="15.75" customHeight="1" s="142">
      <c r="A248" s="135" t="n">
        <v>400018</v>
      </c>
      <c r="B248" s="137" t="inlineStr">
        <is>
          <t>萬魂悲鳴</t>
        </is>
      </c>
      <c r="C248" s="135" t="n">
        <v>3</v>
      </c>
      <c r="D248" s="135" t="n"/>
      <c r="E248" s="135" t="n"/>
      <c r="F248" s="135" t="n">
        <v>1</v>
      </c>
      <c r="G248" s="135" t="n"/>
      <c r="H248" s="135" t="n">
        <v>2</v>
      </c>
      <c r="I248" s="135" t="n"/>
      <c r="J248" s="135" t="n"/>
      <c r="K248" s="135" t="n"/>
      <c r="L248" s="135" t="n"/>
      <c r="M248" s="141" t="inlineStr">
        <is>
          <t>magic</t>
        </is>
      </c>
      <c r="N248" s="51" t="n">
        <v>45</v>
      </c>
      <c r="O248" s="141" t="n"/>
      <c r="P248" s="52" t="n"/>
      <c r="Q248" s="52" t="n"/>
      <c r="R248" s="52">
        <f>"4001.4002"</f>
        <v/>
      </c>
      <c r="S248" s="141" t="n"/>
      <c r="T248" s="141" t="n"/>
      <c r="U248" s="141" t="n"/>
      <c r="V248" s="135" t="n"/>
      <c r="W248" s="53" t="inlineStr">
        <is>
          <t>magic_fire</t>
        </is>
      </c>
      <c r="X248" s="141" t="inlineStr">
        <is>
          <t>fire</t>
        </is>
      </c>
      <c r="Y248" s="141" t="n"/>
      <c r="Z248" s="137" t="inlineStr">
        <is>
          <t>對敵方3體造成&lt;AP&gt;魔攻的魔法傷害，並附加灼傷與凍傷</t>
        </is>
      </c>
      <c r="AA248" s="150" t="n"/>
      <c r="AB248" s="150" t="n"/>
      <c r="AC248" s="150" t="n"/>
      <c r="AD248" s="149" t="n"/>
    </row>
    <row r="249" ht="15.75" customHeight="1" s="142">
      <c r="A249" s="135" t="n">
        <v>400019</v>
      </c>
      <c r="B249" s="138" t="inlineStr">
        <is>
          <t>血月詛咒</t>
        </is>
      </c>
      <c r="C249" s="135" t="n">
        <v>2</v>
      </c>
      <c r="D249" s="135" t="n"/>
      <c r="E249" s="135" t="n"/>
      <c r="F249" s="135" t="n">
        <v>1</v>
      </c>
      <c r="G249" s="135" t="n"/>
      <c r="H249" s="135" t="n">
        <v>2.8</v>
      </c>
      <c r="I249" s="135" t="n"/>
      <c r="J249" s="135" t="n"/>
      <c r="K249" s="135" t="n"/>
      <c r="L249" s="135" t="n"/>
      <c r="M249" s="141" t="inlineStr">
        <is>
          <t>magic</t>
        </is>
      </c>
      <c r="N249" s="51" t="n">
        <v>45</v>
      </c>
      <c r="O249" s="141" t="n"/>
      <c r="P249" s="52" t="n"/>
      <c r="Q249" s="52" t="n"/>
      <c r="R249" s="52" t="n"/>
      <c r="S249" s="141" t="n"/>
      <c r="T249" s="141" t="n"/>
      <c r="U249" s="141" t="n"/>
      <c r="V249" s="135" t="n"/>
      <c r="W249" s="53" t="inlineStr">
        <is>
          <t>magic_throw</t>
        </is>
      </c>
      <c r="X249" s="53" t="inlineStr">
        <is>
          <t>explode</t>
        </is>
      </c>
      <c r="Y249" s="141" t="n"/>
      <c r="Z249" s="137" t="inlineStr">
        <is>
          <t>對敵方3體造成&lt;AP&gt;魔攻的魔法傷害</t>
        </is>
      </c>
      <c r="AA249" s="150" t="n"/>
      <c r="AB249" s="150" t="n"/>
      <c r="AC249" s="150" t="n"/>
      <c r="AD249" s="149" t="n"/>
    </row>
    <row r="250" ht="15.75" customHeight="1" s="142">
      <c r="A250" s="135" t="n">
        <v>400020</v>
      </c>
      <c r="B250" s="137" t="inlineStr">
        <is>
          <t>虛空撕裂</t>
        </is>
      </c>
      <c r="C250" s="135" t="n">
        <v>5</v>
      </c>
      <c r="D250" s="135" t="n"/>
      <c r="E250" s="135" t="n"/>
      <c r="F250" s="135" t="n">
        <v>2</v>
      </c>
      <c r="G250" s="135" t="n"/>
      <c r="H250" s="135" t="n">
        <v>0.5</v>
      </c>
      <c r="I250" s="135" t="n"/>
      <c r="J250" s="135" t="n"/>
      <c r="K250" s="135" t="n"/>
      <c r="L250" s="135" t="n"/>
      <c r="M250" s="141" t="inlineStr">
        <is>
          <t>magic</t>
        </is>
      </c>
      <c r="N250" s="51" t="n">
        <v>45</v>
      </c>
      <c r="O250" s="141" t="n"/>
      <c r="P250" s="52" t="n"/>
      <c r="Q250" s="52" t="n"/>
      <c r="R250" s="52" t="n"/>
      <c r="S250" s="141" t="n"/>
      <c r="T250" s="141" t="n"/>
      <c r="U250" s="141" t="n"/>
      <c r="V250" s="135" t="n"/>
      <c r="W250" s="53" t="inlineStr">
        <is>
          <t>magic_fire</t>
        </is>
      </c>
      <c r="X250" s="141" t="inlineStr">
        <is>
          <t>slash</t>
        </is>
      </c>
      <c r="Y250" s="141" t="n"/>
      <c r="Z250" s="137" t="inlineStr">
        <is>
          <t>對敵方3體造成&lt;AP&gt;魔攻的魔法傷害</t>
        </is>
      </c>
      <c r="AA250" s="150" t="n"/>
      <c r="AB250" s="150" t="n"/>
      <c r="AC250" s="150" t="n"/>
      <c r="AD250" s="149" t="n"/>
    </row>
    <row r="251" ht="15.75" customHeight="1" s="142">
      <c r="A251" s="135" t="n">
        <v>400021</v>
      </c>
      <c r="B251" s="137" t="inlineStr">
        <is>
          <t>聖光裁決</t>
        </is>
      </c>
      <c r="C251" s="135" t="n">
        <v>1</v>
      </c>
      <c r="D251" s="135" t="n"/>
      <c r="E251" s="135" t="n"/>
      <c r="F251" s="135" t="n">
        <v>1</v>
      </c>
      <c r="G251" s="135" t="n"/>
      <c r="H251" s="135" t="n">
        <v>3.2</v>
      </c>
      <c r="I251" s="135" t="n"/>
      <c r="J251" s="135" t="n"/>
      <c r="K251" s="135" t="n"/>
      <c r="L251" s="135" t="n"/>
      <c r="M251" s="141" t="inlineStr">
        <is>
          <t>magic</t>
        </is>
      </c>
      <c r="N251" s="51" t="n">
        <v>35</v>
      </c>
      <c r="O251" s="141" t="n"/>
      <c r="P251" s="52" t="n"/>
      <c r="Q251" s="52" t="n"/>
      <c r="R251" s="52" t="n"/>
      <c r="S251" s="141" t="n"/>
      <c r="T251" s="141" t="n"/>
      <c r="U251" s="141" t="n"/>
      <c r="V251" s="135" t="n"/>
      <c r="W251" s="53" t="n"/>
      <c r="X251" s="141" t="inlineStr">
        <is>
          <t>explode</t>
        </is>
      </c>
      <c r="Y251" s="141" t="n"/>
      <c r="Z251" s="137" t="inlineStr">
        <is>
          <t>召喚聖光懲戒單體敵人，造成高額法術傷害。</t>
        </is>
      </c>
      <c r="AA251" s="150" t="n"/>
      <c r="AB251" s="150" t="n"/>
      <c r="AC251" s="150" t="n"/>
      <c r="AD251" s="149" t="n"/>
    </row>
    <row r="252" ht="15.75" customHeight="1" s="142">
      <c r="A252" s="135" t="n">
        <v>400022</v>
      </c>
      <c r="B252" s="137" t="inlineStr">
        <is>
          <t>狂怒重斬</t>
        </is>
      </c>
      <c r="C252" s="135" t="n">
        <v>1</v>
      </c>
      <c r="D252" s="135" t="n"/>
      <c r="E252" s="135" t="n"/>
      <c r="F252" s="135" t="n">
        <v>1</v>
      </c>
      <c r="G252" s="135" t="n">
        <v>3.5</v>
      </c>
      <c r="H252" s="135" t="n"/>
      <c r="I252" s="135" t="n"/>
      <c r="J252" s="135" t="n"/>
      <c r="K252" s="135" t="n"/>
      <c r="L252" s="135" t="n"/>
      <c r="M252" s="141" t="inlineStr">
        <is>
          <t>phycial</t>
        </is>
      </c>
      <c r="N252" s="51" t="n">
        <v>30</v>
      </c>
      <c r="O252" s="141" t="n"/>
      <c r="P252" s="52" t="n"/>
      <c r="Q252" s="52" t="n"/>
      <c r="R252" s="52" t="n">
        <v>5002</v>
      </c>
      <c r="S252" s="141" t="n"/>
      <c r="T252" s="141" t="n"/>
      <c r="U252" s="141" t="n"/>
      <c r="V252" s="135" t="n"/>
      <c r="W252" s="53" t="n"/>
      <c r="X252" s="141" t="inlineStr">
        <is>
          <t>beat</t>
        </is>
      </c>
      <c r="Y252" s="141" t="n"/>
      <c r="Z252" s="137" t="inlineStr">
        <is>
          <t>蓄力對單體敵人進行重擊，造成高額物理傷害。(暈眩</t>
        </is>
      </c>
      <c r="AA252" s="150" t="n"/>
      <c r="AB252" s="150" t="n"/>
      <c r="AC252" s="150" t="n"/>
      <c r="AD252" s="149" t="n"/>
    </row>
    <row r="253" ht="15.75" customHeight="1" s="142">
      <c r="A253" s="135" t="n">
        <v>400023</v>
      </c>
      <c r="B253" s="137" t="inlineStr">
        <is>
          <t>裂地波</t>
        </is>
      </c>
      <c r="C253" s="135" t="n">
        <v>3</v>
      </c>
      <c r="D253" s="135" t="n"/>
      <c r="E253" s="135" t="n"/>
      <c r="F253" s="135" t="n">
        <v>1</v>
      </c>
      <c r="G253" s="135" t="n">
        <v>2</v>
      </c>
      <c r="H253" s="135" t="n"/>
      <c r="I253" s="135" t="n"/>
      <c r="J253" s="135" t="n"/>
      <c r="K253" s="135" t="n"/>
      <c r="L253" s="135" t="n"/>
      <c r="M253" s="141" t="inlineStr">
        <is>
          <t>phycial</t>
        </is>
      </c>
      <c r="N253" s="51" t="n">
        <v>40</v>
      </c>
      <c r="O253" s="141" t="n"/>
      <c r="P253" s="52" t="n"/>
      <c r="Q253" s="52" t="n"/>
      <c r="R253" s="52" t="n"/>
      <c r="S253" s="141" t="n"/>
      <c r="T253" s="141" t="n"/>
      <c r="U253" s="141" t="n"/>
      <c r="V253" s="135" t="n"/>
      <c r="W253" s="53" t="n"/>
      <c r="X253" s="141" t="inlineStr">
        <is>
          <t>explode</t>
        </is>
      </c>
      <c r="Y253" s="141" t="n"/>
      <c r="Z253" s="137" t="inlineStr">
        <is>
          <t>猛擊地面發出衝擊波，對前排3名敵人造成物理傷害。</t>
        </is>
      </c>
      <c r="AA253" s="150" t="n"/>
      <c r="AB253" s="150" t="n"/>
      <c r="AC253" s="150" t="n"/>
      <c r="AD253" s="149" t="n"/>
    </row>
    <row r="254" ht="15.75" customHeight="1" s="142">
      <c r="A254" s="135" t="n">
        <v>400024</v>
      </c>
      <c r="B254" s="137" t="inlineStr">
        <is>
          <t>寒冰吐息</t>
        </is>
      </c>
      <c r="C254" s="135" t="n">
        <v>3</v>
      </c>
      <c r="D254" s="135" t="n"/>
      <c r="E254" s="135" t="n"/>
      <c r="F254" s="135" t="n">
        <v>1</v>
      </c>
      <c r="G254" s="135" t="n"/>
      <c r="H254" s="135" t="n">
        <v>2.2</v>
      </c>
      <c r="I254" s="135" t="n"/>
      <c r="J254" s="135" t="n"/>
      <c r="K254" s="135" t="n"/>
      <c r="L254" s="135" t="n"/>
      <c r="M254" s="141" t="inlineStr">
        <is>
          <t>magic</t>
        </is>
      </c>
      <c r="N254" s="51" t="n">
        <v>45</v>
      </c>
      <c r="O254" s="141" t="n"/>
      <c r="P254" s="52" t="n"/>
      <c r="Q254" s="52" t="n"/>
      <c r="R254" s="52" t="n">
        <v>4002</v>
      </c>
      <c r="S254" s="141" t="n"/>
      <c r="T254" s="141" t="n"/>
      <c r="U254" s="141" t="n"/>
      <c r="V254" s="135" t="n"/>
      <c r="W254" s="53" t="n"/>
      <c r="X254" s="141" t="inlineStr">
        <is>
          <t>explode</t>
        </is>
      </c>
      <c r="Y254" s="141" t="n"/>
      <c r="Z254" s="137" t="inlineStr">
        <is>
          <t>噴吐極寒冰霧，對3名敵人造成法術傷害。(凍傷</t>
        </is>
      </c>
      <c r="AA254" s="150" t="n"/>
      <c r="AB254" s="150" t="n"/>
      <c r="AC254" s="150" t="n"/>
      <c r="AD254" s="149" t="n"/>
    </row>
    <row r="255" ht="15.75" customHeight="1" s="142">
      <c r="A255" s="135" t="n">
        <v>400025</v>
      </c>
      <c r="B255" s="137" t="inlineStr">
        <is>
          <t>烈焰風暴</t>
        </is>
      </c>
      <c r="C255" s="135" t="n">
        <v>4</v>
      </c>
      <c r="D255" s="135" t="n"/>
      <c r="E255" s="135" t="n"/>
      <c r="F255" s="135" t="n">
        <v>1</v>
      </c>
      <c r="G255" s="135" t="n"/>
      <c r="H255" s="135" t="n">
        <v>2</v>
      </c>
      <c r="I255" s="135" t="n"/>
      <c r="J255" s="135" t="n"/>
      <c r="K255" s="135" t="n"/>
      <c r="L255" s="135" t="n"/>
      <c r="M255" s="141" t="inlineStr">
        <is>
          <t>magic</t>
        </is>
      </c>
      <c r="N255" s="51" t="n">
        <v>50</v>
      </c>
      <c r="O255" s="141" t="n"/>
      <c r="P255" s="52" t="n"/>
      <c r="Q255" s="52" t="n"/>
      <c r="R255" s="52" t="n">
        <v>4001</v>
      </c>
      <c r="S255" s="141" t="n"/>
      <c r="T255" s="141" t="n"/>
      <c r="U255" s="141" t="n"/>
      <c r="V255" s="135" t="n"/>
      <c r="W255" s="53" t="n"/>
      <c r="X255" s="141" t="inlineStr">
        <is>
          <t>fire</t>
        </is>
      </c>
      <c r="Y255" s="141" t="n"/>
      <c r="Z255" s="137" t="inlineStr">
        <is>
          <t>召喚狂暴火焰風暴，對4名敵人造成法術傷害。(灼傷</t>
        </is>
      </c>
      <c r="AA255" s="150" t="n"/>
      <c r="AB255" s="150" t="n"/>
      <c r="AC255" s="150" t="n"/>
      <c r="AD255" s="149" t="n"/>
    </row>
    <row r="256" ht="15.75" customHeight="1" s="142">
      <c r="A256" s="135" t="n">
        <v>400026</v>
      </c>
      <c r="B256" s="137" t="inlineStr">
        <is>
          <t>影襲連斬</t>
        </is>
      </c>
      <c r="C256" s="135" t="n">
        <v>1</v>
      </c>
      <c r="D256" s="135" t="n"/>
      <c r="E256" s="135" t="n"/>
      <c r="F256" s="135" t="n">
        <v>3</v>
      </c>
      <c r="G256" s="135" t="n">
        <v>1.5</v>
      </c>
      <c r="H256" s="135" t="n"/>
      <c r="I256" s="135" t="n"/>
      <c r="J256" s="135" t="n"/>
      <c r="K256" s="135" t="n"/>
      <c r="L256" s="135" t="n"/>
      <c r="M256" s="141" t="inlineStr">
        <is>
          <t>phycial</t>
        </is>
      </c>
      <c r="N256" s="51" t="n">
        <v>38</v>
      </c>
      <c r="O256" s="141" t="n"/>
      <c r="P256" s="52" t="n"/>
      <c r="Q256" s="52" t="n"/>
      <c r="R256" s="52" t="n"/>
      <c r="S256" s="141" t="n"/>
      <c r="T256" s="141" t="n"/>
      <c r="U256" s="141" t="n"/>
      <c r="V256" s="135" t="n"/>
      <c r="W256" s="53" t="n"/>
      <c r="X256" s="141" t="inlineStr">
        <is>
          <t>explode</t>
        </is>
      </c>
      <c r="Y256" s="141" t="n"/>
      <c r="Z256" s="137" t="inlineStr">
        <is>
          <t>快速閃現連擊，對單體敵人造成3次物理傷害。</t>
        </is>
      </c>
      <c r="AA256" s="150" t="n"/>
      <c r="AB256" s="150" t="n"/>
      <c r="AC256" s="150" t="n"/>
      <c r="AD256" s="149" t="n"/>
    </row>
    <row r="257" ht="15.75" customHeight="1" s="142">
      <c r="A257" s="135" t="n">
        <v>400027</v>
      </c>
      <c r="B257" s="137" t="inlineStr">
        <is>
          <t>劇毒絞殺</t>
        </is>
      </c>
      <c r="C257" s="135" t="n">
        <v>2</v>
      </c>
      <c r="D257" s="135" t="n"/>
      <c r="E257" s="135" t="n"/>
      <c r="F257" s="135" t="n">
        <v>1</v>
      </c>
      <c r="G257" s="135" t="n">
        <v>2.5</v>
      </c>
      <c r="H257" s="135" t="n"/>
      <c r="I257" s="135" t="n"/>
      <c r="J257" s="135" t="n"/>
      <c r="K257" s="135" t="n"/>
      <c r="L257" s="135" t="n"/>
      <c r="M257" s="141" t="inlineStr">
        <is>
          <t>phycial</t>
        </is>
      </c>
      <c r="N257" s="51" t="n">
        <v>32</v>
      </c>
      <c r="O257" s="141" t="n"/>
      <c r="P257" s="52" t="n"/>
      <c r="Q257" s="52" t="n"/>
      <c r="R257" s="52" t="n">
        <v>4004</v>
      </c>
      <c r="S257" s="141" t="n"/>
      <c r="T257" s="141" t="n"/>
      <c r="U257" s="141" t="n"/>
      <c r="V257" s="135" t="n"/>
      <c r="W257" s="53" t="n"/>
      <c r="X257" s="141" t="inlineStr">
        <is>
          <t>explode</t>
        </is>
      </c>
      <c r="Y257" s="141" t="n"/>
      <c r="Z257" s="137" t="inlineStr">
        <is>
          <t>釋放劇毒藤蔓，對2名敵人造成物理傷害。(中毒</t>
        </is>
      </c>
      <c r="AA257" s="150" t="n"/>
      <c r="AB257" s="150" t="n"/>
      <c r="AC257" s="150" t="n"/>
      <c r="AD257" s="149" t="n"/>
    </row>
    <row r="258" ht="15.75" customHeight="1" s="142">
      <c r="A258" s="135" t="n">
        <v>400028</v>
      </c>
      <c r="B258" s="137" t="inlineStr">
        <is>
          <t>靈魂抽取</t>
        </is>
      </c>
      <c r="C258" s="135" t="n">
        <v>1</v>
      </c>
      <c r="D258" s="135" t="n"/>
      <c r="E258" s="135" t="n"/>
      <c r="F258" s="135" t="n">
        <v>1</v>
      </c>
      <c r="G258" s="135" t="n"/>
      <c r="H258" s="135" t="n">
        <v>3.8</v>
      </c>
      <c r="I258" s="135" t="n"/>
      <c r="J258" s="135" t="n"/>
      <c r="K258" s="135" t="n"/>
      <c r="L258" s="135" t="n"/>
      <c r="M258" s="141" t="inlineStr">
        <is>
          <t>magic</t>
        </is>
      </c>
      <c r="N258" s="51" t="n">
        <v>40</v>
      </c>
      <c r="O258" s="141" t="n"/>
      <c r="P258" s="52" t="n"/>
      <c r="Q258" s="52" t="n"/>
      <c r="R258" s="52" t="n"/>
      <c r="S258" s="141" t="n"/>
      <c r="T258" s="141" t="n"/>
      <c r="U258" s="141" t="n"/>
      <c r="V258" s="135" t="n"/>
      <c r="W258" s="53" t="n"/>
      <c r="X258" s="141" t="inlineStr">
        <is>
          <t>explode</t>
        </is>
      </c>
      <c r="Y258" s="141" t="n"/>
      <c r="Z258" s="137" t="inlineStr">
        <is>
          <t>侵蝕敵人靈魂，對單體敵人造成大量法術傷害。</t>
        </is>
      </c>
      <c r="AA258" s="150" t="n"/>
      <c r="AB258" s="150" t="n"/>
      <c r="AC258" s="150" t="n"/>
      <c r="AD258" s="149" t="n"/>
    </row>
    <row r="259" ht="15.75" customHeight="1" s="142">
      <c r="A259" s="135" t="n">
        <v>400029</v>
      </c>
      <c r="B259" s="137" t="inlineStr">
        <is>
          <t>聖槍貫穿</t>
        </is>
      </c>
      <c r="C259" s="135" t="n">
        <v>2</v>
      </c>
      <c r="D259" s="135" t="n"/>
      <c r="E259" s="135" t="n"/>
      <c r="F259" s="135" t="n">
        <v>1</v>
      </c>
      <c r="G259" s="135" t="n">
        <v>2.8</v>
      </c>
      <c r="H259" s="135" t="n"/>
      <c r="I259" s="135" t="n"/>
      <c r="J259" s="135" t="n"/>
      <c r="K259" s="135" t="n"/>
      <c r="L259" s="135" t="n"/>
      <c r="M259" s="141" t="inlineStr">
        <is>
          <t>phycial</t>
        </is>
      </c>
      <c r="N259" s="51" t="n">
        <v>35</v>
      </c>
      <c r="O259" s="141" t="n"/>
      <c r="P259" s="52" t="n"/>
      <c r="Q259" s="52" t="n"/>
      <c r="R259" s="52" t="n">
        <v>4003</v>
      </c>
      <c r="S259" s="141" t="n"/>
      <c r="T259" s="141" t="n"/>
      <c r="U259" s="141" t="n"/>
      <c r="V259" s="135" t="n"/>
      <c r="W259" s="53" t="n"/>
      <c r="X259" s="141" t="inlineStr">
        <is>
          <t>explode</t>
        </is>
      </c>
      <c r="Y259" s="141" t="n"/>
      <c r="Z259" s="137" t="inlineStr">
        <is>
          <t>投擲聖光長槍，對2名貫穿目標造成物理傷害。(裂傷</t>
        </is>
      </c>
      <c r="AA259" s="150" t="n"/>
      <c r="AB259" s="150" t="n"/>
      <c r="AC259" s="150" t="n"/>
      <c r="AD259" s="149" t="n"/>
    </row>
    <row r="260" ht="15.75" customHeight="1" s="142">
      <c r="A260" s="135" t="n">
        <v>400030</v>
      </c>
      <c r="B260" s="137" t="inlineStr">
        <is>
          <t>禁術狂潮</t>
        </is>
      </c>
      <c r="C260" s="135" t="n">
        <v>5</v>
      </c>
      <c r="D260" s="135" t="n"/>
      <c r="E260" s="135" t="n"/>
      <c r="F260" s="135" t="n">
        <v>1</v>
      </c>
      <c r="G260" s="135" t="n"/>
      <c r="H260" s="135" t="n">
        <v>1.8</v>
      </c>
      <c r="I260" s="135" t="n"/>
      <c r="J260" s="135" t="n"/>
      <c r="K260" s="135" t="n"/>
      <c r="L260" s="135" t="n"/>
      <c r="M260" s="141" t="inlineStr">
        <is>
          <t>magic</t>
        </is>
      </c>
      <c r="N260" s="51" t="n">
        <v>60</v>
      </c>
      <c r="O260" s="141" t="n"/>
      <c r="P260" s="52" t="n"/>
      <c r="Q260" s="52" t="n"/>
      <c r="R260" s="52" t="n"/>
      <c r="S260" s="141" t="n"/>
      <c r="T260" s="141" t="n"/>
      <c r="U260" s="141" t="n"/>
      <c r="V260" s="135" t="n"/>
      <c r="W260" s="53" t="n"/>
      <c r="X260" s="141" t="inlineStr">
        <is>
          <t>explode</t>
        </is>
      </c>
      <c r="Y260" s="141" t="n"/>
      <c r="Z260" s="137" t="inlineStr">
        <is>
          <t>釋放失控的禁忌魔法，對全體5名敵人造成法術傷害。</t>
        </is>
      </c>
      <c r="AA260" s="150" t="n"/>
      <c r="AB260" s="150" t="n"/>
      <c r="AC260" s="150" t="n"/>
      <c r="AD260" s="149" t="n"/>
    </row>
    <row r="261" ht="15.75" customHeight="1" s="142">
      <c r="A261" s="135" t="n">
        <v>400031</v>
      </c>
      <c r="B261" s="137" t="inlineStr">
        <is>
          <t>熔岩踐踏</t>
        </is>
      </c>
      <c r="C261" s="135" t="n">
        <v>3</v>
      </c>
      <c r="D261" s="135" t="n"/>
      <c r="E261" s="135" t="n"/>
      <c r="F261" s="135" t="n">
        <v>1</v>
      </c>
      <c r="G261" s="135" t="n">
        <v>2.2</v>
      </c>
      <c r="H261" s="135" t="n"/>
      <c r="I261" s="135" t="n"/>
      <c r="J261" s="135" t="n"/>
      <c r="K261" s="135" t="n"/>
      <c r="L261" s="135" t="n"/>
      <c r="M261" s="141" t="inlineStr">
        <is>
          <t>phycial</t>
        </is>
      </c>
      <c r="N261" s="51" t="n">
        <v>42</v>
      </c>
      <c r="O261" s="141" t="n"/>
      <c r="P261" s="52" t="n"/>
      <c r="Q261" s="52" t="n"/>
      <c r="R261" s="52" t="n"/>
      <c r="S261" s="141" t="n"/>
      <c r="T261" s="141" t="n"/>
      <c r="U261" s="141" t="n"/>
      <c r="V261" s="135" t="n"/>
      <c r="W261" s="53" t="n"/>
      <c r="X261" s="141" t="inlineStr">
        <is>
          <t>fire</t>
        </is>
      </c>
      <c r="Y261" s="141" t="n"/>
      <c r="Z261" s="137" t="inlineStr">
        <is>
          <t>踩踏地面引爆火山熔岩，對3名敵人造成物理傷害。</t>
        </is>
      </c>
      <c r="AA261" s="150" t="n"/>
      <c r="AB261" s="150" t="n"/>
      <c r="AC261" s="150" t="n"/>
      <c r="AD261" s="149" t="n"/>
    </row>
    <row r="262" ht="15.75" customHeight="1" s="142">
      <c r="A262" s="135" t="n">
        <v>400032</v>
      </c>
      <c r="B262" s="137" t="inlineStr">
        <is>
          <t>虛空絞殺</t>
        </is>
      </c>
      <c r="C262" s="135" t="n">
        <v>2</v>
      </c>
      <c r="D262" s="135" t="n"/>
      <c r="E262" s="135" t="n"/>
      <c r="F262" s="135" t="n">
        <v>2</v>
      </c>
      <c r="G262" s="135" t="n"/>
      <c r="H262" s="135" t="n">
        <v>1.8</v>
      </c>
      <c r="I262" s="135" t="n"/>
      <c r="J262" s="135" t="n"/>
      <c r="K262" s="135" t="n"/>
      <c r="L262" s="135" t="n"/>
      <c r="M262" s="141" t="inlineStr">
        <is>
          <t>magic</t>
        </is>
      </c>
      <c r="N262" s="51" t="n">
        <v>48</v>
      </c>
      <c r="O262" s="141" t="n"/>
      <c r="P262" s="52" t="n"/>
      <c r="Q262" s="52" t="n"/>
      <c r="R262" s="52" t="n">
        <v>4003</v>
      </c>
      <c r="S262" s="141" t="n"/>
      <c r="T262" s="141" t="n"/>
      <c r="U262" s="141" t="n"/>
      <c r="V262" s="135" t="n"/>
      <c r="W262" s="53" t="n"/>
      <c r="X262" s="141" t="inlineStr">
        <is>
          <t>explode</t>
        </is>
      </c>
      <c r="Y262" s="141" t="n"/>
      <c r="Z262" s="137" t="inlineStr">
        <is>
          <t>撕裂虛空，對2名敵人造成2次法術傷害。</t>
        </is>
      </c>
      <c r="AA262" s="150" t="n"/>
      <c r="AB262" s="150" t="n"/>
      <c r="AC262" s="150" t="n"/>
      <c r="AD262" s="149" t="n"/>
    </row>
    <row r="263" ht="15.75" customHeight="1" s="142">
      <c r="A263" s="135" t="n">
        <v>400033</v>
      </c>
      <c r="B263" s="137" t="inlineStr">
        <is>
          <t>冰晶刺殺</t>
        </is>
      </c>
      <c r="C263" s="135" t="n">
        <v>1</v>
      </c>
      <c r="D263" s="135" t="n"/>
      <c r="E263" s="135" t="n"/>
      <c r="F263" s="135" t="n">
        <v>2</v>
      </c>
      <c r="G263" s="135" t="n">
        <v>2</v>
      </c>
      <c r="H263" s="135" t="n"/>
      <c r="I263" s="135" t="n"/>
      <c r="J263" s="135" t="n"/>
      <c r="K263" s="135" t="n"/>
      <c r="L263" s="135" t="n"/>
      <c r="M263" s="141" t="inlineStr">
        <is>
          <t>phycial</t>
        </is>
      </c>
      <c r="N263" s="51" t="n">
        <v>30</v>
      </c>
      <c r="O263" s="141" t="n"/>
      <c r="P263" s="52" t="n"/>
      <c r="Q263" s="52" t="n"/>
      <c r="R263" s="52" t="n">
        <v>4002</v>
      </c>
      <c r="S263" s="141" t="n"/>
      <c r="T263" s="141" t="n"/>
      <c r="U263" s="141" t="n"/>
      <c r="V263" s="135" t="n"/>
      <c r="W263" s="53" t="n"/>
      <c r="X263" s="141" t="inlineStr">
        <is>
          <t>explode</t>
        </is>
      </c>
      <c r="Y263" s="141" t="n"/>
      <c r="Z263" s="137" t="inlineStr">
        <is>
          <t>凝結冰晶進行急速刺擊，對單體敵人造成2次物理傷害。</t>
        </is>
      </c>
      <c r="AA263" s="150" t="n"/>
      <c r="AB263" s="150" t="n"/>
      <c r="AC263" s="150" t="n"/>
      <c r="AD263" s="149" t="n"/>
    </row>
    <row r="264" ht="15.75" customHeight="1" s="142">
      <c r="A264" s="135" t="n">
        <v>400034</v>
      </c>
      <c r="B264" s="137" t="inlineStr">
        <is>
          <t>居合斬</t>
        </is>
      </c>
      <c r="C264" s="135" t="n">
        <v>1</v>
      </c>
      <c r="D264" s="135" t="n"/>
      <c r="E264" s="135" t="n"/>
      <c r="F264" s="135" t="n">
        <v>1</v>
      </c>
      <c r="G264" s="135" t="n">
        <v>4.2</v>
      </c>
      <c r="H264" s="135" t="n"/>
      <c r="I264" s="135" t="n"/>
      <c r="J264" s="135" t="n"/>
      <c r="K264" s="135" t="n"/>
      <c r="L264" s="135" t="n"/>
      <c r="M264" s="141" t="inlineStr">
        <is>
          <t>phycial</t>
        </is>
      </c>
      <c r="N264" s="51" t="n">
        <v>35</v>
      </c>
      <c r="O264" s="141" t="n"/>
      <c r="P264" s="52" t="n"/>
      <c r="Q264" s="52" t="n"/>
      <c r="R264" s="52" t="n"/>
      <c r="S264" s="141" t="n"/>
      <c r="T264" s="141" t="n"/>
      <c r="U264" s="141" t="n"/>
      <c r="V264" s="135" t="n"/>
      <c r="W264" s="53" t="n"/>
      <c r="X264" s="141" t="inlineStr">
        <is>
          <t>explode</t>
        </is>
      </c>
      <c r="Y264" s="141" t="n"/>
      <c r="Z264" s="137" t="inlineStr">
        <is>
          <t>快速拔刀斬擊，對單體敵人造成毀滅性物理傷害。</t>
        </is>
      </c>
      <c r="AA264" s="150" t="n"/>
      <c r="AB264" s="150" t="n"/>
      <c r="AC264" s="150" t="n"/>
      <c r="AD264" s="149" t="n"/>
    </row>
    <row r="265" ht="15.75" customHeight="1" s="142">
      <c r="A265" s="135" t="n">
        <v>400035</v>
      </c>
      <c r="B265" s="137" t="inlineStr">
        <is>
          <t>瘟疫毒雲</t>
        </is>
      </c>
      <c r="C265" s="135" t="n">
        <v>4</v>
      </c>
      <c r="D265" s="135" t="n"/>
      <c r="E265" s="135" t="n"/>
      <c r="F265" s="135" t="n">
        <v>1</v>
      </c>
      <c r="G265" s="135" t="n"/>
      <c r="H265" s="135" t="n">
        <v>1.6</v>
      </c>
      <c r="I265" s="135" t="n"/>
      <c r="J265" s="135" t="n"/>
      <c r="K265" s="135" t="n"/>
      <c r="L265" s="135" t="n"/>
      <c r="M265" s="141" t="inlineStr">
        <is>
          <t>magic</t>
        </is>
      </c>
      <c r="N265" s="51" t="n">
        <v>45</v>
      </c>
      <c r="O265" s="141" t="n"/>
      <c r="P265" s="52" t="n"/>
      <c r="Q265" s="52" t="n"/>
      <c r="R265" s="52" t="n">
        <v>4004</v>
      </c>
      <c r="S265" s="141" t="n"/>
      <c r="T265" s="141" t="n"/>
      <c r="U265" s="141" t="n"/>
      <c r="V265" s="135" t="n"/>
      <c r="W265" s="53" t="n"/>
      <c r="X265" s="141" t="inlineStr">
        <is>
          <t>explode</t>
        </is>
      </c>
      <c r="Y265" s="141" t="n"/>
      <c r="Z265" s="137" t="inlineStr">
        <is>
          <t>散播瘟疫毒氣，對4名敵人造成法術傷害。(中毒</t>
        </is>
      </c>
      <c r="AA265" s="150" t="n"/>
      <c r="AB265" s="150" t="n"/>
      <c r="AC265" s="150" t="n"/>
      <c r="AD265" s="149" t="n"/>
    </row>
    <row r="266" ht="15.75" customHeight="1" s="142">
      <c r="A266" s="135" t="n">
        <v>400036</v>
      </c>
      <c r="B266" s="137" t="inlineStr">
        <is>
          <t>深淵撕咬</t>
        </is>
      </c>
      <c r="C266" s="135" t="n">
        <v>1</v>
      </c>
      <c r="D266" s="135" t="n"/>
      <c r="E266" s="135" t="n"/>
      <c r="F266" s="135" t="n">
        <v>1</v>
      </c>
      <c r="G266" s="135" t="n">
        <v>4.5</v>
      </c>
      <c r="H266" s="135" t="n"/>
      <c r="I266" s="135" t="n"/>
      <c r="J266" s="135" t="n"/>
      <c r="K266" s="135" t="n"/>
      <c r="L266" s="135" t="n"/>
      <c r="M266" s="141" t="inlineStr">
        <is>
          <t>phycial</t>
        </is>
      </c>
      <c r="N266" s="51" t="n">
        <v>40</v>
      </c>
      <c r="O266" s="141" t="n"/>
      <c r="P266" s="52" t="n"/>
      <c r="Q266" s="52" t="n"/>
      <c r="R266" s="52" t="n"/>
      <c r="S266" s="141" t="n"/>
      <c r="T266" s="141" t="n"/>
      <c r="U266" s="141" t="n"/>
      <c r="V266" s="135" t="n"/>
      <c r="W266" s="53" t="n"/>
      <c r="X266" s="141" t="inlineStr">
        <is>
          <t>explode</t>
        </is>
      </c>
      <c r="Y266" s="141" t="n"/>
      <c r="Z266" s="137" t="inlineStr">
        <is>
          <t>召喚深淵巨口撕咬，對單體敵人造成毀滅性物理傷害。</t>
        </is>
      </c>
      <c r="AA266" s="150" t="n"/>
      <c r="AB266" s="150" t="n"/>
      <c r="AC266" s="150" t="n"/>
      <c r="AD266" s="149" t="n"/>
    </row>
    <row r="267" ht="15.75" customHeight="1" s="142">
      <c r="A267" s="135" t="n">
        <v>400037</v>
      </c>
      <c r="B267" s="137" t="inlineStr">
        <is>
          <t>惡魔之火</t>
        </is>
      </c>
      <c r="C267" s="135" t="n">
        <v>3</v>
      </c>
      <c r="D267" s="135" t="n"/>
      <c r="E267" s="135" t="n"/>
      <c r="F267" s="135" t="n">
        <v>1</v>
      </c>
      <c r="G267" s="135" t="n"/>
      <c r="H267" s="135" t="n">
        <v>2.5</v>
      </c>
      <c r="I267" s="135" t="n"/>
      <c r="J267" s="135" t="n"/>
      <c r="K267" s="135" t="n"/>
      <c r="L267" s="135" t="n"/>
      <c r="M267" s="141" t="inlineStr">
        <is>
          <t>magic</t>
        </is>
      </c>
      <c r="N267" s="51" t="n">
        <v>50</v>
      </c>
      <c r="O267" s="141" t="n"/>
      <c r="P267" s="52" t="n"/>
      <c r="Q267" s="52" t="n"/>
      <c r="R267" s="52" t="n">
        <v>4001</v>
      </c>
      <c r="S267" s="141" t="n"/>
      <c r="T267" s="141" t="n"/>
      <c r="U267" s="141" t="n"/>
      <c r="V267" s="135" t="n"/>
      <c r="W267" s="53" t="n"/>
      <c r="X267" s="141" t="inlineStr">
        <is>
          <t>explode</t>
        </is>
      </c>
      <c r="Y267" s="141" t="n"/>
      <c r="Z267" s="137" t="inlineStr">
        <is>
          <t>點燃深淵地獄火，對3名敵人造成高額法術傷害。</t>
        </is>
      </c>
      <c r="AA267" s="150" t="n"/>
      <c r="AB267" s="150" t="n"/>
      <c r="AC267" s="150" t="n"/>
      <c r="AD267" s="149" t="n"/>
    </row>
    <row r="268" ht="15.75" customHeight="1" s="142">
      <c r="A268" s="135" t="n">
        <v>400038</v>
      </c>
      <c r="B268" s="137" t="inlineStr">
        <is>
          <t>幽魂掠奪</t>
        </is>
      </c>
      <c r="C268" s="135" t="n">
        <v>2</v>
      </c>
      <c r="D268" s="135" t="n"/>
      <c r="E268" s="135" t="n"/>
      <c r="F268" s="135" t="n">
        <v>1</v>
      </c>
      <c r="G268" s="135" t="n"/>
      <c r="H268" s="135" t="n">
        <v>2.4</v>
      </c>
      <c r="I268" s="135" t="n"/>
      <c r="J268" s="135" t="n"/>
      <c r="K268" s="135" t="n"/>
      <c r="L268" s="135" t="n"/>
      <c r="M268" s="141" t="inlineStr">
        <is>
          <t>magic</t>
        </is>
      </c>
      <c r="N268" s="51" t="n">
        <v>36</v>
      </c>
      <c r="O268" s="141" t="n"/>
      <c r="P268" s="52" t="n"/>
      <c r="Q268" s="52" t="n"/>
      <c r="R268" s="52" t="n">
        <v>5001</v>
      </c>
      <c r="S268" s="141" t="n"/>
      <c r="T268" s="141" t="n"/>
      <c r="U268" s="141" t="n"/>
      <c r="V268" s="135" t="n"/>
      <c r="W268" s="53" t="n"/>
      <c r="X268" s="141" t="inlineStr">
        <is>
          <t>explode</t>
        </is>
      </c>
      <c r="Y268" s="141" t="n"/>
      <c r="Z268" s="137" t="inlineStr">
        <is>
          <t>召喚幽魂侵襲，對2名敵人造成法術傷害。</t>
        </is>
      </c>
      <c r="AA268" s="150" t="n"/>
      <c r="AB268" s="150" t="n"/>
      <c r="AC268" s="150" t="n"/>
      <c r="AD268" s="149" t="n"/>
    </row>
    <row r="269" ht="15.75" customHeight="1" s="142">
      <c r="A269" s="135" t="n">
        <v>400040</v>
      </c>
      <c r="B269" s="137" t="inlineStr">
        <is>
          <t>光蝕射線</t>
        </is>
      </c>
      <c r="C269" s="135" t="n">
        <v>2</v>
      </c>
      <c r="D269" s="135" t="n"/>
      <c r="E269" s="135" t="n"/>
      <c r="F269" s="135" t="n">
        <v>1</v>
      </c>
      <c r="G269" s="135" t="n"/>
      <c r="H269" s="135" t="n">
        <v>2.6</v>
      </c>
      <c r="I269" s="135" t="n"/>
      <c r="J269" s="135" t="n"/>
      <c r="K269" s="135" t="n"/>
      <c r="L269" s="135" t="n"/>
      <c r="M269" s="141" t="inlineStr">
        <is>
          <t>magic</t>
        </is>
      </c>
      <c r="N269" s="51" t="n">
        <v>38</v>
      </c>
      <c r="O269" s="141" t="n"/>
      <c r="P269" s="52" t="n"/>
      <c r="Q269" s="52" t="n"/>
      <c r="R269" s="52" t="n"/>
      <c r="S269" s="141" t="n"/>
      <c r="T269" s="141" t="n"/>
      <c r="U269" s="141" t="n"/>
      <c r="V269" s="135" t="n"/>
      <c r="W269" s="53" t="n"/>
      <c r="X269" s="141" t="inlineStr">
        <is>
          <t>explode</t>
        </is>
      </c>
      <c r="Y269" s="141" t="n"/>
      <c r="Z269" s="137" t="inlineStr">
        <is>
          <t>發射被污染的聖光射線，對2名敵人造成法術傷害。</t>
        </is>
      </c>
      <c r="AA269" s="150" t="n"/>
      <c r="AB269" s="150" t="n"/>
      <c r="AC269" s="150" t="n"/>
      <c r="AD269" s="149" t="n"/>
    </row>
    <row r="270" ht="14.25" customHeight="1" s="142"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45" t="n"/>
      <c r="L270" s="45" t="n"/>
      <c r="N270" s="46" t="n"/>
      <c r="P270" s="47" t="n"/>
      <c r="Q270" s="47" t="n"/>
      <c r="R270" s="47" t="n"/>
      <c r="V270" s="45" t="n"/>
    </row>
    <row r="271" ht="14.25" customHeight="1" s="142">
      <c r="A271" s="23" t="inlineStr">
        <is>
          <t>skill_id</t>
        </is>
      </c>
      <c r="B271" s="60" t="inlineStr">
        <is>
          <t>技能名稱</t>
        </is>
      </c>
      <c r="C271" s="48" t="inlineStr">
        <is>
          <t>攻擊對象數量</t>
        </is>
      </c>
      <c r="D271" s="48" t="inlineStr">
        <is>
          <t>是否為隨機</t>
        </is>
      </c>
      <c r="E271" s="48" t="inlineStr">
        <is>
          <t>是否自身施放</t>
        </is>
      </c>
      <c r="F271" s="48" t="inlineStr">
        <is>
          <t>攻擊次數</t>
        </is>
      </c>
      <c r="G271" s="40" t="inlineStr">
        <is>
          <t>AD(技能係數)</t>
        </is>
      </c>
      <c r="H271" s="40" t="inlineStr">
        <is>
          <t>AP(技能係數)</t>
        </is>
      </c>
      <c r="I271" s="40" t="inlineStr">
        <is>
          <t>AGI</t>
        </is>
      </c>
      <c r="J271" s="40" t="inlineStr">
        <is>
          <t>current_hp</t>
        </is>
      </c>
      <c r="K271" s="40" t="inlineStr">
        <is>
          <t>cooldown</t>
        </is>
      </c>
      <c r="L271" s="40" t="inlineStr">
        <is>
          <t>isrole</t>
        </is>
      </c>
      <c r="M271" s="23" t="inlineStr">
        <is>
          <t>type</t>
        </is>
      </c>
      <c r="N271" s="49" t="inlineStr">
        <is>
          <t>MP_cost</t>
        </is>
      </c>
      <c r="O271" s="23" t="inlineStr">
        <is>
          <t>MP_revocer</t>
        </is>
      </c>
      <c r="P271" s="50" t="inlineStr">
        <is>
          <t>self_add_buff_id</t>
        </is>
      </c>
      <c r="Q271" s="50" t="inlineStr">
        <is>
          <t>self_buff_rate</t>
        </is>
      </c>
      <c r="R271" s="50" t="inlineStr">
        <is>
          <t>add_buff_id</t>
        </is>
      </c>
      <c r="S271" s="50" t="inlineStr">
        <is>
          <t>add_buff_rate_overwrite</t>
        </is>
      </c>
      <c r="T271" s="23" t="inlineStr">
        <is>
          <t>remove_buff_id</t>
        </is>
      </c>
      <c r="U271" s="50" t="inlineStr">
        <is>
          <t>remove_buff_rate_overwrite</t>
        </is>
      </c>
      <c r="V271" s="135" t="inlineStr">
        <is>
          <t>isMpDamage</t>
        </is>
      </c>
      <c r="W271" s="23" t="inlineStr">
        <is>
          <t>prefeb_atk</t>
        </is>
      </c>
      <c r="X271" s="23" t="inlineStr">
        <is>
          <t>prefeb_hit1</t>
        </is>
      </c>
      <c r="Y271" s="23" t="inlineStr">
        <is>
          <t>prefeb_hit2</t>
        </is>
      </c>
      <c r="Z271" s="136" t="inlineStr">
        <is>
          <t>說明</t>
        </is>
      </c>
      <c r="AA271" s="150" t="n"/>
      <c r="AB271" s="150" t="n"/>
      <c r="AC271" s="150" t="n"/>
      <c r="AD271" s="149" t="n"/>
    </row>
    <row r="272" ht="14.25" customHeight="1" s="142">
      <c r="A272" s="135" t="n">
        <v>410001</v>
      </c>
      <c r="B272" s="143" t="inlineStr">
        <is>
          <t>硬化皮膚</t>
        </is>
      </c>
      <c r="C272" s="135" t="n">
        <v>-2</v>
      </c>
      <c r="D272" s="135" t="n"/>
      <c r="E272" s="135" t="n"/>
      <c r="F272" s="135" t="n">
        <v>1</v>
      </c>
      <c r="G272" s="141" t="n"/>
      <c r="H272" s="141" t="n"/>
      <c r="I272" s="135" t="n"/>
      <c r="J272" s="135" t="n"/>
      <c r="K272" s="135" t="n">
        <v>3</v>
      </c>
      <c r="L272" s="135" t="n"/>
      <c r="M272" s="141" t="n"/>
      <c r="N272" s="51" t="n">
        <v>22</v>
      </c>
      <c r="O272" s="141" t="n"/>
      <c r="P272" s="52" t="n"/>
      <c r="Q272" s="52" t="n"/>
      <c r="R272" s="52">
        <f>"1002,1004"</f>
        <v/>
      </c>
      <c r="S272" s="141" t="n"/>
      <c r="T272" s="141" t="n"/>
      <c r="U272" s="141" t="n"/>
      <c r="V272" s="135" t="n"/>
      <c r="W272" s="141" t="n"/>
      <c r="X272" s="141" t="inlineStr">
        <is>
          <t>buff</t>
        </is>
      </c>
      <c r="Y272" s="141" t="n"/>
      <c r="Z272" s="137" t="inlineStr">
        <is>
          <t>對我方2體附加防禦上升與魔防上升</t>
        </is>
      </c>
      <c r="AA272" s="150" t="n"/>
      <c r="AB272" s="150" t="n"/>
      <c r="AC272" s="150" t="n"/>
      <c r="AD272" s="149" t="n"/>
    </row>
    <row r="273" ht="14.25" customHeight="1" s="142">
      <c r="A273" s="135" t="n">
        <v>410002</v>
      </c>
      <c r="B273" s="143" t="inlineStr">
        <is>
          <t>影擊步伐</t>
        </is>
      </c>
      <c r="C273" s="135" t="n">
        <v>1</v>
      </c>
      <c r="D273" s="135" t="n"/>
      <c r="E273" s="135" t="n"/>
      <c r="F273" s="135" t="n">
        <v>1</v>
      </c>
      <c r="G273" s="141" t="n">
        <v>3.8</v>
      </c>
      <c r="H273" s="141" t="n"/>
      <c r="I273" s="135" t="n"/>
      <c r="J273" s="135" t="n"/>
      <c r="K273" s="135" t="n">
        <v>5</v>
      </c>
      <c r="L273" s="135" t="n"/>
      <c r="M273" s="141" t="inlineStr">
        <is>
          <t>phycial</t>
        </is>
      </c>
      <c r="N273" s="51" t="n">
        <v>18</v>
      </c>
      <c r="O273" s="141" t="n"/>
      <c r="P273" s="52" t="n">
        <v>3003</v>
      </c>
      <c r="Q273" s="52" t="n"/>
      <c r="R273" s="52" t="n"/>
      <c r="S273" s="141" t="n"/>
      <c r="T273" s="141" t="n"/>
      <c r="U273" s="141" t="n"/>
      <c r="V273" s="135" t="n"/>
      <c r="W273" s="141" t="n"/>
      <c r="X273" s="141" t="inlineStr">
        <is>
          <t>slash</t>
        </is>
      </c>
      <c r="Y273" s="141" t="n"/>
      <c r="Z273" s="137" t="inlineStr">
        <is>
          <t>對敵方1體造成&lt;AD&gt;物攻的物理傷害，並未自身附加行動加快</t>
        </is>
      </c>
      <c r="AA273" s="150" t="n"/>
      <c r="AB273" s="150" t="n"/>
      <c r="AC273" s="150" t="n"/>
      <c r="AD273" s="149" t="n"/>
    </row>
    <row r="274" ht="14.25" customHeight="1" s="142">
      <c r="A274" s="135" t="n">
        <v>410003</v>
      </c>
      <c r="B274" s="143" t="inlineStr">
        <is>
          <t>循環砂礫</t>
        </is>
      </c>
      <c r="C274" s="135" t="n">
        <v>-2</v>
      </c>
      <c r="D274" s="135" t="n"/>
      <c r="E274" s="135" t="n"/>
      <c r="F274" s="135" t="n">
        <v>1</v>
      </c>
      <c r="G274" s="141" t="n"/>
      <c r="H274" s="141" t="n"/>
      <c r="I274" s="135" t="n"/>
      <c r="J274" s="135" t="n"/>
      <c r="K274" s="135" t="n">
        <v>3</v>
      </c>
      <c r="L274" s="135" t="n"/>
      <c r="M274" s="141" t="n"/>
      <c r="N274" s="51" t="n">
        <v>18</v>
      </c>
      <c r="O274" s="141" t="n"/>
      <c r="P274" s="141" t="n"/>
      <c r="Q274" s="52" t="n"/>
      <c r="R274" s="52" t="n">
        <v>1996</v>
      </c>
      <c r="S274" s="141" t="n"/>
      <c r="T274" s="141" t="n"/>
      <c r="U274" s="141" t="n"/>
      <c r="V274" s="135" t="n"/>
      <c r="W274" s="141" t="n"/>
      <c r="X274" s="141" t="inlineStr">
        <is>
          <t>buff</t>
        </is>
      </c>
      <c r="Y274" s="141" t="n"/>
      <c r="Z274" s="137" t="inlineStr">
        <is>
          <t>為我方2體附加傷害分擔</t>
        </is>
      </c>
      <c r="AA274" s="150" t="n"/>
      <c r="AB274" s="150" t="n"/>
      <c r="AC274" s="150" t="n"/>
      <c r="AD274" s="149" t="n"/>
    </row>
    <row r="275" ht="14.25" customHeight="1" s="142">
      <c r="A275" s="135" t="n">
        <v>410004</v>
      </c>
      <c r="B275" s="143" t="inlineStr">
        <is>
          <t>高速撞擊</t>
        </is>
      </c>
      <c r="C275" s="135" t="n">
        <v>2</v>
      </c>
      <c r="E275" s="135" t="n"/>
      <c r="F275" s="135" t="n">
        <v>1</v>
      </c>
      <c r="G275" s="141" t="n">
        <v>2.1</v>
      </c>
      <c r="H275" s="141" t="n"/>
      <c r="I275" s="135" t="n"/>
      <c r="J275" s="135" t="n"/>
      <c r="K275" s="135" t="n">
        <v>3</v>
      </c>
      <c r="L275" s="135" t="n"/>
      <c r="M275" s="141" t="inlineStr">
        <is>
          <t>phycial</t>
        </is>
      </c>
      <c r="N275" s="61" t="n">
        <v>22</v>
      </c>
      <c r="O275" s="141" t="n"/>
      <c r="P275" s="52" t="n">
        <v>3003</v>
      </c>
      <c r="Q275" s="52" t="n"/>
      <c r="R275" s="52" t="n"/>
      <c r="S275" s="141" t="n"/>
      <c r="T275" s="141" t="n"/>
      <c r="U275" s="141" t="n"/>
      <c r="V275" s="135" t="n"/>
      <c r="W275" s="141" t="n"/>
      <c r="X275" s="141" t="inlineStr">
        <is>
          <t>slash</t>
        </is>
      </c>
      <c r="Y275" s="141" t="n"/>
      <c r="Z275" s="137" t="inlineStr">
        <is>
          <t>對我敵方2體造成&lt;AD&gt;物攻的物理傷害，並未自身附加行動加快</t>
        </is>
      </c>
      <c r="AA275" s="150" t="n"/>
      <c r="AB275" s="150" t="n"/>
      <c r="AC275" s="150" t="n"/>
      <c r="AD275" s="149" t="n"/>
    </row>
    <row r="276" ht="14.25" customHeight="1" s="142">
      <c r="A276" s="135" t="n">
        <v>410005</v>
      </c>
      <c r="B276" s="143" t="inlineStr">
        <is>
          <t>修復</t>
        </is>
      </c>
      <c r="C276" s="135" t="n">
        <v>-2</v>
      </c>
      <c r="D276" s="135" t="n"/>
      <c r="E276" s="135" t="n"/>
      <c r="F276" s="135" t="n">
        <v>1</v>
      </c>
      <c r="G276" s="141" t="n"/>
      <c r="H276" s="141" t="n">
        <v>2</v>
      </c>
      <c r="I276" s="135" t="n"/>
      <c r="J276" s="135" t="n"/>
      <c r="K276" s="135" t="n">
        <v>4</v>
      </c>
      <c r="L276" s="135" t="n"/>
      <c r="M276" s="141" t="inlineStr">
        <is>
          <t>heal</t>
        </is>
      </c>
      <c r="N276" s="61" t="n">
        <v>33</v>
      </c>
      <c r="O276" s="141" t="n"/>
      <c r="P276" s="52" t="n"/>
      <c r="Q276" s="52" t="n"/>
      <c r="R276" s="52" t="n"/>
      <c r="S276" s="141" t="n"/>
      <c r="T276" s="141" t="n"/>
      <c r="U276" s="141" t="n"/>
      <c r="V276" s="135" t="n"/>
      <c r="W276" s="141" t="n"/>
      <c r="X276" s="141" t="inlineStr">
        <is>
          <t>heal</t>
        </is>
      </c>
      <c r="Y276" s="141" t="n"/>
      <c r="Z276" s="137" t="inlineStr">
        <is>
          <t>對我方2體恢復&lt;AP&gt;的HP</t>
        </is>
      </c>
      <c r="AA276" s="150" t="n"/>
      <c r="AB276" s="150" t="n"/>
      <c r="AC276" s="150" t="n"/>
      <c r="AD276" s="149" t="n"/>
    </row>
    <row r="277" ht="14.25" customHeight="1" s="142">
      <c r="A277" s="135" t="n">
        <v>410006</v>
      </c>
      <c r="B277" s="143" t="inlineStr">
        <is>
          <t>刺針麻痺</t>
        </is>
      </c>
      <c r="C277" s="135" t="n">
        <v>1</v>
      </c>
      <c r="D277" s="135" t="n"/>
      <c r="E277" s="135" t="n"/>
      <c r="F277" s="135" t="n">
        <v>1</v>
      </c>
      <c r="G277" s="141" t="n">
        <v>3.5</v>
      </c>
      <c r="H277" s="141" t="n"/>
      <c r="I277" s="135" t="n"/>
      <c r="J277" s="135" t="n"/>
      <c r="K277" s="135" t="n">
        <v>2</v>
      </c>
      <c r="L277" s="135" t="n"/>
      <c r="M277" s="141" t="inlineStr">
        <is>
          <t>phycial</t>
        </is>
      </c>
      <c r="N277" s="61" t="n">
        <v>25</v>
      </c>
      <c r="O277" s="141" t="n"/>
      <c r="P277" s="52" t="n"/>
      <c r="Q277" s="52" t="n"/>
      <c r="R277" s="52" t="n">
        <v>5001</v>
      </c>
      <c r="S277" s="141" t="n"/>
      <c r="T277" s="141" t="n"/>
      <c r="U277" s="141" t="n"/>
      <c r="V277" s="135" t="n"/>
      <c r="W277" s="141" t="n"/>
      <c r="X277" s="141" t="inlineStr">
        <is>
          <t>stab</t>
        </is>
      </c>
      <c r="Y277" s="141" t="n"/>
      <c r="Z277" s="137" t="inlineStr">
        <is>
          <t>對敵方1體造成&lt;AD&gt;物攻的物理傷害，並附加麻痺效果</t>
        </is>
      </c>
      <c r="AA277" s="150" t="n"/>
      <c r="AB277" s="150" t="n"/>
      <c r="AC277" s="150" t="n"/>
      <c r="AD277" s="149" t="n"/>
    </row>
    <row r="278" ht="14.25" customHeight="1" s="142">
      <c r="A278" s="135" t="n">
        <v>410007</v>
      </c>
      <c r="B278" s="143" t="inlineStr">
        <is>
          <t>堅守陣地</t>
        </is>
      </c>
      <c r="C278" s="135" t="n">
        <v>-2</v>
      </c>
      <c r="D278" s="135" t="n"/>
      <c r="E278" s="135" t="n"/>
      <c r="F278" s="135" t="n">
        <v>1</v>
      </c>
      <c r="G278" s="141" t="n"/>
      <c r="H278" s="141" t="n"/>
      <c r="I278" s="135" t="n"/>
      <c r="J278" s="135" t="n"/>
      <c r="K278" s="135" t="n">
        <v>6</v>
      </c>
      <c r="L278" s="135" t="n"/>
      <c r="M278" s="141" t="n"/>
      <c r="N278" s="61" t="n">
        <v>20</v>
      </c>
      <c r="O278" s="141" t="n"/>
      <c r="P278" s="52" t="n"/>
      <c r="Q278" s="52" t="n"/>
      <c r="R278" s="52" t="n">
        <v>1998</v>
      </c>
      <c r="S278" s="141" t="n"/>
      <c r="T278" s="141" t="n"/>
      <c r="U278" s="141" t="n"/>
      <c r="V278" s="135" t="n"/>
      <c r="W278" s="141" t="n"/>
      <c r="X278" s="141" t="inlineStr">
        <is>
          <t>shield2</t>
        </is>
      </c>
      <c r="Y278" s="141" t="n"/>
      <c r="Z278" s="137" t="inlineStr">
        <is>
          <t>為我方2體附加受護衛效果</t>
        </is>
      </c>
      <c r="AA278" s="150" t="n"/>
      <c r="AB278" s="150" t="n"/>
      <c r="AC278" s="150" t="n"/>
      <c r="AD278" s="149" t="n"/>
    </row>
    <row r="279" ht="14.25" customHeight="1" s="142">
      <c r="A279" s="135" t="n">
        <v>410008</v>
      </c>
      <c r="B279" s="143" t="inlineStr">
        <is>
          <t>爆擊強化</t>
        </is>
      </c>
      <c r="C279" s="135" t="n">
        <v>-1</v>
      </c>
      <c r="D279" s="135" t="n"/>
      <c r="E279" s="135" t="n">
        <v>1</v>
      </c>
      <c r="F279" s="135" t="n">
        <v>1</v>
      </c>
      <c r="G279" s="141" t="n"/>
      <c r="H279" s="141" t="n"/>
      <c r="I279" s="135" t="n"/>
      <c r="J279" s="135" t="n"/>
      <c r="K279" s="135" t="n">
        <v>2</v>
      </c>
      <c r="L279" s="135" t="n"/>
      <c r="M279" s="141" t="inlineStr">
        <is>
          <t>phycial</t>
        </is>
      </c>
      <c r="N279" s="61" t="n">
        <v>18</v>
      </c>
      <c r="O279" s="141" t="n"/>
      <c r="P279" s="52">
        <f>"1005,1006"</f>
        <v/>
      </c>
      <c r="Q279" s="52" t="n"/>
      <c r="R279" s="52" t="n"/>
      <c r="S279" s="141" t="n"/>
      <c r="T279" s="141" t="n"/>
      <c r="U279" s="141" t="n"/>
      <c r="V279" s="135" t="n"/>
      <c r="W279" s="141" t="n"/>
      <c r="X279" s="141" t="inlineStr">
        <is>
          <t>buff</t>
        </is>
      </c>
      <c r="Y279" s="141" t="n"/>
      <c r="Z279" s="137" t="inlineStr">
        <is>
          <t>為自身附加，爆擊上升與爆傷上升</t>
        </is>
      </c>
      <c r="AA279" s="150" t="n"/>
      <c r="AB279" s="150" t="n"/>
      <c r="AC279" s="150" t="n"/>
      <c r="AD279" s="149" t="n"/>
    </row>
    <row r="280" ht="15.75" customHeight="1" s="142">
      <c r="A280" s="135" t="n">
        <v>410009</v>
      </c>
      <c r="B280" s="143" t="inlineStr">
        <is>
          <t>高熱氣焰</t>
        </is>
      </c>
      <c r="C280" s="135" t="n">
        <v>3</v>
      </c>
      <c r="D280" s="135" t="n"/>
      <c r="E280" s="135" t="n"/>
      <c r="F280" s="135" t="n">
        <v>1</v>
      </c>
      <c r="G280" s="141" t="n">
        <v>1.1</v>
      </c>
      <c r="H280" s="141" t="n"/>
      <c r="I280" s="135" t="n"/>
      <c r="J280" s="135" t="n"/>
      <c r="K280" s="135" t="n">
        <v>3</v>
      </c>
      <c r="L280" s="135" t="n"/>
      <c r="M280" s="141" t="inlineStr">
        <is>
          <t>magic</t>
        </is>
      </c>
      <c r="N280" s="61" t="n">
        <v>40</v>
      </c>
      <c r="O280" s="141" t="n"/>
      <c r="P280" s="52" t="n"/>
      <c r="Q280" s="141" t="n"/>
      <c r="R280" s="52" t="n">
        <v>4001</v>
      </c>
      <c r="S280" s="52" t="n">
        <v>0.5</v>
      </c>
      <c r="T280" s="141" t="n"/>
      <c r="U280" s="141" t="n"/>
      <c r="V280" s="135" t="n"/>
      <c r="W280" s="53" t="inlineStr">
        <is>
          <t>magic_fire</t>
        </is>
      </c>
      <c r="X280" s="141" t="inlineStr">
        <is>
          <t>fire</t>
        </is>
      </c>
      <c r="Y280" s="141" t="n"/>
      <c r="Z280" s="137" t="inlineStr">
        <is>
          <t>為敵方3體造成&lt;AP&gt;的魔法傷害，並50%附加灼傷</t>
        </is>
      </c>
      <c r="AA280" s="150" t="n"/>
      <c r="AB280" s="150" t="n"/>
      <c r="AC280" s="150" t="n"/>
      <c r="AD280" s="149" t="n"/>
    </row>
    <row r="281" ht="14.25" customHeight="1" s="142">
      <c r="A281" s="135" t="n">
        <v>410010</v>
      </c>
      <c r="B281" s="143" t="inlineStr">
        <is>
          <t>高速生長</t>
        </is>
      </c>
      <c r="C281" s="135" t="n">
        <v>-3</v>
      </c>
      <c r="D281" s="135" t="n"/>
      <c r="E281" s="135" t="n"/>
      <c r="F281" s="135" t="n">
        <v>1</v>
      </c>
      <c r="G281" s="141" t="n"/>
      <c r="H281" s="141" t="n">
        <v>1.5</v>
      </c>
      <c r="I281" s="135" t="n"/>
      <c r="J281" s="135" t="n"/>
      <c r="K281" s="135" t="n">
        <v>3</v>
      </c>
      <c r="L281" s="135" t="n"/>
      <c r="M281" s="141" t="inlineStr">
        <is>
          <t>heal</t>
        </is>
      </c>
      <c r="N281" s="61" t="n">
        <v>53</v>
      </c>
      <c r="O281" s="141" t="n"/>
      <c r="P281" s="52" t="n"/>
      <c r="Q281" s="52" t="n"/>
      <c r="R281" s="52" t="n"/>
      <c r="S281" s="141" t="n"/>
      <c r="T281" s="141" t="n"/>
      <c r="U281" s="141" t="n"/>
      <c r="V281" s="135" t="n"/>
      <c r="W281" s="141" t="n"/>
      <c r="X281" s="141" t="inlineStr">
        <is>
          <t>heal</t>
        </is>
      </c>
      <c r="Y281" s="141" t="n"/>
      <c r="Z281" s="137" t="inlineStr">
        <is>
          <t>對我方3體恢復&lt;AP&gt;的HP</t>
        </is>
      </c>
      <c r="AA281" s="150" t="n"/>
      <c r="AB281" s="150" t="n"/>
      <c r="AC281" s="150" t="n"/>
      <c r="AD281" s="149" t="n"/>
    </row>
    <row r="282" ht="14.25" customHeight="1" s="142">
      <c r="A282" s="135" t="n">
        <v>410011</v>
      </c>
      <c r="B282" s="143" t="inlineStr">
        <is>
          <t>分裂回復</t>
        </is>
      </c>
      <c r="C282" s="135" t="n">
        <v>-2</v>
      </c>
      <c r="D282" s="135" t="n"/>
      <c r="E282" s="135" t="n"/>
      <c r="F282" s="135" t="n">
        <v>1</v>
      </c>
      <c r="G282" s="141" t="n">
        <v>2.2</v>
      </c>
      <c r="H282" s="141" t="n"/>
      <c r="I282" s="135" t="n"/>
      <c r="J282" s="135" t="n"/>
      <c r="K282" s="135" t="n">
        <v>3</v>
      </c>
      <c r="L282" s="135" t="n"/>
      <c r="M282" s="141" t="inlineStr">
        <is>
          <t>heal</t>
        </is>
      </c>
      <c r="N282" s="61" t="n">
        <v>55</v>
      </c>
      <c r="O282" s="141" t="n"/>
      <c r="P282" s="52" t="n"/>
      <c r="Q282" s="52" t="n"/>
      <c r="R282" s="52" t="n"/>
      <c r="S282" s="141" t="n"/>
      <c r="T282" s="141" t="n"/>
      <c r="U282" s="141" t="n"/>
      <c r="V282" s="135" t="n"/>
      <c r="W282" s="141" t="n"/>
      <c r="X282" s="141" t="inlineStr">
        <is>
          <t>heal</t>
        </is>
      </c>
      <c r="Y282" s="141" t="n"/>
      <c r="Z282" s="137" t="inlineStr">
        <is>
          <t>對我方2體恢復&lt;AP&gt;的HP</t>
        </is>
      </c>
      <c r="AA282" s="150" t="n"/>
      <c r="AB282" s="150" t="n"/>
      <c r="AC282" s="150" t="n"/>
      <c r="AD282" s="149" t="n"/>
    </row>
    <row r="283" ht="14.25" customHeight="1" s="142">
      <c r="A283" s="135" t="n">
        <v>410012</v>
      </c>
      <c r="B283" s="143" t="inlineStr">
        <is>
          <t>全體硬化</t>
        </is>
      </c>
      <c r="C283" s="135" t="n">
        <v>-5</v>
      </c>
      <c r="D283" s="135" t="n"/>
      <c r="E283" s="135" t="n"/>
      <c r="F283" s="135" t="n">
        <v>1</v>
      </c>
      <c r="G283" s="141" t="n">
        <v>0.9</v>
      </c>
      <c r="H283" s="141" t="n"/>
      <c r="I283" s="135" t="n"/>
      <c r="J283" s="135" t="n"/>
      <c r="K283" s="135" t="n">
        <v>4</v>
      </c>
      <c r="L283" s="135" t="n"/>
      <c r="M283" s="141" t="inlineStr">
        <is>
          <t>shield</t>
        </is>
      </c>
      <c r="N283" s="61" t="n">
        <v>42</v>
      </c>
      <c r="O283" s="141" t="n"/>
      <c r="P283" s="52" t="n"/>
      <c r="Q283" s="52" t="n"/>
      <c r="R283" s="52">
        <f>"1999,1997"</f>
        <v/>
      </c>
      <c r="S283" s="141" t="n"/>
      <c r="T283" s="141" t="n"/>
      <c r="U283" s="141" t="n"/>
      <c r="V283" s="135" t="n"/>
      <c r="W283" s="141" t="n"/>
      <c r="X283" s="141" t="inlineStr">
        <is>
          <t>shield1</t>
        </is>
      </c>
      <c r="Y283" s="141" t="n"/>
      <c r="Z283" s="137" t="inlineStr">
        <is>
          <t>為我方全體附加&lt;AD&gt;護盾，並附加傷害反射效果</t>
        </is>
      </c>
      <c r="AA283" s="150" t="n"/>
      <c r="AB283" s="150" t="n"/>
      <c r="AC283" s="150" t="n"/>
      <c r="AD283" s="149" t="n"/>
    </row>
    <row r="284" ht="14.25" customHeight="1" s="142">
      <c r="A284" s="135" t="n">
        <v>410013</v>
      </c>
      <c r="B284" s="143" t="inlineStr">
        <is>
          <t>連續爪擊</t>
        </is>
      </c>
      <c r="C284" s="135" t="n">
        <v>1</v>
      </c>
      <c r="D284" s="135" t="n">
        <v>1</v>
      </c>
      <c r="E284" s="135" t="n"/>
      <c r="F284" s="135" t="n">
        <v>3</v>
      </c>
      <c r="G284" s="135" t="n">
        <v>2.5</v>
      </c>
      <c r="H284" s="135" t="n"/>
      <c r="I284" s="135" t="n"/>
      <c r="J284" s="135" t="n"/>
      <c r="K284" s="135" t="n">
        <v>3</v>
      </c>
      <c r="L284" s="135" t="n"/>
      <c r="M284" s="141" t="inlineStr">
        <is>
          <t>phycial</t>
        </is>
      </c>
      <c r="N284" s="61" t="n">
        <v>35</v>
      </c>
      <c r="O284" s="141" t="n"/>
      <c r="P284" s="52" t="n"/>
      <c r="Q284" s="52" t="n"/>
      <c r="R284" s="52" t="n"/>
      <c r="S284" s="141" t="n"/>
      <c r="T284" s="141" t="n"/>
      <c r="U284" s="141" t="n"/>
      <c r="V284" s="135" t="n"/>
      <c r="W284" s="141" t="n"/>
      <c r="X284" s="141" t="inlineStr">
        <is>
          <t>slash</t>
        </is>
      </c>
      <c r="Y284" s="141" t="n"/>
      <c r="Z284" s="137" t="inlineStr">
        <is>
          <t>對敵方隨機1體造成&lt;AD&gt;物攻的物理傷害3次</t>
        </is>
      </c>
      <c r="AA284" s="150" t="n"/>
      <c r="AB284" s="150" t="n"/>
      <c r="AC284" s="150" t="n"/>
      <c r="AD284" s="149" t="n"/>
    </row>
    <row r="285" ht="15.75" customHeight="1" s="142">
      <c r="A285" s="135" t="n">
        <v>410014</v>
      </c>
      <c r="B285" s="143" t="inlineStr">
        <is>
          <t>重力魔法</t>
        </is>
      </c>
      <c r="C285" s="135" t="n">
        <v>5</v>
      </c>
      <c r="D285" s="52" t="n"/>
      <c r="E285" s="52" t="n"/>
      <c r="F285" s="52" t="n">
        <v>1</v>
      </c>
      <c r="G285" s="52" t="n"/>
      <c r="H285" s="52" t="n">
        <v>2</v>
      </c>
      <c r="I285" s="52" t="n"/>
      <c r="J285" s="52" t="n"/>
      <c r="K285" s="135" t="n">
        <v>4</v>
      </c>
      <c r="L285" s="52" t="n"/>
      <c r="M285" s="52" t="inlineStr">
        <is>
          <t>magic</t>
        </is>
      </c>
      <c r="N285" s="61" t="n">
        <v>55</v>
      </c>
      <c r="O285" s="52" t="n"/>
      <c r="P285" s="52" t="n"/>
      <c r="Q285" s="52" t="n"/>
      <c r="R285" s="52">
        <f>"2002,2004"</f>
        <v/>
      </c>
      <c r="S285" s="52" t="n"/>
      <c r="T285" s="52" t="n"/>
      <c r="U285" s="52" t="n"/>
      <c r="V285" s="52" t="n"/>
      <c r="W285" s="52" t="n"/>
      <c r="X285" s="53" t="inlineStr">
        <is>
          <t>explode</t>
        </is>
      </c>
      <c r="Y285" s="52" t="n"/>
      <c r="Z285" s="143" t="inlineStr">
        <is>
          <t>為敵方全體造成&lt;AP&gt;的魔法傷害；並附加防禦下降與魔防下降</t>
        </is>
      </c>
      <c r="AA285" s="150" t="n"/>
      <c r="AB285" s="150" t="n"/>
      <c r="AC285" s="150" t="n"/>
      <c r="AD285" s="149" t="n"/>
    </row>
    <row r="286" ht="15.75" customHeight="1" s="142">
      <c r="A286" s="135" t="n">
        <v>410015</v>
      </c>
      <c r="B286" s="143" t="inlineStr">
        <is>
          <t>連續紅蓮</t>
        </is>
      </c>
      <c r="C286" s="135" t="n">
        <v>1</v>
      </c>
      <c r="D286" s="52" t="n">
        <v>1</v>
      </c>
      <c r="E286" s="52" t="n"/>
      <c r="F286" s="52" t="n">
        <v>5</v>
      </c>
      <c r="G286" s="52" t="n"/>
      <c r="H286" s="52" t="n">
        <v>1.8</v>
      </c>
      <c r="I286" s="52" t="n"/>
      <c r="J286" s="52" t="n"/>
      <c r="K286" s="135" t="n">
        <v>5</v>
      </c>
      <c r="L286" s="52" t="n"/>
      <c r="M286" s="52" t="inlineStr">
        <is>
          <t>magic</t>
        </is>
      </c>
      <c r="N286" s="61" t="n">
        <v>60</v>
      </c>
      <c r="O286" s="52" t="n"/>
      <c r="P286" s="52" t="n"/>
      <c r="Q286" s="52" t="n"/>
      <c r="R286" s="52" t="n">
        <v>4001</v>
      </c>
      <c r="S286" s="52" t="n"/>
      <c r="T286" s="52" t="n"/>
      <c r="U286" s="52" t="n"/>
      <c r="V286" s="52" t="n"/>
      <c r="W286" s="62" t="inlineStr">
        <is>
          <t>magic_fire</t>
        </is>
      </c>
      <c r="X286" s="52" t="inlineStr">
        <is>
          <t>fire</t>
        </is>
      </c>
      <c r="Y286" s="52" t="n"/>
      <c r="Z286" s="137" t="inlineStr">
        <is>
          <t>對敵方隨機1體造成&lt;AP&gt;魔攻的魔法傷害3次，並附加灼傷</t>
        </is>
      </c>
      <c r="AA286" s="150" t="n"/>
      <c r="AB286" s="150" t="n"/>
      <c r="AC286" s="150" t="n"/>
      <c r="AD286" s="149" t="n"/>
    </row>
    <row r="287" ht="15.75" customHeight="1" s="142">
      <c r="A287" s="135">
        <f>A286+1</f>
        <v/>
      </c>
      <c r="B287" s="143" t="inlineStr">
        <is>
          <t>元素祈禱</t>
        </is>
      </c>
      <c r="C287" s="135" t="n">
        <v>-1</v>
      </c>
      <c r="D287" s="52" t="n"/>
      <c r="E287" s="52" t="n"/>
      <c r="F287" s="52" t="n">
        <v>1</v>
      </c>
      <c r="G287" s="52" t="n"/>
      <c r="H287" s="52" t="n">
        <v>1.5</v>
      </c>
      <c r="I287" s="52" t="n"/>
      <c r="J287" s="52" t="n"/>
      <c r="K287" s="135" t="n">
        <v>3</v>
      </c>
      <c r="L287" s="52" t="n"/>
      <c r="M287" s="52" t="inlineStr">
        <is>
          <t>heal</t>
        </is>
      </c>
      <c r="N287" s="61" t="n">
        <v>25</v>
      </c>
      <c r="O287" s="52" t="n"/>
      <c r="P287" s="52" t="n"/>
      <c r="Q287" s="52" t="n"/>
      <c r="R287" s="52" t="n"/>
      <c r="S287" s="52" t="n"/>
      <c r="T287" s="52" t="n"/>
      <c r="U287" s="52" t="n"/>
      <c r="V287" s="52" t="n"/>
      <c r="W287" s="62" t="n"/>
      <c r="X287" s="52" t="inlineStr">
        <is>
          <t>heal</t>
        </is>
      </c>
      <c r="Y287" s="52" t="n"/>
      <c r="Z287" s="137" t="inlineStr">
        <is>
          <t>吟唱元素力量，為己方恢復生命值。</t>
        </is>
      </c>
      <c r="AA287" s="150" t="n"/>
      <c r="AB287" s="150" t="n"/>
      <c r="AC287" s="150" t="n"/>
      <c r="AD287" s="149" t="n"/>
    </row>
    <row r="288" ht="15.75" customHeight="1" s="142">
      <c r="A288" s="135">
        <f>A287+1</f>
        <v/>
      </c>
      <c r="B288" s="143" t="inlineStr">
        <is>
          <t>狂暴怒吼</t>
        </is>
      </c>
      <c r="C288" s="135" t="n">
        <v>-1</v>
      </c>
      <c r="D288" s="52" t="n"/>
      <c r="E288" s="52" t="n"/>
      <c r="F288" s="52" t="n">
        <v>1</v>
      </c>
      <c r="G288" s="52" t="n"/>
      <c r="H288" s="52" t="n"/>
      <c r="I288" s="52" t="n"/>
      <c r="J288" s="52" t="n"/>
      <c r="K288" s="135" t="n">
        <v>4</v>
      </c>
      <c r="L288" s="52" t="n"/>
      <c r="M288" s="52" t="inlineStr">
        <is>
          <t>phycial</t>
        </is>
      </c>
      <c r="N288" s="61" t="n">
        <v>20</v>
      </c>
      <c r="O288" s="52" t="n"/>
      <c r="P288" s="52" t="n">
        <v>3001</v>
      </c>
      <c r="Q288" s="52" t="n"/>
      <c r="R288" s="52" t="n"/>
      <c r="S288" s="52" t="n"/>
      <c r="T288" s="52" t="n"/>
      <c r="U288" s="52" t="n"/>
      <c r="V288" s="52" t="n"/>
      <c r="W288" s="62" t="n"/>
      <c r="X288" s="52" t="inlineStr">
        <is>
          <t>buff</t>
        </is>
      </c>
      <c r="Y288" s="52" t="n"/>
      <c r="Z288" s="137" t="inlineStr">
        <is>
          <t>發出野性咆哮，提升自身攻擊力並進入狂暴狀態。</t>
        </is>
      </c>
      <c r="AA288" s="150" t="n"/>
      <c r="AB288" s="150" t="n"/>
      <c r="AC288" s="150" t="n"/>
      <c r="AD288" s="149" t="n"/>
    </row>
    <row r="289" ht="15.75" customHeight="1" s="142">
      <c r="A289" s="135">
        <f>A288+1</f>
        <v/>
      </c>
      <c r="B289" s="143" t="inlineStr">
        <is>
          <t>聖光庇護</t>
        </is>
      </c>
      <c r="C289" s="135" t="n">
        <v>-2</v>
      </c>
      <c r="D289" s="52" t="n"/>
      <c r="E289" s="52" t="n"/>
      <c r="F289" s="52" t="n">
        <v>1</v>
      </c>
      <c r="G289" s="52" t="n"/>
      <c r="H289" s="52" t="n">
        <v>2</v>
      </c>
      <c r="I289" s="52" t="n"/>
      <c r="J289" s="52" t="n"/>
      <c r="K289" s="135" t="n">
        <v>4</v>
      </c>
      <c r="L289" s="52" t="n"/>
      <c r="M289" s="52" t="inlineStr">
        <is>
          <t>heal</t>
        </is>
      </c>
      <c r="N289" s="61" t="n">
        <v>35</v>
      </c>
      <c r="O289" s="52" t="n"/>
      <c r="P289" s="52" t="n"/>
      <c r="Q289" s="52" t="n"/>
      <c r="R289" s="52" t="n"/>
      <c r="S289" s="52" t="n"/>
      <c r="T289" s="52" t="n"/>
      <c r="U289" s="52" t="n"/>
      <c r="V289" s="52" t="n"/>
      <c r="W289" s="62" t="n"/>
      <c r="X289" s="52" t="inlineStr">
        <is>
          <t>heal</t>
        </is>
      </c>
      <c r="Y289" s="52" t="n"/>
      <c r="Z289" s="137" t="inlineStr">
        <is>
          <t>凝聚聖光能量，為己方2名隊友進行治療。</t>
        </is>
      </c>
      <c r="AA289" s="150" t="n"/>
      <c r="AB289" s="150" t="n"/>
      <c r="AC289" s="150" t="n"/>
      <c r="AD289" s="149" t="n"/>
    </row>
    <row r="290" ht="15.75" customHeight="1" s="142">
      <c r="A290" s="135">
        <f>A289+1</f>
        <v/>
      </c>
      <c r="B290" s="143" t="inlineStr">
        <is>
          <t>詛咒詠唱</t>
        </is>
      </c>
      <c r="C290" s="135" t="n">
        <v>3</v>
      </c>
      <c r="D290" s="52" t="n"/>
      <c r="E290" s="52" t="n"/>
      <c r="F290" s="52" t="n">
        <v>1</v>
      </c>
      <c r="G290" s="52" t="n"/>
      <c r="H290" s="52" t="n">
        <v>1.2</v>
      </c>
      <c r="I290" s="52" t="n"/>
      <c r="J290" s="52" t="n"/>
      <c r="K290" s="135" t="n">
        <v>3</v>
      </c>
      <c r="L290" s="52" t="n"/>
      <c r="M290" s="52" t="inlineStr">
        <is>
          <t>magic</t>
        </is>
      </c>
      <c r="N290" s="61" t="n">
        <v>30</v>
      </c>
      <c r="O290" s="52" t="n"/>
      <c r="P290" s="52" t="n"/>
      <c r="Q290" s="52" t="n"/>
      <c r="R290" s="52" t="n"/>
      <c r="S290" s="52" t="n"/>
      <c r="T290" s="52" t="n"/>
      <c r="U290" s="52" t="n"/>
      <c r="V290" s="52" t="n"/>
      <c r="W290" s="62" t="n"/>
      <c r="X290" s="53" t="inlineStr">
        <is>
          <t>explode</t>
        </is>
      </c>
      <c r="Y290" s="52" t="n"/>
      <c r="Z290" s="137" t="inlineStr">
        <is>
          <t>吟唱古老詛咒，對3名敵人施加魔法侵蝕。</t>
        </is>
      </c>
      <c r="AA290" s="150" t="n"/>
      <c r="AB290" s="150" t="n"/>
      <c r="AC290" s="150" t="n"/>
      <c r="AD290" s="149" t="n"/>
    </row>
    <row r="291" ht="15.75" customHeight="1" s="142">
      <c r="A291" s="135">
        <f>A290+1</f>
        <v/>
      </c>
      <c r="B291" s="143" t="inlineStr">
        <is>
          <t>鋼鐵防禦</t>
        </is>
      </c>
      <c r="C291" s="135" t="n">
        <v>-1</v>
      </c>
      <c r="D291" s="52" t="n"/>
      <c r="E291" s="52" t="n"/>
      <c r="F291" s="52" t="n">
        <v>1</v>
      </c>
      <c r="G291" s="52" t="n"/>
      <c r="H291" s="52" t="n"/>
      <c r="I291" s="52" t="n"/>
      <c r="J291" s="52" t="n"/>
      <c r="K291" s="135" t="n">
        <v>3</v>
      </c>
      <c r="L291" s="52" t="n"/>
      <c r="M291" s="52" t="inlineStr">
        <is>
          <t>phycial</t>
        </is>
      </c>
      <c r="N291" s="61" t="n">
        <v>18</v>
      </c>
      <c r="O291" s="52" t="n"/>
      <c r="P291" s="52" t="n">
        <v>3002</v>
      </c>
      <c r="Q291" s="52" t="n"/>
      <c r="R291" s="52" t="n"/>
      <c r="S291" s="52" t="n"/>
      <c r="T291" s="52" t="n"/>
      <c r="U291" s="52" t="n"/>
      <c r="V291" s="52" t="n"/>
      <c r="W291" s="62" t="n"/>
      <c r="X291" s="53" t="inlineStr">
        <is>
          <t>explode</t>
        </is>
      </c>
      <c r="Y291" s="52" t="n"/>
      <c r="Z291" s="137" t="inlineStr">
        <is>
          <t>進入防禦姿態，提升自身防禦力。</t>
        </is>
      </c>
      <c r="AA291" s="150" t="n"/>
      <c r="AB291" s="150" t="n"/>
      <c r="AC291" s="150" t="n"/>
      <c r="AD291" s="149" t="n"/>
    </row>
    <row r="292" ht="15.75" customHeight="1" s="142">
      <c r="A292" s="135">
        <f>A291+1</f>
        <v/>
      </c>
      <c r="B292" s="143" t="inlineStr">
        <is>
          <t>閃電連鎖</t>
        </is>
      </c>
      <c r="C292" s="135" t="n">
        <v>3</v>
      </c>
      <c r="D292" s="52" t="n"/>
      <c r="E292" s="52" t="n"/>
      <c r="F292" s="52" t="n">
        <v>1</v>
      </c>
      <c r="G292" s="52" t="n"/>
      <c r="H292" s="52" t="n">
        <v>2.2</v>
      </c>
      <c r="I292" s="52" t="n"/>
      <c r="J292" s="52" t="n"/>
      <c r="K292" s="135" t="n">
        <v>4</v>
      </c>
      <c r="L292" s="52" t="n"/>
      <c r="M292" s="52" t="inlineStr">
        <is>
          <t>magic</t>
        </is>
      </c>
      <c r="N292" s="61" t="n">
        <v>40</v>
      </c>
      <c r="O292" s="52" t="n"/>
      <c r="P292" s="52" t="n"/>
      <c r="Q292" s="52" t="n"/>
      <c r="R292" s="52" t="n"/>
      <c r="S292" s="52" t="n"/>
      <c r="T292" s="52" t="n"/>
      <c r="U292" s="52" t="n"/>
      <c r="V292" s="52" t="n"/>
      <c r="W292" s="62" t="n"/>
      <c r="X292" s="53" t="inlineStr">
        <is>
          <t>explode</t>
        </is>
      </c>
      <c r="Y292" s="52" t="n"/>
      <c r="Z292" s="137" t="inlineStr">
        <is>
          <t>釋放連鎖閃電，對3名敵人造成法術傷害。</t>
        </is>
      </c>
      <c r="AA292" s="150" t="n"/>
      <c r="AB292" s="150" t="n"/>
      <c r="AC292" s="150" t="n"/>
      <c r="AD292" s="149" t="n"/>
    </row>
    <row r="293" ht="15.75" customHeight="1" s="142">
      <c r="A293" s="135">
        <f>A292+1</f>
        <v/>
      </c>
      <c r="B293" s="143" t="inlineStr">
        <is>
          <t>妖狐魅惑</t>
        </is>
      </c>
      <c r="C293" s="135" t="n">
        <v>1</v>
      </c>
      <c r="D293" s="52" t="n"/>
      <c r="E293" s="52" t="n"/>
      <c r="F293" s="52" t="n">
        <v>1</v>
      </c>
      <c r="G293" s="52" t="n"/>
      <c r="H293" s="52" t="n">
        <v>2.8</v>
      </c>
      <c r="I293" s="52" t="n"/>
      <c r="J293" s="52" t="n"/>
      <c r="K293" s="135" t="n">
        <v>4</v>
      </c>
      <c r="L293" s="52" t="n"/>
      <c r="M293" s="52" t="inlineStr">
        <is>
          <t>magic</t>
        </is>
      </c>
      <c r="N293" s="61" t="n">
        <v>35</v>
      </c>
      <c r="O293" s="52" t="n"/>
      <c r="P293" s="52" t="n"/>
      <c r="Q293" s="52" t="n"/>
      <c r="R293" s="52" t="n"/>
      <c r="S293" s="52" t="n"/>
      <c r="T293" s="52" t="n"/>
      <c r="U293" s="52" t="n"/>
      <c r="V293" s="52" t="n"/>
      <c r="W293" s="62" t="n"/>
      <c r="X293" s="53" t="inlineStr">
        <is>
          <t>explode</t>
        </is>
      </c>
      <c r="Y293" s="52" t="n"/>
      <c r="Z293" s="137" t="inlineStr">
        <is>
          <t>施展魅惑之術，對單體敵人造成法術傷害。</t>
        </is>
      </c>
      <c r="AA293" s="150" t="n"/>
      <c r="AB293" s="150" t="n"/>
      <c r="AC293" s="150" t="n"/>
      <c r="AD293" s="149" t="n"/>
    </row>
    <row r="294" ht="15.75" customHeight="1" s="142">
      <c r="A294" s="135">
        <f>A293+1</f>
        <v/>
      </c>
      <c r="B294" s="143" t="inlineStr">
        <is>
          <t>霜凍突襲</t>
        </is>
      </c>
      <c r="C294" s="135" t="n">
        <v>2</v>
      </c>
      <c r="D294" s="52" t="n"/>
      <c r="E294" s="52" t="n"/>
      <c r="F294" s="52" t="n">
        <v>1</v>
      </c>
      <c r="G294" s="52" t="n">
        <v>2.3</v>
      </c>
      <c r="H294" s="52" t="n"/>
      <c r="I294" s="52" t="n"/>
      <c r="J294" s="52" t="n"/>
      <c r="K294" s="135" t="n">
        <v>3</v>
      </c>
      <c r="L294" s="52" t="n"/>
      <c r="M294" s="52" t="inlineStr">
        <is>
          <t>phycial</t>
        </is>
      </c>
      <c r="N294" s="61" t="n">
        <v>32</v>
      </c>
      <c r="O294" s="52" t="n"/>
      <c r="P294" s="52" t="n"/>
      <c r="Q294" s="52" t="n"/>
      <c r="R294" s="52" t="n">
        <v>5003</v>
      </c>
      <c r="S294" s="52" t="n"/>
      <c r="T294" s="52" t="n"/>
      <c r="U294" s="52" t="n"/>
      <c r="V294" s="52" t="n"/>
      <c r="W294" s="62" t="n"/>
      <c r="X294" s="53" t="inlineStr">
        <is>
          <t>explode</t>
        </is>
      </c>
      <c r="Y294" s="52" t="n"/>
      <c r="Z294" s="137" t="inlineStr">
        <is>
          <t>帶有寒霜的突襲衝撞，對2名敵人造成物理傷害(附加冰凍</t>
        </is>
      </c>
      <c r="AA294" s="150" t="n"/>
      <c r="AB294" s="150" t="n"/>
      <c r="AC294" s="150" t="n"/>
      <c r="AD294" s="149" t="n"/>
    </row>
    <row r="295" ht="15.75" customHeight="1" s="142">
      <c r="A295" s="135">
        <f>A294+1</f>
        <v/>
      </c>
      <c r="B295" s="143" t="inlineStr">
        <is>
          <t>死靈召喚</t>
        </is>
      </c>
      <c r="C295" s="135" t="n">
        <v>3</v>
      </c>
      <c r="D295" s="52" t="n"/>
      <c r="E295" s="52" t="n"/>
      <c r="F295" s="52" t="n">
        <v>1</v>
      </c>
      <c r="G295" s="52" t="n"/>
      <c r="H295" s="52" t="n">
        <v>2</v>
      </c>
      <c r="I295" s="52" t="n"/>
      <c r="J295" s="52" t="n"/>
      <c r="K295" s="135" t="n">
        <v>5</v>
      </c>
      <c r="L295" s="52" t="n"/>
      <c r="M295" s="52" t="inlineStr">
        <is>
          <t>magic</t>
        </is>
      </c>
      <c r="N295" s="61" t="n">
        <v>50</v>
      </c>
      <c r="O295" s="52" t="n"/>
      <c r="P295" s="52" t="n"/>
      <c r="Q295" s="52" t="n"/>
      <c r="R295" s="52" t="n"/>
      <c r="S295" s="52" t="n"/>
      <c r="T295" s="52" t="n"/>
      <c r="U295" s="52" t="n"/>
      <c r="V295" s="52" t="n"/>
      <c r="W295" s="62" t="n"/>
      <c r="X295" s="53" t="inlineStr">
        <is>
          <t>explode</t>
        </is>
      </c>
      <c r="Y295" s="52" t="n"/>
      <c r="Z295" s="137" t="inlineStr">
        <is>
          <t>吟唱亡靈咒語，對3名敵人造成法術傷害。</t>
        </is>
      </c>
      <c r="AA295" s="150" t="n"/>
      <c r="AB295" s="150" t="n"/>
      <c r="AC295" s="150" t="n"/>
      <c r="AD295" s="149" t="n"/>
    </row>
    <row r="296" ht="15.75" customHeight="1" s="142">
      <c r="A296" s="135">
        <f>A295+1</f>
        <v/>
      </c>
      <c r="B296" s="143" t="inlineStr">
        <is>
          <t>深淵咆哮</t>
        </is>
      </c>
      <c r="C296" s="135" t="n">
        <v>4</v>
      </c>
      <c r="D296" s="52" t="n"/>
      <c r="E296" s="52" t="n"/>
      <c r="F296" s="52" t="n">
        <v>1</v>
      </c>
      <c r="G296" s="52" t="n">
        <v>1.8</v>
      </c>
      <c r="H296" s="52" t="n"/>
      <c r="I296" s="52" t="n"/>
      <c r="J296" s="52" t="n"/>
      <c r="K296" s="135" t="n">
        <v>4</v>
      </c>
      <c r="L296" s="52" t="n"/>
      <c r="M296" s="52" t="inlineStr">
        <is>
          <t>phycial</t>
        </is>
      </c>
      <c r="N296" s="61" t="n">
        <v>45</v>
      </c>
      <c r="O296" s="52" t="n"/>
      <c r="P296" s="52" t="n"/>
      <c r="Q296" s="52" t="n"/>
      <c r="R296" s="52" t="n"/>
      <c r="S296" s="52" t="n"/>
      <c r="T296" s="52" t="n"/>
      <c r="U296" s="52" t="n"/>
      <c r="V296" s="52" t="n"/>
      <c r="W296" s="62" t="n"/>
      <c r="X296" s="52" t="inlineStr">
        <is>
          <t>fire</t>
        </is>
      </c>
      <c r="Y296" s="52" t="n"/>
      <c r="Z296" s="137" t="inlineStr">
        <is>
          <t>發出深淵震懾咆哮，對4名敵人造成物理傷害。</t>
        </is>
      </c>
      <c r="AA296" s="150" t="n"/>
      <c r="AB296" s="150" t="n"/>
      <c r="AC296" s="150" t="n"/>
      <c r="AD296" s="149" t="n"/>
    </row>
    <row r="297" ht="15.75" customHeight="1" s="142">
      <c r="A297" s="135">
        <f>A296+1</f>
        <v/>
      </c>
      <c r="B297" s="143" t="inlineStr">
        <is>
          <t>聖盾防衛</t>
        </is>
      </c>
      <c r="C297" s="135" t="n">
        <v>-1</v>
      </c>
      <c r="D297" s="52" t="n"/>
      <c r="E297" s="52" t="n"/>
      <c r="F297" s="52" t="n">
        <v>1</v>
      </c>
      <c r="G297" s="52" t="n"/>
      <c r="H297" s="52" t="n"/>
      <c r="I297" s="52" t="n"/>
      <c r="J297" s="52" t="n"/>
      <c r="K297" s="135" t="n">
        <v>3</v>
      </c>
      <c r="L297" s="52" t="n"/>
      <c r="M297" s="52" t="inlineStr">
        <is>
          <t>phycial</t>
        </is>
      </c>
      <c r="N297" s="61" t="n">
        <v>25</v>
      </c>
      <c r="O297" s="52" t="n"/>
      <c r="P297" s="52" t="n"/>
      <c r="Q297" s="52" t="n"/>
      <c r="R297" s="52">
        <f>"1997,3004"</f>
        <v/>
      </c>
      <c r="S297" s="52" t="n"/>
      <c r="T297" s="52" t="n"/>
      <c r="U297" s="52" t="n"/>
      <c r="V297" s="52" t="n"/>
      <c r="W297" s="62" t="n"/>
      <c r="X297" s="52" t="inlineStr">
        <is>
          <t>shield2</t>
        </is>
      </c>
      <c r="Y297" s="52" t="n"/>
      <c r="Z297" s="137" t="inlineStr">
        <is>
          <t>舉起聖盾，大幅提升自身防禦能力；附加傷害反射</t>
        </is>
      </c>
      <c r="AA297" s="150" t="n"/>
      <c r="AB297" s="150" t="n"/>
      <c r="AC297" s="150" t="n"/>
      <c r="AD297" s="149" t="n"/>
    </row>
    <row r="298" ht="15.75" customHeight="1" s="142">
      <c r="A298" s="135">
        <f>A297+1</f>
        <v/>
      </c>
      <c r="B298" s="143" t="inlineStr">
        <is>
          <t>鬼火纏身</t>
        </is>
      </c>
      <c r="C298" s="135" t="n">
        <v>2</v>
      </c>
      <c r="D298" s="52" t="n"/>
      <c r="E298" s="52" t="n"/>
      <c r="F298" s="52" t="n">
        <v>1</v>
      </c>
      <c r="G298" s="52" t="n"/>
      <c r="H298" s="52" t="n">
        <v>2.1</v>
      </c>
      <c r="I298" s="52" t="n"/>
      <c r="J298" s="52" t="n"/>
      <c r="K298" s="135" t="n">
        <v>3</v>
      </c>
      <c r="L298" s="52" t="n"/>
      <c r="M298" s="52" t="inlineStr">
        <is>
          <t>magic</t>
        </is>
      </c>
      <c r="N298" s="61" t="n">
        <v>28</v>
      </c>
      <c r="O298" s="52" t="n"/>
      <c r="P298" s="52" t="n"/>
      <c r="Q298" s="52" t="n"/>
      <c r="R298" s="52" t="n">
        <v>4001</v>
      </c>
      <c r="S298" s="52" t="n"/>
      <c r="T298" s="52" t="n"/>
      <c r="U298" s="52" t="n"/>
      <c r="V298" s="52" t="n"/>
      <c r="W298" s="62" t="n"/>
      <c r="X298" s="52" t="inlineStr">
        <is>
          <t>fire</t>
        </is>
      </c>
      <c r="Y298" s="52" t="n"/>
      <c r="Z298" s="137" t="inlineStr">
        <is>
          <t>召喚陰森鬼火，對2名敵人造成法術傷害。</t>
        </is>
      </c>
      <c r="AA298" s="150" t="n"/>
      <c r="AB298" s="150" t="n"/>
      <c r="AC298" s="150" t="n"/>
      <c r="AD298" s="149" t="n"/>
    </row>
    <row r="299" ht="15.75" customHeight="1" s="142">
      <c r="A299" s="135">
        <f>A298+1</f>
        <v/>
      </c>
      <c r="B299" s="143" t="inlineStr">
        <is>
          <t>冰甲護體</t>
        </is>
      </c>
      <c r="C299" s="135" t="n">
        <v>-1</v>
      </c>
      <c r="D299" s="52" t="n"/>
      <c r="E299" s="52" t="n"/>
      <c r="F299" s="52" t="n">
        <v>1</v>
      </c>
      <c r="G299" s="52" t="n">
        <v>3</v>
      </c>
      <c r="H299" s="52" t="n"/>
      <c r="I299" s="52" t="n"/>
      <c r="J299" s="52" t="n"/>
      <c r="K299" s="135" t="n">
        <v>4</v>
      </c>
      <c r="L299" s="52" t="n"/>
      <c r="M299" s="52" t="inlineStr">
        <is>
          <t>shield</t>
        </is>
      </c>
      <c r="N299" s="61" t="n">
        <v>30</v>
      </c>
      <c r="O299" s="52" t="n"/>
      <c r="P299" s="52" t="n"/>
      <c r="Q299" s="52" t="n"/>
      <c r="R299" s="52" t="n">
        <v>3002</v>
      </c>
      <c r="S299" s="52" t="n"/>
      <c r="T299" s="52" t="n"/>
      <c r="U299" s="52" t="n"/>
      <c r="V299" s="52" t="n"/>
      <c r="W299" s="62" t="n"/>
      <c r="X299" s="52" t="inlineStr">
        <is>
          <t>shield1</t>
        </is>
      </c>
      <c r="Y299" s="52" t="n"/>
      <c r="Z299" s="137" t="inlineStr">
        <is>
          <t>凝聚極寒冰甲，大幅提升自身防護。</t>
        </is>
      </c>
      <c r="AA299" s="150" t="n"/>
      <c r="AB299" s="150" t="n"/>
      <c r="AC299" s="150" t="n"/>
      <c r="AD299" s="149" t="n"/>
    </row>
    <row r="300" ht="15.75" customHeight="1" s="142">
      <c r="A300" s="135">
        <f>A299+1</f>
        <v/>
      </c>
      <c r="B300" s="143" t="inlineStr">
        <is>
          <t>停止攻擊</t>
        </is>
      </c>
      <c r="C300" s="135" t="n">
        <v>1</v>
      </c>
      <c r="D300" s="52" t="n"/>
      <c r="E300" s="52" t="n"/>
      <c r="F300" s="52" t="n">
        <v>1</v>
      </c>
      <c r="G300" s="52" t="n"/>
      <c r="H300" s="52" t="n">
        <v>3</v>
      </c>
      <c r="I300" s="52" t="n"/>
      <c r="J300" s="52" t="n"/>
      <c r="K300" s="135" t="n">
        <v>4</v>
      </c>
      <c r="L300" s="52" t="n"/>
      <c r="M300" s="52" t="inlineStr">
        <is>
          <t>heal</t>
        </is>
      </c>
      <c r="N300" s="61" t="n">
        <v>35</v>
      </c>
      <c r="O300" s="52" t="n"/>
      <c r="P300" s="52" t="n"/>
      <c r="Q300" s="52" t="n"/>
      <c r="R300" s="52" t="n">
        <v>5004</v>
      </c>
      <c r="S300" s="52" t="n"/>
      <c r="T300" s="52" t="n"/>
      <c r="U300" s="52" t="n"/>
      <c r="V300" s="52" t="n"/>
      <c r="W300" s="62" t="n"/>
      <c r="X300" s="53" t="inlineStr">
        <is>
          <t>explode</t>
        </is>
      </c>
      <c r="Y300" s="52" t="n"/>
      <c r="Z300" s="137" t="inlineStr">
        <is>
          <t>汲取敵方生命能量，對單體造成傷害並治療自身。</t>
        </is>
      </c>
      <c r="AA300" s="150" t="n"/>
      <c r="AB300" s="150" t="n"/>
      <c r="AC300" s="150" t="n"/>
      <c r="AD300" s="149" t="n"/>
    </row>
    <row r="301" ht="15.75" customHeight="1" s="142">
      <c r="A301" s="135">
        <f>A300+1</f>
        <v/>
      </c>
      <c r="B301" s="143" t="inlineStr">
        <is>
          <t>滅世浩劫</t>
        </is>
      </c>
      <c r="C301" s="135" t="n">
        <v>5</v>
      </c>
      <c r="D301" s="52" t="n"/>
      <c r="E301" s="52" t="n"/>
      <c r="F301" s="52" t="n">
        <v>1</v>
      </c>
      <c r="G301" s="52" t="n"/>
      <c r="H301" s="52" t="n">
        <v>2.5</v>
      </c>
      <c r="I301" s="52" t="n"/>
      <c r="J301" s="52" t="n"/>
      <c r="K301" s="135" t="n">
        <v>5</v>
      </c>
      <c r="L301" s="52" t="n"/>
      <c r="M301" s="52" t="inlineStr">
        <is>
          <t>magic</t>
        </is>
      </c>
      <c r="N301" s="61" t="n">
        <v>70</v>
      </c>
      <c r="O301" s="52" t="n"/>
      <c r="P301" s="52" t="n"/>
      <c r="Q301" s="52" t="n"/>
      <c r="R301" s="52" t="n"/>
      <c r="S301" s="52" t="n"/>
      <c r="T301" s="52" t="n"/>
      <c r="U301" s="52" t="n"/>
      <c r="V301" s="52" t="n"/>
      <c r="W301" s="62" t="n"/>
      <c r="X301" s="53" t="inlineStr">
        <is>
          <t>explode</t>
        </is>
      </c>
      <c r="Y301" s="52" t="n"/>
      <c r="Z301" s="137" t="inlineStr">
        <is>
          <t>觸發終極毁滅魔法，對全體5名敵人造成巨額法術傷害。</t>
        </is>
      </c>
      <c r="AA301" s="150" t="n"/>
      <c r="AB301" s="150" t="n"/>
      <c r="AC301" s="150" t="n"/>
      <c r="AD301" s="149" t="n"/>
    </row>
    <row r="302" ht="15.75" customHeight="1" s="142">
      <c r="A302" s="135">
        <f>A301+1</f>
        <v/>
      </c>
      <c r="B302" s="143" t="inlineStr">
        <is>
          <t>滅殺連斬</t>
        </is>
      </c>
      <c r="C302" s="135" t="n">
        <v>1</v>
      </c>
      <c r="D302" s="52" t="n"/>
      <c r="E302" s="52" t="n"/>
      <c r="F302" s="52" t="n">
        <v>1</v>
      </c>
      <c r="G302" s="52" t="n">
        <v>4.8</v>
      </c>
      <c r="H302" s="52" t="n"/>
      <c r="I302" s="52" t="n"/>
      <c r="J302" s="52" t="n"/>
      <c r="K302" s="135" t="n">
        <v>5</v>
      </c>
      <c r="L302" s="52" t="n"/>
      <c r="M302" s="52" t="inlineStr">
        <is>
          <t>phycial</t>
        </is>
      </c>
      <c r="N302" s="61" t="n">
        <v>55</v>
      </c>
      <c r="O302" s="52" t="n"/>
      <c r="P302" s="52" t="n"/>
      <c r="Q302" s="52" t="n"/>
      <c r="R302" s="52" t="n"/>
      <c r="S302" s="52" t="n"/>
      <c r="T302" s="52" t="n"/>
      <c r="U302" s="52" t="n"/>
      <c r="V302" s="52" t="n"/>
      <c r="W302" s="62" t="n"/>
      <c r="X302" s="53" t="inlineStr">
        <is>
          <t>explode</t>
        </is>
      </c>
      <c r="Y302" s="52" t="n"/>
      <c r="Z302" s="137" t="inlineStr">
        <is>
          <t>釋放終極連擊，對單體敵人造成致命物理傷害。</t>
        </is>
      </c>
      <c r="AA302" s="150" t="n"/>
      <c r="AB302" s="150" t="n"/>
      <c r="AC302" s="150" t="n"/>
      <c r="AD302" s="149" t="n"/>
    </row>
    <row r="303" ht="14.25" customHeight="1" s="142">
      <c r="C303" s="45" t="n"/>
      <c r="D303" s="45" t="n"/>
      <c r="E303" s="45" t="n"/>
      <c r="F303" s="45" t="n"/>
      <c r="G303" s="45" t="n"/>
      <c r="H303" s="45" t="n"/>
      <c r="I303" s="45" t="n"/>
      <c r="J303" s="45" t="n"/>
      <c r="K303" s="45" t="n"/>
      <c r="L303" s="45" t="n"/>
      <c r="N303" s="46" t="n"/>
      <c r="P303" s="47" t="n"/>
      <c r="Q303" s="47" t="n"/>
      <c r="R303" s="47" t="n"/>
      <c r="V303" s="45" t="n"/>
    </row>
    <row r="304" ht="14.25" customHeight="1" s="142">
      <c r="C304" s="45" t="n"/>
      <c r="D304" s="45" t="n"/>
      <c r="E304" s="45" t="n"/>
      <c r="F304" s="45" t="n"/>
      <c r="G304" s="45" t="n"/>
      <c r="H304" s="45" t="n"/>
      <c r="I304" s="45" t="n"/>
      <c r="J304" s="45" t="n"/>
      <c r="K304" s="45" t="n"/>
      <c r="L304" s="45" t="n"/>
      <c r="N304" s="46" t="n"/>
      <c r="P304" s="47" t="n"/>
      <c r="Q304" s="47" t="n"/>
      <c r="R304" s="47" t="n"/>
      <c r="V304" s="45" t="n"/>
    </row>
    <row r="305" ht="14.25" customHeight="1" s="142">
      <c r="C305" s="45" t="n"/>
      <c r="D305" s="45" t="n"/>
      <c r="E305" s="45" t="n"/>
      <c r="F305" s="45" t="n"/>
      <c r="G305" s="45" t="n"/>
      <c r="H305" s="45" t="n"/>
      <c r="I305" s="45" t="n"/>
      <c r="J305" s="45" t="n"/>
      <c r="K305" s="45" t="n"/>
      <c r="L305" s="45" t="n"/>
      <c r="N305" s="46" t="n"/>
      <c r="P305" s="47" t="n"/>
      <c r="Q305" s="47" t="n"/>
      <c r="R305" s="47" t="n"/>
      <c r="V305" s="45" t="n"/>
    </row>
    <row r="306" ht="14.25" customHeight="1" s="142">
      <c r="C306" s="45" t="n"/>
      <c r="D306" s="45" t="n"/>
      <c r="E306" s="45" t="n"/>
      <c r="F306" s="45" t="n"/>
      <c r="G306" s="45" t="n"/>
      <c r="H306" s="45" t="n"/>
      <c r="I306" s="45" t="n"/>
      <c r="J306" s="45" t="n"/>
      <c r="K306" s="45" t="n"/>
      <c r="L306" s="45" t="n"/>
      <c r="N306" s="46" t="n"/>
      <c r="P306" s="47" t="n"/>
      <c r="Q306" s="47" t="n"/>
      <c r="R306" s="47" t="n"/>
      <c r="V306" s="45" t="n"/>
    </row>
    <row r="307" ht="14.25" customHeight="1" s="142">
      <c r="C307" s="45" t="n"/>
      <c r="D307" s="45" t="n"/>
      <c r="E307" s="45" t="n"/>
      <c r="F307" s="45" t="n"/>
      <c r="G307" s="45" t="n"/>
      <c r="H307" s="45" t="n"/>
      <c r="I307" s="45" t="n"/>
      <c r="J307" s="45" t="n"/>
      <c r="K307" s="45" t="n"/>
      <c r="L307" s="45" t="n"/>
      <c r="N307" s="46" t="n"/>
      <c r="P307" s="47" t="n"/>
      <c r="Q307" s="47" t="n"/>
      <c r="R307" s="47" t="n"/>
      <c r="V307" s="45" t="n"/>
    </row>
    <row r="308" ht="14.25" customHeight="1" s="142">
      <c r="C308" s="45" t="n"/>
      <c r="D308" s="45" t="n"/>
      <c r="E308" s="45" t="n"/>
      <c r="F308" s="45" t="n"/>
      <c r="G308" s="45" t="n"/>
      <c r="H308" s="45" t="n"/>
      <c r="I308" s="45" t="n"/>
      <c r="J308" s="45" t="n"/>
      <c r="K308" s="45" t="n"/>
      <c r="L308" s="45" t="n"/>
      <c r="N308" s="46" t="n"/>
      <c r="P308" s="47" t="n"/>
      <c r="Q308" s="47" t="n"/>
      <c r="R308" s="47" t="n"/>
      <c r="V308" s="45" t="n"/>
    </row>
    <row r="309" ht="14.25" customHeight="1" s="142">
      <c r="C309" s="45" t="n"/>
      <c r="D309" s="45" t="n"/>
      <c r="E309" s="45" t="n"/>
      <c r="F309" s="45" t="n"/>
      <c r="G309" s="45" t="n"/>
      <c r="H309" s="45" t="n"/>
      <c r="I309" s="45" t="n"/>
      <c r="J309" s="45" t="n"/>
      <c r="K309" s="45" t="n"/>
      <c r="L309" s="45" t="n"/>
      <c r="N309" s="46" t="n"/>
      <c r="P309" s="47" t="n"/>
      <c r="Q309" s="47" t="n"/>
      <c r="R309" s="47" t="n"/>
      <c r="V309" s="45" t="n"/>
    </row>
    <row r="310" ht="14.25" customHeight="1" s="142">
      <c r="C310" s="45" t="n"/>
      <c r="D310" s="45" t="n"/>
      <c r="E310" s="45" t="n"/>
      <c r="F310" s="45" t="n"/>
      <c r="G310" s="45" t="n"/>
      <c r="H310" s="45" t="n"/>
      <c r="I310" s="45" t="n"/>
      <c r="J310" s="45" t="n"/>
      <c r="K310" s="45" t="n"/>
      <c r="L310" s="45" t="n"/>
      <c r="N310" s="46" t="n"/>
      <c r="P310" s="47" t="n"/>
      <c r="Q310" s="47" t="n"/>
      <c r="R310" s="47" t="n"/>
      <c r="V310" s="45" t="n"/>
    </row>
    <row r="311" ht="14.25" customHeight="1" s="142">
      <c r="C311" s="45" t="n"/>
      <c r="D311" s="45" t="n"/>
      <c r="E311" s="45" t="n"/>
      <c r="F311" s="45" t="n"/>
      <c r="G311" s="45" t="n"/>
      <c r="H311" s="45" t="n"/>
      <c r="I311" s="45" t="n"/>
      <c r="J311" s="45" t="n"/>
      <c r="K311" s="45" t="n"/>
      <c r="L311" s="45" t="n"/>
      <c r="N311" s="46" t="n"/>
      <c r="P311" s="47" t="n"/>
      <c r="Q311" s="47" t="n"/>
      <c r="R311" s="47" t="n"/>
      <c r="V311" s="45" t="n"/>
    </row>
    <row r="312" ht="14.25" customHeight="1" s="142">
      <c r="C312" s="45" t="n"/>
      <c r="D312" s="45" t="n"/>
      <c r="E312" s="45" t="n"/>
      <c r="F312" s="45" t="n"/>
      <c r="G312" s="45" t="n"/>
      <c r="H312" s="45" t="n"/>
      <c r="I312" s="45" t="n"/>
      <c r="J312" s="45" t="n"/>
      <c r="K312" s="45" t="n"/>
      <c r="L312" s="45" t="n"/>
      <c r="N312" s="46" t="n"/>
      <c r="P312" s="47" t="n"/>
      <c r="Q312" s="47" t="n"/>
      <c r="R312" s="47" t="n"/>
      <c r="V312" s="45" t="n"/>
    </row>
    <row r="313" ht="14.25" customHeight="1" s="142">
      <c r="C313" s="45" t="n"/>
      <c r="D313" s="45" t="n"/>
      <c r="E313" s="45" t="n"/>
      <c r="F313" s="45" t="n"/>
      <c r="G313" s="45" t="n"/>
      <c r="H313" s="45" t="n"/>
      <c r="I313" s="45" t="n"/>
      <c r="J313" s="45" t="n"/>
      <c r="K313" s="45" t="n"/>
      <c r="L313" s="45" t="n"/>
      <c r="N313" s="46" t="n"/>
      <c r="P313" s="47" t="n"/>
      <c r="Q313" s="47" t="n"/>
      <c r="R313" s="47" t="n"/>
      <c r="V313" s="45" t="n"/>
    </row>
    <row r="314" ht="14.25" customHeight="1" s="142">
      <c r="C314" s="45" t="n"/>
      <c r="D314" s="45" t="n"/>
      <c r="E314" s="45" t="n"/>
      <c r="F314" s="45" t="n"/>
      <c r="G314" s="45" t="n"/>
      <c r="H314" s="45" t="n"/>
      <c r="I314" s="45" t="n"/>
      <c r="J314" s="45" t="n"/>
      <c r="K314" s="45" t="n"/>
      <c r="L314" s="45" t="n"/>
      <c r="N314" s="46" t="n"/>
      <c r="P314" s="47" t="n"/>
      <c r="Q314" s="47" t="n"/>
      <c r="R314" s="47" t="n"/>
      <c r="V314" s="45" t="n"/>
    </row>
    <row r="315" ht="14.25" customHeight="1" s="142">
      <c r="C315" s="45" t="n"/>
      <c r="D315" s="45" t="n"/>
      <c r="E315" s="45" t="n"/>
      <c r="F315" s="45" t="n"/>
      <c r="G315" s="45" t="n"/>
      <c r="H315" s="45" t="n"/>
      <c r="I315" s="45" t="n"/>
      <c r="J315" s="45" t="n"/>
      <c r="K315" s="45" t="n"/>
      <c r="L315" s="45" t="n"/>
      <c r="N315" s="46" t="n"/>
      <c r="P315" s="47" t="n"/>
      <c r="Q315" s="47" t="n"/>
      <c r="R315" s="47" t="n"/>
      <c r="V315" s="45" t="n"/>
    </row>
    <row r="316" ht="14.25" customHeight="1" s="142">
      <c r="C316" s="45" t="n"/>
      <c r="D316" s="45" t="n"/>
      <c r="E316" s="45" t="n"/>
      <c r="F316" s="45" t="n"/>
      <c r="G316" s="45" t="n"/>
      <c r="H316" s="45" t="n"/>
      <c r="I316" s="45" t="n"/>
      <c r="J316" s="45" t="n"/>
      <c r="K316" s="45" t="n"/>
      <c r="L316" s="45" t="n"/>
      <c r="N316" s="46" t="n"/>
      <c r="P316" s="47" t="n"/>
      <c r="Q316" s="47" t="n"/>
      <c r="R316" s="47" t="n"/>
      <c r="V316" s="45" t="n"/>
    </row>
    <row r="317" ht="14.25" customHeight="1" s="142">
      <c r="C317" s="45" t="n"/>
      <c r="D317" s="45" t="n"/>
      <c r="E317" s="45" t="n"/>
      <c r="F317" s="45" t="n"/>
      <c r="G317" s="45" t="n"/>
      <c r="H317" s="45" t="n"/>
      <c r="I317" s="45" t="n"/>
      <c r="J317" s="45" t="n"/>
      <c r="K317" s="45" t="n"/>
      <c r="L317" s="45" t="n"/>
      <c r="N317" s="46" t="n"/>
      <c r="P317" s="47" t="n"/>
      <c r="Q317" s="47" t="n"/>
      <c r="R317" s="47" t="n"/>
      <c r="V317" s="45" t="n"/>
    </row>
    <row r="318" ht="14.25" customHeight="1" s="142">
      <c r="C318" s="45" t="n"/>
      <c r="D318" s="45" t="n"/>
      <c r="E318" s="45" t="n"/>
      <c r="F318" s="45" t="n"/>
      <c r="G318" s="45" t="n"/>
      <c r="H318" s="45" t="n"/>
      <c r="I318" s="45" t="n"/>
      <c r="J318" s="45" t="n"/>
      <c r="K318" s="45" t="n"/>
      <c r="L318" s="45" t="n"/>
      <c r="N318" s="46" t="n"/>
      <c r="P318" s="47" t="n"/>
      <c r="Q318" s="47" t="n"/>
      <c r="R318" s="47" t="n"/>
      <c r="V318" s="45" t="n"/>
    </row>
    <row r="319" ht="14.25" customHeight="1" s="142">
      <c r="C319" s="45" t="n"/>
      <c r="D319" s="45" t="n"/>
      <c r="E319" s="45" t="n"/>
      <c r="F319" s="45" t="n"/>
      <c r="G319" s="45" t="n"/>
      <c r="H319" s="45" t="n"/>
      <c r="I319" s="45" t="n"/>
      <c r="J319" s="45" t="n"/>
      <c r="K319" s="45" t="n"/>
      <c r="L319" s="45" t="n"/>
      <c r="N319" s="46" t="n"/>
      <c r="P319" s="47" t="n"/>
      <c r="Q319" s="47" t="n"/>
      <c r="R319" s="47" t="n"/>
      <c r="V319" s="45" t="n"/>
    </row>
    <row r="320" ht="14.25" customHeight="1" s="142">
      <c r="C320" s="45" t="n"/>
      <c r="D320" s="45" t="n"/>
      <c r="E320" s="45" t="n"/>
      <c r="F320" s="45" t="n"/>
      <c r="G320" s="45" t="n"/>
      <c r="H320" s="45" t="n"/>
      <c r="I320" s="45" t="n"/>
      <c r="J320" s="45" t="n"/>
      <c r="K320" s="45" t="n"/>
      <c r="L320" s="45" t="n"/>
      <c r="N320" s="46" t="n"/>
      <c r="P320" s="47" t="n"/>
      <c r="Q320" s="47" t="n"/>
      <c r="R320" s="47" t="n"/>
      <c r="V320" s="45" t="n"/>
    </row>
    <row r="321" ht="14.25" customHeight="1" s="142">
      <c r="C321" s="45" t="n"/>
      <c r="D321" s="45" t="n"/>
      <c r="E321" s="45" t="n"/>
      <c r="F321" s="45" t="n"/>
      <c r="G321" s="45" t="n"/>
      <c r="H321" s="45" t="n"/>
      <c r="I321" s="45" t="n"/>
      <c r="J321" s="45" t="n"/>
      <c r="K321" s="45" t="n"/>
      <c r="L321" s="45" t="n"/>
      <c r="N321" s="46" t="n"/>
      <c r="P321" s="47" t="n"/>
      <c r="Q321" s="47" t="n"/>
      <c r="R321" s="47" t="n"/>
      <c r="V321" s="45" t="n"/>
    </row>
    <row r="322" ht="14.25" customHeight="1" s="142">
      <c r="C322" s="45" t="n"/>
      <c r="D322" s="45" t="n"/>
      <c r="E322" s="45" t="n"/>
      <c r="F322" s="45" t="n"/>
      <c r="G322" s="45" t="n"/>
      <c r="H322" s="45" t="n"/>
      <c r="I322" s="45" t="n"/>
      <c r="J322" s="45" t="n"/>
      <c r="K322" s="45" t="n"/>
      <c r="L322" s="45" t="n"/>
      <c r="N322" s="46" t="n"/>
      <c r="P322" s="47" t="n"/>
      <c r="Q322" s="47" t="n"/>
      <c r="R322" s="47" t="n"/>
      <c r="V322" s="45" t="n"/>
    </row>
    <row r="323" ht="14.25" customHeight="1" s="142">
      <c r="C323" s="45" t="n"/>
      <c r="D323" s="45" t="n"/>
      <c r="E323" s="45" t="n"/>
      <c r="F323" s="45" t="n"/>
      <c r="G323" s="45" t="n"/>
      <c r="H323" s="45" t="n"/>
      <c r="I323" s="45" t="n"/>
      <c r="J323" s="45" t="n"/>
      <c r="K323" s="45" t="n"/>
      <c r="L323" s="45" t="n"/>
      <c r="N323" s="46" t="n"/>
      <c r="P323" s="47" t="n"/>
      <c r="Q323" s="47" t="n"/>
      <c r="R323" s="47" t="n"/>
      <c r="V323" s="45" t="n"/>
    </row>
    <row r="324" ht="14.25" customHeight="1" s="142">
      <c r="C324" s="45" t="n"/>
      <c r="D324" s="45" t="n"/>
      <c r="E324" s="45" t="n"/>
      <c r="F324" s="45" t="n"/>
      <c r="G324" s="45" t="n"/>
      <c r="H324" s="45" t="n"/>
      <c r="I324" s="45" t="n"/>
      <c r="J324" s="45" t="n"/>
      <c r="K324" s="45" t="n"/>
      <c r="L324" s="45" t="n"/>
      <c r="N324" s="46" t="n"/>
      <c r="P324" s="47" t="n"/>
      <c r="Q324" s="47" t="n"/>
      <c r="R324" s="47" t="n"/>
      <c r="V324" s="45" t="n"/>
    </row>
    <row r="325" ht="14.25" customHeight="1" s="142">
      <c r="C325" s="45" t="n"/>
      <c r="D325" s="45" t="n"/>
      <c r="E325" s="45" t="n"/>
      <c r="F325" s="45" t="n"/>
      <c r="G325" s="45" t="n"/>
      <c r="H325" s="45" t="n"/>
      <c r="I325" s="45" t="n"/>
      <c r="J325" s="45" t="n"/>
      <c r="K325" s="45" t="n"/>
      <c r="L325" s="45" t="n"/>
      <c r="N325" s="46" t="n"/>
      <c r="P325" s="47" t="n"/>
      <c r="Q325" s="47" t="n"/>
      <c r="R325" s="47" t="n"/>
      <c r="V325" s="45" t="n"/>
    </row>
    <row r="326" ht="14.25" customHeight="1" s="142">
      <c r="C326" s="45" t="n"/>
      <c r="D326" s="45" t="n"/>
      <c r="E326" s="45" t="n"/>
      <c r="F326" s="45" t="n"/>
      <c r="G326" s="45" t="n"/>
      <c r="H326" s="45" t="n"/>
      <c r="I326" s="45" t="n"/>
      <c r="J326" s="45" t="n"/>
      <c r="K326" s="45" t="n"/>
      <c r="L326" s="45" t="n"/>
      <c r="N326" s="46" t="n"/>
      <c r="P326" s="47" t="n"/>
      <c r="Q326" s="47" t="n"/>
      <c r="R326" s="47" t="n"/>
      <c r="V326" s="45" t="n"/>
    </row>
    <row r="327" ht="14.25" customHeight="1" s="142">
      <c r="C327" s="45" t="n"/>
      <c r="D327" s="45" t="n"/>
      <c r="E327" s="45" t="n"/>
      <c r="F327" s="45" t="n"/>
      <c r="G327" s="45" t="n"/>
      <c r="H327" s="45" t="n"/>
      <c r="I327" s="45" t="n"/>
      <c r="J327" s="45" t="n"/>
      <c r="K327" s="45" t="n"/>
      <c r="L327" s="45" t="n"/>
      <c r="N327" s="46" t="n"/>
      <c r="P327" s="47" t="n"/>
      <c r="Q327" s="47" t="n"/>
      <c r="R327" s="47" t="n"/>
      <c r="V327" s="45" t="n"/>
    </row>
    <row r="328" ht="14.25" customHeight="1" s="142">
      <c r="C328" s="45" t="n"/>
      <c r="D328" s="45" t="n"/>
      <c r="E328" s="45" t="n"/>
      <c r="F328" s="45" t="n"/>
      <c r="G328" s="45" t="n"/>
      <c r="H328" s="45" t="n"/>
      <c r="I328" s="45" t="n"/>
      <c r="J328" s="45" t="n"/>
      <c r="K328" s="45" t="n"/>
      <c r="L328" s="45" t="n"/>
      <c r="N328" s="46" t="n"/>
      <c r="P328" s="47" t="n"/>
      <c r="Q328" s="47" t="n"/>
      <c r="R328" s="47" t="n"/>
      <c r="V328" s="45" t="n"/>
    </row>
    <row r="329" ht="14.25" customHeight="1" s="142">
      <c r="C329" s="45" t="n"/>
      <c r="D329" s="45" t="n"/>
      <c r="E329" s="45" t="n"/>
      <c r="F329" s="45" t="n"/>
      <c r="G329" s="45" t="n"/>
      <c r="H329" s="45" t="n"/>
      <c r="I329" s="45" t="n"/>
      <c r="J329" s="45" t="n"/>
      <c r="K329" s="45" t="n"/>
      <c r="L329" s="45" t="n"/>
      <c r="N329" s="46" t="n"/>
      <c r="P329" s="47" t="n"/>
      <c r="Q329" s="47" t="n"/>
      <c r="R329" s="47" t="n"/>
      <c r="V329" s="45" t="n"/>
    </row>
    <row r="330" ht="14.25" customHeight="1" s="142">
      <c r="C330" s="45" t="n"/>
      <c r="D330" s="45" t="n"/>
      <c r="E330" s="45" t="n"/>
      <c r="F330" s="45" t="n"/>
      <c r="G330" s="45" t="n"/>
      <c r="H330" s="45" t="n"/>
      <c r="I330" s="45" t="n"/>
      <c r="J330" s="45" t="n"/>
      <c r="K330" s="45" t="n"/>
      <c r="L330" s="45" t="n"/>
      <c r="N330" s="46" t="n"/>
      <c r="P330" s="47" t="n"/>
      <c r="Q330" s="47" t="n"/>
      <c r="R330" s="47" t="n"/>
      <c r="V330" s="45" t="n"/>
    </row>
    <row r="331" ht="14.25" customHeight="1" s="142">
      <c r="C331" s="45" t="n"/>
      <c r="D331" s="45" t="n"/>
      <c r="E331" s="45" t="n"/>
      <c r="F331" s="45" t="n"/>
      <c r="G331" s="45" t="n"/>
      <c r="H331" s="45" t="n"/>
      <c r="I331" s="45" t="n"/>
      <c r="J331" s="45" t="n"/>
      <c r="K331" s="45" t="n"/>
      <c r="L331" s="45" t="n"/>
      <c r="N331" s="46" t="n"/>
      <c r="P331" s="47" t="n"/>
      <c r="Q331" s="47" t="n"/>
      <c r="R331" s="47" t="n"/>
      <c r="V331" s="45" t="n"/>
    </row>
    <row r="332" ht="14.25" customHeight="1" s="142">
      <c r="C332" s="45" t="n"/>
      <c r="D332" s="45" t="n"/>
      <c r="E332" s="45" t="n"/>
      <c r="F332" s="45" t="n"/>
      <c r="G332" s="45" t="n"/>
      <c r="H332" s="45" t="n"/>
      <c r="I332" s="45" t="n"/>
      <c r="J332" s="45" t="n"/>
      <c r="K332" s="45" t="n"/>
      <c r="L332" s="45" t="n"/>
      <c r="N332" s="46" t="n"/>
      <c r="P332" s="47" t="n"/>
      <c r="Q332" s="47" t="n"/>
      <c r="R332" s="47" t="n"/>
      <c r="V332" s="45" t="n"/>
    </row>
    <row r="333" ht="14.25" customHeight="1" s="142">
      <c r="C333" s="45" t="n"/>
      <c r="D333" s="45" t="n"/>
      <c r="E333" s="45" t="n"/>
      <c r="F333" s="45" t="n"/>
      <c r="G333" s="45" t="n"/>
      <c r="H333" s="45" t="n"/>
      <c r="I333" s="45" t="n"/>
      <c r="J333" s="45" t="n"/>
      <c r="K333" s="45" t="n"/>
      <c r="L333" s="45" t="n"/>
      <c r="N333" s="46" t="n"/>
      <c r="P333" s="47" t="n"/>
      <c r="Q333" s="47" t="n"/>
      <c r="R333" s="47" t="n"/>
      <c r="V333" s="45" t="n"/>
    </row>
    <row r="334" ht="14.25" customHeight="1" s="142">
      <c r="C334" s="45" t="n"/>
      <c r="D334" s="45" t="n"/>
      <c r="E334" s="45" t="n"/>
      <c r="F334" s="45" t="n"/>
      <c r="G334" s="45" t="n"/>
      <c r="H334" s="45" t="n"/>
      <c r="I334" s="45" t="n"/>
      <c r="J334" s="45" t="n"/>
      <c r="K334" s="45" t="n"/>
      <c r="L334" s="45" t="n"/>
      <c r="N334" s="46" t="n"/>
      <c r="P334" s="47" t="n"/>
      <c r="Q334" s="47" t="n"/>
      <c r="R334" s="47" t="n"/>
      <c r="V334" s="45" t="n"/>
    </row>
    <row r="335" ht="14.25" customHeight="1" s="142">
      <c r="C335" s="45" t="n"/>
      <c r="D335" s="45" t="n"/>
      <c r="E335" s="45" t="n"/>
      <c r="F335" s="45" t="n"/>
      <c r="G335" s="45" t="n"/>
      <c r="H335" s="45" t="n"/>
      <c r="I335" s="45" t="n"/>
      <c r="J335" s="45" t="n"/>
      <c r="K335" s="45" t="n"/>
      <c r="L335" s="45" t="n"/>
      <c r="N335" s="46" t="n"/>
      <c r="P335" s="47" t="n"/>
      <c r="Q335" s="47" t="n"/>
      <c r="R335" s="47" t="n"/>
      <c r="V335" s="45" t="n"/>
    </row>
    <row r="336" ht="14.25" customHeight="1" s="142">
      <c r="C336" s="45" t="n"/>
      <c r="D336" s="45" t="n"/>
      <c r="E336" s="45" t="n"/>
      <c r="F336" s="45" t="n"/>
      <c r="G336" s="45" t="n"/>
      <c r="H336" s="45" t="n"/>
      <c r="I336" s="45" t="n"/>
      <c r="J336" s="45" t="n"/>
      <c r="K336" s="45" t="n"/>
      <c r="L336" s="45" t="n"/>
      <c r="N336" s="46" t="n"/>
      <c r="P336" s="47" t="n"/>
      <c r="Q336" s="47" t="n"/>
      <c r="R336" s="47" t="n"/>
      <c r="V336" s="45" t="n"/>
    </row>
    <row r="337" ht="14.25" customHeight="1" s="142">
      <c r="C337" s="45" t="n"/>
      <c r="D337" s="45" t="n"/>
      <c r="E337" s="45" t="n"/>
      <c r="F337" s="45" t="n"/>
      <c r="G337" s="45" t="n"/>
      <c r="H337" s="45" t="n"/>
      <c r="I337" s="45" t="n"/>
      <c r="J337" s="45" t="n"/>
      <c r="K337" s="45" t="n"/>
      <c r="L337" s="45" t="n"/>
      <c r="N337" s="46" t="n"/>
      <c r="P337" s="47" t="n"/>
      <c r="Q337" s="47" t="n"/>
      <c r="R337" s="47" t="n"/>
      <c r="V337" s="45" t="n"/>
    </row>
    <row r="338" ht="14.25" customHeight="1" s="142">
      <c r="C338" s="45" t="n"/>
      <c r="D338" s="45" t="n"/>
      <c r="E338" s="45" t="n"/>
      <c r="F338" s="45" t="n"/>
      <c r="G338" s="45" t="n"/>
      <c r="H338" s="45" t="n"/>
      <c r="I338" s="45" t="n"/>
      <c r="J338" s="45" t="n"/>
      <c r="K338" s="45" t="n"/>
      <c r="L338" s="45" t="n"/>
      <c r="N338" s="46" t="n"/>
      <c r="P338" s="47" t="n"/>
      <c r="Q338" s="47" t="n"/>
      <c r="R338" s="47" t="n"/>
      <c r="V338" s="45" t="n"/>
    </row>
    <row r="339" ht="14.25" customHeight="1" s="142">
      <c r="C339" s="45" t="n"/>
      <c r="D339" s="45" t="n"/>
      <c r="E339" s="45" t="n"/>
      <c r="F339" s="45" t="n"/>
      <c r="G339" s="45" t="n"/>
      <c r="H339" s="45" t="n"/>
      <c r="I339" s="45" t="n"/>
      <c r="J339" s="45" t="n"/>
      <c r="K339" s="45" t="n"/>
      <c r="L339" s="45" t="n"/>
      <c r="N339" s="46" t="n"/>
      <c r="P339" s="47" t="n"/>
      <c r="Q339" s="47" t="n"/>
      <c r="R339" s="47" t="n"/>
      <c r="V339" s="45" t="n"/>
    </row>
    <row r="340" ht="14.25" customHeight="1" s="142">
      <c r="C340" s="45" t="n"/>
      <c r="D340" s="45" t="n"/>
      <c r="E340" s="45" t="n"/>
      <c r="F340" s="45" t="n"/>
      <c r="G340" s="45" t="n"/>
      <c r="H340" s="45" t="n"/>
      <c r="I340" s="45" t="n"/>
      <c r="J340" s="45" t="n"/>
      <c r="K340" s="45" t="n"/>
      <c r="L340" s="45" t="n"/>
      <c r="N340" s="46" t="n"/>
      <c r="P340" s="47" t="n"/>
      <c r="Q340" s="47" t="n"/>
      <c r="R340" s="47" t="n"/>
      <c r="V340" s="45" t="n"/>
    </row>
    <row r="341" ht="14.25" customHeight="1" s="142">
      <c r="C341" s="45" t="n"/>
      <c r="D341" s="45" t="n"/>
      <c r="E341" s="45" t="n"/>
      <c r="F341" s="45" t="n"/>
      <c r="G341" s="45" t="n"/>
      <c r="H341" s="45" t="n"/>
      <c r="I341" s="45" t="n"/>
      <c r="J341" s="45" t="n"/>
      <c r="K341" s="45" t="n"/>
      <c r="L341" s="45" t="n"/>
      <c r="N341" s="46" t="n"/>
      <c r="P341" s="47" t="n"/>
      <c r="Q341" s="47" t="n"/>
      <c r="R341" s="47" t="n"/>
      <c r="V341" s="45" t="n"/>
    </row>
    <row r="342" ht="14.25" customHeight="1" s="142">
      <c r="C342" s="45" t="n"/>
      <c r="D342" s="45" t="n"/>
      <c r="E342" s="45" t="n"/>
      <c r="F342" s="45" t="n"/>
      <c r="G342" s="45" t="n"/>
      <c r="H342" s="45" t="n"/>
      <c r="I342" s="45" t="n"/>
      <c r="J342" s="45" t="n"/>
      <c r="K342" s="45" t="n"/>
      <c r="L342" s="45" t="n"/>
      <c r="N342" s="46" t="n"/>
      <c r="P342" s="47" t="n"/>
      <c r="Q342" s="47" t="n"/>
      <c r="R342" s="47" t="n"/>
      <c r="V342" s="45" t="n"/>
    </row>
    <row r="343" ht="14.25" customHeight="1" s="142">
      <c r="C343" s="45" t="n"/>
      <c r="D343" s="45" t="n"/>
      <c r="E343" s="45" t="n"/>
      <c r="F343" s="45" t="n"/>
      <c r="G343" s="45" t="n"/>
      <c r="H343" s="45" t="n"/>
      <c r="I343" s="45" t="n"/>
      <c r="J343" s="45" t="n"/>
      <c r="K343" s="45" t="n"/>
      <c r="L343" s="45" t="n"/>
      <c r="N343" s="46" t="n"/>
      <c r="P343" s="47" t="n"/>
      <c r="Q343" s="47" t="n"/>
      <c r="R343" s="47" t="n"/>
      <c r="V343" s="45" t="n"/>
    </row>
    <row r="344" ht="14.25" customHeight="1" s="142">
      <c r="C344" s="45" t="n"/>
      <c r="D344" s="45" t="n"/>
      <c r="E344" s="45" t="n"/>
      <c r="F344" s="45" t="n"/>
      <c r="G344" s="45" t="n"/>
      <c r="H344" s="45" t="n"/>
      <c r="I344" s="45" t="n"/>
      <c r="J344" s="45" t="n"/>
      <c r="K344" s="45" t="n"/>
      <c r="L344" s="45" t="n"/>
      <c r="N344" s="46" t="n"/>
      <c r="P344" s="47" t="n"/>
      <c r="Q344" s="47" t="n"/>
      <c r="R344" s="47" t="n"/>
      <c r="V344" s="45" t="n"/>
    </row>
    <row r="345" ht="14.25" customHeight="1" s="142">
      <c r="C345" s="45" t="n"/>
      <c r="D345" s="45" t="n"/>
      <c r="E345" s="45" t="n"/>
      <c r="F345" s="45" t="n"/>
      <c r="G345" s="45" t="n"/>
      <c r="H345" s="45" t="n"/>
      <c r="I345" s="45" t="n"/>
      <c r="J345" s="45" t="n"/>
      <c r="K345" s="45" t="n"/>
      <c r="L345" s="45" t="n"/>
      <c r="N345" s="46" t="n"/>
      <c r="P345" s="47" t="n"/>
      <c r="Q345" s="47" t="n"/>
      <c r="R345" s="47" t="n"/>
      <c r="V345" s="45" t="n"/>
    </row>
    <row r="346" ht="14.25" customHeight="1" s="142">
      <c r="C346" s="45" t="n"/>
      <c r="D346" s="45" t="n"/>
      <c r="E346" s="45" t="n"/>
      <c r="F346" s="45" t="n"/>
      <c r="G346" s="45" t="n"/>
      <c r="H346" s="45" t="n"/>
      <c r="I346" s="45" t="n"/>
      <c r="J346" s="45" t="n"/>
      <c r="K346" s="45" t="n"/>
      <c r="L346" s="45" t="n"/>
      <c r="N346" s="46" t="n"/>
      <c r="P346" s="47" t="n"/>
      <c r="Q346" s="47" t="n"/>
      <c r="R346" s="47" t="n"/>
      <c r="V346" s="45" t="n"/>
    </row>
    <row r="347" ht="14.25" customHeight="1" s="142">
      <c r="C347" s="45" t="n"/>
      <c r="D347" s="45" t="n"/>
      <c r="E347" s="45" t="n"/>
      <c r="F347" s="45" t="n"/>
      <c r="G347" s="45" t="n"/>
      <c r="H347" s="45" t="n"/>
      <c r="I347" s="45" t="n"/>
      <c r="J347" s="45" t="n"/>
      <c r="K347" s="45" t="n"/>
      <c r="L347" s="45" t="n"/>
      <c r="N347" s="46" t="n"/>
      <c r="P347" s="47" t="n"/>
      <c r="Q347" s="47" t="n"/>
      <c r="R347" s="47" t="n"/>
      <c r="V347" s="45" t="n"/>
    </row>
    <row r="348" ht="14.25" customHeight="1" s="142">
      <c r="C348" s="45" t="n"/>
      <c r="D348" s="45" t="n"/>
      <c r="E348" s="45" t="n"/>
      <c r="F348" s="45" t="n"/>
      <c r="G348" s="45" t="n"/>
      <c r="H348" s="45" t="n"/>
      <c r="I348" s="45" t="n"/>
      <c r="J348" s="45" t="n"/>
      <c r="K348" s="45" t="n"/>
      <c r="L348" s="45" t="n"/>
      <c r="N348" s="46" t="n"/>
      <c r="P348" s="47" t="n"/>
      <c r="Q348" s="47" t="n"/>
      <c r="R348" s="47" t="n"/>
      <c r="V348" s="45" t="n"/>
    </row>
    <row r="349" ht="14.25" customHeight="1" s="142">
      <c r="C349" s="45" t="n"/>
      <c r="D349" s="45" t="n"/>
      <c r="E349" s="45" t="n"/>
      <c r="F349" s="45" t="n"/>
      <c r="G349" s="45" t="n"/>
      <c r="H349" s="45" t="n"/>
      <c r="I349" s="45" t="n"/>
      <c r="J349" s="45" t="n"/>
      <c r="K349" s="45" t="n"/>
      <c r="L349" s="45" t="n"/>
      <c r="N349" s="46" t="n"/>
      <c r="P349" s="47" t="n"/>
      <c r="Q349" s="47" t="n"/>
      <c r="R349" s="47" t="n"/>
      <c r="V349" s="45" t="n"/>
    </row>
    <row r="350" ht="14.25" customHeight="1" s="142">
      <c r="C350" s="45" t="n"/>
      <c r="D350" s="45" t="n"/>
      <c r="E350" s="45" t="n"/>
      <c r="F350" s="45" t="n"/>
      <c r="G350" s="45" t="n"/>
      <c r="H350" s="45" t="n"/>
      <c r="I350" s="45" t="n"/>
      <c r="J350" s="45" t="n"/>
      <c r="K350" s="45" t="n"/>
      <c r="L350" s="45" t="n"/>
      <c r="N350" s="46" t="n"/>
      <c r="P350" s="47" t="n"/>
      <c r="Q350" s="47" t="n"/>
      <c r="R350" s="47" t="n"/>
      <c r="V350" s="45" t="n"/>
    </row>
    <row r="351" ht="14.25" customHeight="1" s="142">
      <c r="C351" s="45" t="n"/>
      <c r="D351" s="45" t="n"/>
      <c r="E351" s="45" t="n"/>
      <c r="F351" s="45" t="n"/>
      <c r="G351" s="45" t="n"/>
      <c r="H351" s="45" t="n"/>
      <c r="I351" s="45" t="n"/>
      <c r="J351" s="45" t="n"/>
      <c r="K351" s="45" t="n"/>
      <c r="L351" s="45" t="n"/>
      <c r="N351" s="46" t="n"/>
      <c r="P351" s="47" t="n"/>
      <c r="Q351" s="47" t="n"/>
      <c r="R351" s="47" t="n"/>
      <c r="V351" s="45" t="n"/>
    </row>
    <row r="352" ht="14.25" customHeight="1" s="142">
      <c r="C352" s="45" t="n"/>
      <c r="D352" s="45" t="n"/>
      <c r="E352" s="45" t="n"/>
      <c r="F352" s="45" t="n"/>
      <c r="G352" s="45" t="n"/>
      <c r="H352" s="45" t="n"/>
      <c r="I352" s="45" t="n"/>
      <c r="J352" s="45" t="n"/>
      <c r="K352" s="45" t="n"/>
      <c r="L352" s="45" t="n"/>
      <c r="N352" s="46" t="n"/>
      <c r="P352" s="47" t="n"/>
      <c r="Q352" s="47" t="n"/>
      <c r="R352" s="47" t="n"/>
      <c r="V352" s="45" t="n"/>
    </row>
    <row r="353" ht="14.25" customHeight="1" s="142">
      <c r="C353" s="45" t="n"/>
      <c r="D353" s="45" t="n"/>
      <c r="E353" s="45" t="n"/>
      <c r="F353" s="45" t="n"/>
      <c r="G353" s="45" t="n"/>
      <c r="H353" s="45" t="n"/>
      <c r="I353" s="45" t="n"/>
      <c r="J353" s="45" t="n"/>
      <c r="K353" s="45" t="n"/>
      <c r="L353" s="45" t="n"/>
      <c r="N353" s="46" t="n"/>
      <c r="P353" s="47" t="n"/>
      <c r="Q353" s="47" t="n"/>
      <c r="R353" s="47" t="n"/>
      <c r="V353" s="45" t="n"/>
    </row>
    <row r="354" ht="14.25" customHeight="1" s="142">
      <c r="C354" s="45" t="n"/>
      <c r="D354" s="45" t="n"/>
      <c r="E354" s="45" t="n"/>
      <c r="F354" s="45" t="n"/>
      <c r="G354" s="45" t="n"/>
      <c r="H354" s="45" t="n"/>
      <c r="I354" s="45" t="n"/>
      <c r="J354" s="45" t="n"/>
      <c r="K354" s="45" t="n"/>
      <c r="L354" s="45" t="n"/>
      <c r="N354" s="46" t="n"/>
      <c r="P354" s="47" t="n"/>
      <c r="Q354" s="47" t="n"/>
      <c r="R354" s="47" t="n"/>
      <c r="V354" s="45" t="n"/>
    </row>
    <row r="355" ht="14.25" customHeight="1" s="142">
      <c r="C355" s="45" t="n"/>
      <c r="D355" s="45" t="n"/>
      <c r="E355" s="45" t="n"/>
      <c r="F355" s="45" t="n"/>
      <c r="G355" s="45" t="n"/>
      <c r="H355" s="45" t="n"/>
      <c r="I355" s="45" t="n"/>
      <c r="J355" s="45" t="n"/>
      <c r="K355" s="45" t="n"/>
      <c r="L355" s="45" t="n"/>
      <c r="N355" s="46" t="n"/>
      <c r="P355" s="47" t="n"/>
      <c r="Q355" s="47" t="n"/>
      <c r="R355" s="47" t="n"/>
      <c r="V355" s="45" t="n"/>
    </row>
    <row r="356" ht="14.25" customHeight="1" s="142">
      <c r="C356" s="45" t="n"/>
      <c r="D356" s="45" t="n"/>
      <c r="E356" s="45" t="n"/>
      <c r="F356" s="45" t="n"/>
      <c r="G356" s="45" t="n"/>
      <c r="H356" s="45" t="n"/>
      <c r="I356" s="45" t="n"/>
      <c r="J356" s="45" t="n"/>
      <c r="K356" s="45" t="n"/>
      <c r="L356" s="45" t="n"/>
      <c r="N356" s="46" t="n"/>
      <c r="P356" s="47" t="n"/>
      <c r="Q356" s="47" t="n"/>
      <c r="R356" s="47" t="n"/>
      <c r="V356" s="45" t="n"/>
    </row>
    <row r="357" ht="14.25" customHeight="1" s="142">
      <c r="C357" s="45" t="n"/>
      <c r="D357" s="45" t="n"/>
      <c r="E357" s="45" t="n"/>
      <c r="F357" s="45" t="n"/>
      <c r="G357" s="45" t="n"/>
      <c r="H357" s="45" t="n"/>
      <c r="I357" s="45" t="n"/>
      <c r="J357" s="45" t="n"/>
      <c r="K357" s="45" t="n"/>
      <c r="L357" s="45" t="n"/>
      <c r="N357" s="46" t="n"/>
      <c r="P357" s="47" t="n"/>
      <c r="Q357" s="47" t="n"/>
      <c r="R357" s="47" t="n"/>
      <c r="V357" s="45" t="n"/>
    </row>
    <row r="358" ht="14.25" customHeight="1" s="142">
      <c r="C358" s="45" t="n"/>
      <c r="D358" s="45" t="n"/>
      <c r="E358" s="45" t="n"/>
      <c r="F358" s="45" t="n"/>
      <c r="G358" s="45" t="n"/>
      <c r="H358" s="45" t="n"/>
      <c r="I358" s="45" t="n"/>
      <c r="J358" s="45" t="n"/>
      <c r="K358" s="45" t="n"/>
      <c r="L358" s="45" t="n"/>
      <c r="N358" s="46" t="n"/>
      <c r="P358" s="47" t="n"/>
      <c r="Q358" s="47" t="n"/>
      <c r="R358" s="47" t="n"/>
      <c r="V358" s="45" t="n"/>
    </row>
    <row r="359" ht="14.25" customHeight="1" s="142">
      <c r="C359" s="45" t="n"/>
      <c r="D359" s="45" t="n"/>
      <c r="E359" s="45" t="n"/>
      <c r="F359" s="45" t="n"/>
      <c r="G359" s="45" t="n"/>
      <c r="H359" s="45" t="n"/>
      <c r="I359" s="45" t="n"/>
      <c r="J359" s="45" t="n"/>
      <c r="K359" s="45" t="n"/>
      <c r="L359" s="45" t="n"/>
      <c r="N359" s="46" t="n"/>
      <c r="P359" s="47" t="n"/>
      <c r="Q359" s="47" t="n"/>
      <c r="R359" s="47" t="n"/>
      <c r="V359" s="45" t="n"/>
    </row>
    <row r="360" ht="14.25" customHeight="1" s="142">
      <c r="C360" s="45" t="n"/>
      <c r="D360" s="45" t="n"/>
      <c r="E360" s="45" t="n"/>
      <c r="F360" s="45" t="n"/>
      <c r="G360" s="45" t="n"/>
      <c r="H360" s="45" t="n"/>
      <c r="I360" s="45" t="n"/>
      <c r="J360" s="45" t="n"/>
      <c r="K360" s="45" t="n"/>
      <c r="L360" s="45" t="n"/>
      <c r="N360" s="46" t="n"/>
      <c r="P360" s="47" t="n"/>
      <c r="Q360" s="47" t="n"/>
      <c r="R360" s="47" t="n"/>
      <c r="V360" s="45" t="n"/>
    </row>
    <row r="361" ht="14.25" customHeight="1" s="142">
      <c r="C361" s="45" t="n"/>
      <c r="D361" s="45" t="n"/>
      <c r="E361" s="45" t="n"/>
      <c r="F361" s="45" t="n"/>
      <c r="G361" s="45" t="n"/>
      <c r="H361" s="45" t="n"/>
      <c r="I361" s="45" t="n"/>
      <c r="J361" s="45" t="n"/>
      <c r="K361" s="45" t="n"/>
      <c r="L361" s="45" t="n"/>
      <c r="N361" s="46" t="n"/>
      <c r="P361" s="47" t="n"/>
      <c r="Q361" s="47" t="n"/>
      <c r="R361" s="47" t="n"/>
      <c r="V361" s="45" t="n"/>
    </row>
    <row r="362" ht="14.25" customHeight="1" s="142">
      <c r="C362" s="45" t="n"/>
      <c r="D362" s="45" t="n"/>
      <c r="E362" s="45" t="n"/>
      <c r="F362" s="45" t="n"/>
      <c r="G362" s="45" t="n"/>
      <c r="H362" s="45" t="n"/>
      <c r="I362" s="45" t="n"/>
      <c r="J362" s="45" t="n"/>
      <c r="K362" s="45" t="n"/>
      <c r="L362" s="45" t="n"/>
      <c r="N362" s="46" t="n"/>
      <c r="P362" s="47" t="n"/>
      <c r="Q362" s="47" t="n"/>
      <c r="R362" s="47" t="n"/>
      <c r="V362" s="45" t="n"/>
    </row>
    <row r="363" ht="14.25" customHeight="1" s="142">
      <c r="C363" s="45" t="n"/>
      <c r="D363" s="45" t="n"/>
      <c r="E363" s="45" t="n"/>
      <c r="F363" s="45" t="n"/>
      <c r="G363" s="45" t="n"/>
      <c r="H363" s="45" t="n"/>
      <c r="I363" s="45" t="n"/>
      <c r="J363" s="45" t="n"/>
      <c r="K363" s="45" t="n"/>
      <c r="L363" s="45" t="n"/>
      <c r="N363" s="46" t="n"/>
      <c r="P363" s="47" t="n"/>
      <c r="Q363" s="47" t="n"/>
      <c r="R363" s="47" t="n"/>
      <c r="V363" s="45" t="n"/>
    </row>
    <row r="364" ht="14.25" customHeight="1" s="142">
      <c r="C364" s="45" t="n"/>
      <c r="D364" s="45" t="n"/>
      <c r="E364" s="45" t="n"/>
      <c r="F364" s="45" t="n"/>
      <c r="G364" s="45" t="n"/>
      <c r="H364" s="45" t="n"/>
      <c r="I364" s="45" t="n"/>
      <c r="J364" s="45" t="n"/>
      <c r="K364" s="45" t="n"/>
      <c r="L364" s="45" t="n"/>
      <c r="N364" s="46" t="n"/>
      <c r="P364" s="47" t="n"/>
      <c r="Q364" s="47" t="n"/>
      <c r="R364" s="47" t="n"/>
      <c r="V364" s="45" t="n"/>
    </row>
    <row r="365" ht="14.25" customHeight="1" s="142">
      <c r="C365" s="45" t="n"/>
      <c r="D365" s="45" t="n"/>
      <c r="E365" s="45" t="n"/>
      <c r="F365" s="45" t="n"/>
      <c r="G365" s="45" t="n"/>
      <c r="H365" s="45" t="n"/>
      <c r="I365" s="45" t="n"/>
      <c r="J365" s="45" t="n"/>
      <c r="K365" s="45" t="n"/>
      <c r="L365" s="45" t="n"/>
      <c r="N365" s="46" t="n"/>
      <c r="P365" s="47" t="n"/>
      <c r="Q365" s="47" t="n"/>
      <c r="R365" s="47" t="n"/>
      <c r="V365" s="45" t="n"/>
    </row>
    <row r="366" ht="14.25" customHeight="1" s="142">
      <c r="C366" s="45" t="n"/>
      <c r="D366" s="45" t="n"/>
      <c r="E366" s="45" t="n"/>
      <c r="F366" s="45" t="n"/>
      <c r="G366" s="45" t="n"/>
      <c r="H366" s="45" t="n"/>
      <c r="I366" s="45" t="n"/>
      <c r="J366" s="45" t="n"/>
      <c r="K366" s="45" t="n"/>
      <c r="L366" s="45" t="n"/>
      <c r="N366" s="46" t="n"/>
      <c r="P366" s="47" t="n"/>
      <c r="Q366" s="47" t="n"/>
      <c r="R366" s="47" t="n"/>
      <c r="V366" s="45" t="n"/>
    </row>
    <row r="367" ht="14.25" customHeight="1" s="142">
      <c r="C367" s="45" t="n"/>
      <c r="D367" s="45" t="n"/>
      <c r="E367" s="45" t="n"/>
      <c r="F367" s="45" t="n"/>
      <c r="G367" s="45" t="n"/>
      <c r="H367" s="45" t="n"/>
      <c r="I367" s="45" t="n"/>
      <c r="J367" s="45" t="n"/>
      <c r="K367" s="45" t="n"/>
      <c r="L367" s="45" t="n"/>
      <c r="N367" s="46" t="n"/>
      <c r="P367" s="47" t="n"/>
      <c r="Q367" s="47" t="n"/>
      <c r="R367" s="47" t="n"/>
      <c r="V367" s="45" t="n"/>
    </row>
    <row r="368" ht="14.25" customHeight="1" s="142">
      <c r="C368" s="45" t="n"/>
      <c r="D368" s="45" t="n"/>
      <c r="E368" s="45" t="n"/>
      <c r="F368" s="45" t="n"/>
      <c r="G368" s="45" t="n"/>
      <c r="H368" s="45" t="n"/>
      <c r="I368" s="45" t="n"/>
      <c r="J368" s="45" t="n"/>
      <c r="K368" s="45" t="n"/>
      <c r="L368" s="45" t="n"/>
      <c r="N368" s="46" t="n"/>
      <c r="P368" s="47" t="n"/>
      <c r="Q368" s="47" t="n"/>
      <c r="R368" s="47" t="n"/>
      <c r="V368" s="45" t="n"/>
    </row>
    <row r="369" ht="14.25" customHeight="1" s="142">
      <c r="C369" s="45" t="n"/>
      <c r="D369" s="45" t="n"/>
      <c r="E369" s="45" t="n"/>
      <c r="F369" s="45" t="n"/>
      <c r="G369" s="45" t="n"/>
      <c r="H369" s="45" t="n"/>
      <c r="I369" s="45" t="n"/>
      <c r="J369" s="45" t="n"/>
      <c r="K369" s="45" t="n"/>
      <c r="L369" s="45" t="n"/>
      <c r="N369" s="46" t="n"/>
      <c r="P369" s="47" t="n"/>
      <c r="Q369" s="47" t="n"/>
      <c r="R369" s="47" t="n"/>
      <c r="V369" s="45" t="n"/>
    </row>
    <row r="370" ht="14.25" customHeight="1" s="142">
      <c r="C370" s="45" t="n"/>
      <c r="D370" s="45" t="n"/>
      <c r="E370" s="45" t="n"/>
      <c r="F370" s="45" t="n"/>
      <c r="G370" s="45" t="n"/>
      <c r="H370" s="45" t="n"/>
      <c r="I370" s="45" t="n"/>
      <c r="J370" s="45" t="n"/>
      <c r="K370" s="45" t="n"/>
      <c r="L370" s="45" t="n"/>
      <c r="N370" s="46" t="n"/>
      <c r="P370" s="47" t="n"/>
      <c r="Q370" s="47" t="n"/>
      <c r="R370" s="47" t="n"/>
      <c r="V370" s="45" t="n"/>
    </row>
    <row r="371" ht="14.25" customHeight="1" s="142">
      <c r="C371" s="45" t="n"/>
      <c r="D371" s="45" t="n"/>
      <c r="E371" s="45" t="n"/>
      <c r="F371" s="45" t="n"/>
      <c r="G371" s="45" t="n"/>
      <c r="H371" s="45" t="n"/>
      <c r="I371" s="45" t="n"/>
      <c r="J371" s="45" t="n"/>
      <c r="K371" s="45" t="n"/>
      <c r="L371" s="45" t="n"/>
      <c r="N371" s="46" t="n"/>
      <c r="P371" s="47" t="n"/>
      <c r="Q371" s="47" t="n"/>
      <c r="R371" s="47" t="n"/>
      <c r="V371" s="45" t="n"/>
    </row>
    <row r="372" ht="14.25" customHeight="1" s="142">
      <c r="C372" s="45" t="n"/>
      <c r="D372" s="45" t="n"/>
      <c r="E372" s="45" t="n"/>
      <c r="F372" s="45" t="n"/>
      <c r="G372" s="45" t="n"/>
      <c r="H372" s="45" t="n"/>
      <c r="I372" s="45" t="n"/>
      <c r="J372" s="45" t="n"/>
      <c r="K372" s="45" t="n"/>
      <c r="L372" s="45" t="n"/>
      <c r="N372" s="46" t="n"/>
      <c r="P372" s="47" t="n"/>
      <c r="Q372" s="47" t="n"/>
      <c r="R372" s="47" t="n"/>
      <c r="V372" s="45" t="n"/>
    </row>
    <row r="373" ht="14.25" customHeight="1" s="142">
      <c r="C373" s="45" t="n"/>
      <c r="D373" s="45" t="n"/>
      <c r="E373" s="45" t="n"/>
      <c r="F373" s="45" t="n"/>
      <c r="G373" s="45" t="n"/>
      <c r="H373" s="45" t="n"/>
      <c r="I373" s="45" t="n"/>
      <c r="J373" s="45" t="n"/>
      <c r="K373" s="45" t="n"/>
      <c r="L373" s="45" t="n"/>
      <c r="N373" s="46" t="n"/>
      <c r="P373" s="47" t="n"/>
      <c r="Q373" s="47" t="n"/>
      <c r="R373" s="47" t="n"/>
      <c r="V373" s="45" t="n"/>
    </row>
    <row r="374" ht="14.25" customHeight="1" s="142">
      <c r="C374" s="45" t="n"/>
      <c r="D374" s="45" t="n"/>
      <c r="E374" s="45" t="n"/>
      <c r="F374" s="45" t="n"/>
      <c r="G374" s="45" t="n"/>
      <c r="H374" s="45" t="n"/>
      <c r="I374" s="45" t="n"/>
      <c r="J374" s="45" t="n"/>
      <c r="K374" s="45" t="n"/>
      <c r="L374" s="45" t="n"/>
      <c r="N374" s="46" t="n"/>
      <c r="P374" s="47" t="n"/>
      <c r="Q374" s="47" t="n"/>
      <c r="R374" s="47" t="n"/>
      <c r="V374" s="45" t="n"/>
    </row>
    <row r="375" ht="14.25" customHeight="1" s="142">
      <c r="C375" s="45" t="n"/>
      <c r="D375" s="45" t="n"/>
      <c r="E375" s="45" t="n"/>
      <c r="F375" s="45" t="n"/>
      <c r="G375" s="45" t="n"/>
      <c r="H375" s="45" t="n"/>
      <c r="I375" s="45" t="n"/>
      <c r="J375" s="45" t="n"/>
      <c r="K375" s="45" t="n"/>
      <c r="L375" s="45" t="n"/>
      <c r="N375" s="46" t="n"/>
      <c r="P375" s="47" t="n"/>
      <c r="Q375" s="47" t="n"/>
      <c r="R375" s="47" t="n"/>
      <c r="V375" s="45" t="n"/>
    </row>
    <row r="376" ht="14.25" customHeight="1" s="142">
      <c r="C376" s="45" t="n"/>
      <c r="D376" s="45" t="n"/>
      <c r="E376" s="45" t="n"/>
      <c r="F376" s="45" t="n"/>
      <c r="G376" s="45" t="n"/>
      <c r="H376" s="45" t="n"/>
      <c r="I376" s="45" t="n"/>
      <c r="J376" s="45" t="n"/>
      <c r="K376" s="45" t="n"/>
      <c r="L376" s="45" t="n"/>
      <c r="N376" s="46" t="n"/>
      <c r="P376" s="47" t="n"/>
      <c r="Q376" s="47" t="n"/>
      <c r="R376" s="47" t="n"/>
      <c r="V376" s="45" t="n"/>
    </row>
    <row r="377" ht="14.25" customHeight="1" s="142">
      <c r="C377" s="45" t="n"/>
      <c r="D377" s="45" t="n"/>
      <c r="E377" s="45" t="n"/>
      <c r="F377" s="45" t="n"/>
      <c r="G377" s="45" t="n"/>
      <c r="H377" s="45" t="n"/>
      <c r="I377" s="45" t="n"/>
      <c r="J377" s="45" t="n"/>
      <c r="K377" s="45" t="n"/>
      <c r="L377" s="45" t="n"/>
      <c r="N377" s="46" t="n"/>
      <c r="P377" s="47" t="n"/>
      <c r="Q377" s="47" t="n"/>
      <c r="R377" s="47" t="n"/>
      <c r="V377" s="45" t="n"/>
    </row>
    <row r="378" ht="14.25" customHeight="1" s="142">
      <c r="C378" s="45" t="n"/>
      <c r="D378" s="45" t="n"/>
      <c r="E378" s="45" t="n"/>
      <c r="F378" s="45" t="n"/>
      <c r="G378" s="45" t="n"/>
      <c r="H378" s="45" t="n"/>
      <c r="I378" s="45" t="n"/>
      <c r="J378" s="45" t="n"/>
      <c r="K378" s="45" t="n"/>
      <c r="L378" s="45" t="n"/>
      <c r="N378" s="46" t="n"/>
      <c r="P378" s="47" t="n"/>
      <c r="Q378" s="47" t="n"/>
      <c r="R378" s="47" t="n"/>
      <c r="V378" s="45" t="n"/>
    </row>
    <row r="379" ht="14.25" customHeight="1" s="142">
      <c r="C379" s="45" t="n"/>
      <c r="D379" s="45" t="n"/>
      <c r="E379" s="45" t="n"/>
      <c r="F379" s="45" t="n"/>
      <c r="G379" s="45" t="n"/>
      <c r="H379" s="45" t="n"/>
      <c r="I379" s="45" t="n"/>
      <c r="J379" s="45" t="n"/>
      <c r="K379" s="45" t="n"/>
      <c r="L379" s="45" t="n"/>
      <c r="N379" s="46" t="n"/>
      <c r="P379" s="47" t="n"/>
      <c r="Q379" s="47" t="n"/>
      <c r="R379" s="47" t="n"/>
      <c r="V379" s="45" t="n"/>
    </row>
    <row r="380" ht="14.25" customHeight="1" s="142">
      <c r="C380" s="45" t="n"/>
      <c r="D380" s="45" t="n"/>
      <c r="E380" s="45" t="n"/>
      <c r="F380" s="45" t="n"/>
      <c r="G380" s="45" t="n"/>
      <c r="H380" s="45" t="n"/>
      <c r="I380" s="45" t="n"/>
      <c r="J380" s="45" t="n"/>
      <c r="K380" s="45" t="n"/>
      <c r="L380" s="45" t="n"/>
      <c r="N380" s="46" t="n"/>
      <c r="P380" s="47" t="n"/>
      <c r="Q380" s="47" t="n"/>
      <c r="R380" s="47" t="n"/>
      <c r="V380" s="45" t="n"/>
    </row>
    <row r="381" ht="14.25" customHeight="1" s="142">
      <c r="C381" s="45" t="n"/>
      <c r="D381" s="45" t="n"/>
      <c r="E381" s="45" t="n"/>
      <c r="F381" s="45" t="n"/>
      <c r="G381" s="45" t="n"/>
      <c r="H381" s="45" t="n"/>
      <c r="I381" s="45" t="n"/>
      <c r="J381" s="45" t="n"/>
      <c r="K381" s="45" t="n"/>
      <c r="L381" s="45" t="n"/>
      <c r="N381" s="46" t="n"/>
      <c r="P381" s="47" t="n"/>
      <c r="Q381" s="47" t="n"/>
      <c r="R381" s="47" t="n"/>
      <c r="V381" s="45" t="n"/>
    </row>
    <row r="382" ht="14.25" customHeight="1" s="142">
      <c r="C382" s="45" t="n"/>
      <c r="D382" s="45" t="n"/>
      <c r="E382" s="45" t="n"/>
      <c r="F382" s="45" t="n"/>
      <c r="G382" s="45" t="n"/>
      <c r="H382" s="45" t="n"/>
      <c r="I382" s="45" t="n"/>
      <c r="J382" s="45" t="n"/>
      <c r="K382" s="45" t="n"/>
      <c r="L382" s="45" t="n"/>
      <c r="N382" s="46" t="n"/>
      <c r="P382" s="47" t="n"/>
      <c r="Q382" s="47" t="n"/>
      <c r="R382" s="47" t="n"/>
      <c r="V382" s="45" t="n"/>
    </row>
    <row r="383" ht="14.25" customHeight="1" s="142">
      <c r="C383" s="45" t="n"/>
      <c r="D383" s="45" t="n"/>
      <c r="E383" s="45" t="n"/>
      <c r="F383" s="45" t="n"/>
      <c r="G383" s="45" t="n"/>
      <c r="H383" s="45" t="n"/>
      <c r="I383" s="45" t="n"/>
      <c r="J383" s="45" t="n"/>
      <c r="K383" s="45" t="n"/>
      <c r="L383" s="45" t="n"/>
      <c r="N383" s="46" t="n"/>
      <c r="P383" s="47" t="n"/>
      <c r="Q383" s="47" t="n"/>
      <c r="R383" s="47" t="n"/>
      <c r="V383" s="45" t="n"/>
    </row>
    <row r="384" ht="14.25" customHeight="1" s="142">
      <c r="C384" s="45" t="n"/>
      <c r="D384" s="45" t="n"/>
      <c r="E384" s="45" t="n"/>
      <c r="F384" s="45" t="n"/>
      <c r="G384" s="45" t="n"/>
      <c r="H384" s="45" t="n"/>
      <c r="I384" s="45" t="n"/>
      <c r="J384" s="45" t="n"/>
      <c r="K384" s="45" t="n"/>
      <c r="L384" s="45" t="n"/>
      <c r="N384" s="46" t="n"/>
      <c r="P384" s="47" t="n"/>
      <c r="Q384" s="47" t="n"/>
      <c r="R384" s="47" t="n"/>
      <c r="V384" s="45" t="n"/>
    </row>
    <row r="385" ht="14.25" customHeight="1" s="142">
      <c r="C385" s="45" t="n"/>
      <c r="D385" s="45" t="n"/>
      <c r="E385" s="45" t="n"/>
      <c r="F385" s="45" t="n"/>
      <c r="G385" s="45" t="n"/>
      <c r="H385" s="45" t="n"/>
      <c r="I385" s="45" t="n"/>
      <c r="J385" s="45" t="n"/>
      <c r="K385" s="45" t="n"/>
      <c r="L385" s="45" t="n"/>
      <c r="N385" s="46" t="n"/>
      <c r="P385" s="47" t="n"/>
      <c r="Q385" s="47" t="n"/>
      <c r="R385" s="47" t="n"/>
      <c r="V385" s="45" t="n"/>
    </row>
    <row r="386" ht="14.25" customHeight="1" s="142">
      <c r="C386" s="45" t="n"/>
      <c r="D386" s="45" t="n"/>
      <c r="E386" s="45" t="n"/>
      <c r="F386" s="45" t="n"/>
      <c r="G386" s="45" t="n"/>
      <c r="H386" s="45" t="n"/>
      <c r="I386" s="45" t="n"/>
      <c r="J386" s="45" t="n"/>
      <c r="K386" s="45" t="n"/>
      <c r="L386" s="45" t="n"/>
      <c r="N386" s="46" t="n"/>
      <c r="P386" s="47" t="n"/>
      <c r="Q386" s="47" t="n"/>
      <c r="R386" s="47" t="n"/>
      <c r="V386" s="45" t="n"/>
    </row>
    <row r="387" ht="14.25" customHeight="1" s="142">
      <c r="C387" s="45" t="n"/>
      <c r="D387" s="45" t="n"/>
      <c r="E387" s="45" t="n"/>
      <c r="F387" s="45" t="n"/>
      <c r="G387" s="45" t="n"/>
      <c r="H387" s="45" t="n"/>
      <c r="I387" s="45" t="n"/>
      <c r="J387" s="45" t="n"/>
      <c r="K387" s="45" t="n"/>
      <c r="L387" s="45" t="n"/>
      <c r="N387" s="46" t="n"/>
      <c r="P387" s="47" t="n"/>
      <c r="Q387" s="47" t="n"/>
      <c r="R387" s="47" t="n"/>
      <c r="V387" s="45" t="n"/>
    </row>
    <row r="388" ht="14.25" customHeight="1" s="142">
      <c r="C388" s="45" t="n"/>
      <c r="D388" s="45" t="n"/>
      <c r="E388" s="45" t="n"/>
      <c r="F388" s="45" t="n"/>
      <c r="G388" s="45" t="n"/>
      <c r="H388" s="45" t="n"/>
      <c r="I388" s="45" t="n"/>
      <c r="J388" s="45" t="n"/>
      <c r="K388" s="45" t="n"/>
      <c r="L388" s="45" t="n"/>
      <c r="N388" s="46" t="n"/>
      <c r="P388" s="47" t="n"/>
      <c r="Q388" s="47" t="n"/>
      <c r="R388" s="47" t="n"/>
      <c r="V388" s="45" t="n"/>
    </row>
    <row r="389" ht="14.25" customHeight="1" s="142">
      <c r="C389" s="45" t="n"/>
      <c r="D389" s="45" t="n"/>
      <c r="E389" s="45" t="n"/>
      <c r="F389" s="45" t="n"/>
      <c r="G389" s="45" t="n"/>
      <c r="H389" s="45" t="n"/>
      <c r="I389" s="45" t="n"/>
      <c r="J389" s="45" t="n"/>
      <c r="K389" s="45" t="n"/>
      <c r="L389" s="45" t="n"/>
      <c r="N389" s="46" t="n"/>
      <c r="P389" s="47" t="n"/>
      <c r="Q389" s="47" t="n"/>
      <c r="R389" s="47" t="n"/>
      <c r="V389" s="45" t="n"/>
    </row>
    <row r="390" ht="14.25" customHeight="1" s="142">
      <c r="C390" s="45" t="n"/>
      <c r="D390" s="45" t="n"/>
      <c r="E390" s="45" t="n"/>
      <c r="F390" s="45" t="n"/>
      <c r="G390" s="45" t="n"/>
      <c r="H390" s="45" t="n"/>
      <c r="I390" s="45" t="n"/>
      <c r="J390" s="45" t="n"/>
      <c r="K390" s="45" t="n"/>
      <c r="L390" s="45" t="n"/>
      <c r="N390" s="46" t="n"/>
      <c r="P390" s="47" t="n"/>
      <c r="Q390" s="47" t="n"/>
      <c r="R390" s="47" t="n"/>
      <c r="V390" s="45" t="n"/>
    </row>
    <row r="391" ht="14.25" customHeight="1" s="142">
      <c r="C391" s="45" t="n"/>
      <c r="D391" s="45" t="n"/>
      <c r="E391" s="45" t="n"/>
      <c r="F391" s="45" t="n"/>
      <c r="G391" s="45" t="n"/>
      <c r="H391" s="45" t="n"/>
      <c r="I391" s="45" t="n"/>
      <c r="J391" s="45" t="n"/>
      <c r="K391" s="45" t="n"/>
      <c r="L391" s="45" t="n"/>
      <c r="N391" s="46" t="n"/>
      <c r="P391" s="47" t="n"/>
      <c r="Q391" s="47" t="n"/>
      <c r="R391" s="47" t="n"/>
      <c r="V391" s="45" t="n"/>
    </row>
    <row r="392" ht="14.25" customHeight="1" s="142">
      <c r="C392" s="45" t="n"/>
      <c r="D392" s="45" t="n"/>
      <c r="E392" s="45" t="n"/>
      <c r="F392" s="45" t="n"/>
      <c r="G392" s="45" t="n"/>
      <c r="H392" s="45" t="n"/>
      <c r="I392" s="45" t="n"/>
      <c r="J392" s="45" t="n"/>
      <c r="K392" s="45" t="n"/>
      <c r="L392" s="45" t="n"/>
      <c r="N392" s="46" t="n"/>
      <c r="P392" s="47" t="n"/>
      <c r="Q392" s="47" t="n"/>
      <c r="R392" s="47" t="n"/>
      <c r="V392" s="45" t="n"/>
    </row>
    <row r="393" ht="14.25" customHeight="1" s="142">
      <c r="C393" s="45" t="n"/>
      <c r="D393" s="45" t="n"/>
      <c r="E393" s="45" t="n"/>
      <c r="F393" s="45" t="n"/>
      <c r="G393" s="45" t="n"/>
      <c r="H393" s="45" t="n"/>
      <c r="I393" s="45" t="n"/>
      <c r="J393" s="45" t="n"/>
      <c r="K393" s="45" t="n"/>
      <c r="L393" s="45" t="n"/>
      <c r="N393" s="46" t="n"/>
      <c r="P393" s="47" t="n"/>
      <c r="Q393" s="47" t="n"/>
      <c r="R393" s="47" t="n"/>
      <c r="V393" s="45" t="n"/>
    </row>
    <row r="394" ht="14.25" customHeight="1" s="142">
      <c r="C394" s="45" t="n"/>
      <c r="D394" s="45" t="n"/>
      <c r="E394" s="45" t="n"/>
      <c r="F394" s="45" t="n"/>
      <c r="G394" s="45" t="n"/>
      <c r="H394" s="45" t="n"/>
      <c r="I394" s="45" t="n"/>
      <c r="J394" s="45" t="n"/>
      <c r="K394" s="45" t="n"/>
      <c r="L394" s="45" t="n"/>
      <c r="N394" s="46" t="n"/>
      <c r="P394" s="47" t="n"/>
      <c r="Q394" s="47" t="n"/>
      <c r="R394" s="47" t="n"/>
      <c r="V394" s="45" t="n"/>
    </row>
    <row r="395" ht="14.25" customHeight="1" s="142">
      <c r="C395" s="45" t="n"/>
      <c r="D395" s="45" t="n"/>
      <c r="E395" s="45" t="n"/>
      <c r="F395" s="45" t="n"/>
      <c r="G395" s="45" t="n"/>
      <c r="H395" s="45" t="n"/>
      <c r="I395" s="45" t="n"/>
      <c r="J395" s="45" t="n"/>
      <c r="K395" s="45" t="n"/>
      <c r="L395" s="45" t="n"/>
      <c r="N395" s="46" t="n"/>
      <c r="P395" s="47" t="n"/>
      <c r="Q395" s="47" t="n"/>
      <c r="R395" s="47" t="n"/>
      <c r="V395" s="45" t="n"/>
    </row>
    <row r="396" ht="14.25" customHeight="1" s="142">
      <c r="C396" s="45" t="n"/>
      <c r="D396" s="45" t="n"/>
      <c r="E396" s="45" t="n"/>
      <c r="F396" s="45" t="n"/>
      <c r="G396" s="45" t="n"/>
      <c r="H396" s="45" t="n"/>
      <c r="I396" s="45" t="n"/>
      <c r="J396" s="45" t="n"/>
      <c r="K396" s="45" t="n"/>
      <c r="L396" s="45" t="n"/>
      <c r="N396" s="46" t="n"/>
      <c r="P396" s="47" t="n"/>
      <c r="Q396" s="47" t="n"/>
      <c r="R396" s="47" t="n"/>
      <c r="V396" s="45" t="n"/>
    </row>
    <row r="397" ht="14.25" customHeight="1" s="142">
      <c r="C397" s="45" t="n"/>
      <c r="D397" s="45" t="n"/>
      <c r="E397" s="45" t="n"/>
      <c r="F397" s="45" t="n"/>
      <c r="G397" s="45" t="n"/>
      <c r="H397" s="45" t="n"/>
      <c r="I397" s="45" t="n"/>
      <c r="J397" s="45" t="n"/>
      <c r="K397" s="45" t="n"/>
      <c r="L397" s="45" t="n"/>
      <c r="N397" s="46" t="n"/>
      <c r="P397" s="47" t="n"/>
      <c r="Q397" s="47" t="n"/>
      <c r="R397" s="47" t="n"/>
      <c r="V397" s="45" t="n"/>
    </row>
    <row r="398" ht="14.25" customHeight="1" s="142">
      <c r="C398" s="45" t="n"/>
      <c r="D398" s="45" t="n"/>
      <c r="E398" s="45" t="n"/>
      <c r="F398" s="45" t="n"/>
      <c r="G398" s="45" t="n"/>
      <c r="H398" s="45" t="n"/>
      <c r="I398" s="45" t="n"/>
      <c r="J398" s="45" t="n"/>
      <c r="K398" s="45" t="n"/>
      <c r="L398" s="45" t="n"/>
      <c r="N398" s="46" t="n"/>
      <c r="P398" s="47" t="n"/>
      <c r="Q398" s="47" t="n"/>
      <c r="R398" s="47" t="n"/>
      <c r="V398" s="45" t="n"/>
    </row>
    <row r="399" ht="14.25" customHeight="1" s="142">
      <c r="C399" s="45" t="n"/>
      <c r="D399" s="45" t="n"/>
      <c r="E399" s="45" t="n"/>
      <c r="F399" s="45" t="n"/>
      <c r="G399" s="45" t="n"/>
      <c r="H399" s="45" t="n"/>
      <c r="I399" s="45" t="n"/>
      <c r="J399" s="45" t="n"/>
      <c r="K399" s="45" t="n"/>
      <c r="L399" s="45" t="n"/>
      <c r="N399" s="46" t="n"/>
      <c r="P399" s="47" t="n"/>
      <c r="Q399" s="47" t="n"/>
      <c r="R399" s="47" t="n"/>
      <c r="V399" s="45" t="n"/>
    </row>
    <row r="400" ht="14.25" customHeight="1" s="142">
      <c r="C400" s="45" t="n"/>
      <c r="D400" s="45" t="n"/>
      <c r="E400" s="45" t="n"/>
      <c r="F400" s="45" t="n"/>
      <c r="G400" s="45" t="n"/>
      <c r="H400" s="45" t="n"/>
      <c r="I400" s="45" t="n"/>
      <c r="J400" s="45" t="n"/>
      <c r="K400" s="45" t="n"/>
      <c r="L400" s="45" t="n"/>
      <c r="N400" s="46" t="n"/>
      <c r="P400" s="47" t="n"/>
      <c r="Q400" s="47" t="n"/>
      <c r="R400" s="47" t="n"/>
      <c r="V400" s="45" t="n"/>
    </row>
    <row r="401" ht="14.25" customHeight="1" s="142">
      <c r="C401" s="45" t="n"/>
      <c r="D401" s="45" t="n"/>
      <c r="E401" s="45" t="n"/>
      <c r="F401" s="45" t="n"/>
      <c r="G401" s="45" t="n"/>
      <c r="H401" s="45" t="n"/>
      <c r="I401" s="45" t="n"/>
      <c r="J401" s="45" t="n"/>
      <c r="K401" s="45" t="n"/>
      <c r="L401" s="45" t="n"/>
      <c r="N401" s="46" t="n"/>
      <c r="P401" s="47" t="n"/>
      <c r="Q401" s="47" t="n"/>
      <c r="R401" s="47" t="n"/>
      <c r="V401" s="45" t="n"/>
    </row>
    <row r="402" ht="14.25" customHeight="1" s="142">
      <c r="C402" s="45" t="n"/>
      <c r="D402" s="45" t="n"/>
      <c r="E402" s="45" t="n"/>
      <c r="F402" s="45" t="n"/>
      <c r="G402" s="45" t="n"/>
      <c r="H402" s="45" t="n"/>
      <c r="I402" s="45" t="n"/>
      <c r="J402" s="45" t="n"/>
      <c r="K402" s="45" t="n"/>
      <c r="L402" s="45" t="n"/>
      <c r="N402" s="46" t="n"/>
      <c r="P402" s="47" t="n"/>
      <c r="Q402" s="47" t="n"/>
      <c r="R402" s="47" t="n"/>
      <c r="V402" s="45" t="n"/>
    </row>
    <row r="403" ht="14.25" customHeight="1" s="142">
      <c r="C403" s="45" t="n"/>
      <c r="D403" s="45" t="n"/>
      <c r="E403" s="45" t="n"/>
      <c r="F403" s="45" t="n"/>
      <c r="G403" s="45" t="n"/>
      <c r="H403" s="45" t="n"/>
      <c r="I403" s="45" t="n"/>
      <c r="J403" s="45" t="n"/>
      <c r="K403" s="45" t="n"/>
      <c r="L403" s="45" t="n"/>
      <c r="N403" s="46" t="n"/>
      <c r="P403" s="47" t="n"/>
      <c r="Q403" s="47" t="n"/>
      <c r="R403" s="47" t="n"/>
      <c r="V403" s="45" t="n"/>
    </row>
    <row r="404" ht="14.25" customHeight="1" s="142">
      <c r="C404" s="45" t="n"/>
      <c r="D404" s="45" t="n"/>
      <c r="E404" s="45" t="n"/>
      <c r="F404" s="45" t="n"/>
      <c r="G404" s="45" t="n"/>
      <c r="H404" s="45" t="n"/>
      <c r="I404" s="45" t="n"/>
      <c r="J404" s="45" t="n"/>
      <c r="K404" s="45" t="n"/>
      <c r="L404" s="45" t="n"/>
      <c r="N404" s="46" t="n"/>
      <c r="P404" s="47" t="n"/>
      <c r="Q404" s="47" t="n"/>
      <c r="R404" s="47" t="n"/>
      <c r="V404" s="45" t="n"/>
    </row>
    <row r="405" ht="14.25" customHeight="1" s="142">
      <c r="C405" s="45" t="n"/>
      <c r="D405" s="45" t="n"/>
      <c r="E405" s="45" t="n"/>
      <c r="F405" s="45" t="n"/>
      <c r="G405" s="45" t="n"/>
      <c r="H405" s="45" t="n"/>
      <c r="I405" s="45" t="n"/>
      <c r="J405" s="45" t="n"/>
      <c r="K405" s="45" t="n"/>
      <c r="L405" s="45" t="n"/>
      <c r="N405" s="46" t="n"/>
      <c r="P405" s="47" t="n"/>
      <c r="Q405" s="47" t="n"/>
      <c r="R405" s="47" t="n"/>
      <c r="V405" s="45" t="n"/>
    </row>
    <row r="406" ht="14.25" customHeight="1" s="142">
      <c r="C406" s="45" t="n"/>
      <c r="D406" s="45" t="n"/>
      <c r="E406" s="45" t="n"/>
      <c r="F406" s="45" t="n"/>
      <c r="G406" s="45" t="n"/>
      <c r="H406" s="45" t="n"/>
      <c r="I406" s="45" t="n"/>
      <c r="J406" s="45" t="n"/>
      <c r="K406" s="45" t="n"/>
      <c r="L406" s="45" t="n"/>
      <c r="N406" s="46" t="n"/>
      <c r="P406" s="47" t="n"/>
      <c r="Q406" s="47" t="n"/>
      <c r="R406" s="47" t="n"/>
      <c r="V406" s="45" t="n"/>
    </row>
    <row r="407" ht="14.25" customHeight="1" s="142">
      <c r="C407" s="45" t="n"/>
      <c r="D407" s="45" t="n"/>
      <c r="E407" s="45" t="n"/>
      <c r="F407" s="45" t="n"/>
      <c r="G407" s="45" t="n"/>
      <c r="H407" s="45" t="n"/>
      <c r="I407" s="45" t="n"/>
      <c r="J407" s="45" t="n"/>
      <c r="K407" s="45" t="n"/>
      <c r="L407" s="45" t="n"/>
      <c r="N407" s="46" t="n"/>
      <c r="P407" s="47" t="n"/>
      <c r="Q407" s="47" t="n"/>
      <c r="R407" s="47" t="n"/>
      <c r="V407" s="45" t="n"/>
    </row>
    <row r="408" ht="14.25" customHeight="1" s="142">
      <c r="C408" s="45" t="n"/>
      <c r="D408" s="45" t="n"/>
      <c r="E408" s="45" t="n"/>
      <c r="F408" s="45" t="n"/>
      <c r="G408" s="45" t="n"/>
      <c r="H408" s="45" t="n"/>
      <c r="I408" s="45" t="n"/>
      <c r="J408" s="45" t="n"/>
      <c r="K408" s="45" t="n"/>
      <c r="L408" s="45" t="n"/>
      <c r="N408" s="46" t="n"/>
      <c r="P408" s="47" t="n"/>
      <c r="Q408" s="47" t="n"/>
      <c r="R408" s="47" t="n"/>
      <c r="V408" s="45" t="n"/>
    </row>
    <row r="409" ht="14.25" customHeight="1" s="142">
      <c r="C409" s="45" t="n"/>
      <c r="D409" s="45" t="n"/>
      <c r="E409" s="45" t="n"/>
      <c r="F409" s="45" t="n"/>
      <c r="G409" s="45" t="n"/>
      <c r="H409" s="45" t="n"/>
      <c r="I409" s="45" t="n"/>
      <c r="J409" s="45" t="n"/>
      <c r="K409" s="45" t="n"/>
      <c r="L409" s="45" t="n"/>
      <c r="N409" s="46" t="n"/>
      <c r="P409" s="47" t="n"/>
      <c r="Q409" s="47" t="n"/>
      <c r="R409" s="47" t="n"/>
      <c r="V409" s="45" t="n"/>
    </row>
    <row r="410" ht="14.25" customHeight="1" s="142">
      <c r="C410" s="45" t="n"/>
      <c r="D410" s="45" t="n"/>
      <c r="E410" s="45" t="n"/>
      <c r="F410" s="45" t="n"/>
      <c r="G410" s="45" t="n"/>
      <c r="H410" s="45" t="n"/>
      <c r="I410" s="45" t="n"/>
      <c r="J410" s="45" t="n"/>
      <c r="K410" s="45" t="n"/>
      <c r="L410" s="45" t="n"/>
      <c r="N410" s="46" t="n"/>
      <c r="P410" s="47" t="n"/>
      <c r="Q410" s="47" t="n"/>
      <c r="R410" s="47" t="n"/>
      <c r="V410" s="45" t="n"/>
    </row>
    <row r="411" ht="14.25" customHeight="1" s="142">
      <c r="C411" s="45" t="n"/>
      <c r="D411" s="45" t="n"/>
      <c r="E411" s="45" t="n"/>
      <c r="F411" s="45" t="n"/>
      <c r="G411" s="45" t="n"/>
      <c r="H411" s="45" t="n"/>
      <c r="I411" s="45" t="n"/>
      <c r="J411" s="45" t="n"/>
      <c r="K411" s="45" t="n"/>
      <c r="L411" s="45" t="n"/>
      <c r="N411" s="46" t="n"/>
      <c r="P411" s="47" t="n"/>
      <c r="Q411" s="47" t="n"/>
      <c r="R411" s="47" t="n"/>
      <c r="V411" s="45" t="n"/>
    </row>
    <row r="412" ht="14.25" customHeight="1" s="142">
      <c r="C412" s="45" t="n"/>
      <c r="D412" s="45" t="n"/>
      <c r="E412" s="45" t="n"/>
      <c r="F412" s="45" t="n"/>
      <c r="G412" s="45" t="n"/>
      <c r="H412" s="45" t="n"/>
      <c r="I412" s="45" t="n"/>
      <c r="J412" s="45" t="n"/>
      <c r="K412" s="45" t="n"/>
      <c r="L412" s="45" t="n"/>
      <c r="N412" s="46" t="n"/>
      <c r="P412" s="47" t="n"/>
      <c r="Q412" s="47" t="n"/>
      <c r="R412" s="47" t="n"/>
      <c r="V412" s="45" t="n"/>
    </row>
    <row r="413" ht="14.25" customHeight="1" s="142">
      <c r="C413" s="45" t="n"/>
      <c r="D413" s="45" t="n"/>
      <c r="E413" s="45" t="n"/>
      <c r="F413" s="45" t="n"/>
      <c r="G413" s="45" t="n"/>
      <c r="H413" s="45" t="n"/>
      <c r="I413" s="45" t="n"/>
      <c r="J413" s="45" t="n"/>
      <c r="K413" s="45" t="n"/>
      <c r="L413" s="45" t="n"/>
      <c r="N413" s="46" t="n"/>
      <c r="P413" s="47" t="n"/>
      <c r="Q413" s="47" t="n"/>
      <c r="R413" s="47" t="n"/>
      <c r="V413" s="45" t="n"/>
    </row>
    <row r="414" ht="14.25" customHeight="1" s="142">
      <c r="C414" s="45" t="n"/>
      <c r="D414" s="45" t="n"/>
      <c r="E414" s="45" t="n"/>
      <c r="F414" s="45" t="n"/>
      <c r="G414" s="45" t="n"/>
      <c r="H414" s="45" t="n"/>
      <c r="I414" s="45" t="n"/>
      <c r="J414" s="45" t="n"/>
      <c r="K414" s="45" t="n"/>
      <c r="L414" s="45" t="n"/>
      <c r="N414" s="46" t="n"/>
      <c r="P414" s="47" t="n"/>
      <c r="Q414" s="47" t="n"/>
      <c r="R414" s="47" t="n"/>
      <c r="V414" s="45" t="n"/>
    </row>
    <row r="415" ht="14.25" customHeight="1" s="142">
      <c r="C415" s="45" t="n"/>
      <c r="D415" s="45" t="n"/>
      <c r="E415" s="45" t="n"/>
      <c r="F415" s="45" t="n"/>
      <c r="G415" s="45" t="n"/>
      <c r="H415" s="45" t="n"/>
      <c r="I415" s="45" t="n"/>
      <c r="J415" s="45" t="n"/>
      <c r="K415" s="45" t="n"/>
      <c r="L415" s="45" t="n"/>
      <c r="N415" s="46" t="n"/>
      <c r="P415" s="47" t="n"/>
      <c r="Q415" s="47" t="n"/>
      <c r="R415" s="47" t="n"/>
      <c r="V415" s="45" t="n"/>
    </row>
    <row r="416" ht="14.25" customHeight="1" s="142">
      <c r="C416" s="45" t="n"/>
      <c r="D416" s="45" t="n"/>
      <c r="E416" s="45" t="n"/>
      <c r="F416" s="45" t="n"/>
      <c r="G416" s="45" t="n"/>
      <c r="H416" s="45" t="n"/>
      <c r="I416" s="45" t="n"/>
      <c r="J416" s="45" t="n"/>
      <c r="K416" s="45" t="n"/>
      <c r="L416" s="45" t="n"/>
      <c r="N416" s="46" t="n"/>
      <c r="P416" s="47" t="n"/>
      <c r="Q416" s="47" t="n"/>
      <c r="R416" s="47" t="n"/>
      <c r="V416" s="45" t="n"/>
    </row>
    <row r="417" ht="14.25" customHeight="1" s="142">
      <c r="C417" s="45" t="n"/>
      <c r="D417" s="45" t="n"/>
      <c r="E417" s="45" t="n"/>
      <c r="F417" s="45" t="n"/>
      <c r="G417" s="45" t="n"/>
      <c r="H417" s="45" t="n"/>
      <c r="I417" s="45" t="n"/>
      <c r="J417" s="45" t="n"/>
      <c r="K417" s="45" t="n"/>
      <c r="L417" s="45" t="n"/>
      <c r="N417" s="46" t="n"/>
      <c r="P417" s="47" t="n"/>
      <c r="Q417" s="47" t="n"/>
      <c r="R417" s="47" t="n"/>
      <c r="V417" s="45" t="n"/>
    </row>
    <row r="418" ht="14.25" customHeight="1" s="142">
      <c r="C418" s="45" t="n"/>
      <c r="D418" s="45" t="n"/>
      <c r="E418" s="45" t="n"/>
      <c r="F418" s="45" t="n"/>
      <c r="G418" s="45" t="n"/>
      <c r="H418" s="45" t="n"/>
      <c r="I418" s="45" t="n"/>
      <c r="J418" s="45" t="n"/>
      <c r="K418" s="45" t="n"/>
      <c r="L418" s="45" t="n"/>
      <c r="N418" s="46" t="n"/>
      <c r="P418" s="47" t="n"/>
      <c r="Q418" s="47" t="n"/>
      <c r="R418" s="47" t="n"/>
      <c r="V418" s="45" t="n"/>
    </row>
    <row r="419" ht="14.25" customHeight="1" s="142">
      <c r="C419" s="45" t="n"/>
      <c r="D419" s="45" t="n"/>
      <c r="E419" s="45" t="n"/>
      <c r="F419" s="45" t="n"/>
      <c r="G419" s="45" t="n"/>
      <c r="H419" s="45" t="n"/>
      <c r="I419" s="45" t="n"/>
      <c r="J419" s="45" t="n"/>
      <c r="K419" s="45" t="n"/>
      <c r="L419" s="45" t="n"/>
      <c r="N419" s="46" t="n"/>
      <c r="P419" s="47" t="n"/>
      <c r="Q419" s="47" t="n"/>
      <c r="R419" s="47" t="n"/>
      <c r="V419" s="45" t="n"/>
    </row>
    <row r="420" ht="14.25" customHeight="1" s="142">
      <c r="C420" s="45" t="n"/>
      <c r="D420" s="45" t="n"/>
      <c r="E420" s="45" t="n"/>
      <c r="F420" s="45" t="n"/>
      <c r="G420" s="45" t="n"/>
      <c r="H420" s="45" t="n"/>
      <c r="I420" s="45" t="n"/>
      <c r="J420" s="45" t="n"/>
      <c r="K420" s="45" t="n"/>
      <c r="L420" s="45" t="n"/>
      <c r="N420" s="46" t="n"/>
      <c r="P420" s="47" t="n"/>
      <c r="Q420" s="47" t="n"/>
      <c r="R420" s="47" t="n"/>
      <c r="V420" s="45" t="n"/>
    </row>
    <row r="421" ht="14.25" customHeight="1" s="142">
      <c r="C421" s="45" t="n"/>
      <c r="D421" s="45" t="n"/>
      <c r="E421" s="45" t="n"/>
      <c r="F421" s="45" t="n"/>
      <c r="G421" s="45" t="n"/>
      <c r="H421" s="45" t="n"/>
      <c r="I421" s="45" t="n"/>
      <c r="J421" s="45" t="n"/>
      <c r="K421" s="45" t="n"/>
      <c r="L421" s="45" t="n"/>
      <c r="N421" s="46" t="n"/>
      <c r="P421" s="47" t="n"/>
      <c r="Q421" s="47" t="n"/>
      <c r="R421" s="47" t="n"/>
      <c r="V421" s="45" t="n"/>
    </row>
    <row r="422" ht="14.25" customHeight="1" s="142">
      <c r="C422" s="45" t="n"/>
      <c r="D422" s="45" t="n"/>
      <c r="E422" s="45" t="n"/>
      <c r="F422" s="45" t="n"/>
      <c r="G422" s="45" t="n"/>
      <c r="H422" s="45" t="n"/>
      <c r="I422" s="45" t="n"/>
      <c r="J422" s="45" t="n"/>
      <c r="K422" s="45" t="n"/>
      <c r="L422" s="45" t="n"/>
      <c r="N422" s="46" t="n"/>
      <c r="P422" s="47" t="n"/>
      <c r="Q422" s="47" t="n"/>
      <c r="R422" s="47" t="n"/>
      <c r="V422" s="45" t="n"/>
    </row>
    <row r="423" ht="14.25" customHeight="1" s="142">
      <c r="C423" s="45" t="n"/>
      <c r="D423" s="45" t="n"/>
      <c r="E423" s="45" t="n"/>
      <c r="F423" s="45" t="n"/>
      <c r="G423" s="45" t="n"/>
      <c r="H423" s="45" t="n"/>
      <c r="I423" s="45" t="n"/>
      <c r="J423" s="45" t="n"/>
      <c r="K423" s="45" t="n"/>
      <c r="L423" s="45" t="n"/>
      <c r="N423" s="46" t="n"/>
      <c r="P423" s="47" t="n"/>
      <c r="Q423" s="47" t="n"/>
      <c r="R423" s="47" t="n"/>
      <c r="V423" s="45" t="n"/>
    </row>
    <row r="424" ht="14.25" customHeight="1" s="142">
      <c r="C424" s="45" t="n"/>
      <c r="D424" s="45" t="n"/>
      <c r="E424" s="45" t="n"/>
      <c r="F424" s="45" t="n"/>
      <c r="G424" s="45" t="n"/>
      <c r="H424" s="45" t="n"/>
      <c r="I424" s="45" t="n"/>
      <c r="J424" s="45" t="n"/>
      <c r="K424" s="45" t="n"/>
      <c r="L424" s="45" t="n"/>
      <c r="N424" s="46" t="n"/>
      <c r="P424" s="47" t="n"/>
      <c r="Q424" s="47" t="n"/>
      <c r="R424" s="47" t="n"/>
      <c r="V424" s="45" t="n"/>
    </row>
    <row r="425" ht="14.25" customHeight="1" s="142">
      <c r="C425" s="45" t="n"/>
      <c r="D425" s="45" t="n"/>
      <c r="E425" s="45" t="n"/>
      <c r="F425" s="45" t="n"/>
      <c r="G425" s="45" t="n"/>
      <c r="H425" s="45" t="n"/>
      <c r="I425" s="45" t="n"/>
      <c r="J425" s="45" t="n"/>
      <c r="K425" s="45" t="n"/>
      <c r="L425" s="45" t="n"/>
      <c r="N425" s="46" t="n"/>
      <c r="P425" s="47" t="n"/>
      <c r="Q425" s="47" t="n"/>
      <c r="R425" s="47" t="n"/>
      <c r="V425" s="45" t="n"/>
    </row>
    <row r="426" ht="14.25" customHeight="1" s="142">
      <c r="C426" s="45" t="n"/>
      <c r="D426" s="45" t="n"/>
      <c r="E426" s="45" t="n"/>
      <c r="F426" s="45" t="n"/>
      <c r="G426" s="45" t="n"/>
      <c r="H426" s="45" t="n"/>
      <c r="I426" s="45" t="n"/>
      <c r="J426" s="45" t="n"/>
      <c r="K426" s="45" t="n"/>
      <c r="L426" s="45" t="n"/>
      <c r="N426" s="46" t="n"/>
      <c r="P426" s="47" t="n"/>
      <c r="Q426" s="47" t="n"/>
      <c r="R426" s="47" t="n"/>
      <c r="V426" s="45" t="n"/>
    </row>
    <row r="427" ht="14.25" customHeight="1" s="142">
      <c r="C427" s="45" t="n"/>
      <c r="D427" s="45" t="n"/>
      <c r="E427" s="45" t="n"/>
      <c r="F427" s="45" t="n"/>
      <c r="G427" s="45" t="n"/>
      <c r="H427" s="45" t="n"/>
      <c r="I427" s="45" t="n"/>
      <c r="J427" s="45" t="n"/>
      <c r="K427" s="45" t="n"/>
      <c r="L427" s="45" t="n"/>
      <c r="N427" s="46" t="n"/>
      <c r="P427" s="47" t="n"/>
      <c r="Q427" s="47" t="n"/>
      <c r="R427" s="47" t="n"/>
      <c r="V427" s="45" t="n"/>
    </row>
    <row r="428" ht="14.25" customHeight="1" s="142">
      <c r="C428" s="45" t="n"/>
      <c r="D428" s="45" t="n"/>
      <c r="E428" s="45" t="n"/>
      <c r="F428" s="45" t="n"/>
      <c r="G428" s="45" t="n"/>
      <c r="H428" s="45" t="n"/>
      <c r="I428" s="45" t="n"/>
      <c r="J428" s="45" t="n"/>
      <c r="K428" s="45" t="n"/>
      <c r="L428" s="45" t="n"/>
      <c r="N428" s="46" t="n"/>
      <c r="P428" s="47" t="n"/>
      <c r="Q428" s="47" t="n"/>
      <c r="R428" s="47" t="n"/>
      <c r="V428" s="45" t="n"/>
    </row>
    <row r="429" ht="14.25" customHeight="1" s="142">
      <c r="C429" s="45" t="n"/>
      <c r="D429" s="45" t="n"/>
      <c r="E429" s="45" t="n"/>
      <c r="F429" s="45" t="n"/>
      <c r="G429" s="45" t="n"/>
      <c r="H429" s="45" t="n"/>
      <c r="I429" s="45" t="n"/>
      <c r="J429" s="45" t="n"/>
      <c r="K429" s="45" t="n"/>
      <c r="L429" s="45" t="n"/>
      <c r="N429" s="46" t="n"/>
      <c r="P429" s="47" t="n"/>
      <c r="Q429" s="47" t="n"/>
      <c r="R429" s="47" t="n"/>
      <c r="V429" s="45" t="n"/>
    </row>
    <row r="430" ht="14.25" customHeight="1" s="142">
      <c r="C430" s="45" t="n"/>
      <c r="D430" s="45" t="n"/>
      <c r="E430" s="45" t="n"/>
      <c r="F430" s="45" t="n"/>
      <c r="G430" s="45" t="n"/>
      <c r="H430" s="45" t="n"/>
      <c r="I430" s="45" t="n"/>
      <c r="J430" s="45" t="n"/>
      <c r="K430" s="45" t="n"/>
      <c r="L430" s="45" t="n"/>
      <c r="N430" s="46" t="n"/>
      <c r="P430" s="47" t="n"/>
      <c r="Q430" s="47" t="n"/>
      <c r="R430" s="47" t="n"/>
      <c r="V430" s="45" t="n"/>
    </row>
    <row r="431" ht="14.25" customHeight="1" s="142">
      <c r="C431" s="45" t="n"/>
      <c r="D431" s="45" t="n"/>
      <c r="E431" s="45" t="n"/>
      <c r="F431" s="45" t="n"/>
      <c r="G431" s="45" t="n"/>
      <c r="H431" s="45" t="n"/>
      <c r="I431" s="45" t="n"/>
      <c r="J431" s="45" t="n"/>
      <c r="K431" s="45" t="n"/>
      <c r="L431" s="45" t="n"/>
      <c r="N431" s="46" t="n"/>
      <c r="P431" s="47" t="n"/>
      <c r="Q431" s="47" t="n"/>
      <c r="R431" s="47" t="n"/>
      <c r="V431" s="45" t="n"/>
    </row>
    <row r="432" ht="14.25" customHeight="1" s="142">
      <c r="C432" s="45" t="n"/>
      <c r="D432" s="45" t="n"/>
      <c r="E432" s="45" t="n"/>
      <c r="F432" s="45" t="n"/>
      <c r="G432" s="45" t="n"/>
      <c r="H432" s="45" t="n"/>
      <c r="I432" s="45" t="n"/>
      <c r="J432" s="45" t="n"/>
      <c r="K432" s="45" t="n"/>
      <c r="L432" s="45" t="n"/>
      <c r="N432" s="46" t="n"/>
      <c r="P432" s="47" t="n"/>
      <c r="Q432" s="47" t="n"/>
      <c r="R432" s="47" t="n"/>
      <c r="V432" s="45" t="n"/>
    </row>
    <row r="433" ht="14.25" customHeight="1" s="142">
      <c r="C433" s="45" t="n"/>
      <c r="D433" s="45" t="n"/>
      <c r="E433" s="45" t="n"/>
      <c r="F433" s="45" t="n"/>
      <c r="G433" s="45" t="n"/>
      <c r="H433" s="45" t="n"/>
      <c r="I433" s="45" t="n"/>
      <c r="J433" s="45" t="n"/>
      <c r="K433" s="45" t="n"/>
      <c r="L433" s="45" t="n"/>
      <c r="N433" s="46" t="n"/>
      <c r="P433" s="47" t="n"/>
      <c r="Q433" s="47" t="n"/>
      <c r="R433" s="47" t="n"/>
      <c r="V433" s="45" t="n"/>
    </row>
    <row r="434" ht="14.25" customHeight="1" s="142">
      <c r="C434" s="45" t="n"/>
      <c r="D434" s="45" t="n"/>
      <c r="E434" s="45" t="n"/>
      <c r="F434" s="45" t="n"/>
      <c r="G434" s="45" t="n"/>
      <c r="H434" s="45" t="n"/>
      <c r="I434" s="45" t="n"/>
      <c r="J434" s="45" t="n"/>
      <c r="K434" s="45" t="n"/>
      <c r="L434" s="45" t="n"/>
      <c r="N434" s="46" t="n"/>
      <c r="P434" s="47" t="n"/>
      <c r="Q434" s="47" t="n"/>
      <c r="R434" s="47" t="n"/>
      <c r="V434" s="45" t="n"/>
    </row>
    <row r="435" ht="14.25" customHeight="1" s="142">
      <c r="C435" s="45" t="n"/>
      <c r="D435" s="45" t="n"/>
      <c r="E435" s="45" t="n"/>
      <c r="F435" s="45" t="n"/>
      <c r="G435" s="45" t="n"/>
      <c r="H435" s="45" t="n"/>
      <c r="I435" s="45" t="n"/>
      <c r="J435" s="45" t="n"/>
      <c r="K435" s="45" t="n"/>
      <c r="L435" s="45" t="n"/>
      <c r="N435" s="46" t="n"/>
      <c r="P435" s="47" t="n"/>
      <c r="Q435" s="47" t="n"/>
      <c r="R435" s="47" t="n"/>
      <c r="V435" s="45" t="n"/>
    </row>
    <row r="436" ht="14.25" customHeight="1" s="142">
      <c r="C436" s="45" t="n"/>
      <c r="D436" s="45" t="n"/>
      <c r="E436" s="45" t="n"/>
      <c r="F436" s="45" t="n"/>
      <c r="G436" s="45" t="n"/>
      <c r="H436" s="45" t="n"/>
      <c r="I436" s="45" t="n"/>
      <c r="J436" s="45" t="n"/>
      <c r="K436" s="45" t="n"/>
      <c r="L436" s="45" t="n"/>
      <c r="N436" s="46" t="n"/>
      <c r="P436" s="47" t="n"/>
      <c r="Q436" s="47" t="n"/>
      <c r="R436" s="47" t="n"/>
      <c r="V436" s="45" t="n"/>
    </row>
    <row r="437" ht="14.25" customHeight="1" s="142">
      <c r="C437" s="45" t="n"/>
      <c r="D437" s="45" t="n"/>
      <c r="E437" s="45" t="n"/>
      <c r="F437" s="45" t="n"/>
      <c r="G437" s="45" t="n"/>
      <c r="H437" s="45" t="n"/>
      <c r="I437" s="45" t="n"/>
      <c r="J437" s="45" t="n"/>
      <c r="K437" s="45" t="n"/>
      <c r="L437" s="45" t="n"/>
      <c r="N437" s="46" t="n"/>
      <c r="P437" s="47" t="n"/>
      <c r="Q437" s="47" t="n"/>
      <c r="R437" s="47" t="n"/>
      <c r="V437" s="45" t="n"/>
    </row>
    <row r="438" ht="14.25" customHeight="1" s="142">
      <c r="C438" s="45" t="n"/>
      <c r="D438" s="45" t="n"/>
      <c r="E438" s="45" t="n"/>
      <c r="F438" s="45" t="n"/>
      <c r="G438" s="45" t="n"/>
      <c r="H438" s="45" t="n"/>
      <c r="I438" s="45" t="n"/>
      <c r="J438" s="45" t="n"/>
      <c r="K438" s="45" t="n"/>
      <c r="L438" s="45" t="n"/>
      <c r="N438" s="46" t="n"/>
      <c r="P438" s="47" t="n"/>
      <c r="Q438" s="47" t="n"/>
      <c r="R438" s="47" t="n"/>
      <c r="V438" s="45" t="n"/>
    </row>
    <row r="439" ht="14.25" customHeight="1" s="142">
      <c r="C439" s="45" t="n"/>
      <c r="D439" s="45" t="n"/>
      <c r="E439" s="45" t="n"/>
      <c r="F439" s="45" t="n"/>
      <c r="G439" s="45" t="n"/>
      <c r="H439" s="45" t="n"/>
      <c r="I439" s="45" t="n"/>
      <c r="J439" s="45" t="n"/>
      <c r="K439" s="45" t="n"/>
      <c r="L439" s="45" t="n"/>
      <c r="N439" s="46" t="n"/>
      <c r="P439" s="47" t="n"/>
      <c r="Q439" s="47" t="n"/>
      <c r="R439" s="47" t="n"/>
      <c r="V439" s="45" t="n"/>
    </row>
    <row r="440" ht="14.25" customHeight="1" s="142">
      <c r="C440" s="45" t="n"/>
      <c r="D440" s="45" t="n"/>
      <c r="E440" s="45" t="n"/>
      <c r="F440" s="45" t="n"/>
      <c r="G440" s="45" t="n"/>
      <c r="H440" s="45" t="n"/>
      <c r="I440" s="45" t="n"/>
      <c r="J440" s="45" t="n"/>
      <c r="K440" s="45" t="n"/>
      <c r="L440" s="45" t="n"/>
      <c r="N440" s="46" t="n"/>
      <c r="P440" s="47" t="n"/>
      <c r="Q440" s="47" t="n"/>
      <c r="R440" s="47" t="n"/>
      <c r="V440" s="45" t="n"/>
    </row>
    <row r="441" ht="14.25" customHeight="1" s="142">
      <c r="C441" s="45" t="n"/>
      <c r="D441" s="45" t="n"/>
      <c r="E441" s="45" t="n"/>
      <c r="F441" s="45" t="n"/>
      <c r="G441" s="45" t="n"/>
      <c r="H441" s="45" t="n"/>
      <c r="I441" s="45" t="n"/>
      <c r="J441" s="45" t="n"/>
      <c r="K441" s="45" t="n"/>
      <c r="L441" s="45" t="n"/>
      <c r="N441" s="46" t="n"/>
      <c r="P441" s="47" t="n"/>
      <c r="Q441" s="47" t="n"/>
      <c r="R441" s="47" t="n"/>
      <c r="V441" s="45" t="n"/>
    </row>
    <row r="442" ht="14.25" customHeight="1" s="142">
      <c r="C442" s="45" t="n"/>
      <c r="D442" s="45" t="n"/>
      <c r="E442" s="45" t="n"/>
      <c r="F442" s="45" t="n"/>
      <c r="G442" s="45" t="n"/>
      <c r="H442" s="45" t="n"/>
      <c r="I442" s="45" t="n"/>
      <c r="J442" s="45" t="n"/>
      <c r="K442" s="45" t="n"/>
      <c r="L442" s="45" t="n"/>
      <c r="N442" s="46" t="n"/>
      <c r="P442" s="47" t="n"/>
      <c r="Q442" s="47" t="n"/>
      <c r="R442" s="47" t="n"/>
      <c r="V442" s="45" t="n"/>
    </row>
    <row r="443" ht="14.25" customHeight="1" s="142">
      <c r="C443" s="45" t="n"/>
      <c r="D443" s="45" t="n"/>
      <c r="E443" s="45" t="n"/>
      <c r="F443" s="45" t="n"/>
      <c r="G443" s="45" t="n"/>
      <c r="H443" s="45" t="n"/>
      <c r="I443" s="45" t="n"/>
      <c r="J443" s="45" t="n"/>
      <c r="K443" s="45" t="n"/>
      <c r="L443" s="45" t="n"/>
      <c r="N443" s="46" t="n"/>
      <c r="P443" s="47" t="n"/>
      <c r="Q443" s="47" t="n"/>
      <c r="R443" s="47" t="n"/>
      <c r="V443" s="45" t="n"/>
    </row>
    <row r="444" ht="14.25" customHeight="1" s="142">
      <c r="C444" s="45" t="n"/>
      <c r="D444" s="45" t="n"/>
      <c r="E444" s="45" t="n"/>
      <c r="F444" s="45" t="n"/>
      <c r="G444" s="45" t="n"/>
      <c r="H444" s="45" t="n"/>
      <c r="I444" s="45" t="n"/>
      <c r="J444" s="45" t="n"/>
      <c r="K444" s="45" t="n"/>
      <c r="L444" s="45" t="n"/>
      <c r="N444" s="46" t="n"/>
      <c r="P444" s="47" t="n"/>
      <c r="Q444" s="47" t="n"/>
      <c r="R444" s="47" t="n"/>
      <c r="V444" s="45" t="n"/>
    </row>
    <row r="445" ht="14.25" customHeight="1" s="142">
      <c r="C445" s="45" t="n"/>
      <c r="D445" s="45" t="n"/>
      <c r="E445" s="45" t="n"/>
      <c r="F445" s="45" t="n"/>
      <c r="G445" s="45" t="n"/>
      <c r="H445" s="45" t="n"/>
      <c r="I445" s="45" t="n"/>
      <c r="J445" s="45" t="n"/>
      <c r="K445" s="45" t="n"/>
      <c r="L445" s="45" t="n"/>
      <c r="N445" s="46" t="n"/>
      <c r="P445" s="47" t="n"/>
      <c r="Q445" s="47" t="n"/>
      <c r="R445" s="47" t="n"/>
      <c r="V445" s="45" t="n"/>
    </row>
    <row r="446" ht="14.25" customHeight="1" s="142">
      <c r="C446" s="45" t="n"/>
      <c r="D446" s="45" t="n"/>
      <c r="E446" s="45" t="n"/>
      <c r="F446" s="45" t="n"/>
      <c r="G446" s="45" t="n"/>
      <c r="H446" s="45" t="n"/>
      <c r="I446" s="45" t="n"/>
      <c r="J446" s="45" t="n"/>
      <c r="K446" s="45" t="n"/>
      <c r="L446" s="45" t="n"/>
      <c r="N446" s="46" t="n"/>
      <c r="P446" s="47" t="n"/>
      <c r="Q446" s="47" t="n"/>
      <c r="R446" s="47" t="n"/>
      <c r="V446" s="45" t="n"/>
    </row>
    <row r="447" ht="14.25" customHeight="1" s="142">
      <c r="C447" s="45" t="n"/>
      <c r="D447" s="45" t="n"/>
      <c r="E447" s="45" t="n"/>
      <c r="F447" s="45" t="n"/>
      <c r="G447" s="45" t="n"/>
      <c r="H447" s="45" t="n"/>
      <c r="I447" s="45" t="n"/>
      <c r="J447" s="45" t="n"/>
      <c r="K447" s="45" t="n"/>
      <c r="L447" s="45" t="n"/>
      <c r="N447" s="46" t="n"/>
      <c r="P447" s="47" t="n"/>
      <c r="Q447" s="47" t="n"/>
      <c r="R447" s="47" t="n"/>
      <c r="V447" s="45" t="n"/>
    </row>
    <row r="448" ht="14.25" customHeight="1" s="142">
      <c r="C448" s="45" t="n"/>
      <c r="D448" s="45" t="n"/>
      <c r="E448" s="45" t="n"/>
      <c r="F448" s="45" t="n"/>
      <c r="G448" s="45" t="n"/>
      <c r="H448" s="45" t="n"/>
      <c r="I448" s="45" t="n"/>
      <c r="J448" s="45" t="n"/>
      <c r="K448" s="45" t="n"/>
      <c r="L448" s="45" t="n"/>
      <c r="N448" s="46" t="n"/>
      <c r="P448" s="47" t="n"/>
      <c r="Q448" s="47" t="n"/>
      <c r="R448" s="47" t="n"/>
      <c r="V448" s="45" t="n"/>
    </row>
    <row r="449" ht="14.25" customHeight="1" s="142">
      <c r="C449" s="45" t="n"/>
      <c r="D449" s="45" t="n"/>
      <c r="E449" s="45" t="n"/>
      <c r="F449" s="45" t="n"/>
      <c r="G449" s="45" t="n"/>
      <c r="H449" s="45" t="n"/>
      <c r="I449" s="45" t="n"/>
      <c r="J449" s="45" t="n"/>
      <c r="K449" s="45" t="n"/>
      <c r="L449" s="45" t="n"/>
      <c r="N449" s="46" t="n"/>
      <c r="P449" s="47" t="n"/>
      <c r="Q449" s="47" t="n"/>
      <c r="R449" s="47" t="n"/>
      <c r="V449" s="45" t="n"/>
    </row>
    <row r="450" ht="14.25" customHeight="1" s="142">
      <c r="C450" s="45" t="n"/>
      <c r="D450" s="45" t="n"/>
      <c r="E450" s="45" t="n"/>
      <c r="F450" s="45" t="n"/>
      <c r="G450" s="45" t="n"/>
      <c r="H450" s="45" t="n"/>
      <c r="I450" s="45" t="n"/>
      <c r="J450" s="45" t="n"/>
      <c r="K450" s="45" t="n"/>
      <c r="L450" s="45" t="n"/>
      <c r="N450" s="46" t="n"/>
      <c r="P450" s="47" t="n"/>
      <c r="Q450" s="47" t="n"/>
      <c r="R450" s="47" t="n"/>
      <c r="V450" s="45" t="n"/>
    </row>
    <row r="451" ht="14.25" customHeight="1" s="142">
      <c r="C451" s="45" t="n"/>
      <c r="D451" s="45" t="n"/>
      <c r="E451" s="45" t="n"/>
      <c r="F451" s="45" t="n"/>
      <c r="G451" s="45" t="n"/>
      <c r="H451" s="45" t="n"/>
      <c r="I451" s="45" t="n"/>
      <c r="J451" s="45" t="n"/>
      <c r="K451" s="45" t="n"/>
      <c r="L451" s="45" t="n"/>
      <c r="N451" s="46" t="n"/>
      <c r="P451" s="47" t="n"/>
      <c r="Q451" s="47" t="n"/>
      <c r="R451" s="47" t="n"/>
      <c r="V451" s="45" t="n"/>
    </row>
    <row r="452" ht="14.25" customHeight="1" s="142">
      <c r="C452" s="45" t="n"/>
      <c r="D452" s="45" t="n"/>
      <c r="E452" s="45" t="n"/>
      <c r="F452" s="45" t="n"/>
      <c r="G452" s="45" t="n"/>
      <c r="H452" s="45" t="n"/>
      <c r="I452" s="45" t="n"/>
      <c r="J452" s="45" t="n"/>
      <c r="K452" s="45" t="n"/>
      <c r="L452" s="45" t="n"/>
      <c r="N452" s="46" t="n"/>
      <c r="P452" s="47" t="n"/>
      <c r="Q452" s="47" t="n"/>
      <c r="R452" s="47" t="n"/>
      <c r="V452" s="45" t="n"/>
    </row>
    <row r="453" ht="14.25" customHeight="1" s="142">
      <c r="C453" s="45" t="n"/>
      <c r="D453" s="45" t="n"/>
      <c r="E453" s="45" t="n"/>
      <c r="F453" s="45" t="n"/>
      <c r="G453" s="45" t="n"/>
      <c r="H453" s="45" t="n"/>
      <c r="I453" s="45" t="n"/>
      <c r="J453" s="45" t="n"/>
      <c r="K453" s="45" t="n"/>
      <c r="L453" s="45" t="n"/>
      <c r="N453" s="46" t="n"/>
      <c r="P453" s="47" t="n"/>
      <c r="Q453" s="47" t="n"/>
      <c r="R453" s="47" t="n"/>
      <c r="V453" s="45" t="n"/>
    </row>
    <row r="454" ht="14.25" customHeight="1" s="142">
      <c r="C454" s="45" t="n"/>
      <c r="D454" s="45" t="n"/>
      <c r="E454" s="45" t="n"/>
      <c r="F454" s="45" t="n"/>
      <c r="G454" s="45" t="n"/>
      <c r="H454" s="45" t="n"/>
      <c r="I454" s="45" t="n"/>
      <c r="J454" s="45" t="n"/>
      <c r="K454" s="45" t="n"/>
      <c r="L454" s="45" t="n"/>
      <c r="N454" s="46" t="n"/>
      <c r="P454" s="47" t="n"/>
      <c r="Q454" s="47" t="n"/>
      <c r="R454" s="47" t="n"/>
      <c r="V454" s="45" t="n"/>
    </row>
    <row r="455" ht="14.25" customHeight="1" s="142">
      <c r="C455" s="45" t="n"/>
      <c r="D455" s="45" t="n"/>
      <c r="E455" s="45" t="n"/>
      <c r="F455" s="45" t="n"/>
      <c r="G455" s="45" t="n"/>
      <c r="H455" s="45" t="n"/>
      <c r="I455" s="45" t="n"/>
      <c r="J455" s="45" t="n"/>
      <c r="K455" s="45" t="n"/>
      <c r="L455" s="45" t="n"/>
      <c r="N455" s="46" t="n"/>
      <c r="P455" s="47" t="n"/>
      <c r="Q455" s="47" t="n"/>
      <c r="R455" s="47" t="n"/>
      <c r="V455" s="45" t="n"/>
    </row>
    <row r="456" ht="14.25" customHeight="1" s="142">
      <c r="C456" s="45" t="n"/>
      <c r="D456" s="45" t="n"/>
      <c r="E456" s="45" t="n"/>
      <c r="F456" s="45" t="n"/>
      <c r="G456" s="45" t="n"/>
      <c r="H456" s="45" t="n"/>
      <c r="I456" s="45" t="n"/>
      <c r="J456" s="45" t="n"/>
      <c r="K456" s="45" t="n"/>
      <c r="L456" s="45" t="n"/>
      <c r="N456" s="46" t="n"/>
      <c r="P456" s="47" t="n"/>
      <c r="Q456" s="47" t="n"/>
      <c r="R456" s="47" t="n"/>
      <c r="V456" s="45" t="n"/>
    </row>
    <row r="457" ht="14.25" customHeight="1" s="142">
      <c r="C457" s="45" t="n"/>
      <c r="D457" s="45" t="n"/>
      <c r="E457" s="45" t="n"/>
      <c r="F457" s="45" t="n"/>
      <c r="G457" s="45" t="n"/>
      <c r="H457" s="45" t="n"/>
      <c r="I457" s="45" t="n"/>
      <c r="J457" s="45" t="n"/>
      <c r="K457" s="45" t="n"/>
      <c r="L457" s="45" t="n"/>
      <c r="N457" s="46" t="n"/>
      <c r="P457" s="47" t="n"/>
      <c r="Q457" s="47" t="n"/>
      <c r="R457" s="47" t="n"/>
      <c r="V457" s="45" t="n"/>
    </row>
    <row r="458" ht="14.25" customHeight="1" s="142">
      <c r="C458" s="45" t="n"/>
      <c r="D458" s="45" t="n"/>
      <c r="E458" s="45" t="n"/>
      <c r="F458" s="45" t="n"/>
      <c r="G458" s="45" t="n"/>
      <c r="H458" s="45" t="n"/>
      <c r="I458" s="45" t="n"/>
      <c r="J458" s="45" t="n"/>
      <c r="K458" s="45" t="n"/>
      <c r="L458" s="45" t="n"/>
      <c r="N458" s="46" t="n"/>
      <c r="P458" s="47" t="n"/>
      <c r="Q458" s="47" t="n"/>
      <c r="R458" s="47" t="n"/>
      <c r="V458" s="45" t="n"/>
    </row>
    <row r="459" ht="14.25" customHeight="1" s="142">
      <c r="C459" s="45" t="n"/>
      <c r="D459" s="45" t="n"/>
      <c r="E459" s="45" t="n"/>
      <c r="F459" s="45" t="n"/>
      <c r="G459" s="45" t="n"/>
      <c r="H459" s="45" t="n"/>
      <c r="I459" s="45" t="n"/>
      <c r="J459" s="45" t="n"/>
      <c r="K459" s="45" t="n"/>
      <c r="L459" s="45" t="n"/>
      <c r="N459" s="46" t="n"/>
      <c r="P459" s="47" t="n"/>
      <c r="Q459" s="47" t="n"/>
      <c r="R459" s="47" t="n"/>
      <c r="V459" s="45" t="n"/>
    </row>
    <row r="460" ht="14.25" customHeight="1" s="142">
      <c r="C460" s="45" t="n"/>
      <c r="D460" s="45" t="n"/>
      <c r="E460" s="45" t="n"/>
      <c r="F460" s="45" t="n"/>
      <c r="G460" s="45" t="n"/>
      <c r="H460" s="45" t="n"/>
      <c r="I460" s="45" t="n"/>
      <c r="J460" s="45" t="n"/>
      <c r="K460" s="45" t="n"/>
      <c r="L460" s="45" t="n"/>
      <c r="N460" s="46" t="n"/>
      <c r="P460" s="47" t="n"/>
      <c r="Q460" s="47" t="n"/>
      <c r="R460" s="47" t="n"/>
      <c r="V460" s="45" t="n"/>
    </row>
    <row r="461" ht="14.25" customHeight="1" s="142">
      <c r="C461" s="45" t="n"/>
      <c r="D461" s="45" t="n"/>
      <c r="E461" s="45" t="n"/>
      <c r="F461" s="45" t="n"/>
      <c r="G461" s="45" t="n"/>
      <c r="H461" s="45" t="n"/>
      <c r="I461" s="45" t="n"/>
      <c r="J461" s="45" t="n"/>
      <c r="K461" s="45" t="n"/>
      <c r="L461" s="45" t="n"/>
      <c r="N461" s="46" t="n"/>
      <c r="P461" s="47" t="n"/>
      <c r="Q461" s="47" t="n"/>
      <c r="R461" s="47" t="n"/>
      <c r="V461" s="45" t="n"/>
    </row>
    <row r="462" ht="14.25" customHeight="1" s="142">
      <c r="C462" s="45" t="n"/>
      <c r="D462" s="45" t="n"/>
      <c r="E462" s="45" t="n"/>
      <c r="F462" s="45" t="n"/>
      <c r="G462" s="45" t="n"/>
      <c r="H462" s="45" t="n"/>
      <c r="I462" s="45" t="n"/>
      <c r="J462" s="45" t="n"/>
      <c r="K462" s="45" t="n"/>
      <c r="L462" s="45" t="n"/>
      <c r="N462" s="46" t="n"/>
      <c r="P462" s="47" t="n"/>
      <c r="Q462" s="47" t="n"/>
      <c r="R462" s="47" t="n"/>
      <c r="V462" s="45" t="n"/>
    </row>
    <row r="463" ht="14.25" customHeight="1" s="142">
      <c r="C463" s="45" t="n"/>
      <c r="D463" s="45" t="n"/>
      <c r="E463" s="45" t="n"/>
      <c r="F463" s="45" t="n"/>
      <c r="G463" s="45" t="n"/>
      <c r="H463" s="45" t="n"/>
      <c r="I463" s="45" t="n"/>
      <c r="J463" s="45" t="n"/>
      <c r="K463" s="45" t="n"/>
      <c r="L463" s="45" t="n"/>
      <c r="N463" s="46" t="n"/>
      <c r="P463" s="47" t="n"/>
      <c r="Q463" s="47" t="n"/>
      <c r="R463" s="47" t="n"/>
      <c r="V463" s="45" t="n"/>
    </row>
    <row r="464" ht="14.25" customHeight="1" s="142">
      <c r="C464" s="45" t="n"/>
      <c r="D464" s="45" t="n"/>
      <c r="E464" s="45" t="n"/>
      <c r="F464" s="45" t="n"/>
      <c r="G464" s="45" t="n"/>
      <c r="H464" s="45" t="n"/>
      <c r="I464" s="45" t="n"/>
      <c r="J464" s="45" t="n"/>
      <c r="K464" s="45" t="n"/>
      <c r="L464" s="45" t="n"/>
      <c r="N464" s="46" t="n"/>
      <c r="P464" s="47" t="n"/>
      <c r="Q464" s="47" t="n"/>
      <c r="R464" s="47" t="n"/>
      <c r="V464" s="45" t="n"/>
    </row>
    <row r="465" ht="14.25" customHeight="1" s="142">
      <c r="C465" s="45" t="n"/>
      <c r="D465" s="45" t="n"/>
      <c r="E465" s="45" t="n"/>
      <c r="F465" s="45" t="n"/>
      <c r="G465" s="45" t="n"/>
      <c r="H465" s="45" t="n"/>
      <c r="I465" s="45" t="n"/>
      <c r="J465" s="45" t="n"/>
      <c r="K465" s="45" t="n"/>
      <c r="L465" s="45" t="n"/>
      <c r="N465" s="46" t="n"/>
      <c r="P465" s="47" t="n"/>
      <c r="Q465" s="47" t="n"/>
      <c r="R465" s="47" t="n"/>
      <c r="V465" s="45" t="n"/>
    </row>
    <row r="466" ht="14.25" customHeight="1" s="142">
      <c r="C466" s="45" t="n"/>
      <c r="D466" s="45" t="n"/>
      <c r="E466" s="45" t="n"/>
      <c r="F466" s="45" t="n"/>
      <c r="G466" s="45" t="n"/>
      <c r="H466" s="45" t="n"/>
      <c r="I466" s="45" t="n"/>
      <c r="J466" s="45" t="n"/>
      <c r="K466" s="45" t="n"/>
      <c r="L466" s="45" t="n"/>
      <c r="N466" s="46" t="n"/>
      <c r="P466" s="47" t="n"/>
      <c r="Q466" s="47" t="n"/>
      <c r="R466" s="47" t="n"/>
      <c r="V466" s="45" t="n"/>
    </row>
    <row r="467" ht="14.25" customHeight="1" s="142">
      <c r="C467" s="45" t="n"/>
      <c r="D467" s="45" t="n"/>
      <c r="E467" s="45" t="n"/>
      <c r="F467" s="45" t="n"/>
      <c r="G467" s="45" t="n"/>
      <c r="H467" s="45" t="n"/>
      <c r="I467" s="45" t="n"/>
      <c r="J467" s="45" t="n"/>
      <c r="K467" s="45" t="n"/>
      <c r="L467" s="45" t="n"/>
      <c r="N467" s="46" t="n"/>
      <c r="P467" s="47" t="n"/>
      <c r="Q467" s="47" t="n"/>
      <c r="R467" s="47" t="n"/>
      <c r="V467" s="45" t="n"/>
    </row>
    <row r="468" ht="14.25" customHeight="1" s="142">
      <c r="C468" s="45" t="n"/>
      <c r="D468" s="45" t="n"/>
      <c r="E468" s="45" t="n"/>
      <c r="F468" s="45" t="n"/>
      <c r="G468" s="45" t="n"/>
      <c r="H468" s="45" t="n"/>
      <c r="I468" s="45" t="n"/>
      <c r="J468" s="45" t="n"/>
      <c r="K468" s="45" t="n"/>
      <c r="L468" s="45" t="n"/>
      <c r="N468" s="46" t="n"/>
      <c r="P468" s="47" t="n"/>
      <c r="Q468" s="47" t="n"/>
      <c r="R468" s="47" t="n"/>
      <c r="V468" s="45" t="n"/>
    </row>
    <row r="469" ht="14.25" customHeight="1" s="142">
      <c r="C469" s="45" t="n"/>
      <c r="D469" s="45" t="n"/>
      <c r="E469" s="45" t="n"/>
      <c r="F469" s="45" t="n"/>
      <c r="G469" s="45" t="n"/>
      <c r="H469" s="45" t="n"/>
      <c r="I469" s="45" t="n"/>
      <c r="J469" s="45" t="n"/>
      <c r="K469" s="45" t="n"/>
      <c r="L469" s="45" t="n"/>
      <c r="N469" s="46" t="n"/>
      <c r="P469" s="47" t="n"/>
      <c r="Q469" s="47" t="n"/>
      <c r="R469" s="47" t="n"/>
      <c r="V469" s="45" t="n"/>
    </row>
    <row r="470" ht="14.25" customHeight="1" s="142">
      <c r="C470" s="45" t="n"/>
      <c r="D470" s="45" t="n"/>
      <c r="E470" s="45" t="n"/>
      <c r="F470" s="45" t="n"/>
      <c r="G470" s="45" t="n"/>
      <c r="H470" s="45" t="n"/>
      <c r="I470" s="45" t="n"/>
      <c r="J470" s="45" t="n"/>
      <c r="K470" s="45" t="n"/>
      <c r="L470" s="45" t="n"/>
      <c r="N470" s="46" t="n"/>
      <c r="P470" s="47" t="n"/>
      <c r="Q470" s="47" t="n"/>
      <c r="R470" s="47" t="n"/>
      <c r="V470" s="45" t="n"/>
    </row>
    <row r="471" ht="14.25" customHeight="1" s="142">
      <c r="C471" s="45" t="n"/>
      <c r="D471" s="45" t="n"/>
      <c r="E471" s="45" t="n"/>
      <c r="F471" s="45" t="n"/>
      <c r="G471" s="45" t="n"/>
      <c r="H471" s="45" t="n"/>
      <c r="I471" s="45" t="n"/>
      <c r="J471" s="45" t="n"/>
      <c r="K471" s="45" t="n"/>
      <c r="L471" s="45" t="n"/>
      <c r="N471" s="46" t="n"/>
      <c r="P471" s="47" t="n"/>
      <c r="Q471" s="47" t="n"/>
      <c r="R471" s="47" t="n"/>
      <c r="V471" s="45" t="n"/>
    </row>
    <row r="472" ht="14.25" customHeight="1" s="142">
      <c r="C472" s="45" t="n"/>
      <c r="D472" s="45" t="n"/>
      <c r="E472" s="45" t="n"/>
      <c r="F472" s="45" t="n"/>
      <c r="G472" s="45" t="n"/>
      <c r="H472" s="45" t="n"/>
      <c r="I472" s="45" t="n"/>
      <c r="J472" s="45" t="n"/>
      <c r="K472" s="45" t="n"/>
      <c r="L472" s="45" t="n"/>
      <c r="N472" s="46" t="n"/>
      <c r="P472" s="47" t="n"/>
      <c r="Q472" s="47" t="n"/>
      <c r="R472" s="47" t="n"/>
      <c r="V472" s="45" t="n"/>
    </row>
    <row r="473" ht="14.25" customHeight="1" s="142">
      <c r="C473" s="45" t="n"/>
      <c r="D473" s="45" t="n"/>
      <c r="E473" s="45" t="n"/>
      <c r="F473" s="45" t="n"/>
      <c r="G473" s="45" t="n"/>
      <c r="H473" s="45" t="n"/>
      <c r="I473" s="45" t="n"/>
      <c r="J473" s="45" t="n"/>
      <c r="K473" s="45" t="n"/>
      <c r="L473" s="45" t="n"/>
      <c r="N473" s="46" t="n"/>
      <c r="P473" s="47" t="n"/>
      <c r="Q473" s="47" t="n"/>
      <c r="R473" s="47" t="n"/>
      <c r="V473" s="45" t="n"/>
    </row>
    <row r="474" ht="14.25" customHeight="1" s="142">
      <c r="C474" s="45" t="n"/>
      <c r="D474" s="45" t="n"/>
      <c r="E474" s="45" t="n"/>
      <c r="F474" s="45" t="n"/>
      <c r="G474" s="45" t="n"/>
      <c r="H474" s="45" t="n"/>
      <c r="I474" s="45" t="n"/>
      <c r="J474" s="45" t="n"/>
      <c r="K474" s="45" t="n"/>
      <c r="L474" s="45" t="n"/>
      <c r="N474" s="46" t="n"/>
      <c r="P474" s="47" t="n"/>
      <c r="Q474" s="47" t="n"/>
      <c r="R474" s="47" t="n"/>
      <c r="V474" s="45" t="n"/>
    </row>
    <row r="475" ht="14.25" customHeight="1" s="142">
      <c r="C475" s="45" t="n"/>
      <c r="D475" s="45" t="n"/>
      <c r="E475" s="45" t="n"/>
      <c r="F475" s="45" t="n"/>
      <c r="G475" s="45" t="n"/>
      <c r="H475" s="45" t="n"/>
      <c r="I475" s="45" t="n"/>
      <c r="J475" s="45" t="n"/>
      <c r="K475" s="45" t="n"/>
      <c r="L475" s="45" t="n"/>
      <c r="N475" s="46" t="n"/>
      <c r="P475" s="47" t="n"/>
      <c r="Q475" s="47" t="n"/>
      <c r="R475" s="47" t="n"/>
      <c r="V475" s="45" t="n"/>
    </row>
    <row r="476" ht="14.25" customHeight="1" s="142">
      <c r="C476" s="45" t="n"/>
      <c r="D476" s="45" t="n"/>
      <c r="E476" s="45" t="n"/>
      <c r="F476" s="45" t="n"/>
      <c r="G476" s="45" t="n"/>
      <c r="H476" s="45" t="n"/>
      <c r="I476" s="45" t="n"/>
      <c r="J476" s="45" t="n"/>
      <c r="K476" s="45" t="n"/>
      <c r="L476" s="45" t="n"/>
      <c r="N476" s="46" t="n"/>
      <c r="P476" s="47" t="n"/>
      <c r="Q476" s="47" t="n"/>
      <c r="R476" s="47" t="n"/>
      <c r="V476" s="45" t="n"/>
    </row>
    <row r="477" ht="14.25" customHeight="1" s="142">
      <c r="C477" s="45" t="n"/>
      <c r="D477" s="45" t="n"/>
      <c r="E477" s="45" t="n"/>
      <c r="F477" s="45" t="n"/>
      <c r="G477" s="45" t="n"/>
      <c r="H477" s="45" t="n"/>
      <c r="I477" s="45" t="n"/>
      <c r="J477" s="45" t="n"/>
      <c r="K477" s="45" t="n"/>
      <c r="L477" s="45" t="n"/>
      <c r="N477" s="46" t="n"/>
      <c r="P477" s="47" t="n"/>
      <c r="Q477" s="47" t="n"/>
      <c r="R477" s="47" t="n"/>
      <c r="V477" s="45" t="n"/>
    </row>
    <row r="478" ht="14.25" customHeight="1" s="142">
      <c r="C478" s="45" t="n"/>
      <c r="D478" s="45" t="n"/>
      <c r="E478" s="45" t="n"/>
      <c r="F478" s="45" t="n"/>
      <c r="G478" s="45" t="n"/>
      <c r="H478" s="45" t="n"/>
      <c r="I478" s="45" t="n"/>
      <c r="J478" s="45" t="n"/>
      <c r="K478" s="45" t="n"/>
      <c r="L478" s="45" t="n"/>
      <c r="N478" s="46" t="n"/>
      <c r="P478" s="47" t="n"/>
      <c r="Q478" s="47" t="n"/>
      <c r="R478" s="47" t="n"/>
      <c r="V478" s="45" t="n"/>
    </row>
    <row r="479" ht="14.25" customHeight="1" s="142">
      <c r="C479" s="45" t="n"/>
      <c r="D479" s="45" t="n"/>
      <c r="E479" s="45" t="n"/>
      <c r="F479" s="45" t="n"/>
      <c r="G479" s="45" t="n"/>
      <c r="H479" s="45" t="n"/>
      <c r="I479" s="45" t="n"/>
      <c r="J479" s="45" t="n"/>
      <c r="K479" s="45" t="n"/>
      <c r="L479" s="45" t="n"/>
      <c r="N479" s="46" t="n"/>
      <c r="P479" s="47" t="n"/>
      <c r="Q479" s="47" t="n"/>
      <c r="R479" s="47" t="n"/>
      <c r="V479" s="45" t="n"/>
    </row>
    <row r="480" ht="14.25" customHeight="1" s="142">
      <c r="C480" s="45" t="n"/>
      <c r="D480" s="45" t="n"/>
      <c r="E480" s="45" t="n"/>
      <c r="F480" s="45" t="n"/>
      <c r="G480" s="45" t="n"/>
      <c r="H480" s="45" t="n"/>
      <c r="I480" s="45" t="n"/>
      <c r="J480" s="45" t="n"/>
      <c r="K480" s="45" t="n"/>
      <c r="L480" s="45" t="n"/>
      <c r="N480" s="46" t="n"/>
      <c r="P480" s="47" t="n"/>
      <c r="Q480" s="47" t="n"/>
      <c r="R480" s="47" t="n"/>
      <c r="V480" s="45" t="n"/>
    </row>
    <row r="481" ht="14.25" customHeight="1" s="142">
      <c r="C481" s="45" t="n"/>
      <c r="D481" s="45" t="n"/>
      <c r="E481" s="45" t="n"/>
      <c r="F481" s="45" t="n"/>
      <c r="G481" s="45" t="n"/>
      <c r="H481" s="45" t="n"/>
      <c r="I481" s="45" t="n"/>
      <c r="J481" s="45" t="n"/>
      <c r="K481" s="45" t="n"/>
      <c r="L481" s="45" t="n"/>
      <c r="N481" s="46" t="n"/>
      <c r="P481" s="47" t="n"/>
      <c r="Q481" s="47" t="n"/>
      <c r="R481" s="47" t="n"/>
      <c r="V481" s="45" t="n"/>
    </row>
    <row r="482" ht="14.25" customHeight="1" s="142">
      <c r="C482" s="45" t="n"/>
      <c r="D482" s="45" t="n"/>
      <c r="E482" s="45" t="n"/>
      <c r="F482" s="45" t="n"/>
      <c r="G482" s="45" t="n"/>
      <c r="H482" s="45" t="n"/>
      <c r="I482" s="45" t="n"/>
      <c r="J482" s="45" t="n"/>
      <c r="K482" s="45" t="n"/>
      <c r="L482" s="45" t="n"/>
      <c r="N482" s="46" t="n"/>
      <c r="P482" s="47" t="n"/>
      <c r="Q482" s="47" t="n"/>
      <c r="R482" s="47" t="n"/>
      <c r="V482" s="45" t="n"/>
    </row>
    <row r="483" ht="14.25" customHeight="1" s="142">
      <c r="C483" s="45" t="n"/>
      <c r="D483" s="45" t="n"/>
      <c r="E483" s="45" t="n"/>
      <c r="F483" s="45" t="n"/>
      <c r="G483" s="45" t="n"/>
      <c r="H483" s="45" t="n"/>
      <c r="I483" s="45" t="n"/>
      <c r="J483" s="45" t="n"/>
      <c r="K483" s="45" t="n"/>
      <c r="L483" s="45" t="n"/>
      <c r="N483" s="46" t="n"/>
      <c r="P483" s="47" t="n"/>
      <c r="Q483" s="47" t="n"/>
      <c r="R483" s="47" t="n"/>
      <c r="V483" s="45" t="n"/>
    </row>
    <row r="484" ht="14.25" customHeight="1" s="142">
      <c r="C484" s="45" t="n"/>
      <c r="D484" s="45" t="n"/>
      <c r="E484" s="45" t="n"/>
      <c r="F484" s="45" t="n"/>
      <c r="G484" s="45" t="n"/>
      <c r="H484" s="45" t="n"/>
      <c r="I484" s="45" t="n"/>
      <c r="J484" s="45" t="n"/>
      <c r="K484" s="45" t="n"/>
      <c r="L484" s="45" t="n"/>
      <c r="N484" s="46" t="n"/>
      <c r="P484" s="47" t="n"/>
      <c r="Q484" s="47" t="n"/>
      <c r="R484" s="47" t="n"/>
      <c r="V484" s="45" t="n"/>
    </row>
    <row r="485" ht="14.25" customHeight="1" s="142">
      <c r="C485" s="45" t="n"/>
      <c r="D485" s="45" t="n"/>
      <c r="E485" s="45" t="n"/>
      <c r="F485" s="45" t="n"/>
      <c r="G485" s="45" t="n"/>
      <c r="H485" s="45" t="n"/>
      <c r="I485" s="45" t="n"/>
      <c r="J485" s="45" t="n"/>
      <c r="K485" s="45" t="n"/>
      <c r="L485" s="45" t="n"/>
      <c r="N485" s="46" t="n"/>
      <c r="P485" s="47" t="n"/>
      <c r="Q485" s="47" t="n"/>
      <c r="R485" s="47" t="n"/>
      <c r="V485" s="45" t="n"/>
    </row>
    <row r="486" ht="14.25" customHeight="1" s="142">
      <c r="C486" s="45" t="n"/>
      <c r="D486" s="45" t="n"/>
      <c r="E486" s="45" t="n"/>
      <c r="F486" s="45" t="n"/>
      <c r="G486" s="45" t="n"/>
      <c r="H486" s="45" t="n"/>
      <c r="I486" s="45" t="n"/>
      <c r="J486" s="45" t="n"/>
      <c r="K486" s="45" t="n"/>
      <c r="L486" s="45" t="n"/>
      <c r="N486" s="46" t="n"/>
      <c r="P486" s="47" t="n"/>
      <c r="Q486" s="47" t="n"/>
      <c r="R486" s="47" t="n"/>
      <c r="V486" s="45" t="n"/>
    </row>
    <row r="487" ht="14.25" customHeight="1" s="142">
      <c r="C487" s="45" t="n"/>
      <c r="D487" s="45" t="n"/>
      <c r="E487" s="45" t="n"/>
      <c r="F487" s="45" t="n"/>
      <c r="G487" s="45" t="n"/>
      <c r="H487" s="45" t="n"/>
      <c r="I487" s="45" t="n"/>
      <c r="J487" s="45" t="n"/>
      <c r="K487" s="45" t="n"/>
      <c r="L487" s="45" t="n"/>
      <c r="N487" s="46" t="n"/>
      <c r="P487" s="47" t="n"/>
      <c r="Q487" s="47" t="n"/>
      <c r="R487" s="47" t="n"/>
      <c r="V487" s="45" t="n"/>
    </row>
    <row r="488" ht="14.25" customHeight="1" s="142">
      <c r="C488" s="45" t="n"/>
      <c r="D488" s="45" t="n"/>
      <c r="E488" s="45" t="n"/>
      <c r="F488" s="45" t="n"/>
      <c r="G488" s="45" t="n"/>
      <c r="H488" s="45" t="n"/>
      <c r="I488" s="45" t="n"/>
      <c r="J488" s="45" t="n"/>
      <c r="K488" s="45" t="n"/>
      <c r="L488" s="45" t="n"/>
      <c r="N488" s="46" t="n"/>
      <c r="P488" s="47" t="n"/>
      <c r="Q488" s="47" t="n"/>
      <c r="R488" s="47" t="n"/>
      <c r="V488" s="45" t="n"/>
    </row>
    <row r="489" ht="14.25" customHeight="1" s="142">
      <c r="C489" s="45" t="n"/>
      <c r="D489" s="45" t="n"/>
      <c r="E489" s="45" t="n"/>
      <c r="F489" s="45" t="n"/>
      <c r="G489" s="45" t="n"/>
      <c r="H489" s="45" t="n"/>
      <c r="I489" s="45" t="n"/>
      <c r="J489" s="45" t="n"/>
      <c r="K489" s="45" t="n"/>
      <c r="L489" s="45" t="n"/>
      <c r="N489" s="46" t="n"/>
      <c r="P489" s="47" t="n"/>
      <c r="Q489" s="47" t="n"/>
      <c r="R489" s="47" t="n"/>
      <c r="V489" s="45" t="n"/>
    </row>
    <row r="490" ht="14.25" customHeight="1" s="142">
      <c r="C490" s="45" t="n"/>
      <c r="D490" s="45" t="n"/>
      <c r="E490" s="45" t="n"/>
      <c r="F490" s="45" t="n"/>
      <c r="G490" s="45" t="n"/>
      <c r="H490" s="45" t="n"/>
      <c r="I490" s="45" t="n"/>
      <c r="J490" s="45" t="n"/>
      <c r="K490" s="45" t="n"/>
      <c r="L490" s="45" t="n"/>
      <c r="N490" s="46" t="n"/>
      <c r="P490" s="47" t="n"/>
      <c r="Q490" s="47" t="n"/>
      <c r="R490" s="47" t="n"/>
      <c r="V490" s="45" t="n"/>
    </row>
    <row r="491" ht="14.25" customHeight="1" s="142">
      <c r="C491" s="45" t="n"/>
      <c r="D491" s="45" t="n"/>
      <c r="E491" s="45" t="n"/>
      <c r="F491" s="45" t="n"/>
      <c r="G491" s="45" t="n"/>
      <c r="H491" s="45" t="n"/>
      <c r="I491" s="45" t="n"/>
      <c r="J491" s="45" t="n"/>
      <c r="K491" s="45" t="n"/>
      <c r="L491" s="45" t="n"/>
      <c r="N491" s="46" t="n"/>
      <c r="P491" s="47" t="n"/>
      <c r="Q491" s="47" t="n"/>
      <c r="R491" s="47" t="n"/>
      <c r="V491" s="45" t="n"/>
    </row>
    <row r="492" ht="14.25" customHeight="1" s="142">
      <c r="C492" s="45" t="n"/>
      <c r="D492" s="45" t="n"/>
      <c r="E492" s="45" t="n"/>
      <c r="F492" s="45" t="n"/>
      <c r="G492" s="45" t="n"/>
      <c r="H492" s="45" t="n"/>
      <c r="I492" s="45" t="n"/>
      <c r="J492" s="45" t="n"/>
      <c r="K492" s="45" t="n"/>
      <c r="L492" s="45" t="n"/>
      <c r="N492" s="46" t="n"/>
      <c r="P492" s="47" t="n"/>
      <c r="Q492" s="47" t="n"/>
      <c r="R492" s="47" t="n"/>
      <c r="V492" s="45" t="n"/>
    </row>
    <row r="493" ht="14.25" customHeight="1" s="142">
      <c r="C493" s="45" t="n"/>
      <c r="D493" s="45" t="n"/>
      <c r="E493" s="45" t="n"/>
      <c r="F493" s="45" t="n"/>
      <c r="G493" s="45" t="n"/>
      <c r="H493" s="45" t="n"/>
      <c r="I493" s="45" t="n"/>
      <c r="J493" s="45" t="n"/>
      <c r="K493" s="45" t="n"/>
      <c r="L493" s="45" t="n"/>
      <c r="N493" s="46" t="n"/>
      <c r="P493" s="47" t="n"/>
      <c r="Q493" s="47" t="n"/>
      <c r="R493" s="47" t="n"/>
      <c r="V493" s="45" t="n"/>
    </row>
    <row r="494" ht="14.25" customHeight="1" s="142">
      <c r="C494" s="45" t="n"/>
      <c r="D494" s="45" t="n"/>
      <c r="E494" s="45" t="n"/>
      <c r="F494" s="45" t="n"/>
      <c r="G494" s="45" t="n"/>
      <c r="H494" s="45" t="n"/>
      <c r="I494" s="45" t="n"/>
      <c r="J494" s="45" t="n"/>
      <c r="K494" s="45" t="n"/>
      <c r="L494" s="45" t="n"/>
      <c r="N494" s="46" t="n"/>
      <c r="P494" s="47" t="n"/>
      <c r="Q494" s="47" t="n"/>
      <c r="R494" s="47" t="n"/>
      <c r="V494" s="45" t="n"/>
    </row>
    <row r="495" ht="14.25" customHeight="1" s="142">
      <c r="C495" s="45" t="n"/>
      <c r="D495" s="45" t="n"/>
      <c r="E495" s="45" t="n"/>
      <c r="F495" s="45" t="n"/>
      <c r="G495" s="45" t="n"/>
      <c r="H495" s="45" t="n"/>
      <c r="I495" s="45" t="n"/>
      <c r="J495" s="45" t="n"/>
      <c r="K495" s="45" t="n"/>
      <c r="L495" s="45" t="n"/>
      <c r="N495" s="46" t="n"/>
      <c r="P495" s="47" t="n"/>
      <c r="Q495" s="47" t="n"/>
      <c r="R495" s="47" t="n"/>
      <c r="V495" s="45" t="n"/>
    </row>
    <row r="496" ht="14.25" customHeight="1" s="142">
      <c r="C496" s="45" t="n"/>
      <c r="D496" s="45" t="n"/>
      <c r="E496" s="45" t="n"/>
      <c r="F496" s="45" t="n"/>
      <c r="G496" s="45" t="n"/>
      <c r="H496" s="45" t="n"/>
      <c r="I496" s="45" t="n"/>
      <c r="J496" s="45" t="n"/>
      <c r="K496" s="45" t="n"/>
      <c r="L496" s="45" t="n"/>
      <c r="N496" s="46" t="n"/>
      <c r="P496" s="47" t="n"/>
      <c r="Q496" s="47" t="n"/>
      <c r="R496" s="47" t="n"/>
      <c r="V496" s="45" t="n"/>
    </row>
    <row r="497" ht="14.25" customHeight="1" s="142">
      <c r="C497" s="45" t="n"/>
      <c r="D497" s="45" t="n"/>
      <c r="E497" s="45" t="n"/>
      <c r="F497" s="45" t="n"/>
      <c r="G497" s="45" t="n"/>
      <c r="H497" s="45" t="n"/>
      <c r="I497" s="45" t="n"/>
      <c r="J497" s="45" t="n"/>
      <c r="K497" s="45" t="n"/>
      <c r="L497" s="45" t="n"/>
      <c r="N497" s="46" t="n"/>
      <c r="P497" s="47" t="n"/>
      <c r="Q497" s="47" t="n"/>
      <c r="R497" s="47" t="n"/>
      <c r="V497" s="45" t="n"/>
    </row>
    <row r="498" ht="14.25" customHeight="1" s="142">
      <c r="C498" s="45" t="n"/>
      <c r="D498" s="45" t="n"/>
      <c r="E498" s="45" t="n"/>
      <c r="F498" s="45" t="n"/>
      <c r="G498" s="45" t="n"/>
      <c r="H498" s="45" t="n"/>
      <c r="I498" s="45" t="n"/>
      <c r="J498" s="45" t="n"/>
      <c r="K498" s="45" t="n"/>
      <c r="L498" s="45" t="n"/>
      <c r="N498" s="46" t="n"/>
      <c r="P498" s="47" t="n"/>
      <c r="Q498" s="47" t="n"/>
      <c r="R498" s="47" t="n"/>
      <c r="V498" s="45" t="n"/>
    </row>
    <row r="499" ht="14.25" customHeight="1" s="142">
      <c r="C499" s="45" t="n"/>
      <c r="D499" s="45" t="n"/>
      <c r="E499" s="45" t="n"/>
      <c r="F499" s="45" t="n"/>
      <c r="G499" s="45" t="n"/>
      <c r="H499" s="45" t="n"/>
      <c r="I499" s="45" t="n"/>
      <c r="J499" s="45" t="n"/>
      <c r="K499" s="45" t="n"/>
      <c r="L499" s="45" t="n"/>
      <c r="N499" s="46" t="n"/>
      <c r="P499" s="47" t="n"/>
      <c r="Q499" s="47" t="n"/>
      <c r="R499" s="47" t="n"/>
      <c r="V499" s="45" t="n"/>
    </row>
    <row r="500" ht="14.25" customHeight="1" s="142">
      <c r="C500" s="45" t="n"/>
      <c r="D500" s="45" t="n"/>
      <c r="E500" s="45" t="n"/>
      <c r="F500" s="45" t="n"/>
      <c r="G500" s="45" t="n"/>
      <c r="H500" s="45" t="n"/>
      <c r="I500" s="45" t="n"/>
      <c r="J500" s="45" t="n"/>
      <c r="K500" s="45" t="n"/>
      <c r="L500" s="45" t="n"/>
      <c r="N500" s="46" t="n"/>
      <c r="P500" s="47" t="n"/>
      <c r="Q500" s="47" t="n"/>
      <c r="R500" s="47" t="n"/>
      <c r="V500" s="45" t="n"/>
    </row>
    <row r="501" ht="14.25" customHeight="1" s="142">
      <c r="C501" s="45" t="n"/>
      <c r="D501" s="45" t="n"/>
      <c r="E501" s="45" t="n"/>
      <c r="F501" s="45" t="n"/>
      <c r="G501" s="45" t="n"/>
      <c r="H501" s="45" t="n"/>
      <c r="I501" s="45" t="n"/>
      <c r="J501" s="45" t="n"/>
      <c r="K501" s="45" t="n"/>
      <c r="L501" s="45" t="n"/>
      <c r="N501" s="46" t="n"/>
      <c r="P501" s="47" t="n"/>
      <c r="Q501" s="47" t="n"/>
      <c r="R501" s="47" t="n"/>
      <c r="V501" s="45" t="n"/>
    </row>
    <row r="502" ht="14.25" customHeight="1" s="142">
      <c r="C502" s="45" t="n"/>
      <c r="D502" s="45" t="n"/>
      <c r="E502" s="45" t="n"/>
      <c r="F502" s="45" t="n"/>
      <c r="G502" s="45" t="n"/>
      <c r="H502" s="45" t="n"/>
      <c r="I502" s="45" t="n"/>
      <c r="J502" s="45" t="n"/>
      <c r="K502" s="45" t="n"/>
      <c r="L502" s="45" t="n"/>
      <c r="N502" s="46" t="n"/>
      <c r="P502" s="47" t="n"/>
      <c r="Q502" s="47" t="n"/>
      <c r="R502" s="47" t="n"/>
      <c r="V502" s="45" t="n"/>
    </row>
    <row r="503" ht="14.25" customHeight="1" s="142">
      <c r="C503" s="45" t="n"/>
      <c r="D503" s="45" t="n"/>
      <c r="E503" s="45" t="n"/>
      <c r="F503" s="45" t="n"/>
      <c r="G503" s="45" t="n"/>
      <c r="H503" s="45" t="n"/>
      <c r="I503" s="45" t="n"/>
      <c r="J503" s="45" t="n"/>
      <c r="K503" s="45" t="n"/>
      <c r="L503" s="45" t="n"/>
      <c r="N503" s="46" t="n"/>
      <c r="P503" s="47" t="n"/>
      <c r="Q503" s="47" t="n"/>
      <c r="R503" s="47" t="n"/>
      <c r="V503" s="45" t="n"/>
    </row>
    <row r="504" ht="14.25" customHeight="1" s="142">
      <c r="C504" s="45" t="n"/>
      <c r="D504" s="45" t="n"/>
      <c r="E504" s="45" t="n"/>
      <c r="F504" s="45" t="n"/>
      <c r="G504" s="45" t="n"/>
      <c r="H504" s="45" t="n"/>
      <c r="I504" s="45" t="n"/>
      <c r="J504" s="45" t="n"/>
      <c r="K504" s="45" t="n"/>
      <c r="L504" s="45" t="n"/>
      <c r="N504" s="46" t="n"/>
      <c r="P504" s="47" t="n"/>
      <c r="Q504" s="47" t="n"/>
      <c r="R504" s="47" t="n"/>
      <c r="V504" s="45" t="n"/>
    </row>
    <row r="505" ht="14.25" customHeight="1" s="142">
      <c r="C505" s="45" t="n"/>
      <c r="D505" s="45" t="n"/>
      <c r="E505" s="45" t="n"/>
      <c r="F505" s="45" t="n"/>
      <c r="G505" s="45" t="n"/>
      <c r="H505" s="45" t="n"/>
      <c r="I505" s="45" t="n"/>
      <c r="J505" s="45" t="n"/>
      <c r="K505" s="45" t="n"/>
      <c r="L505" s="45" t="n"/>
      <c r="N505" s="46" t="n"/>
      <c r="P505" s="47" t="n"/>
      <c r="Q505" s="47" t="n"/>
      <c r="R505" s="47" t="n"/>
      <c r="V505" s="45" t="n"/>
    </row>
    <row r="506" ht="14.25" customHeight="1" s="142">
      <c r="C506" s="45" t="n"/>
      <c r="D506" s="45" t="n"/>
      <c r="E506" s="45" t="n"/>
      <c r="F506" s="45" t="n"/>
      <c r="G506" s="45" t="n"/>
      <c r="H506" s="45" t="n"/>
      <c r="I506" s="45" t="n"/>
      <c r="J506" s="45" t="n"/>
      <c r="K506" s="45" t="n"/>
      <c r="L506" s="45" t="n"/>
      <c r="N506" s="46" t="n"/>
      <c r="P506" s="47" t="n"/>
      <c r="Q506" s="47" t="n"/>
      <c r="R506" s="47" t="n"/>
      <c r="V506" s="45" t="n"/>
    </row>
    <row r="507" ht="14.25" customHeight="1" s="142">
      <c r="C507" s="45" t="n"/>
      <c r="D507" s="45" t="n"/>
      <c r="E507" s="45" t="n"/>
      <c r="F507" s="45" t="n"/>
      <c r="G507" s="45" t="n"/>
      <c r="H507" s="45" t="n"/>
      <c r="I507" s="45" t="n"/>
      <c r="J507" s="45" t="n"/>
      <c r="K507" s="45" t="n"/>
      <c r="L507" s="45" t="n"/>
      <c r="N507" s="46" t="n"/>
      <c r="P507" s="47" t="n"/>
      <c r="Q507" s="47" t="n"/>
      <c r="R507" s="47" t="n"/>
      <c r="V507" s="45" t="n"/>
    </row>
    <row r="508" ht="14.25" customHeight="1" s="142">
      <c r="C508" s="45" t="n"/>
      <c r="D508" s="45" t="n"/>
      <c r="E508" s="45" t="n"/>
      <c r="F508" s="45" t="n"/>
      <c r="G508" s="45" t="n"/>
      <c r="H508" s="45" t="n"/>
      <c r="I508" s="45" t="n"/>
      <c r="J508" s="45" t="n"/>
      <c r="K508" s="45" t="n"/>
      <c r="L508" s="45" t="n"/>
      <c r="N508" s="46" t="n"/>
      <c r="P508" s="47" t="n"/>
      <c r="Q508" s="47" t="n"/>
      <c r="R508" s="47" t="n"/>
      <c r="V508" s="45" t="n"/>
    </row>
    <row r="509" ht="14.25" customHeight="1" s="142">
      <c r="C509" s="45" t="n"/>
      <c r="D509" s="45" t="n"/>
      <c r="E509" s="45" t="n"/>
      <c r="F509" s="45" t="n"/>
      <c r="G509" s="45" t="n"/>
      <c r="H509" s="45" t="n"/>
      <c r="I509" s="45" t="n"/>
      <c r="J509" s="45" t="n"/>
      <c r="K509" s="45" t="n"/>
      <c r="L509" s="45" t="n"/>
      <c r="N509" s="46" t="n"/>
      <c r="P509" s="47" t="n"/>
      <c r="Q509" s="47" t="n"/>
      <c r="R509" s="47" t="n"/>
      <c r="V509" s="45" t="n"/>
    </row>
    <row r="510" ht="14.25" customHeight="1" s="142">
      <c r="C510" s="45" t="n"/>
      <c r="D510" s="45" t="n"/>
      <c r="E510" s="45" t="n"/>
      <c r="F510" s="45" t="n"/>
      <c r="G510" s="45" t="n"/>
      <c r="H510" s="45" t="n"/>
      <c r="I510" s="45" t="n"/>
      <c r="J510" s="45" t="n"/>
      <c r="K510" s="45" t="n"/>
      <c r="L510" s="45" t="n"/>
      <c r="N510" s="46" t="n"/>
      <c r="P510" s="47" t="n"/>
      <c r="Q510" s="47" t="n"/>
      <c r="R510" s="47" t="n"/>
      <c r="V510" s="45" t="n"/>
    </row>
    <row r="511" ht="14.25" customHeight="1" s="142">
      <c r="C511" s="45" t="n"/>
      <c r="D511" s="45" t="n"/>
      <c r="E511" s="45" t="n"/>
      <c r="F511" s="45" t="n"/>
      <c r="G511" s="45" t="n"/>
      <c r="H511" s="45" t="n"/>
      <c r="I511" s="45" t="n"/>
      <c r="J511" s="45" t="n"/>
      <c r="K511" s="45" t="n"/>
      <c r="L511" s="45" t="n"/>
      <c r="N511" s="46" t="n"/>
      <c r="P511" s="47" t="n"/>
      <c r="Q511" s="47" t="n"/>
      <c r="R511" s="47" t="n"/>
      <c r="V511" s="45" t="n"/>
    </row>
    <row r="512" ht="14.25" customHeight="1" s="142">
      <c r="C512" s="45" t="n"/>
      <c r="D512" s="45" t="n"/>
      <c r="E512" s="45" t="n"/>
      <c r="F512" s="45" t="n"/>
      <c r="G512" s="45" t="n"/>
      <c r="H512" s="45" t="n"/>
      <c r="I512" s="45" t="n"/>
      <c r="J512" s="45" t="n"/>
      <c r="K512" s="45" t="n"/>
      <c r="L512" s="45" t="n"/>
      <c r="N512" s="46" t="n"/>
      <c r="P512" s="47" t="n"/>
      <c r="Q512" s="47" t="n"/>
      <c r="R512" s="47" t="n"/>
      <c r="V512" s="45" t="n"/>
    </row>
    <row r="513" ht="14.25" customHeight="1" s="142">
      <c r="C513" s="45" t="n"/>
      <c r="D513" s="45" t="n"/>
      <c r="E513" s="45" t="n"/>
      <c r="F513" s="45" t="n"/>
      <c r="G513" s="45" t="n"/>
      <c r="H513" s="45" t="n"/>
      <c r="I513" s="45" t="n"/>
      <c r="J513" s="45" t="n"/>
      <c r="K513" s="45" t="n"/>
      <c r="L513" s="45" t="n"/>
      <c r="N513" s="46" t="n"/>
      <c r="P513" s="47" t="n"/>
      <c r="Q513" s="47" t="n"/>
      <c r="R513" s="47" t="n"/>
      <c r="V513" s="45" t="n"/>
    </row>
    <row r="514" ht="14.25" customHeight="1" s="142">
      <c r="C514" s="45" t="n"/>
      <c r="D514" s="45" t="n"/>
      <c r="E514" s="45" t="n"/>
      <c r="F514" s="45" t="n"/>
      <c r="G514" s="45" t="n"/>
      <c r="H514" s="45" t="n"/>
      <c r="I514" s="45" t="n"/>
      <c r="J514" s="45" t="n"/>
      <c r="K514" s="45" t="n"/>
      <c r="L514" s="45" t="n"/>
      <c r="N514" s="46" t="n"/>
      <c r="P514" s="47" t="n"/>
      <c r="Q514" s="47" t="n"/>
      <c r="R514" s="47" t="n"/>
      <c r="V514" s="45" t="n"/>
    </row>
    <row r="515" ht="14.25" customHeight="1" s="142">
      <c r="C515" s="45" t="n"/>
      <c r="D515" s="45" t="n"/>
      <c r="E515" s="45" t="n"/>
      <c r="F515" s="45" t="n"/>
      <c r="G515" s="45" t="n"/>
      <c r="H515" s="45" t="n"/>
      <c r="I515" s="45" t="n"/>
      <c r="J515" s="45" t="n"/>
      <c r="K515" s="45" t="n"/>
      <c r="L515" s="45" t="n"/>
      <c r="N515" s="46" t="n"/>
      <c r="P515" s="47" t="n"/>
      <c r="Q515" s="47" t="n"/>
      <c r="R515" s="47" t="n"/>
      <c r="V515" s="45" t="n"/>
    </row>
    <row r="516" ht="14.25" customHeight="1" s="142">
      <c r="C516" s="45" t="n"/>
      <c r="D516" s="45" t="n"/>
      <c r="E516" s="45" t="n"/>
      <c r="F516" s="45" t="n"/>
      <c r="G516" s="45" t="n"/>
      <c r="H516" s="45" t="n"/>
      <c r="I516" s="45" t="n"/>
      <c r="J516" s="45" t="n"/>
      <c r="K516" s="45" t="n"/>
      <c r="L516" s="45" t="n"/>
      <c r="N516" s="46" t="n"/>
      <c r="P516" s="47" t="n"/>
      <c r="Q516" s="47" t="n"/>
      <c r="R516" s="47" t="n"/>
      <c r="V516" s="45" t="n"/>
    </row>
    <row r="517" ht="14.25" customHeight="1" s="142">
      <c r="C517" s="45" t="n"/>
      <c r="D517" s="45" t="n"/>
      <c r="E517" s="45" t="n"/>
      <c r="F517" s="45" t="n"/>
      <c r="G517" s="45" t="n"/>
      <c r="H517" s="45" t="n"/>
      <c r="I517" s="45" t="n"/>
      <c r="J517" s="45" t="n"/>
      <c r="K517" s="45" t="n"/>
      <c r="L517" s="45" t="n"/>
      <c r="N517" s="46" t="n"/>
      <c r="P517" s="47" t="n"/>
      <c r="Q517" s="47" t="n"/>
      <c r="R517" s="47" t="n"/>
      <c r="V517" s="45" t="n"/>
    </row>
    <row r="518" ht="14.25" customHeight="1" s="142">
      <c r="C518" s="45" t="n"/>
      <c r="D518" s="45" t="n"/>
      <c r="E518" s="45" t="n"/>
      <c r="F518" s="45" t="n"/>
      <c r="G518" s="45" t="n"/>
      <c r="H518" s="45" t="n"/>
      <c r="I518" s="45" t="n"/>
      <c r="J518" s="45" t="n"/>
      <c r="K518" s="45" t="n"/>
      <c r="L518" s="45" t="n"/>
      <c r="N518" s="46" t="n"/>
      <c r="P518" s="47" t="n"/>
      <c r="Q518" s="47" t="n"/>
      <c r="R518" s="47" t="n"/>
      <c r="V518" s="45" t="n"/>
    </row>
    <row r="519" ht="14.25" customHeight="1" s="142">
      <c r="C519" s="45" t="n"/>
      <c r="D519" s="45" t="n"/>
      <c r="E519" s="45" t="n"/>
      <c r="F519" s="45" t="n"/>
      <c r="G519" s="45" t="n"/>
      <c r="H519" s="45" t="n"/>
      <c r="I519" s="45" t="n"/>
      <c r="J519" s="45" t="n"/>
      <c r="K519" s="45" t="n"/>
      <c r="L519" s="45" t="n"/>
      <c r="N519" s="46" t="n"/>
      <c r="P519" s="47" t="n"/>
      <c r="Q519" s="47" t="n"/>
      <c r="R519" s="47" t="n"/>
      <c r="V519" s="45" t="n"/>
    </row>
    <row r="520" ht="14.25" customHeight="1" s="142">
      <c r="C520" s="45" t="n"/>
      <c r="D520" s="45" t="n"/>
      <c r="E520" s="45" t="n"/>
      <c r="F520" s="45" t="n"/>
      <c r="G520" s="45" t="n"/>
      <c r="H520" s="45" t="n"/>
      <c r="I520" s="45" t="n"/>
      <c r="J520" s="45" t="n"/>
      <c r="K520" s="45" t="n"/>
      <c r="L520" s="45" t="n"/>
      <c r="N520" s="46" t="n"/>
      <c r="P520" s="47" t="n"/>
      <c r="Q520" s="47" t="n"/>
      <c r="R520" s="47" t="n"/>
      <c r="V520" s="45" t="n"/>
    </row>
    <row r="521" ht="14.25" customHeight="1" s="142">
      <c r="C521" s="45" t="n"/>
      <c r="D521" s="45" t="n"/>
      <c r="E521" s="45" t="n"/>
      <c r="F521" s="45" t="n"/>
      <c r="G521" s="45" t="n"/>
      <c r="H521" s="45" t="n"/>
      <c r="I521" s="45" t="n"/>
      <c r="J521" s="45" t="n"/>
      <c r="K521" s="45" t="n"/>
      <c r="L521" s="45" t="n"/>
      <c r="N521" s="46" t="n"/>
      <c r="P521" s="47" t="n"/>
      <c r="Q521" s="47" t="n"/>
      <c r="R521" s="47" t="n"/>
      <c r="V521" s="45" t="n"/>
    </row>
    <row r="522" ht="14.25" customHeight="1" s="142">
      <c r="C522" s="45" t="n"/>
      <c r="D522" s="45" t="n"/>
      <c r="E522" s="45" t="n"/>
      <c r="F522" s="45" t="n"/>
      <c r="G522" s="45" t="n"/>
      <c r="H522" s="45" t="n"/>
      <c r="I522" s="45" t="n"/>
      <c r="J522" s="45" t="n"/>
      <c r="K522" s="45" t="n"/>
      <c r="L522" s="45" t="n"/>
      <c r="N522" s="46" t="n"/>
      <c r="P522" s="47" t="n"/>
      <c r="Q522" s="47" t="n"/>
      <c r="R522" s="47" t="n"/>
      <c r="V522" s="45" t="n"/>
    </row>
    <row r="523" ht="14.25" customHeight="1" s="142">
      <c r="C523" s="45" t="n"/>
      <c r="D523" s="45" t="n"/>
      <c r="E523" s="45" t="n"/>
      <c r="F523" s="45" t="n"/>
      <c r="G523" s="45" t="n"/>
      <c r="H523" s="45" t="n"/>
      <c r="I523" s="45" t="n"/>
      <c r="J523" s="45" t="n"/>
      <c r="K523" s="45" t="n"/>
      <c r="L523" s="45" t="n"/>
      <c r="N523" s="46" t="n"/>
      <c r="P523" s="47" t="n"/>
      <c r="Q523" s="47" t="n"/>
      <c r="R523" s="47" t="n"/>
      <c r="V523" s="45" t="n"/>
    </row>
    <row r="524" ht="14.25" customHeight="1" s="142">
      <c r="C524" s="45" t="n"/>
      <c r="D524" s="45" t="n"/>
      <c r="E524" s="45" t="n"/>
      <c r="F524" s="45" t="n"/>
      <c r="G524" s="45" t="n"/>
      <c r="H524" s="45" t="n"/>
      <c r="I524" s="45" t="n"/>
      <c r="J524" s="45" t="n"/>
      <c r="K524" s="45" t="n"/>
      <c r="L524" s="45" t="n"/>
      <c r="N524" s="46" t="n"/>
      <c r="P524" s="47" t="n"/>
      <c r="Q524" s="47" t="n"/>
      <c r="R524" s="47" t="n"/>
      <c r="V524" s="45" t="n"/>
    </row>
    <row r="525" ht="14.25" customHeight="1" s="142">
      <c r="C525" s="45" t="n"/>
      <c r="D525" s="45" t="n"/>
      <c r="E525" s="45" t="n"/>
      <c r="F525" s="45" t="n"/>
      <c r="G525" s="45" t="n"/>
      <c r="H525" s="45" t="n"/>
      <c r="I525" s="45" t="n"/>
      <c r="J525" s="45" t="n"/>
      <c r="K525" s="45" t="n"/>
      <c r="L525" s="45" t="n"/>
      <c r="N525" s="46" t="n"/>
      <c r="P525" s="47" t="n"/>
      <c r="Q525" s="47" t="n"/>
      <c r="R525" s="47" t="n"/>
      <c r="V525" s="45" t="n"/>
    </row>
    <row r="526" ht="14.25" customHeight="1" s="142">
      <c r="C526" s="45" t="n"/>
      <c r="D526" s="45" t="n"/>
      <c r="E526" s="45" t="n"/>
      <c r="F526" s="45" t="n"/>
      <c r="G526" s="45" t="n"/>
      <c r="H526" s="45" t="n"/>
      <c r="I526" s="45" t="n"/>
      <c r="J526" s="45" t="n"/>
      <c r="K526" s="45" t="n"/>
      <c r="L526" s="45" t="n"/>
      <c r="N526" s="46" t="n"/>
      <c r="P526" s="47" t="n"/>
      <c r="Q526" s="47" t="n"/>
      <c r="R526" s="47" t="n"/>
      <c r="V526" s="45" t="n"/>
    </row>
    <row r="527" ht="14.25" customHeight="1" s="142">
      <c r="C527" s="45" t="n"/>
      <c r="D527" s="45" t="n"/>
      <c r="E527" s="45" t="n"/>
      <c r="F527" s="45" t="n"/>
      <c r="G527" s="45" t="n"/>
      <c r="H527" s="45" t="n"/>
      <c r="I527" s="45" t="n"/>
      <c r="J527" s="45" t="n"/>
      <c r="K527" s="45" t="n"/>
      <c r="L527" s="45" t="n"/>
      <c r="N527" s="46" t="n"/>
      <c r="P527" s="47" t="n"/>
      <c r="Q527" s="47" t="n"/>
      <c r="R527" s="47" t="n"/>
      <c r="V527" s="45" t="n"/>
    </row>
    <row r="528" ht="14.25" customHeight="1" s="142">
      <c r="C528" s="45" t="n"/>
      <c r="D528" s="45" t="n"/>
      <c r="E528" s="45" t="n"/>
      <c r="F528" s="45" t="n"/>
      <c r="G528" s="45" t="n"/>
      <c r="H528" s="45" t="n"/>
      <c r="I528" s="45" t="n"/>
      <c r="J528" s="45" t="n"/>
      <c r="K528" s="45" t="n"/>
      <c r="L528" s="45" t="n"/>
      <c r="N528" s="46" t="n"/>
      <c r="P528" s="47" t="n"/>
      <c r="Q528" s="47" t="n"/>
      <c r="R528" s="47" t="n"/>
      <c r="V528" s="45" t="n"/>
    </row>
    <row r="529" ht="14.25" customHeight="1" s="142">
      <c r="C529" s="45" t="n"/>
      <c r="D529" s="45" t="n"/>
      <c r="E529" s="45" t="n"/>
      <c r="F529" s="45" t="n"/>
      <c r="G529" s="45" t="n"/>
      <c r="H529" s="45" t="n"/>
      <c r="I529" s="45" t="n"/>
      <c r="J529" s="45" t="n"/>
      <c r="K529" s="45" t="n"/>
      <c r="L529" s="45" t="n"/>
      <c r="N529" s="46" t="n"/>
      <c r="P529" s="47" t="n"/>
      <c r="Q529" s="47" t="n"/>
      <c r="R529" s="47" t="n"/>
      <c r="V529" s="45" t="n"/>
    </row>
    <row r="530" ht="14.25" customHeight="1" s="142">
      <c r="C530" s="45" t="n"/>
      <c r="D530" s="45" t="n"/>
      <c r="E530" s="45" t="n"/>
      <c r="F530" s="45" t="n"/>
      <c r="G530" s="45" t="n"/>
      <c r="H530" s="45" t="n"/>
      <c r="I530" s="45" t="n"/>
      <c r="J530" s="45" t="n"/>
      <c r="K530" s="45" t="n"/>
      <c r="L530" s="45" t="n"/>
      <c r="N530" s="46" t="n"/>
      <c r="P530" s="47" t="n"/>
      <c r="Q530" s="47" t="n"/>
      <c r="R530" s="47" t="n"/>
      <c r="V530" s="45" t="n"/>
    </row>
    <row r="531" ht="14.25" customHeight="1" s="142">
      <c r="C531" s="45" t="n"/>
      <c r="D531" s="45" t="n"/>
      <c r="E531" s="45" t="n"/>
      <c r="F531" s="45" t="n"/>
      <c r="G531" s="45" t="n"/>
      <c r="H531" s="45" t="n"/>
      <c r="I531" s="45" t="n"/>
      <c r="J531" s="45" t="n"/>
      <c r="K531" s="45" t="n"/>
      <c r="L531" s="45" t="n"/>
      <c r="N531" s="46" t="n"/>
      <c r="P531" s="47" t="n"/>
      <c r="Q531" s="47" t="n"/>
      <c r="R531" s="47" t="n"/>
      <c r="V531" s="45" t="n"/>
    </row>
    <row r="532" ht="14.25" customHeight="1" s="142">
      <c r="C532" s="45" t="n"/>
      <c r="D532" s="45" t="n"/>
      <c r="E532" s="45" t="n"/>
      <c r="F532" s="45" t="n"/>
      <c r="G532" s="45" t="n"/>
      <c r="H532" s="45" t="n"/>
      <c r="I532" s="45" t="n"/>
      <c r="J532" s="45" t="n"/>
      <c r="K532" s="45" t="n"/>
      <c r="L532" s="45" t="n"/>
      <c r="N532" s="46" t="n"/>
      <c r="P532" s="47" t="n"/>
      <c r="Q532" s="47" t="n"/>
      <c r="R532" s="47" t="n"/>
      <c r="V532" s="45" t="n"/>
    </row>
    <row r="533" ht="14.25" customHeight="1" s="142">
      <c r="C533" s="45" t="n"/>
      <c r="D533" s="45" t="n"/>
      <c r="E533" s="45" t="n"/>
      <c r="F533" s="45" t="n"/>
      <c r="G533" s="45" t="n"/>
      <c r="H533" s="45" t="n"/>
      <c r="I533" s="45" t="n"/>
      <c r="J533" s="45" t="n"/>
      <c r="K533" s="45" t="n"/>
      <c r="L533" s="45" t="n"/>
      <c r="N533" s="46" t="n"/>
      <c r="P533" s="47" t="n"/>
      <c r="Q533" s="47" t="n"/>
      <c r="R533" s="47" t="n"/>
      <c r="V533" s="45" t="n"/>
    </row>
    <row r="534" ht="14.25" customHeight="1" s="142">
      <c r="C534" s="45" t="n"/>
      <c r="D534" s="45" t="n"/>
      <c r="E534" s="45" t="n"/>
      <c r="F534" s="45" t="n"/>
      <c r="G534" s="45" t="n"/>
      <c r="H534" s="45" t="n"/>
      <c r="I534" s="45" t="n"/>
      <c r="J534" s="45" t="n"/>
      <c r="K534" s="45" t="n"/>
      <c r="L534" s="45" t="n"/>
      <c r="N534" s="46" t="n"/>
      <c r="P534" s="47" t="n"/>
      <c r="Q534" s="47" t="n"/>
      <c r="R534" s="47" t="n"/>
      <c r="V534" s="45" t="n"/>
    </row>
    <row r="535" ht="14.25" customHeight="1" s="142">
      <c r="C535" s="45" t="n"/>
      <c r="D535" s="45" t="n"/>
      <c r="E535" s="45" t="n"/>
      <c r="F535" s="45" t="n"/>
      <c r="G535" s="45" t="n"/>
      <c r="H535" s="45" t="n"/>
      <c r="I535" s="45" t="n"/>
      <c r="J535" s="45" t="n"/>
      <c r="K535" s="45" t="n"/>
      <c r="L535" s="45" t="n"/>
      <c r="N535" s="46" t="n"/>
      <c r="P535" s="47" t="n"/>
      <c r="Q535" s="47" t="n"/>
      <c r="R535" s="47" t="n"/>
      <c r="V535" s="45" t="n"/>
    </row>
    <row r="536" ht="14.25" customHeight="1" s="142">
      <c r="C536" s="45" t="n"/>
      <c r="D536" s="45" t="n"/>
      <c r="E536" s="45" t="n"/>
      <c r="F536" s="45" t="n"/>
      <c r="G536" s="45" t="n"/>
      <c r="H536" s="45" t="n"/>
      <c r="I536" s="45" t="n"/>
      <c r="J536" s="45" t="n"/>
      <c r="K536" s="45" t="n"/>
      <c r="L536" s="45" t="n"/>
      <c r="N536" s="46" t="n"/>
      <c r="P536" s="47" t="n"/>
      <c r="Q536" s="47" t="n"/>
      <c r="R536" s="47" t="n"/>
      <c r="V536" s="45" t="n"/>
    </row>
    <row r="537" ht="14.25" customHeight="1" s="142">
      <c r="C537" s="45" t="n"/>
      <c r="D537" s="45" t="n"/>
      <c r="E537" s="45" t="n"/>
      <c r="F537" s="45" t="n"/>
      <c r="G537" s="45" t="n"/>
      <c r="H537" s="45" t="n"/>
      <c r="I537" s="45" t="n"/>
      <c r="J537" s="45" t="n"/>
      <c r="K537" s="45" t="n"/>
      <c r="L537" s="45" t="n"/>
      <c r="N537" s="46" t="n"/>
      <c r="P537" s="47" t="n"/>
      <c r="Q537" s="47" t="n"/>
      <c r="R537" s="47" t="n"/>
      <c r="V537" s="45" t="n"/>
    </row>
    <row r="538" ht="14.25" customHeight="1" s="142">
      <c r="C538" s="45" t="n"/>
      <c r="D538" s="45" t="n"/>
      <c r="E538" s="45" t="n"/>
      <c r="F538" s="45" t="n"/>
      <c r="G538" s="45" t="n"/>
      <c r="H538" s="45" t="n"/>
      <c r="I538" s="45" t="n"/>
      <c r="J538" s="45" t="n"/>
      <c r="K538" s="45" t="n"/>
      <c r="L538" s="45" t="n"/>
      <c r="N538" s="46" t="n"/>
      <c r="P538" s="47" t="n"/>
      <c r="Q538" s="47" t="n"/>
      <c r="R538" s="47" t="n"/>
      <c r="V538" s="45" t="n"/>
    </row>
    <row r="539" ht="14.25" customHeight="1" s="142">
      <c r="C539" s="45" t="n"/>
      <c r="D539" s="45" t="n"/>
      <c r="E539" s="45" t="n"/>
      <c r="F539" s="45" t="n"/>
      <c r="G539" s="45" t="n"/>
      <c r="H539" s="45" t="n"/>
      <c r="I539" s="45" t="n"/>
      <c r="J539" s="45" t="n"/>
      <c r="K539" s="45" t="n"/>
      <c r="L539" s="45" t="n"/>
      <c r="N539" s="46" t="n"/>
      <c r="P539" s="47" t="n"/>
      <c r="Q539" s="47" t="n"/>
      <c r="R539" s="47" t="n"/>
      <c r="V539" s="45" t="n"/>
    </row>
    <row r="540" ht="14.25" customHeight="1" s="142">
      <c r="C540" s="45" t="n"/>
      <c r="D540" s="45" t="n"/>
      <c r="E540" s="45" t="n"/>
      <c r="F540" s="45" t="n"/>
      <c r="G540" s="45" t="n"/>
      <c r="H540" s="45" t="n"/>
      <c r="I540" s="45" t="n"/>
      <c r="J540" s="45" t="n"/>
      <c r="K540" s="45" t="n"/>
      <c r="L540" s="45" t="n"/>
      <c r="N540" s="46" t="n"/>
      <c r="P540" s="47" t="n"/>
      <c r="Q540" s="47" t="n"/>
      <c r="R540" s="47" t="n"/>
      <c r="V540" s="45" t="n"/>
    </row>
    <row r="541" ht="14.25" customHeight="1" s="142">
      <c r="C541" s="45" t="n"/>
      <c r="D541" s="45" t="n"/>
      <c r="E541" s="45" t="n"/>
      <c r="F541" s="45" t="n"/>
      <c r="G541" s="45" t="n"/>
      <c r="H541" s="45" t="n"/>
      <c r="I541" s="45" t="n"/>
      <c r="J541" s="45" t="n"/>
      <c r="K541" s="45" t="n"/>
      <c r="L541" s="45" t="n"/>
      <c r="N541" s="46" t="n"/>
      <c r="P541" s="47" t="n"/>
      <c r="Q541" s="47" t="n"/>
      <c r="R541" s="47" t="n"/>
      <c r="V541" s="45" t="n"/>
    </row>
    <row r="542" ht="14.25" customHeight="1" s="142">
      <c r="C542" s="45" t="n"/>
      <c r="D542" s="45" t="n"/>
      <c r="E542" s="45" t="n"/>
      <c r="F542" s="45" t="n"/>
      <c r="G542" s="45" t="n"/>
      <c r="H542" s="45" t="n"/>
      <c r="I542" s="45" t="n"/>
      <c r="J542" s="45" t="n"/>
      <c r="K542" s="45" t="n"/>
      <c r="L542" s="45" t="n"/>
      <c r="N542" s="46" t="n"/>
      <c r="P542" s="47" t="n"/>
      <c r="Q542" s="47" t="n"/>
      <c r="R542" s="47" t="n"/>
      <c r="V542" s="45" t="n"/>
    </row>
    <row r="543" ht="14.25" customHeight="1" s="142">
      <c r="C543" s="45" t="n"/>
      <c r="D543" s="45" t="n"/>
      <c r="E543" s="45" t="n"/>
      <c r="F543" s="45" t="n"/>
      <c r="G543" s="45" t="n"/>
      <c r="H543" s="45" t="n"/>
      <c r="I543" s="45" t="n"/>
      <c r="J543" s="45" t="n"/>
      <c r="K543" s="45" t="n"/>
      <c r="L543" s="45" t="n"/>
      <c r="N543" s="46" t="n"/>
      <c r="P543" s="47" t="n"/>
      <c r="Q543" s="47" t="n"/>
      <c r="R543" s="47" t="n"/>
      <c r="V543" s="45" t="n"/>
    </row>
    <row r="544" ht="14.25" customHeight="1" s="142">
      <c r="C544" s="45" t="n"/>
      <c r="D544" s="45" t="n"/>
      <c r="E544" s="45" t="n"/>
      <c r="F544" s="45" t="n"/>
      <c r="G544" s="45" t="n"/>
      <c r="H544" s="45" t="n"/>
      <c r="I544" s="45" t="n"/>
      <c r="J544" s="45" t="n"/>
      <c r="K544" s="45" t="n"/>
      <c r="L544" s="45" t="n"/>
      <c r="N544" s="46" t="n"/>
      <c r="P544" s="47" t="n"/>
      <c r="Q544" s="47" t="n"/>
      <c r="R544" s="47" t="n"/>
      <c r="V544" s="45" t="n"/>
    </row>
    <row r="545" ht="14.25" customHeight="1" s="142">
      <c r="C545" s="45" t="n"/>
      <c r="D545" s="45" t="n"/>
      <c r="E545" s="45" t="n"/>
      <c r="F545" s="45" t="n"/>
      <c r="G545" s="45" t="n"/>
      <c r="H545" s="45" t="n"/>
      <c r="I545" s="45" t="n"/>
      <c r="J545" s="45" t="n"/>
      <c r="K545" s="45" t="n"/>
      <c r="L545" s="45" t="n"/>
      <c r="N545" s="46" t="n"/>
      <c r="P545" s="47" t="n"/>
      <c r="Q545" s="47" t="n"/>
      <c r="R545" s="47" t="n"/>
      <c r="V545" s="45" t="n"/>
    </row>
    <row r="546" ht="14.25" customHeight="1" s="142">
      <c r="C546" s="45" t="n"/>
      <c r="D546" s="45" t="n"/>
      <c r="E546" s="45" t="n"/>
      <c r="F546" s="45" t="n"/>
      <c r="G546" s="45" t="n"/>
      <c r="H546" s="45" t="n"/>
      <c r="I546" s="45" t="n"/>
      <c r="J546" s="45" t="n"/>
      <c r="K546" s="45" t="n"/>
      <c r="L546" s="45" t="n"/>
      <c r="N546" s="46" t="n"/>
      <c r="P546" s="47" t="n"/>
      <c r="Q546" s="47" t="n"/>
      <c r="R546" s="47" t="n"/>
      <c r="V546" s="45" t="n"/>
    </row>
    <row r="547" ht="14.25" customHeight="1" s="142">
      <c r="C547" s="45" t="n"/>
      <c r="D547" s="45" t="n"/>
      <c r="E547" s="45" t="n"/>
      <c r="F547" s="45" t="n"/>
      <c r="G547" s="45" t="n"/>
      <c r="H547" s="45" t="n"/>
      <c r="I547" s="45" t="n"/>
      <c r="J547" s="45" t="n"/>
      <c r="K547" s="45" t="n"/>
      <c r="L547" s="45" t="n"/>
      <c r="N547" s="46" t="n"/>
      <c r="P547" s="47" t="n"/>
      <c r="Q547" s="47" t="n"/>
      <c r="R547" s="47" t="n"/>
      <c r="V547" s="45" t="n"/>
    </row>
    <row r="548" ht="14.25" customHeight="1" s="142">
      <c r="C548" s="45" t="n"/>
      <c r="D548" s="45" t="n"/>
      <c r="E548" s="45" t="n"/>
      <c r="F548" s="45" t="n"/>
      <c r="G548" s="45" t="n"/>
      <c r="H548" s="45" t="n"/>
      <c r="I548" s="45" t="n"/>
      <c r="J548" s="45" t="n"/>
      <c r="K548" s="45" t="n"/>
      <c r="L548" s="45" t="n"/>
      <c r="N548" s="46" t="n"/>
      <c r="P548" s="47" t="n"/>
      <c r="Q548" s="47" t="n"/>
      <c r="R548" s="47" t="n"/>
      <c r="V548" s="45" t="n"/>
    </row>
    <row r="549" ht="14.25" customHeight="1" s="142">
      <c r="C549" s="45" t="n"/>
      <c r="D549" s="45" t="n"/>
      <c r="E549" s="45" t="n"/>
      <c r="F549" s="45" t="n"/>
      <c r="G549" s="45" t="n"/>
      <c r="H549" s="45" t="n"/>
      <c r="I549" s="45" t="n"/>
      <c r="J549" s="45" t="n"/>
      <c r="K549" s="45" t="n"/>
      <c r="L549" s="45" t="n"/>
      <c r="N549" s="46" t="n"/>
      <c r="P549" s="47" t="n"/>
      <c r="Q549" s="47" t="n"/>
      <c r="R549" s="47" t="n"/>
      <c r="V549" s="45" t="n"/>
    </row>
    <row r="550" ht="14.25" customHeight="1" s="142">
      <c r="C550" s="45" t="n"/>
      <c r="D550" s="45" t="n"/>
      <c r="E550" s="45" t="n"/>
      <c r="F550" s="45" t="n"/>
      <c r="G550" s="45" t="n"/>
      <c r="H550" s="45" t="n"/>
      <c r="I550" s="45" t="n"/>
      <c r="J550" s="45" t="n"/>
      <c r="K550" s="45" t="n"/>
      <c r="L550" s="45" t="n"/>
      <c r="N550" s="46" t="n"/>
      <c r="P550" s="47" t="n"/>
      <c r="Q550" s="47" t="n"/>
      <c r="R550" s="47" t="n"/>
      <c r="V550" s="45" t="n"/>
    </row>
    <row r="551" ht="14.25" customHeight="1" s="142">
      <c r="C551" s="45" t="n"/>
      <c r="D551" s="45" t="n"/>
      <c r="E551" s="45" t="n"/>
      <c r="F551" s="45" t="n"/>
      <c r="G551" s="45" t="n"/>
      <c r="H551" s="45" t="n"/>
      <c r="I551" s="45" t="n"/>
      <c r="J551" s="45" t="n"/>
      <c r="K551" s="45" t="n"/>
      <c r="L551" s="45" t="n"/>
      <c r="N551" s="46" t="n"/>
      <c r="P551" s="47" t="n"/>
      <c r="Q551" s="47" t="n"/>
      <c r="R551" s="47" t="n"/>
      <c r="V551" s="45" t="n"/>
    </row>
    <row r="552" ht="14.25" customHeight="1" s="142">
      <c r="C552" s="45" t="n"/>
      <c r="D552" s="45" t="n"/>
      <c r="E552" s="45" t="n"/>
      <c r="F552" s="45" t="n"/>
      <c r="G552" s="45" t="n"/>
      <c r="H552" s="45" t="n"/>
      <c r="I552" s="45" t="n"/>
      <c r="J552" s="45" t="n"/>
      <c r="K552" s="45" t="n"/>
      <c r="L552" s="45" t="n"/>
      <c r="N552" s="46" t="n"/>
      <c r="P552" s="47" t="n"/>
      <c r="Q552" s="47" t="n"/>
      <c r="R552" s="47" t="n"/>
      <c r="V552" s="45" t="n"/>
    </row>
    <row r="553" ht="14.25" customHeight="1" s="142">
      <c r="C553" s="45" t="n"/>
      <c r="D553" s="45" t="n"/>
      <c r="E553" s="45" t="n"/>
      <c r="F553" s="45" t="n"/>
      <c r="G553" s="45" t="n"/>
      <c r="H553" s="45" t="n"/>
      <c r="I553" s="45" t="n"/>
      <c r="J553" s="45" t="n"/>
      <c r="K553" s="45" t="n"/>
      <c r="L553" s="45" t="n"/>
      <c r="N553" s="46" t="n"/>
      <c r="P553" s="47" t="n"/>
      <c r="Q553" s="47" t="n"/>
      <c r="R553" s="47" t="n"/>
      <c r="V553" s="45" t="n"/>
    </row>
    <row r="554" ht="14.25" customHeight="1" s="142">
      <c r="C554" s="45" t="n"/>
      <c r="D554" s="45" t="n"/>
      <c r="E554" s="45" t="n"/>
      <c r="F554" s="45" t="n"/>
      <c r="G554" s="45" t="n"/>
      <c r="H554" s="45" t="n"/>
      <c r="I554" s="45" t="n"/>
      <c r="J554" s="45" t="n"/>
      <c r="K554" s="45" t="n"/>
      <c r="L554" s="45" t="n"/>
      <c r="N554" s="46" t="n"/>
      <c r="P554" s="47" t="n"/>
      <c r="Q554" s="47" t="n"/>
      <c r="R554" s="47" t="n"/>
      <c r="V554" s="45" t="n"/>
    </row>
    <row r="555" ht="14.25" customHeight="1" s="142">
      <c r="C555" s="45" t="n"/>
      <c r="D555" s="45" t="n"/>
      <c r="E555" s="45" t="n"/>
      <c r="F555" s="45" t="n"/>
      <c r="G555" s="45" t="n"/>
      <c r="H555" s="45" t="n"/>
      <c r="I555" s="45" t="n"/>
      <c r="J555" s="45" t="n"/>
      <c r="K555" s="45" t="n"/>
      <c r="L555" s="45" t="n"/>
      <c r="N555" s="46" t="n"/>
      <c r="P555" s="47" t="n"/>
      <c r="Q555" s="47" t="n"/>
      <c r="R555" s="47" t="n"/>
      <c r="V555" s="45" t="n"/>
    </row>
    <row r="556" ht="14.25" customHeight="1" s="142">
      <c r="C556" s="45" t="n"/>
      <c r="D556" s="45" t="n"/>
      <c r="E556" s="45" t="n"/>
      <c r="F556" s="45" t="n"/>
      <c r="G556" s="45" t="n"/>
      <c r="H556" s="45" t="n"/>
      <c r="I556" s="45" t="n"/>
      <c r="J556" s="45" t="n"/>
      <c r="K556" s="45" t="n"/>
      <c r="L556" s="45" t="n"/>
      <c r="N556" s="46" t="n"/>
      <c r="P556" s="47" t="n"/>
      <c r="Q556" s="47" t="n"/>
      <c r="R556" s="47" t="n"/>
      <c r="V556" s="45" t="n"/>
    </row>
    <row r="557" ht="14.25" customHeight="1" s="142">
      <c r="C557" s="45" t="n"/>
      <c r="D557" s="45" t="n"/>
      <c r="E557" s="45" t="n"/>
      <c r="F557" s="45" t="n"/>
      <c r="G557" s="45" t="n"/>
      <c r="H557" s="45" t="n"/>
      <c r="I557" s="45" t="n"/>
      <c r="J557" s="45" t="n"/>
      <c r="K557" s="45" t="n"/>
      <c r="L557" s="45" t="n"/>
      <c r="N557" s="46" t="n"/>
      <c r="P557" s="47" t="n"/>
      <c r="Q557" s="47" t="n"/>
      <c r="R557" s="47" t="n"/>
      <c r="V557" s="45" t="n"/>
    </row>
    <row r="558" ht="14.25" customHeight="1" s="142">
      <c r="C558" s="45" t="n"/>
      <c r="D558" s="45" t="n"/>
      <c r="E558" s="45" t="n"/>
      <c r="F558" s="45" t="n"/>
      <c r="G558" s="45" t="n"/>
      <c r="H558" s="45" t="n"/>
      <c r="I558" s="45" t="n"/>
      <c r="J558" s="45" t="n"/>
      <c r="K558" s="45" t="n"/>
      <c r="L558" s="45" t="n"/>
      <c r="N558" s="46" t="n"/>
      <c r="P558" s="47" t="n"/>
      <c r="Q558" s="47" t="n"/>
      <c r="R558" s="47" t="n"/>
      <c r="V558" s="45" t="n"/>
    </row>
    <row r="559" ht="14.25" customHeight="1" s="142">
      <c r="C559" s="45" t="n"/>
      <c r="D559" s="45" t="n"/>
      <c r="E559" s="45" t="n"/>
      <c r="F559" s="45" t="n"/>
      <c r="G559" s="45" t="n"/>
      <c r="H559" s="45" t="n"/>
      <c r="I559" s="45" t="n"/>
      <c r="J559" s="45" t="n"/>
      <c r="K559" s="45" t="n"/>
      <c r="L559" s="45" t="n"/>
      <c r="N559" s="46" t="n"/>
      <c r="P559" s="47" t="n"/>
      <c r="Q559" s="47" t="n"/>
      <c r="R559" s="47" t="n"/>
      <c r="V559" s="45" t="n"/>
    </row>
    <row r="560" ht="14.25" customHeight="1" s="142">
      <c r="C560" s="45" t="n"/>
      <c r="D560" s="45" t="n"/>
      <c r="E560" s="45" t="n"/>
      <c r="F560" s="45" t="n"/>
      <c r="G560" s="45" t="n"/>
      <c r="H560" s="45" t="n"/>
      <c r="I560" s="45" t="n"/>
      <c r="J560" s="45" t="n"/>
      <c r="K560" s="45" t="n"/>
      <c r="L560" s="45" t="n"/>
      <c r="N560" s="46" t="n"/>
      <c r="P560" s="47" t="n"/>
      <c r="Q560" s="47" t="n"/>
      <c r="R560" s="47" t="n"/>
      <c r="V560" s="45" t="n"/>
    </row>
    <row r="561" ht="14.25" customHeight="1" s="142">
      <c r="C561" s="45" t="n"/>
      <c r="D561" s="45" t="n"/>
      <c r="E561" s="45" t="n"/>
      <c r="F561" s="45" t="n"/>
      <c r="G561" s="45" t="n"/>
      <c r="H561" s="45" t="n"/>
      <c r="I561" s="45" t="n"/>
      <c r="J561" s="45" t="n"/>
      <c r="K561" s="45" t="n"/>
      <c r="L561" s="45" t="n"/>
      <c r="N561" s="46" t="n"/>
      <c r="P561" s="47" t="n"/>
      <c r="Q561" s="47" t="n"/>
      <c r="R561" s="47" t="n"/>
      <c r="V561" s="45" t="n"/>
    </row>
    <row r="562" ht="14.25" customHeight="1" s="142">
      <c r="C562" s="45" t="n"/>
      <c r="D562" s="45" t="n"/>
      <c r="E562" s="45" t="n"/>
      <c r="F562" s="45" t="n"/>
      <c r="G562" s="45" t="n"/>
      <c r="H562" s="45" t="n"/>
      <c r="I562" s="45" t="n"/>
      <c r="J562" s="45" t="n"/>
      <c r="K562" s="45" t="n"/>
      <c r="L562" s="45" t="n"/>
      <c r="N562" s="46" t="n"/>
      <c r="P562" s="47" t="n"/>
      <c r="Q562" s="47" t="n"/>
      <c r="R562" s="47" t="n"/>
      <c r="V562" s="45" t="n"/>
    </row>
    <row r="563" ht="14.25" customHeight="1" s="142">
      <c r="C563" s="45" t="n"/>
      <c r="D563" s="45" t="n"/>
      <c r="E563" s="45" t="n"/>
      <c r="F563" s="45" t="n"/>
      <c r="G563" s="45" t="n"/>
      <c r="H563" s="45" t="n"/>
      <c r="I563" s="45" t="n"/>
      <c r="J563" s="45" t="n"/>
      <c r="K563" s="45" t="n"/>
      <c r="L563" s="45" t="n"/>
      <c r="N563" s="46" t="n"/>
      <c r="P563" s="47" t="n"/>
      <c r="Q563" s="47" t="n"/>
      <c r="R563" s="47" t="n"/>
      <c r="V563" s="45" t="n"/>
    </row>
    <row r="564" ht="14.25" customHeight="1" s="142">
      <c r="C564" s="45" t="n"/>
      <c r="D564" s="45" t="n"/>
      <c r="E564" s="45" t="n"/>
      <c r="F564" s="45" t="n"/>
      <c r="G564" s="45" t="n"/>
      <c r="H564" s="45" t="n"/>
      <c r="I564" s="45" t="n"/>
      <c r="J564" s="45" t="n"/>
      <c r="K564" s="45" t="n"/>
      <c r="L564" s="45" t="n"/>
      <c r="N564" s="46" t="n"/>
      <c r="P564" s="47" t="n"/>
      <c r="Q564" s="47" t="n"/>
      <c r="R564" s="47" t="n"/>
      <c r="V564" s="45" t="n"/>
    </row>
    <row r="565" ht="14.25" customHeight="1" s="142">
      <c r="C565" s="45" t="n"/>
      <c r="D565" s="45" t="n"/>
      <c r="E565" s="45" t="n"/>
      <c r="F565" s="45" t="n"/>
      <c r="G565" s="45" t="n"/>
      <c r="H565" s="45" t="n"/>
      <c r="I565" s="45" t="n"/>
      <c r="J565" s="45" t="n"/>
      <c r="K565" s="45" t="n"/>
      <c r="L565" s="45" t="n"/>
      <c r="N565" s="46" t="n"/>
      <c r="P565" s="47" t="n"/>
      <c r="Q565" s="47" t="n"/>
      <c r="R565" s="47" t="n"/>
      <c r="V565" s="45" t="n"/>
    </row>
    <row r="566" ht="14.25" customHeight="1" s="142">
      <c r="C566" s="45" t="n"/>
      <c r="D566" s="45" t="n"/>
      <c r="E566" s="45" t="n"/>
      <c r="F566" s="45" t="n"/>
      <c r="G566" s="45" t="n"/>
      <c r="H566" s="45" t="n"/>
      <c r="I566" s="45" t="n"/>
      <c r="J566" s="45" t="n"/>
      <c r="K566" s="45" t="n"/>
      <c r="L566" s="45" t="n"/>
      <c r="N566" s="46" t="n"/>
      <c r="P566" s="47" t="n"/>
      <c r="Q566" s="47" t="n"/>
      <c r="R566" s="47" t="n"/>
      <c r="V566" s="45" t="n"/>
    </row>
    <row r="567" ht="14.25" customHeight="1" s="142">
      <c r="C567" s="45" t="n"/>
      <c r="D567" s="45" t="n"/>
      <c r="E567" s="45" t="n"/>
      <c r="F567" s="45" t="n"/>
      <c r="G567" s="45" t="n"/>
      <c r="H567" s="45" t="n"/>
      <c r="I567" s="45" t="n"/>
      <c r="J567" s="45" t="n"/>
      <c r="K567" s="45" t="n"/>
      <c r="L567" s="45" t="n"/>
      <c r="N567" s="46" t="n"/>
      <c r="P567" s="47" t="n"/>
      <c r="Q567" s="47" t="n"/>
      <c r="R567" s="47" t="n"/>
      <c r="V567" s="45" t="n"/>
    </row>
    <row r="568" ht="14.25" customHeight="1" s="142">
      <c r="C568" s="45" t="n"/>
      <c r="D568" s="45" t="n"/>
      <c r="E568" s="45" t="n"/>
      <c r="F568" s="45" t="n"/>
      <c r="G568" s="45" t="n"/>
      <c r="H568" s="45" t="n"/>
      <c r="I568" s="45" t="n"/>
      <c r="J568" s="45" t="n"/>
      <c r="K568" s="45" t="n"/>
      <c r="L568" s="45" t="n"/>
      <c r="N568" s="46" t="n"/>
      <c r="P568" s="47" t="n"/>
      <c r="Q568" s="47" t="n"/>
      <c r="R568" s="47" t="n"/>
      <c r="V568" s="45" t="n"/>
    </row>
    <row r="569" ht="14.25" customHeight="1" s="142">
      <c r="C569" s="45" t="n"/>
      <c r="D569" s="45" t="n"/>
      <c r="E569" s="45" t="n"/>
      <c r="F569" s="45" t="n"/>
      <c r="G569" s="45" t="n"/>
      <c r="H569" s="45" t="n"/>
      <c r="I569" s="45" t="n"/>
      <c r="J569" s="45" t="n"/>
      <c r="K569" s="45" t="n"/>
      <c r="L569" s="45" t="n"/>
      <c r="N569" s="46" t="n"/>
      <c r="P569" s="47" t="n"/>
      <c r="Q569" s="47" t="n"/>
      <c r="R569" s="47" t="n"/>
      <c r="V569" s="45" t="n"/>
    </row>
    <row r="570" ht="14.25" customHeight="1" s="142">
      <c r="C570" s="45" t="n"/>
      <c r="D570" s="45" t="n"/>
      <c r="E570" s="45" t="n"/>
      <c r="F570" s="45" t="n"/>
      <c r="G570" s="45" t="n"/>
      <c r="H570" s="45" t="n"/>
      <c r="I570" s="45" t="n"/>
      <c r="J570" s="45" t="n"/>
      <c r="K570" s="45" t="n"/>
      <c r="L570" s="45" t="n"/>
      <c r="N570" s="46" t="n"/>
      <c r="P570" s="47" t="n"/>
      <c r="Q570" s="47" t="n"/>
      <c r="R570" s="47" t="n"/>
      <c r="V570" s="45" t="n"/>
    </row>
    <row r="571" ht="14.25" customHeight="1" s="142">
      <c r="C571" s="45" t="n"/>
      <c r="D571" s="45" t="n"/>
      <c r="E571" s="45" t="n"/>
      <c r="F571" s="45" t="n"/>
      <c r="G571" s="45" t="n"/>
      <c r="H571" s="45" t="n"/>
      <c r="I571" s="45" t="n"/>
      <c r="J571" s="45" t="n"/>
      <c r="K571" s="45" t="n"/>
      <c r="L571" s="45" t="n"/>
      <c r="N571" s="46" t="n"/>
      <c r="P571" s="47" t="n"/>
      <c r="Q571" s="47" t="n"/>
      <c r="R571" s="47" t="n"/>
      <c r="V571" s="45" t="n"/>
    </row>
    <row r="572" ht="14.25" customHeight="1" s="142">
      <c r="C572" s="45" t="n"/>
      <c r="D572" s="45" t="n"/>
      <c r="E572" s="45" t="n"/>
      <c r="F572" s="45" t="n"/>
      <c r="G572" s="45" t="n"/>
      <c r="H572" s="45" t="n"/>
      <c r="I572" s="45" t="n"/>
      <c r="J572" s="45" t="n"/>
      <c r="K572" s="45" t="n"/>
      <c r="L572" s="45" t="n"/>
      <c r="N572" s="46" t="n"/>
      <c r="P572" s="47" t="n"/>
      <c r="Q572" s="47" t="n"/>
      <c r="R572" s="47" t="n"/>
      <c r="V572" s="45" t="n"/>
    </row>
    <row r="573" ht="14.25" customHeight="1" s="142">
      <c r="C573" s="45" t="n"/>
      <c r="D573" s="45" t="n"/>
      <c r="E573" s="45" t="n"/>
      <c r="F573" s="45" t="n"/>
      <c r="G573" s="45" t="n"/>
      <c r="H573" s="45" t="n"/>
      <c r="I573" s="45" t="n"/>
      <c r="J573" s="45" t="n"/>
      <c r="K573" s="45" t="n"/>
      <c r="L573" s="45" t="n"/>
      <c r="N573" s="46" t="n"/>
      <c r="P573" s="47" t="n"/>
      <c r="Q573" s="47" t="n"/>
      <c r="R573" s="47" t="n"/>
      <c r="V573" s="45" t="n"/>
    </row>
    <row r="574" ht="14.25" customHeight="1" s="142">
      <c r="C574" s="45" t="n"/>
      <c r="D574" s="45" t="n"/>
      <c r="E574" s="45" t="n"/>
      <c r="F574" s="45" t="n"/>
      <c r="G574" s="45" t="n"/>
      <c r="H574" s="45" t="n"/>
      <c r="I574" s="45" t="n"/>
      <c r="J574" s="45" t="n"/>
      <c r="K574" s="45" t="n"/>
      <c r="L574" s="45" t="n"/>
      <c r="N574" s="46" t="n"/>
      <c r="P574" s="47" t="n"/>
      <c r="Q574" s="47" t="n"/>
      <c r="R574" s="47" t="n"/>
      <c r="V574" s="45" t="n"/>
    </row>
    <row r="575" ht="14.25" customHeight="1" s="142">
      <c r="C575" s="45" t="n"/>
      <c r="D575" s="45" t="n"/>
      <c r="E575" s="45" t="n"/>
      <c r="F575" s="45" t="n"/>
      <c r="G575" s="45" t="n"/>
      <c r="H575" s="45" t="n"/>
      <c r="I575" s="45" t="n"/>
      <c r="J575" s="45" t="n"/>
      <c r="K575" s="45" t="n"/>
      <c r="L575" s="45" t="n"/>
      <c r="N575" s="46" t="n"/>
      <c r="P575" s="47" t="n"/>
      <c r="Q575" s="47" t="n"/>
      <c r="R575" s="47" t="n"/>
      <c r="V575" s="45" t="n"/>
    </row>
    <row r="576" ht="14.25" customHeight="1" s="142">
      <c r="C576" s="45" t="n"/>
      <c r="D576" s="45" t="n"/>
      <c r="E576" s="45" t="n"/>
      <c r="F576" s="45" t="n"/>
      <c r="G576" s="45" t="n"/>
      <c r="H576" s="45" t="n"/>
      <c r="I576" s="45" t="n"/>
      <c r="J576" s="45" t="n"/>
      <c r="K576" s="45" t="n"/>
      <c r="L576" s="45" t="n"/>
      <c r="N576" s="46" t="n"/>
      <c r="P576" s="47" t="n"/>
      <c r="Q576" s="47" t="n"/>
      <c r="R576" s="47" t="n"/>
      <c r="V576" s="45" t="n"/>
    </row>
    <row r="577" ht="14.25" customHeight="1" s="142">
      <c r="C577" s="45" t="n"/>
      <c r="D577" s="45" t="n"/>
      <c r="E577" s="45" t="n"/>
      <c r="F577" s="45" t="n"/>
      <c r="G577" s="45" t="n"/>
      <c r="H577" s="45" t="n"/>
      <c r="I577" s="45" t="n"/>
      <c r="J577" s="45" t="n"/>
      <c r="K577" s="45" t="n"/>
      <c r="L577" s="45" t="n"/>
      <c r="N577" s="46" t="n"/>
      <c r="P577" s="47" t="n"/>
      <c r="Q577" s="47" t="n"/>
      <c r="R577" s="47" t="n"/>
      <c r="V577" s="45" t="n"/>
    </row>
    <row r="578" ht="14.25" customHeight="1" s="142">
      <c r="C578" s="45" t="n"/>
      <c r="D578" s="45" t="n"/>
      <c r="E578" s="45" t="n"/>
      <c r="F578" s="45" t="n"/>
      <c r="G578" s="45" t="n"/>
      <c r="H578" s="45" t="n"/>
      <c r="I578" s="45" t="n"/>
      <c r="J578" s="45" t="n"/>
      <c r="K578" s="45" t="n"/>
      <c r="L578" s="45" t="n"/>
      <c r="N578" s="46" t="n"/>
      <c r="P578" s="47" t="n"/>
      <c r="Q578" s="47" t="n"/>
      <c r="R578" s="47" t="n"/>
      <c r="V578" s="45" t="n"/>
    </row>
    <row r="579" ht="14.25" customHeight="1" s="142">
      <c r="C579" s="45" t="n"/>
      <c r="D579" s="45" t="n"/>
      <c r="E579" s="45" t="n"/>
      <c r="F579" s="45" t="n"/>
      <c r="G579" s="45" t="n"/>
      <c r="H579" s="45" t="n"/>
      <c r="I579" s="45" t="n"/>
      <c r="J579" s="45" t="n"/>
      <c r="K579" s="45" t="n"/>
      <c r="L579" s="45" t="n"/>
      <c r="N579" s="46" t="n"/>
      <c r="P579" s="47" t="n"/>
      <c r="Q579" s="47" t="n"/>
      <c r="R579" s="47" t="n"/>
      <c r="V579" s="45" t="n"/>
    </row>
    <row r="580" ht="14.25" customHeight="1" s="142">
      <c r="C580" s="45" t="n"/>
      <c r="D580" s="45" t="n"/>
      <c r="E580" s="45" t="n"/>
      <c r="F580" s="45" t="n"/>
      <c r="G580" s="45" t="n"/>
      <c r="H580" s="45" t="n"/>
      <c r="I580" s="45" t="n"/>
      <c r="J580" s="45" t="n"/>
      <c r="K580" s="45" t="n"/>
      <c r="L580" s="45" t="n"/>
      <c r="N580" s="46" t="n"/>
      <c r="P580" s="47" t="n"/>
      <c r="Q580" s="47" t="n"/>
      <c r="R580" s="47" t="n"/>
      <c r="V580" s="45" t="n"/>
    </row>
    <row r="581" ht="14.25" customHeight="1" s="142">
      <c r="C581" s="45" t="n"/>
      <c r="D581" s="45" t="n"/>
      <c r="E581" s="45" t="n"/>
      <c r="F581" s="45" t="n"/>
      <c r="G581" s="45" t="n"/>
      <c r="H581" s="45" t="n"/>
      <c r="I581" s="45" t="n"/>
      <c r="J581" s="45" t="n"/>
      <c r="K581" s="45" t="n"/>
      <c r="L581" s="45" t="n"/>
      <c r="N581" s="46" t="n"/>
      <c r="P581" s="47" t="n"/>
      <c r="Q581" s="47" t="n"/>
      <c r="R581" s="47" t="n"/>
      <c r="V581" s="45" t="n"/>
    </row>
    <row r="582" ht="14.25" customHeight="1" s="142">
      <c r="C582" s="45" t="n"/>
      <c r="D582" s="45" t="n"/>
      <c r="E582" s="45" t="n"/>
      <c r="F582" s="45" t="n"/>
      <c r="G582" s="45" t="n"/>
      <c r="H582" s="45" t="n"/>
      <c r="I582" s="45" t="n"/>
      <c r="J582" s="45" t="n"/>
      <c r="K582" s="45" t="n"/>
      <c r="L582" s="45" t="n"/>
      <c r="N582" s="46" t="n"/>
      <c r="P582" s="47" t="n"/>
      <c r="Q582" s="47" t="n"/>
      <c r="R582" s="47" t="n"/>
      <c r="V582" s="45" t="n"/>
    </row>
    <row r="583" ht="14.25" customHeight="1" s="142">
      <c r="C583" s="45" t="n"/>
      <c r="D583" s="45" t="n"/>
      <c r="E583" s="45" t="n"/>
      <c r="F583" s="45" t="n"/>
      <c r="G583" s="45" t="n"/>
      <c r="H583" s="45" t="n"/>
      <c r="I583" s="45" t="n"/>
      <c r="J583" s="45" t="n"/>
      <c r="K583" s="45" t="n"/>
      <c r="L583" s="45" t="n"/>
      <c r="N583" s="46" t="n"/>
      <c r="P583" s="47" t="n"/>
      <c r="Q583" s="47" t="n"/>
      <c r="R583" s="47" t="n"/>
      <c r="V583" s="45" t="n"/>
    </row>
    <row r="584" ht="14.25" customHeight="1" s="142">
      <c r="C584" s="45" t="n"/>
      <c r="D584" s="45" t="n"/>
      <c r="E584" s="45" t="n"/>
      <c r="F584" s="45" t="n"/>
      <c r="G584" s="45" t="n"/>
      <c r="H584" s="45" t="n"/>
      <c r="I584" s="45" t="n"/>
      <c r="J584" s="45" t="n"/>
      <c r="K584" s="45" t="n"/>
      <c r="L584" s="45" t="n"/>
      <c r="N584" s="46" t="n"/>
      <c r="P584" s="47" t="n"/>
      <c r="Q584" s="47" t="n"/>
      <c r="R584" s="47" t="n"/>
      <c r="V584" s="45" t="n"/>
    </row>
    <row r="585" ht="14.25" customHeight="1" s="142">
      <c r="C585" s="45" t="n"/>
      <c r="D585" s="45" t="n"/>
      <c r="E585" s="45" t="n"/>
      <c r="F585" s="45" t="n"/>
      <c r="G585" s="45" t="n"/>
      <c r="H585" s="45" t="n"/>
      <c r="I585" s="45" t="n"/>
      <c r="J585" s="45" t="n"/>
      <c r="K585" s="45" t="n"/>
      <c r="L585" s="45" t="n"/>
      <c r="N585" s="46" t="n"/>
      <c r="P585" s="47" t="n"/>
      <c r="Q585" s="47" t="n"/>
      <c r="R585" s="47" t="n"/>
      <c r="V585" s="45" t="n"/>
    </row>
    <row r="586" ht="14.25" customHeight="1" s="142">
      <c r="C586" s="45" t="n"/>
      <c r="D586" s="45" t="n"/>
      <c r="E586" s="45" t="n"/>
      <c r="F586" s="45" t="n"/>
      <c r="G586" s="45" t="n"/>
      <c r="H586" s="45" t="n"/>
      <c r="I586" s="45" t="n"/>
      <c r="J586" s="45" t="n"/>
      <c r="K586" s="45" t="n"/>
      <c r="L586" s="45" t="n"/>
      <c r="N586" s="46" t="n"/>
      <c r="P586" s="47" t="n"/>
      <c r="Q586" s="47" t="n"/>
      <c r="R586" s="47" t="n"/>
      <c r="V586" s="45" t="n"/>
    </row>
    <row r="587" ht="14.25" customHeight="1" s="142">
      <c r="C587" s="45" t="n"/>
      <c r="D587" s="45" t="n"/>
      <c r="E587" s="45" t="n"/>
      <c r="F587" s="45" t="n"/>
      <c r="G587" s="45" t="n"/>
      <c r="H587" s="45" t="n"/>
      <c r="I587" s="45" t="n"/>
      <c r="J587" s="45" t="n"/>
      <c r="K587" s="45" t="n"/>
      <c r="L587" s="45" t="n"/>
      <c r="N587" s="46" t="n"/>
      <c r="P587" s="47" t="n"/>
      <c r="Q587" s="47" t="n"/>
      <c r="R587" s="47" t="n"/>
      <c r="V587" s="45" t="n"/>
    </row>
    <row r="588" ht="14.25" customHeight="1" s="142">
      <c r="C588" s="45" t="n"/>
      <c r="D588" s="45" t="n"/>
      <c r="E588" s="45" t="n"/>
      <c r="F588" s="45" t="n"/>
      <c r="G588" s="45" t="n"/>
      <c r="H588" s="45" t="n"/>
      <c r="I588" s="45" t="n"/>
      <c r="J588" s="45" t="n"/>
      <c r="K588" s="45" t="n"/>
      <c r="L588" s="45" t="n"/>
      <c r="N588" s="46" t="n"/>
      <c r="P588" s="47" t="n"/>
      <c r="Q588" s="47" t="n"/>
      <c r="R588" s="47" t="n"/>
      <c r="V588" s="45" t="n"/>
    </row>
    <row r="589" ht="14.25" customHeight="1" s="142">
      <c r="C589" s="45" t="n"/>
      <c r="D589" s="45" t="n"/>
      <c r="E589" s="45" t="n"/>
      <c r="F589" s="45" t="n"/>
      <c r="G589" s="45" t="n"/>
      <c r="H589" s="45" t="n"/>
      <c r="I589" s="45" t="n"/>
      <c r="J589" s="45" t="n"/>
      <c r="K589" s="45" t="n"/>
      <c r="L589" s="45" t="n"/>
      <c r="N589" s="46" t="n"/>
      <c r="P589" s="47" t="n"/>
      <c r="Q589" s="47" t="n"/>
      <c r="R589" s="47" t="n"/>
      <c r="V589" s="45" t="n"/>
    </row>
    <row r="590" ht="14.25" customHeight="1" s="142">
      <c r="C590" s="45" t="n"/>
      <c r="D590" s="45" t="n"/>
      <c r="E590" s="45" t="n"/>
      <c r="F590" s="45" t="n"/>
      <c r="G590" s="45" t="n"/>
      <c r="H590" s="45" t="n"/>
      <c r="I590" s="45" t="n"/>
      <c r="J590" s="45" t="n"/>
      <c r="K590" s="45" t="n"/>
      <c r="L590" s="45" t="n"/>
      <c r="N590" s="46" t="n"/>
      <c r="P590" s="47" t="n"/>
      <c r="Q590" s="47" t="n"/>
      <c r="R590" s="47" t="n"/>
      <c r="V590" s="45" t="n"/>
    </row>
    <row r="591" ht="14.25" customHeight="1" s="142">
      <c r="C591" s="45" t="n"/>
      <c r="D591" s="45" t="n"/>
      <c r="E591" s="45" t="n"/>
      <c r="F591" s="45" t="n"/>
      <c r="G591" s="45" t="n"/>
      <c r="H591" s="45" t="n"/>
      <c r="I591" s="45" t="n"/>
      <c r="J591" s="45" t="n"/>
      <c r="K591" s="45" t="n"/>
      <c r="L591" s="45" t="n"/>
      <c r="N591" s="46" t="n"/>
      <c r="P591" s="47" t="n"/>
      <c r="Q591" s="47" t="n"/>
      <c r="R591" s="47" t="n"/>
      <c r="V591" s="45" t="n"/>
    </row>
    <row r="592" ht="14.25" customHeight="1" s="142">
      <c r="C592" s="45" t="n"/>
      <c r="D592" s="45" t="n"/>
      <c r="E592" s="45" t="n"/>
      <c r="F592" s="45" t="n"/>
      <c r="G592" s="45" t="n"/>
      <c r="H592" s="45" t="n"/>
      <c r="I592" s="45" t="n"/>
      <c r="J592" s="45" t="n"/>
      <c r="K592" s="45" t="n"/>
      <c r="L592" s="45" t="n"/>
      <c r="N592" s="46" t="n"/>
      <c r="P592" s="47" t="n"/>
      <c r="Q592" s="47" t="n"/>
      <c r="R592" s="47" t="n"/>
      <c r="V592" s="45" t="n"/>
    </row>
    <row r="593" ht="14.25" customHeight="1" s="142">
      <c r="C593" s="45" t="n"/>
      <c r="D593" s="45" t="n"/>
      <c r="E593" s="45" t="n"/>
      <c r="F593" s="45" t="n"/>
      <c r="G593" s="45" t="n"/>
      <c r="H593" s="45" t="n"/>
      <c r="I593" s="45" t="n"/>
      <c r="J593" s="45" t="n"/>
      <c r="K593" s="45" t="n"/>
      <c r="L593" s="45" t="n"/>
      <c r="N593" s="46" t="n"/>
      <c r="P593" s="47" t="n"/>
      <c r="Q593" s="47" t="n"/>
      <c r="R593" s="47" t="n"/>
      <c r="V593" s="45" t="n"/>
    </row>
    <row r="594" ht="14.25" customHeight="1" s="142">
      <c r="C594" s="45" t="n"/>
      <c r="D594" s="45" t="n"/>
      <c r="E594" s="45" t="n"/>
      <c r="F594" s="45" t="n"/>
      <c r="G594" s="45" t="n"/>
      <c r="H594" s="45" t="n"/>
      <c r="I594" s="45" t="n"/>
      <c r="J594" s="45" t="n"/>
      <c r="K594" s="45" t="n"/>
      <c r="L594" s="45" t="n"/>
      <c r="N594" s="46" t="n"/>
      <c r="P594" s="47" t="n"/>
      <c r="Q594" s="47" t="n"/>
      <c r="R594" s="47" t="n"/>
      <c r="V594" s="45" t="n"/>
    </row>
    <row r="595" ht="14.25" customHeight="1" s="142">
      <c r="C595" s="45" t="n"/>
      <c r="D595" s="45" t="n"/>
      <c r="E595" s="45" t="n"/>
      <c r="F595" s="45" t="n"/>
      <c r="G595" s="45" t="n"/>
      <c r="H595" s="45" t="n"/>
      <c r="I595" s="45" t="n"/>
      <c r="J595" s="45" t="n"/>
      <c r="K595" s="45" t="n"/>
      <c r="L595" s="45" t="n"/>
      <c r="N595" s="46" t="n"/>
      <c r="P595" s="47" t="n"/>
      <c r="Q595" s="47" t="n"/>
      <c r="R595" s="47" t="n"/>
      <c r="V595" s="45" t="n"/>
    </row>
    <row r="596" ht="14.25" customHeight="1" s="142">
      <c r="C596" s="45" t="n"/>
      <c r="D596" s="45" t="n"/>
      <c r="E596" s="45" t="n"/>
      <c r="F596" s="45" t="n"/>
      <c r="G596" s="45" t="n"/>
      <c r="H596" s="45" t="n"/>
      <c r="I596" s="45" t="n"/>
      <c r="J596" s="45" t="n"/>
      <c r="K596" s="45" t="n"/>
      <c r="L596" s="45" t="n"/>
      <c r="N596" s="46" t="n"/>
      <c r="P596" s="47" t="n"/>
      <c r="Q596" s="47" t="n"/>
      <c r="R596" s="47" t="n"/>
      <c r="V596" s="45" t="n"/>
    </row>
    <row r="597" ht="14.25" customHeight="1" s="142">
      <c r="C597" s="45" t="n"/>
      <c r="D597" s="45" t="n"/>
      <c r="E597" s="45" t="n"/>
      <c r="F597" s="45" t="n"/>
      <c r="G597" s="45" t="n"/>
      <c r="H597" s="45" t="n"/>
      <c r="I597" s="45" t="n"/>
      <c r="J597" s="45" t="n"/>
      <c r="K597" s="45" t="n"/>
      <c r="L597" s="45" t="n"/>
      <c r="N597" s="46" t="n"/>
      <c r="P597" s="47" t="n"/>
      <c r="Q597" s="47" t="n"/>
      <c r="R597" s="47" t="n"/>
      <c r="V597" s="45" t="n"/>
    </row>
    <row r="598" ht="14.25" customHeight="1" s="142">
      <c r="C598" s="45" t="n"/>
      <c r="D598" s="45" t="n"/>
      <c r="E598" s="45" t="n"/>
      <c r="F598" s="45" t="n"/>
      <c r="G598" s="45" t="n"/>
      <c r="H598" s="45" t="n"/>
      <c r="I598" s="45" t="n"/>
      <c r="J598" s="45" t="n"/>
      <c r="K598" s="45" t="n"/>
      <c r="L598" s="45" t="n"/>
      <c r="N598" s="46" t="n"/>
      <c r="P598" s="47" t="n"/>
      <c r="Q598" s="47" t="n"/>
      <c r="R598" s="47" t="n"/>
      <c r="V598" s="45" t="n"/>
    </row>
    <row r="599" ht="14.25" customHeight="1" s="142">
      <c r="C599" s="45" t="n"/>
      <c r="D599" s="45" t="n"/>
      <c r="E599" s="45" t="n"/>
      <c r="F599" s="45" t="n"/>
      <c r="G599" s="45" t="n"/>
      <c r="H599" s="45" t="n"/>
      <c r="I599" s="45" t="n"/>
      <c r="J599" s="45" t="n"/>
      <c r="K599" s="45" t="n"/>
      <c r="L599" s="45" t="n"/>
      <c r="N599" s="46" t="n"/>
      <c r="P599" s="47" t="n"/>
      <c r="Q599" s="47" t="n"/>
      <c r="R599" s="47" t="n"/>
      <c r="V599" s="45" t="n"/>
    </row>
    <row r="600" ht="14.25" customHeight="1" s="142">
      <c r="C600" s="45" t="n"/>
      <c r="D600" s="45" t="n"/>
      <c r="E600" s="45" t="n"/>
      <c r="F600" s="45" t="n"/>
      <c r="G600" s="45" t="n"/>
      <c r="H600" s="45" t="n"/>
      <c r="I600" s="45" t="n"/>
      <c r="J600" s="45" t="n"/>
      <c r="K600" s="45" t="n"/>
      <c r="L600" s="45" t="n"/>
      <c r="N600" s="46" t="n"/>
      <c r="P600" s="47" t="n"/>
      <c r="Q600" s="47" t="n"/>
      <c r="R600" s="47" t="n"/>
      <c r="V600" s="45" t="n"/>
    </row>
    <row r="601" ht="14.25" customHeight="1" s="142">
      <c r="C601" s="45" t="n"/>
      <c r="D601" s="45" t="n"/>
      <c r="E601" s="45" t="n"/>
      <c r="F601" s="45" t="n"/>
      <c r="G601" s="45" t="n"/>
      <c r="H601" s="45" t="n"/>
      <c r="I601" s="45" t="n"/>
      <c r="J601" s="45" t="n"/>
      <c r="K601" s="45" t="n"/>
      <c r="L601" s="45" t="n"/>
      <c r="N601" s="46" t="n"/>
      <c r="P601" s="47" t="n"/>
      <c r="Q601" s="47" t="n"/>
      <c r="R601" s="47" t="n"/>
      <c r="V601" s="45" t="n"/>
    </row>
    <row r="602" ht="14.25" customHeight="1" s="142">
      <c r="C602" s="45" t="n"/>
      <c r="D602" s="45" t="n"/>
      <c r="E602" s="45" t="n"/>
      <c r="F602" s="45" t="n"/>
      <c r="G602" s="45" t="n"/>
      <c r="H602" s="45" t="n"/>
      <c r="I602" s="45" t="n"/>
      <c r="J602" s="45" t="n"/>
      <c r="K602" s="45" t="n"/>
      <c r="L602" s="45" t="n"/>
      <c r="N602" s="46" t="n"/>
      <c r="P602" s="47" t="n"/>
      <c r="Q602" s="47" t="n"/>
      <c r="R602" s="47" t="n"/>
      <c r="V602" s="45" t="n"/>
    </row>
    <row r="603" ht="14.25" customHeight="1" s="142">
      <c r="C603" s="45" t="n"/>
      <c r="D603" s="45" t="n"/>
      <c r="E603" s="45" t="n"/>
      <c r="F603" s="45" t="n"/>
      <c r="G603" s="45" t="n"/>
      <c r="H603" s="45" t="n"/>
      <c r="I603" s="45" t="n"/>
      <c r="J603" s="45" t="n"/>
      <c r="K603" s="45" t="n"/>
      <c r="L603" s="45" t="n"/>
      <c r="N603" s="46" t="n"/>
      <c r="P603" s="47" t="n"/>
      <c r="Q603" s="47" t="n"/>
      <c r="R603" s="47" t="n"/>
      <c r="V603" s="45" t="n"/>
    </row>
    <row r="604" ht="14.25" customHeight="1" s="142">
      <c r="C604" s="45" t="n"/>
      <c r="D604" s="45" t="n"/>
      <c r="E604" s="45" t="n"/>
      <c r="F604" s="45" t="n"/>
      <c r="G604" s="45" t="n"/>
      <c r="H604" s="45" t="n"/>
      <c r="I604" s="45" t="n"/>
      <c r="J604" s="45" t="n"/>
      <c r="K604" s="45" t="n"/>
      <c r="L604" s="45" t="n"/>
      <c r="N604" s="46" t="n"/>
      <c r="P604" s="47" t="n"/>
      <c r="Q604" s="47" t="n"/>
      <c r="R604" s="47" t="n"/>
      <c r="V604" s="45" t="n"/>
    </row>
    <row r="605" ht="14.25" customHeight="1" s="142">
      <c r="C605" s="45" t="n"/>
      <c r="D605" s="45" t="n"/>
      <c r="E605" s="45" t="n"/>
      <c r="F605" s="45" t="n"/>
      <c r="G605" s="45" t="n"/>
      <c r="H605" s="45" t="n"/>
      <c r="I605" s="45" t="n"/>
      <c r="J605" s="45" t="n"/>
      <c r="K605" s="45" t="n"/>
      <c r="L605" s="45" t="n"/>
      <c r="N605" s="46" t="n"/>
      <c r="P605" s="47" t="n"/>
      <c r="Q605" s="47" t="n"/>
      <c r="R605" s="47" t="n"/>
      <c r="V605" s="45" t="n"/>
    </row>
    <row r="606" ht="14.25" customHeight="1" s="142">
      <c r="C606" s="45" t="n"/>
      <c r="D606" s="45" t="n"/>
      <c r="E606" s="45" t="n"/>
      <c r="F606" s="45" t="n"/>
      <c r="G606" s="45" t="n"/>
      <c r="H606" s="45" t="n"/>
      <c r="I606" s="45" t="n"/>
      <c r="J606" s="45" t="n"/>
      <c r="K606" s="45" t="n"/>
      <c r="L606" s="45" t="n"/>
      <c r="N606" s="46" t="n"/>
      <c r="P606" s="47" t="n"/>
      <c r="Q606" s="47" t="n"/>
      <c r="R606" s="47" t="n"/>
      <c r="V606" s="45" t="n"/>
    </row>
    <row r="607" ht="14.25" customHeight="1" s="142">
      <c r="C607" s="45" t="n"/>
      <c r="D607" s="45" t="n"/>
      <c r="E607" s="45" t="n"/>
      <c r="F607" s="45" t="n"/>
      <c r="G607" s="45" t="n"/>
      <c r="H607" s="45" t="n"/>
      <c r="I607" s="45" t="n"/>
      <c r="J607" s="45" t="n"/>
      <c r="K607" s="45" t="n"/>
      <c r="L607" s="45" t="n"/>
      <c r="N607" s="46" t="n"/>
      <c r="P607" s="47" t="n"/>
      <c r="Q607" s="47" t="n"/>
      <c r="R607" s="47" t="n"/>
      <c r="V607" s="45" t="n"/>
    </row>
    <row r="608" ht="14.25" customHeight="1" s="142">
      <c r="C608" s="45" t="n"/>
      <c r="D608" s="45" t="n"/>
      <c r="E608" s="45" t="n"/>
      <c r="F608" s="45" t="n"/>
      <c r="G608" s="45" t="n"/>
      <c r="H608" s="45" t="n"/>
      <c r="I608" s="45" t="n"/>
      <c r="J608" s="45" t="n"/>
      <c r="K608" s="45" t="n"/>
      <c r="L608" s="45" t="n"/>
      <c r="N608" s="46" t="n"/>
      <c r="P608" s="47" t="n"/>
      <c r="Q608" s="47" t="n"/>
      <c r="R608" s="47" t="n"/>
      <c r="V608" s="45" t="n"/>
    </row>
    <row r="609" ht="14.25" customHeight="1" s="142">
      <c r="C609" s="45" t="n"/>
      <c r="D609" s="45" t="n"/>
      <c r="E609" s="45" t="n"/>
      <c r="F609" s="45" t="n"/>
      <c r="G609" s="45" t="n"/>
      <c r="H609" s="45" t="n"/>
      <c r="I609" s="45" t="n"/>
      <c r="J609" s="45" t="n"/>
      <c r="K609" s="45" t="n"/>
      <c r="L609" s="45" t="n"/>
      <c r="N609" s="46" t="n"/>
      <c r="P609" s="47" t="n"/>
      <c r="Q609" s="47" t="n"/>
      <c r="R609" s="47" t="n"/>
      <c r="V609" s="45" t="n"/>
    </row>
    <row r="610" ht="14.25" customHeight="1" s="142">
      <c r="C610" s="45" t="n"/>
      <c r="D610" s="45" t="n"/>
      <c r="E610" s="45" t="n"/>
      <c r="F610" s="45" t="n"/>
      <c r="G610" s="45" t="n"/>
      <c r="H610" s="45" t="n"/>
      <c r="I610" s="45" t="n"/>
      <c r="J610" s="45" t="n"/>
      <c r="K610" s="45" t="n"/>
      <c r="L610" s="45" t="n"/>
      <c r="N610" s="46" t="n"/>
      <c r="P610" s="47" t="n"/>
      <c r="Q610" s="47" t="n"/>
      <c r="R610" s="47" t="n"/>
      <c r="V610" s="45" t="n"/>
    </row>
    <row r="611" ht="14.25" customHeight="1" s="142">
      <c r="C611" s="45" t="n"/>
      <c r="D611" s="45" t="n"/>
      <c r="E611" s="45" t="n"/>
      <c r="F611" s="45" t="n"/>
      <c r="G611" s="45" t="n"/>
      <c r="H611" s="45" t="n"/>
      <c r="I611" s="45" t="n"/>
      <c r="J611" s="45" t="n"/>
      <c r="K611" s="45" t="n"/>
      <c r="L611" s="45" t="n"/>
      <c r="N611" s="46" t="n"/>
      <c r="P611" s="47" t="n"/>
      <c r="Q611" s="47" t="n"/>
      <c r="R611" s="47" t="n"/>
      <c r="V611" s="45" t="n"/>
    </row>
    <row r="612" ht="14.25" customHeight="1" s="142">
      <c r="C612" s="45" t="n"/>
      <c r="D612" s="45" t="n"/>
      <c r="E612" s="45" t="n"/>
      <c r="F612" s="45" t="n"/>
      <c r="G612" s="45" t="n"/>
      <c r="H612" s="45" t="n"/>
      <c r="I612" s="45" t="n"/>
      <c r="J612" s="45" t="n"/>
      <c r="K612" s="45" t="n"/>
      <c r="L612" s="45" t="n"/>
      <c r="N612" s="46" t="n"/>
      <c r="P612" s="47" t="n"/>
      <c r="Q612" s="47" t="n"/>
      <c r="R612" s="47" t="n"/>
      <c r="V612" s="45" t="n"/>
    </row>
    <row r="613" ht="14.25" customHeight="1" s="142">
      <c r="C613" s="45" t="n"/>
      <c r="D613" s="45" t="n"/>
      <c r="E613" s="45" t="n"/>
      <c r="F613" s="45" t="n"/>
      <c r="G613" s="45" t="n"/>
      <c r="H613" s="45" t="n"/>
      <c r="I613" s="45" t="n"/>
      <c r="J613" s="45" t="n"/>
      <c r="K613" s="45" t="n"/>
      <c r="L613" s="45" t="n"/>
      <c r="N613" s="46" t="n"/>
      <c r="P613" s="47" t="n"/>
      <c r="Q613" s="47" t="n"/>
      <c r="R613" s="47" t="n"/>
      <c r="V613" s="45" t="n"/>
    </row>
    <row r="614" ht="14.25" customHeight="1" s="142">
      <c r="C614" s="45" t="n"/>
      <c r="D614" s="45" t="n"/>
      <c r="E614" s="45" t="n"/>
      <c r="F614" s="45" t="n"/>
      <c r="G614" s="45" t="n"/>
      <c r="H614" s="45" t="n"/>
      <c r="I614" s="45" t="n"/>
      <c r="J614" s="45" t="n"/>
      <c r="K614" s="45" t="n"/>
      <c r="L614" s="45" t="n"/>
      <c r="N614" s="46" t="n"/>
      <c r="P614" s="47" t="n"/>
      <c r="Q614" s="47" t="n"/>
      <c r="R614" s="47" t="n"/>
      <c r="V614" s="45" t="n"/>
    </row>
    <row r="615" ht="14.25" customHeight="1" s="142">
      <c r="C615" s="45" t="n"/>
      <c r="D615" s="45" t="n"/>
      <c r="E615" s="45" t="n"/>
      <c r="F615" s="45" t="n"/>
      <c r="G615" s="45" t="n"/>
      <c r="H615" s="45" t="n"/>
      <c r="I615" s="45" t="n"/>
      <c r="J615" s="45" t="n"/>
      <c r="K615" s="45" t="n"/>
      <c r="L615" s="45" t="n"/>
      <c r="N615" s="46" t="n"/>
      <c r="P615" s="47" t="n"/>
      <c r="Q615" s="47" t="n"/>
      <c r="R615" s="47" t="n"/>
      <c r="V615" s="45" t="n"/>
    </row>
    <row r="616" ht="14.25" customHeight="1" s="142">
      <c r="C616" s="45" t="n"/>
      <c r="D616" s="45" t="n"/>
      <c r="E616" s="45" t="n"/>
      <c r="F616" s="45" t="n"/>
      <c r="G616" s="45" t="n"/>
      <c r="H616" s="45" t="n"/>
      <c r="I616" s="45" t="n"/>
      <c r="J616" s="45" t="n"/>
      <c r="K616" s="45" t="n"/>
      <c r="L616" s="45" t="n"/>
      <c r="N616" s="46" t="n"/>
      <c r="P616" s="47" t="n"/>
      <c r="Q616" s="47" t="n"/>
      <c r="R616" s="47" t="n"/>
      <c r="V616" s="45" t="n"/>
    </row>
    <row r="617" ht="14.25" customHeight="1" s="142">
      <c r="C617" s="45" t="n"/>
      <c r="D617" s="45" t="n"/>
      <c r="E617" s="45" t="n"/>
      <c r="F617" s="45" t="n"/>
      <c r="G617" s="45" t="n"/>
      <c r="H617" s="45" t="n"/>
      <c r="I617" s="45" t="n"/>
      <c r="J617" s="45" t="n"/>
      <c r="K617" s="45" t="n"/>
      <c r="L617" s="45" t="n"/>
      <c r="N617" s="46" t="n"/>
      <c r="P617" s="47" t="n"/>
      <c r="Q617" s="47" t="n"/>
      <c r="R617" s="47" t="n"/>
      <c r="V617" s="45" t="n"/>
    </row>
    <row r="618" ht="14.25" customHeight="1" s="142">
      <c r="C618" s="45" t="n"/>
      <c r="D618" s="45" t="n"/>
      <c r="E618" s="45" t="n"/>
      <c r="F618" s="45" t="n"/>
      <c r="G618" s="45" t="n"/>
      <c r="H618" s="45" t="n"/>
      <c r="I618" s="45" t="n"/>
      <c r="J618" s="45" t="n"/>
      <c r="K618" s="45" t="n"/>
      <c r="L618" s="45" t="n"/>
      <c r="N618" s="46" t="n"/>
      <c r="P618" s="47" t="n"/>
      <c r="Q618" s="47" t="n"/>
      <c r="R618" s="47" t="n"/>
      <c r="V618" s="45" t="n"/>
    </row>
    <row r="619" ht="14.25" customHeight="1" s="142">
      <c r="C619" s="45" t="n"/>
      <c r="D619" s="45" t="n"/>
      <c r="E619" s="45" t="n"/>
      <c r="F619" s="45" t="n"/>
      <c r="G619" s="45" t="n"/>
      <c r="H619" s="45" t="n"/>
      <c r="I619" s="45" t="n"/>
      <c r="J619" s="45" t="n"/>
      <c r="K619" s="45" t="n"/>
      <c r="L619" s="45" t="n"/>
      <c r="N619" s="46" t="n"/>
      <c r="P619" s="47" t="n"/>
      <c r="Q619" s="47" t="n"/>
      <c r="R619" s="47" t="n"/>
      <c r="V619" s="45" t="n"/>
    </row>
    <row r="620" ht="14.25" customHeight="1" s="142">
      <c r="C620" s="45" t="n"/>
      <c r="D620" s="45" t="n"/>
      <c r="E620" s="45" t="n"/>
      <c r="F620" s="45" t="n"/>
      <c r="G620" s="45" t="n"/>
      <c r="H620" s="45" t="n"/>
      <c r="I620" s="45" t="n"/>
      <c r="J620" s="45" t="n"/>
      <c r="K620" s="45" t="n"/>
      <c r="L620" s="45" t="n"/>
      <c r="N620" s="46" t="n"/>
      <c r="P620" s="47" t="n"/>
      <c r="Q620" s="47" t="n"/>
      <c r="R620" s="47" t="n"/>
      <c r="V620" s="45" t="n"/>
    </row>
    <row r="621" ht="14.25" customHeight="1" s="142">
      <c r="C621" s="45" t="n"/>
      <c r="D621" s="45" t="n"/>
      <c r="E621" s="45" t="n"/>
      <c r="F621" s="45" t="n"/>
      <c r="G621" s="45" t="n"/>
      <c r="H621" s="45" t="n"/>
      <c r="I621" s="45" t="n"/>
      <c r="J621" s="45" t="n"/>
      <c r="K621" s="45" t="n"/>
      <c r="L621" s="45" t="n"/>
      <c r="N621" s="46" t="n"/>
      <c r="P621" s="47" t="n"/>
      <c r="Q621" s="47" t="n"/>
      <c r="R621" s="47" t="n"/>
      <c r="V621" s="45" t="n"/>
    </row>
    <row r="622" ht="14.25" customHeight="1" s="142">
      <c r="C622" s="45" t="n"/>
      <c r="D622" s="45" t="n"/>
      <c r="E622" s="45" t="n"/>
      <c r="F622" s="45" t="n"/>
      <c r="G622" s="45" t="n"/>
      <c r="H622" s="45" t="n"/>
      <c r="I622" s="45" t="n"/>
      <c r="J622" s="45" t="n"/>
      <c r="K622" s="45" t="n"/>
      <c r="L622" s="45" t="n"/>
      <c r="N622" s="46" t="n"/>
      <c r="P622" s="47" t="n"/>
      <c r="Q622" s="47" t="n"/>
      <c r="R622" s="47" t="n"/>
      <c r="V622" s="45" t="n"/>
    </row>
    <row r="623" ht="14.25" customHeight="1" s="142">
      <c r="C623" s="45" t="n"/>
      <c r="D623" s="45" t="n"/>
      <c r="E623" s="45" t="n"/>
      <c r="F623" s="45" t="n"/>
      <c r="G623" s="45" t="n"/>
      <c r="H623" s="45" t="n"/>
      <c r="I623" s="45" t="n"/>
      <c r="J623" s="45" t="n"/>
      <c r="K623" s="45" t="n"/>
      <c r="L623" s="45" t="n"/>
      <c r="N623" s="46" t="n"/>
      <c r="P623" s="47" t="n"/>
      <c r="Q623" s="47" t="n"/>
      <c r="R623" s="47" t="n"/>
      <c r="V623" s="45" t="n"/>
    </row>
    <row r="624" ht="14.25" customHeight="1" s="142">
      <c r="C624" s="45" t="n"/>
      <c r="D624" s="45" t="n"/>
      <c r="E624" s="45" t="n"/>
      <c r="F624" s="45" t="n"/>
      <c r="G624" s="45" t="n"/>
      <c r="H624" s="45" t="n"/>
      <c r="I624" s="45" t="n"/>
      <c r="J624" s="45" t="n"/>
      <c r="K624" s="45" t="n"/>
      <c r="L624" s="45" t="n"/>
      <c r="N624" s="46" t="n"/>
      <c r="P624" s="47" t="n"/>
      <c r="Q624" s="47" t="n"/>
      <c r="R624" s="47" t="n"/>
      <c r="V624" s="45" t="n"/>
    </row>
    <row r="625" ht="14.25" customHeight="1" s="142">
      <c r="C625" s="45" t="n"/>
      <c r="D625" s="45" t="n"/>
      <c r="E625" s="45" t="n"/>
      <c r="F625" s="45" t="n"/>
      <c r="G625" s="45" t="n"/>
      <c r="H625" s="45" t="n"/>
      <c r="I625" s="45" t="n"/>
      <c r="J625" s="45" t="n"/>
      <c r="K625" s="45" t="n"/>
      <c r="L625" s="45" t="n"/>
      <c r="N625" s="46" t="n"/>
      <c r="P625" s="47" t="n"/>
      <c r="Q625" s="47" t="n"/>
      <c r="R625" s="47" t="n"/>
      <c r="V625" s="45" t="n"/>
    </row>
    <row r="626" ht="14.25" customHeight="1" s="142">
      <c r="C626" s="45" t="n"/>
      <c r="D626" s="45" t="n"/>
      <c r="E626" s="45" t="n"/>
      <c r="F626" s="45" t="n"/>
      <c r="G626" s="45" t="n"/>
      <c r="H626" s="45" t="n"/>
      <c r="I626" s="45" t="n"/>
      <c r="J626" s="45" t="n"/>
      <c r="K626" s="45" t="n"/>
      <c r="L626" s="45" t="n"/>
      <c r="N626" s="46" t="n"/>
      <c r="P626" s="47" t="n"/>
      <c r="Q626" s="47" t="n"/>
      <c r="R626" s="47" t="n"/>
      <c r="V626" s="45" t="n"/>
    </row>
    <row r="627" ht="14.25" customHeight="1" s="142">
      <c r="C627" s="45" t="n"/>
      <c r="D627" s="45" t="n"/>
      <c r="E627" s="45" t="n"/>
      <c r="F627" s="45" t="n"/>
      <c r="G627" s="45" t="n"/>
      <c r="H627" s="45" t="n"/>
      <c r="I627" s="45" t="n"/>
      <c r="J627" s="45" t="n"/>
      <c r="K627" s="45" t="n"/>
      <c r="L627" s="45" t="n"/>
      <c r="N627" s="46" t="n"/>
      <c r="P627" s="47" t="n"/>
      <c r="Q627" s="47" t="n"/>
      <c r="R627" s="47" t="n"/>
      <c r="V627" s="45" t="n"/>
    </row>
    <row r="628" ht="14.25" customHeight="1" s="142">
      <c r="C628" s="45" t="n"/>
      <c r="D628" s="45" t="n"/>
      <c r="E628" s="45" t="n"/>
      <c r="F628" s="45" t="n"/>
      <c r="G628" s="45" t="n"/>
      <c r="H628" s="45" t="n"/>
      <c r="I628" s="45" t="n"/>
      <c r="J628" s="45" t="n"/>
      <c r="K628" s="45" t="n"/>
      <c r="L628" s="45" t="n"/>
      <c r="N628" s="46" t="n"/>
      <c r="P628" s="47" t="n"/>
      <c r="Q628" s="47" t="n"/>
      <c r="R628" s="47" t="n"/>
      <c r="V628" s="45" t="n"/>
    </row>
    <row r="629" ht="14.25" customHeight="1" s="142">
      <c r="C629" s="45" t="n"/>
      <c r="D629" s="45" t="n"/>
      <c r="E629" s="45" t="n"/>
      <c r="F629" s="45" t="n"/>
      <c r="G629" s="45" t="n"/>
      <c r="H629" s="45" t="n"/>
      <c r="I629" s="45" t="n"/>
      <c r="J629" s="45" t="n"/>
      <c r="K629" s="45" t="n"/>
      <c r="L629" s="45" t="n"/>
      <c r="N629" s="46" t="n"/>
      <c r="P629" s="47" t="n"/>
      <c r="Q629" s="47" t="n"/>
      <c r="R629" s="47" t="n"/>
      <c r="V629" s="45" t="n"/>
    </row>
    <row r="630" ht="14.25" customHeight="1" s="142">
      <c r="C630" s="45" t="n"/>
      <c r="D630" s="45" t="n"/>
      <c r="E630" s="45" t="n"/>
      <c r="F630" s="45" t="n"/>
      <c r="G630" s="45" t="n"/>
      <c r="H630" s="45" t="n"/>
      <c r="I630" s="45" t="n"/>
      <c r="J630" s="45" t="n"/>
      <c r="K630" s="45" t="n"/>
      <c r="L630" s="45" t="n"/>
      <c r="N630" s="46" t="n"/>
      <c r="P630" s="47" t="n"/>
      <c r="Q630" s="47" t="n"/>
      <c r="R630" s="47" t="n"/>
      <c r="V630" s="45" t="n"/>
    </row>
    <row r="631" ht="14.25" customHeight="1" s="142">
      <c r="C631" s="45" t="n"/>
      <c r="D631" s="45" t="n"/>
      <c r="E631" s="45" t="n"/>
      <c r="F631" s="45" t="n"/>
      <c r="G631" s="45" t="n"/>
      <c r="H631" s="45" t="n"/>
      <c r="I631" s="45" t="n"/>
      <c r="J631" s="45" t="n"/>
      <c r="K631" s="45" t="n"/>
      <c r="L631" s="45" t="n"/>
      <c r="N631" s="46" t="n"/>
      <c r="P631" s="47" t="n"/>
      <c r="Q631" s="47" t="n"/>
      <c r="R631" s="47" t="n"/>
      <c r="V631" s="45" t="n"/>
    </row>
    <row r="632" ht="14.25" customHeight="1" s="142">
      <c r="C632" s="45" t="n"/>
      <c r="D632" s="45" t="n"/>
      <c r="E632" s="45" t="n"/>
      <c r="F632" s="45" t="n"/>
      <c r="G632" s="45" t="n"/>
      <c r="H632" s="45" t="n"/>
      <c r="I632" s="45" t="n"/>
      <c r="J632" s="45" t="n"/>
      <c r="K632" s="45" t="n"/>
      <c r="L632" s="45" t="n"/>
      <c r="N632" s="46" t="n"/>
      <c r="P632" s="47" t="n"/>
      <c r="Q632" s="47" t="n"/>
      <c r="R632" s="47" t="n"/>
      <c r="V632" s="45" t="n"/>
    </row>
    <row r="633" ht="14.25" customHeight="1" s="142">
      <c r="C633" s="45" t="n"/>
      <c r="D633" s="45" t="n"/>
      <c r="E633" s="45" t="n"/>
      <c r="F633" s="45" t="n"/>
      <c r="G633" s="45" t="n"/>
      <c r="H633" s="45" t="n"/>
      <c r="I633" s="45" t="n"/>
      <c r="J633" s="45" t="n"/>
      <c r="K633" s="45" t="n"/>
      <c r="L633" s="45" t="n"/>
      <c r="N633" s="46" t="n"/>
      <c r="P633" s="47" t="n"/>
      <c r="Q633" s="47" t="n"/>
      <c r="R633" s="47" t="n"/>
      <c r="V633" s="45" t="n"/>
    </row>
    <row r="634" ht="14.25" customHeight="1" s="142">
      <c r="C634" s="45" t="n"/>
      <c r="D634" s="45" t="n"/>
      <c r="E634" s="45" t="n"/>
      <c r="F634" s="45" t="n"/>
      <c r="G634" s="45" t="n"/>
      <c r="H634" s="45" t="n"/>
      <c r="I634" s="45" t="n"/>
      <c r="J634" s="45" t="n"/>
      <c r="K634" s="45" t="n"/>
      <c r="L634" s="45" t="n"/>
      <c r="N634" s="46" t="n"/>
      <c r="P634" s="47" t="n"/>
      <c r="Q634" s="47" t="n"/>
      <c r="R634" s="47" t="n"/>
      <c r="V634" s="45" t="n"/>
    </row>
    <row r="635" ht="14.25" customHeight="1" s="142">
      <c r="C635" s="45" t="n"/>
      <c r="D635" s="45" t="n"/>
      <c r="E635" s="45" t="n"/>
      <c r="F635" s="45" t="n"/>
      <c r="G635" s="45" t="n"/>
      <c r="H635" s="45" t="n"/>
      <c r="I635" s="45" t="n"/>
      <c r="J635" s="45" t="n"/>
      <c r="K635" s="45" t="n"/>
      <c r="L635" s="45" t="n"/>
      <c r="N635" s="46" t="n"/>
      <c r="P635" s="47" t="n"/>
      <c r="Q635" s="47" t="n"/>
      <c r="R635" s="47" t="n"/>
      <c r="V635" s="45" t="n"/>
    </row>
    <row r="636" ht="14.25" customHeight="1" s="142">
      <c r="C636" s="45" t="n"/>
      <c r="D636" s="45" t="n"/>
      <c r="E636" s="45" t="n"/>
      <c r="F636" s="45" t="n"/>
      <c r="G636" s="45" t="n"/>
      <c r="H636" s="45" t="n"/>
      <c r="I636" s="45" t="n"/>
      <c r="J636" s="45" t="n"/>
      <c r="K636" s="45" t="n"/>
      <c r="L636" s="45" t="n"/>
      <c r="N636" s="46" t="n"/>
      <c r="P636" s="47" t="n"/>
      <c r="Q636" s="47" t="n"/>
      <c r="R636" s="47" t="n"/>
      <c r="V636" s="45" t="n"/>
    </row>
    <row r="637" ht="14.25" customHeight="1" s="142">
      <c r="C637" s="45" t="n"/>
      <c r="D637" s="45" t="n"/>
      <c r="E637" s="45" t="n"/>
      <c r="F637" s="45" t="n"/>
      <c r="G637" s="45" t="n"/>
      <c r="H637" s="45" t="n"/>
      <c r="I637" s="45" t="n"/>
      <c r="J637" s="45" t="n"/>
      <c r="K637" s="45" t="n"/>
      <c r="L637" s="45" t="n"/>
      <c r="N637" s="46" t="n"/>
      <c r="P637" s="47" t="n"/>
      <c r="Q637" s="47" t="n"/>
      <c r="R637" s="47" t="n"/>
      <c r="V637" s="45" t="n"/>
    </row>
    <row r="638" ht="14.25" customHeight="1" s="142">
      <c r="C638" s="45" t="n"/>
      <c r="D638" s="45" t="n"/>
      <c r="E638" s="45" t="n"/>
      <c r="F638" s="45" t="n"/>
      <c r="G638" s="45" t="n"/>
      <c r="H638" s="45" t="n"/>
      <c r="I638" s="45" t="n"/>
      <c r="J638" s="45" t="n"/>
      <c r="K638" s="45" t="n"/>
      <c r="L638" s="45" t="n"/>
      <c r="N638" s="46" t="n"/>
      <c r="P638" s="47" t="n"/>
      <c r="Q638" s="47" t="n"/>
      <c r="R638" s="47" t="n"/>
      <c r="V638" s="45" t="n"/>
    </row>
    <row r="639" ht="14.25" customHeight="1" s="142">
      <c r="C639" s="45" t="n"/>
      <c r="D639" s="45" t="n"/>
      <c r="E639" s="45" t="n"/>
      <c r="F639" s="45" t="n"/>
      <c r="G639" s="45" t="n"/>
      <c r="H639" s="45" t="n"/>
      <c r="I639" s="45" t="n"/>
      <c r="J639" s="45" t="n"/>
      <c r="K639" s="45" t="n"/>
      <c r="L639" s="45" t="n"/>
      <c r="N639" s="46" t="n"/>
      <c r="P639" s="47" t="n"/>
      <c r="Q639" s="47" t="n"/>
      <c r="R639" s="47" t="n"/>
      <c r="V639" s="45" t="n"/>
    </row>
    <row r="640" ht="14.25" customHeight="1" s="142">
      <c r="C640" s="45" t="n"/>
      <c r="D640" s="45" t="n"/>
      <c r="E640" s="45" t="n"/>
      <c r="F640" s="45" t="n"/>
      <c r="G640" s="45" t="n"/>
      <c r="H640" s="45" t="n"/>
      <c r="I640" s="45" t="n"/>
      <c r="J640" s="45" t="n"/>
      <c r="K640" s="45" t="n"/>
      <c r="L640" s="45" t="n"/>
      <c r="N640" s="46" t="n"/>
      <c r="P640" s="47" t="n"/>
      <c r="Q640" s="47" t="n"/>
      <c r="R640" s="47" t="n"/>
      <c r="V640" s="45" t="n"/>
    </row>
    <row r="641" ht="14.25" customHeight="1" s="142">
      <c r="C641" s="45" t="n"/>
      <c r="D641" s="45" t="n"/>
      <c r="E641" s="45" t="n"/>
      <c r="F641" s="45" t="n"/>
      <c r="G641" s="45" t="n"/>
      <c r="H641" s="45" t="n"/>
      <c r="I641" s="45" t="n"/>
      <c r="J641" s="45" t="n"/>
      <c r="K641" s="45" t="n"/>
      <c r="L641" s="45" t="n"/>
      <c r="N641" s="46" t="n"/>
      <c r="P641" s="47" t="n"/>
      <c r="Q641" s="47" t="n"/>
      <c r="R641" s="47" t="n"/>
      <c r="V641" s="45" t="n"/>
    </row>
    <row r="642" ht="14.25" customHeight="1" s="142">
      <c r="C642" s="45" t="n"/>
      <c r="D642" s="45" t="n"/>
      <c r="E642" s="45" t="n"/>
      <c r="F642" s="45" t="n"/>
      <c r="G642" s="45" t="n"/>
      <c r="H642" s="45" t="n"/>
      <c r="I642" s="45" t="n"/>
      <c r="J642" s="45" t="n"/>
      <c r="K642" s="45" t="n"/>
      <c r="L642" s="45" t="n"/>
      <c r="N642" s="46" t="n"/>
      <c r="P642" s="47" t="n"/>
      <c r="Q642" s="47" t="n"/>
      <c r="R642" s="47" t="n"/>
      <c r="V642" s="45" t="n"/>
    </row>
    <row r="643" ht="14.25" customHeight="1" s="142">
      <c r="C643" s="45" t="n"/>
      <c r="D643" s="45" t="n"/>
      <c r="E643" s="45" t="n"/>
      <c r="F643" s="45" t="n"/>
      <c r="G643" s="45" t="n"/>
      <c r="H643" s="45" t="n"/>
      <c r="I643" s="45" t="n"/>
      <c r="J643" s="45" t="n"/>
      <c r="K643" s="45" t="n"/>
      <c r="L643" s="45" t="n"/>
      <c r="N643" s="46" t="n"/>
      <c r="P643" s="47" t="n"/>
      <c r="Q643" s="47" t="n"/>
      <c r="R643" s="47" t="n"/>
      <c r="V643" s="45" t="n"/>
    </row>
    <row r="644" ht="14.25" customHeight="1" s="142">
      <c r="C644" s="45" t="n"/>
      <c r="D644" s="45" t="n"/>
      <c r="E644" s="45" t="n"/>
      <c r="F644" s="45" t="n"/>
      <c r="G644" s="45" t="n"/>
      <c r="H644" s="45" t="n"/>
      <c r="I644" s="45" t="n"/>
      <c r="J644" s="45" t="n"/>
      <c r="K644" s="45" t="n"/>
      <c r="L644" s="45" t="n"/>
      <c r="N644" s="46" t="n"/>
      <c r="P644" s="47" t="n"/>
      <c r="Q644" s="47" t="n"/>
      <c r="R644" s="47" t="n"/>
      <c r="V644" s="45" t="n"/>
    </row>
    <row r="645" ht="14.25" customHeight="1" s="142">
      <c r="C645" s="45" t="n"/>
      <c r="D645" s="45" t="n"/>
      <c r="E645" s="45" t="n"/>
      <c r="F645" s="45" t="n"/>
      <c r="G645" s="45" t="n"/>
      <c r="H645" s="45" t="n"/>
      <c r="I645" s="45" t="n"/>
      <c r="J645" s="45" t="n"/>
      <c r="K645" s="45" t="n"/>
      <c r="L645" s="45" t="n"/>
      <c r="N645" s="46" t="n"/>
      <c r="P645" s="47" t="n"/>
      <c r="Q645" s="47" t="n"/>
      <c r="R645" s="47" t="n"/>
      <c r="V645" s="45" t="n"/>
    </row>
    <row r="646" ht="14.25" customHeight="1" s="142">
      <c r="C646" s="45" t="n"/>
      <c r="D646" s="45" t="n"/>
      <c r="E646" s="45" t="n"/>
      <c r="F646" s="45" t="n"/>
      <c r="G646" s="45" t="n"/>
      <c r="H646" s="45" t="n"/>
      <c r="I646" s="45" t="n"/>
      <c r="J646" s="45" t="n"/>
      <c r="K646" s="45" t="n"/>
      <c r="L646" s="45" t="n"/>
      <c r="N646" s="46" t="n"/>
      <c r="P646" s="47" t="n"/>
      <c r="Q646" s="47" t="n"/>
      <c r="R646" s="47" t="n"/>
      <c r="V646" s="45" t="n"/>
    </row>
    <row r="647" ht="14.25" customHeight="1" s="142">
      <c r="C647" s="45" t="n"/>
      <c r="D647" s="45" t="n"/>
      <c r="E647" s="45" t="n"/>
      <c r="F647" s="45" t="n"/>
      <c r="G647" s="45" t="n"/>
      <c r="H647" s="45" t="n"/>
      <c r="I647" s="45" t="n"/>
      <c r="J647" s="45" t="n"/>
      <c r="K647" s="45" t="n"/>
      <c r="L647" s="45" t="n"/>
      <c r="N647" s="46" t="n"/>
      <c r="P647" s="47" t="n"/>
      <c r="Q647" s="47" t="n"/>
      <c r="R647" s="47" t="n"/>
      <c r="V647" s="45" t="n"/>
    </row>
    <row r="648" ht="14.25" customHeight="1" s="142">
      <c r="C648" s="45" t="n"/>
      <c r="D648" s="45" t="n"/>
      <c r="E648" s="45" t="n"/>
      <c r="F648" s="45" t="n"/>
      <c r="G648" s="45" t="n"/>
      <c r="H648" s="45" t="n"/>
      <c r="I648" s="45" t="n"/>
      <c r="J648" s="45" t="n"/>
      <c r="K648" s="45" t="n"/>
      <c r="L648" s="45" t="n"/>
      <c r="N648" s="46" t="n"/>
      <c r="P648" s="47" t="n"/>
      <c r="Q648" s="47" t="n"/>
      <c r="R648" s="47" t="n"/>
      <c r="V648" s="45" t="n"/>
    </row>
    <row r="649" ht="14.25" customHeight="1" s="142">
      <c r="C649" s="45" t="n"/>
      <c r="D649" s="45" t="n"/>
      <c r="E649" s="45" t="n"/>
      <c r="F649" s="45" t="n"/>
      <c r="G649" s="45" t="n"/>
      <c r="H649" s="45" t="n"/>
      <c r="I649" s="45" t="n"/>
      <c r="J649" s="45" t="n"/>
      <c r="K649" s="45" t="n"/>
      <c r="L649" s="45" t="n"/>
      <c r="N649" s="46" t="n"/>
      <c r="P649" s="47" t="n"/>
      <c r="Q649" s="47" t="n"/>
      <c r="R649" s="47" t="n"/>
      <c r="V649" s="45" t="n"/>
    </row>
    <row r="650" ht="14.25" customHeight="1" s="142">
      <c r="C650" s="45" t="n"/>
      <c r="D650" s="45" t="n"/>
      <c r="E650" s="45" t="n"/>
      <c r="F650" s="45" t="n"/>
      <c r="G650" s="45" t="n"/>
      <c r="H650" s="45" t="n"/>
      <c r="I650" s="45" t="n"/>
      <c r="J650" s="45" t="n"/>
      <c r="K650" s="45" t="n"/>
      <c r="L650" s="45" t="n"/>
      <c r="N650" s="46" t="n"/>
      <c r="P650" s="47" t="n"/>
      <c r="Q650" s="47" t="n"/>
      <c r="R650" s="47" t="n"/>
      <c r="V650" s="45" t="n"/>
    </row>
    <row r="651" ht="14.25" customHeight="1" s="142">
      <c r="C651" s="45" t="n"/>
      <c r="D651" s="45" t="n"/>
      <c r="E651" s="45" t="n"/>
      <c r="F651" s="45" t="n"/>
      <c r="G651" s="45" t="n"/>
      <c r="H651" s="45" t="n"/>
      <c r="I651" s="45" t="n"/>
      <c r="J651" s="45" t="n"/>
      <c r="K651" s="45" t="n"/>
      <c r="L651" s="45" t="n"/>
      <c r="N651" s="46" t="n"/>
      <c r="P651" s="47" t="n"/>
      <c r="Q651" s="47" t="n"/>
      <c r="R651" s="47" t="n"/>
      <c r="V651" s="45" t="n"/>
    </row>
    <row r="652" ht="14.25" customHeight="1" s="142">
      <c r="C652" s="45" t="n"/>
      <c r="D652" s="45" t="n"/>
      <c r="E652" s="45" t="n"/>
      <c r="F652" s="45" t="n"/>
      <c r="G652" s="45" t="n"/>
      <c r="H652" s="45" t="n"/>
      <c r="I652" s="45" t="n"/>
      <c r="J652" s="45" t="n"/>
      <c r="K652" s="45" t="n"/>
      <c r="L652" s="45" t="n"/>
      <c r="N652" s="46" t="n"/>
      <c r="P652" s="47" t="n"/>
      <c r="Q652" s="47" t="n"/>
      <c r="R652" s="47" t="n"/>
      <c r="V652" s="45" t="n"/>
    </row>
    <row r="653" ht="14.25" customHeight="1" s="142">
      <c r="C653" s="45" t="n"/>
      <c r="D653" s="45" t="n"/>
      <c r="E653" s="45" t="n"/>
      <c r="F653" s="45" t="n"/>
      <c r="G653" s="45" t="n"/>
      <c r="H653" s="45" t="n"/>
      <c r="I653" s="45" t="n"/>
      <c r="J653" s="45" t="n"/>
      <c r="K653" s="45" t="n"/>
      <c r="L653" s="45" t="n"/>
      <c r="N653" s="46" t="n"/>
      <c r="P653" s="47" t="n"/>
      <c r="Q653" s="47" t="n"/>
      <c r="R653" s="47" t="n"/>
      <c r="V653" s="45" t="n"/>
    </row>
    <row r="654" ht="14.25" customHeight="1" s="142">
      <c r="C654" s="45" t="n"/>
      <c r="D654" s="45" t="n"/>
      <c r="E654" s="45" t="n"/>
      <c r="F654" s="45" t="n"/>
      <c r="G654" s="45" t="n"/>
      <c r="H654" s="45" t="n"/>
      <c r="I654" s="45" t="n"/>
      <c r="J654" s="45" t="n"/>
      <c r="K654" s="45" t="n"/>
      <c r="L654" s="45" t="n"/>
      <c r="N654" s="46" t="n"/>
      <c r="P654" s="47" t="n"/>
      <c r="Q654" s="47" t="n"/>
      <c r="R654" s="47" t="n"/>
      <c r="V654" s="45" t="n"/>
    </row>
    <row r="655" ht="14.25" customHeight="1" s="142">
      <c r="C655" s="45" t="n"/>
      <c r="D655" s="45" t="n"/>
      <c r="E655" s="45" t="n"/>
      <c r="F655" s="45" t="n"/>
      <c r="G655" s="45" t="n"/>
      <c r="H655" s="45" t="n"/>
      <c r="I655" s="45" t="n"/>
      <c r="J655" s="45" t="n"/>
      <c r="K655" s="45" t="n"/>
      <c r="L655" s="45" t="n"/>
      <c r="N655" s="46" t="n"/>
      <c r="P655" s="47" t="n"/>
      <c r="Q655" s="47" t="n"/>
      <c r="R655" s="47" t="n"/>
      <c r="V655" s="45" t="n"/>
    </row>
    <row r="656" ht="14.25" customHeight="1" s="142">
      <c r="C656" s="45" t="n"/>
      <c r="D656" s="45" t="n"/>
      <c r="E656" s="45" t="n"/>
      <c r="F656" s="45" t="n"/>
      <c r="G656" s="45" t="n"/>
      <c r="H656" s="45" t="n"/>
      <c r="I656" s="45" t="n"/>
      <c r="J656" s="45" t="n"/>
      <c r="K656" s="45" t="n"/>
      <c r="L656" s="45" t="n"/>
      <c r="N656" s="46" t="n"/>
      <c r="P656" s="47" t="n"/>
      <c r="Q656" s="47" t="n"/>
      <c r="R656" s="47" t="n"/>
      <c r="V656" s="45" t="n"/>
    </row>
    <row r="657" ht="14.25" customHeight="1" s="142">
      <c r="C657" s="45" t="n"/>
      <c r="D657" s="45" t="n"/>
      <c r="E657" s="45" t="n"/>
      <c r="F657" s="45" t="n"/>
      <c r="G657" s="45" t="n"/>
      <c r="H657" s="45" t="n"/>
      <c r="I657" s="45" t="n"/>
      <c r="J657" s="45" t="n"/>
      <c r="K657" s="45" t="n"/>
      <c r="L657" s="45" t="n"/>
      <c r="N657" s="46" t="n"/>
      <c r="P657" s="47" t="n"/>
      <c r="Q657" s="47" t="n"/>
      <c r="R657" s="47" t="n"/>
      <c r="V657" s="45" t="n"/>
    </row>
    <row r="658" ht="14.25" customHeight="1" s="142">
      <c r="C658" s="45" t="n"/>
      <c r="D658" s="45" t="n"/>
      <c r="E658" s="45" t="n"/>
      <c r="F658" s="45" t="n"/>
      <c r="G658" s="45" t="n"/>
      <c r="H658" s="45" t="n"/>
      <c r="I658" s="45" t="n"/>
      <c r="J658" s="45" t="n"/>
      <c r="K658" s="45" t="n"/>
      <c r="L658" s="45" t="n"/>
      <c r="N658" s="46" t="n"/>
      <c r="P658" s="47" t="n"/>
      <c r="Q658" s="47" t="n"/>
      <c r="R658" s="47" t="n"/>
      <c r="V658" s="45" t="n"/>
    </row>
    <row r="659" ht="14.25" customHeight="1" s="142">
      <c r="C659" s="45" t="n"/>
      <c r="D659" s="45" t="n"/>
      <c r="E659" s="45" t="n"/>
      <c r="F659" s="45" t="n"/>
      <c r="G659" s="45" t="n"/>
      <c r="H659" s="45" t="n"/>
      <c r="I659" s="45" t="n"/>
      <c r="J659" s="45" t="n"/>
      <c r="K659" s="45" t="n"/>
      <c r="L659" s="45" t="n"/>
      <c r="N659" s="46" t="n"/>
      <c r="P659" s="47" t="n"/>
      <c r="Q659" s="47" t="n"/>
      <c r="R659" s="47" t="n"/>
      <c r="V659" s="45" t="n"/>
    </row>
    <row r="660" ht="14.25" customHeight="1" s="142">
      <c r="C660" s="45" t="n"/>
      <c r="D660" s="45" t="n"/>
      <c r="E660" s="45" t="n"/>
      <c r="F660" s="45" t="n"/>
      <c r="G660" s="45" t="n"/>
      <c r="H660" s="45" t="n"/>
      <c r="I660" s="45" t="n"/>
      <c r="J660" s="45" t="n"/>
      <c r="K660" s="45" t="n"/>
      <c r="L660" s="45" t="n"/>
      <c r="N660" s="46" t="n"/>
      <c r="P660" s="47" t="n"/>
      <c r="Q660" s="47" t="n"/>
      <c r="R660" s="47" t="n"/>
      <c r="V660" s="45" t="n"/>
    </row>
    <row r="661" ht="14.25" customHeight="1" s="142">
      <c r="C661" s="45" t="n"/>
      <c r="D661" s="45" t="n"/>
      <c r="E661" s="45" t="n"/>
      <c r="F661" s="45" t="n"/>
      <c r="G661" s="45" t="n"/>
      <c r="H661" s="45" t="n"/>
      <c r="I661" s="45" t="n"/>
      <c r="J661" s="45" t="n"/>
      <c r="K661" s="45" t="n"/>
      <c r="L661" s="45" t="n"/>
      <c r="N661" s="46" t="n"/>
      <c r="P661" s="47" t="n"/>
      <c r="Q661" s="47" t="n"/>
      <c r="R661" s="47" t="n"/>
      <c r="V661" s="45" t="n"/>
    </row>
    <row r="662" ht="14.25" customHeight="1" s="142">
      <c r="C662" s="45" t="n"/>
      <c r="D662" s="45" t="n"/>
      <c r="E662" s="45" t="n"/>
      <c r="F662" s="45" t="n"/>
      <c r="G662" s="45" t="n"/>
      <c r="H662" s="45" t="n"/>
      <c r="I662" s="45" t="n"/>
      <c r="J662" s="45" t="n"/>
      <c r="K662" s="45" t="n"/>
      <c r="L662" s="45" t="n"/>
      <c r="N662" s="46" t="n"/>
      <c r="P662" s="47" t="n"/>
      <c r="Q662" s="47" t="n"/>
      <c r="R662" s="47" t="n"/>
      <c r="V662" s="45" t="n"/>
    </row>
    <row r="663" ht="14.25" customHeight="1" s="142">
      <c r="C663" s="45" t="n"/>
      <c r="D663" s="45" t="n"/>
      <c r="E663" s="45" t="n"/>
      <c r="F663" s="45" t="n"/>
      <c r="G663" s="45" t="n"/>
      <c r="H663" s="45" t="n"/>
      <c r="I663" s="45" t="n"/>
      <c r="J663" s="45" t="n"/>
      <c r="K663" s="45" t="n"/>
      <c r="L663" s="45" t="n"/>
      <c r="N663" s="46" t="n"/>
      <c r="P663" s="47" t="n"/>
      <c r="Q663" s="47" t="n"/>
      <c r="R663" s="47" t="n"/>
      <c r="V663" s="45" t="n"/>
    </row>
    <row r="664" ht="14.25" customHeight="1" s="142">
      <c r="C664" s="45" t="n"/>
      <c r="D664" s="45" t="n"/>
      <c r="E664" s="45" t="n"/>
      <c r="F664" s="45" t="n"/>
      <c r="G664" s="45" t="n"/>
      <c r="H664" s="45" t="n"/>
      <c r="I664" s="45" t="n"/>
      <c r="J664" s="45" t="n"/>
      <c r="K664" s="45" t="n"/>
      <c r="L664" s="45" t="n"/>
      <c r="N664" s="46" t="n"/>
      <c r="P664" s="47" t="n"/>
      <c r="Q664" s="47" t="n"/>
      <c r="R664" s="47" t="n"/>
      <c r="V664" s="45" t="n"/>
    </row>
    <row r="665" ht="14.25" customHeight="1" s="142">
      <c r="C665" s="45" t="n"/>
      <c r="D665" s="45" t="n"/>
      <c r="E665" s="45" t="n"/>
      <c r="F665" s="45" t="n"/>
      <c r="G665" s="45" t="n"/>
      <c r="H665" s="45" t="n"/>
      <c r="I665" s="45" t="n"/>
      <c r="J665" s="45" t="n"/>
      <c r="K665" s="45" t="n"/>
      <c r="L665" s="45" t="n"/>
      <c r="N665" s="46" t="n"/>
      <c r="P665" s="47" t="n"/>
      <c r="Q665" s="47" t="n"/>
      <c r="R665" s="47" t="n"/>
      <c r="V665" s="45" t="n"/>
    </row>
    <row r="666" ht="14.25" customHeight="1" s="142">
      <c r="C666" s="45" t="n"/>
      <c r="D666" s="45" t="n"/>
      <c r="E666" s="45" t="n"/>
      <c r="F666" s="45" t="n"/>
      <c r="G666" s="45" t="n"/>
      <c r="H666" s="45" t="n"/>
      <c r="I666" s="45" t="n"/>
      <c r="J666" s="45" t="n"/>
      <c r="K666" s="45" t="n"/>
      <c r="L666" s="45" t="n"/>
      <c r="N666" s="46" t="n"/>
      <c r="P666" s="47" t="n"/>
      <c r="Q666" s="47" t="n"/>
      <c r="R666" s="47" t="n"/>
      <c r="V666" s="45" t="n"/>
    </row>
    <row r="667" ht="14.25" customHeight="1" s="142">
      <c r="C667" s="45" t="n"/>
      <c r="D667" s="45" t="n"/>
      <c r="E667" s="45" t="n"/>
      <c r="F667" s="45" t="n"/>
      <c r="G667" s="45" t="n"/>
      <c r="H667" s="45" t="n"/>
      <c r="I667" s="45" t="n"/>
      <c r="J667" s="45" t="n"/>
      <c r="K667" s="45" t="n"/>
      <c r="L667" s="45" t="n"/>
      <c r="N667" s="46" t="n"/>
      <c r="P667" s="47" t="n"/>
      <c r="Q667" s="47" t="n"/>
      <c r="R667" s="47" t="n"/>
      <c r="V667" s="45" t="n"/>
    </row>
    <row r="668" ht="14.25" customHeight="1" s="142">
      <c r="C668" s="45" t="n"/>
      <c r="D668" s="45" t="n"/>
      <c r="E668" s="45" t="n"/>
      <c r="F668" s="45" t="n"/>
      <c r="G668" s="45" t="n"/>
      <c r="H668" s="45" t="n"/>
      <c r="I668" s="45" t="n"/>
      <c r="J668" s="45" t="n"/>
      <c r="K668" s="45" t="n"/>
      <c r="L668" s="45" t="n"/>
      <c r="N668" s="46" t="n"/>
      <c r="P668" s="47" t="n"/>
      <c r="Q668" s="47" t="n"/>
      <c r="R668" s="47" t="n"/>
      <c r="V668" s="45" t="n"/>
    </row>
    <row r="669" ht="14.25" customHeight="1" s="142">
      <c r="C669" s="45" t="n"/>
      <c r="D669" s="45" t="n"/>
      <c r="E669" s="45" t="n"/>
      <c r="F669" s="45" t="n"/>
      <c r="G669" s="45" t="n"/>
      <c r="H669" s="45" t="n"/>
      <c r="I669" s="45" t="n"/>
      <c r="J669" s="45" t="n"/>
      <c r="K669" s="45" t="n"/>
      <c r="L669" s="45" t="n"/>
      <c r="N669" s="46" t="n"/>
      <c r="P669" s="47" t="n"/>
      <c r="Q669" s="47" t="n"/>
      <c r="R669" s="47" t="n"/>
      <c r="V669" s="45" t="n"/>
    </row>
    <row r="670" ht="14.25" customHeight="1" s="142">
      <c r="C670" s="45" t="n"/>
      <c r="D670" s="45" t="n"/>
      <c r="E670" s="45" t="n"/>
      <c r="F670" s="45" t="n"/>
      <c r="G670" s="45" t="n"/>
      <c r="H670" s="45" t="n"/>
      <c r="I670" s="45" t="n"/>
      <c r="J670" s="45" t="n"/>
      <c r="K670" s="45" t="n"/>
      <c r="L670" s="45" t="n"/>
      <c r="N670" s="46" t="n"/>
      <c r="P670" s="47" t="n"/>
      <c r="Q670" s="47" t="n"/>
      <c r="R670" s="47" t="n"/>
      <c r="V670" s="45" t="n"/>
    </row>
    <row r="671" ht="14.25" customHeight="1" s="142">
      <c r="C671" s="45" t="n"/>
      <c r="D671" s="45" t="n"/>
      <c r="E671" s="45" t="n"/>
      <c r="F671" s="45" t="n"/>
      <c r="G671" s="45" t="n"/>
      <c r="H671" s="45" t="n"/>
      <c r="I671" s="45" t="n"/>
      <c r="J671" s="45" t="n"/>
      <c r="K671" s="45" t="n"/>
      <c r="L671" s="45" t="n"/>
      <c r="N671" s="46" t="n"/>
      <c r="P671" s="47" t="n"/>
      <c r="Q671" s="47" t="n"/>
      <c r="R671" s="47" t="n"/>
      <c r="V671" s="45" t="n"/>
    </row>
    <row r="672" ht="14.25" customHeight="1" s="142">
      <c r="C672" s="45" t="n"/>
      <c r="D672" s="45" t="n"/>
      <c r="E672" s="45" t="n"/>
      <c r="F672" s="45" t="n"/>
      <c r="G672" s="45" t="n"/>
      <c r="H672" s="45" t="n"/>
      <c r="I672" s="45" t="n"/>
      <c r="J672" s="45" t="n"/>
      <c r="K672" s="45" t="n"/>
      <c r="L672" s="45" t="n"/>
      <c r="N672" s="46" t="n"/>
      <c r="P672" s="47" t="n"/>
      <c r="Q672" s="47" t="n"/>
      <c r="R672" s="47" t="n"/>
      <c r="V672" s="45" t="n"/>
    </row>
    <row r="673" ht="14.25" customHeight="1" s="142">
      <c r="C673" s="45" t="n"/>
      <c r="D673" s="45" t="n"/>
      <c r="E673" s="45" t="n"/>
      <c r="F673" s="45" t="n"/>
      <c r="G673" s="45" t="n"/>
      <c r="H673" s="45" t="n"/>
      <c r="I673" s="45" t="n"/>
      <c r="J673" s="45" t="n"/>
      <c r="K673" s="45" t="n"/>
      <c r="L673" s="45" t="n"/>
      <c r="N673" s="46" t="n"/>
      <c r="P673" s="47" t="n"/>
      <c r="Q673" s="47" t="n"/>
      <c r="R673" s="47" t="n"/>
      <c r="V673" s="45" t="n"/>
    </row>
    <row r="674" ht="14.25" customHeight="1" s="142">
      <c r="C674" s="45" t="n"/>
      <c r="D674" s="45" t="n"/>
      <c r="E674" s="45" t="n"/>
      <c r="F674" s="45" t="n"/>
      <c r="G674" s="45" t="n"/>
      <c r="H674" s="45" t="n"/>
      <c r="I674" s="45" t="n"/>
      <c r="J674" s="45" t="n"/>
      <c r="K674" s="45" t="n"/>
      <c r="L674" s="45" t="n"/>
      <c r="N674" s="46" t="n"/>
      <c r="P674" s="47" t="n"/>
      <c r="Q674" s="47" t="n"/>
      <c r="R674" s="47" t="n"/>
      <c r="V674" s="45" t="n"/>
    </row>
    <row r="675" ht="14.25" customHeight="1" s="142">
      <c r="C675" s="45" t="n"/>
      <c r="D675" s="45" t="n"/>
      <c r="E675" s="45" t="n"/>
      <c r="F675" s="45" t="n"/>
      <c r="G675" s="45" t="n"/>
      <c r="H675" s="45" t="n"/>
      <c r="I675" s="45" t="n"/>
      <c r="J675" s="45" t="n"/>
      <c r="K675" s="45" t="n"/>
      <c r="L675" s="45" t="n"/>
      <c r="N675" s="46" t="n"/>
      <c r="P675" s="47" t="n"/>
      <c r="Q675" s="47" t="n"/>
      <c r="R675" s="47" t="n"/>
      <c r="V675" s="45" t="n"/>
    </row>
    <row r="676" ht="14.25" customHeight="1" s="142">
      <c r="C676" s="45" t="n"/>
      <c r="D676" s="45" t="n"/>
      <c r="E676" s="45" t="n"/>
      <c r="F676" s="45" t="n"/>
      <c r="G676" s="45" t="n"/>
      <c r="H676" s="45" t="n"/>
      <c r="I676" s="45" t="n"/>
      <c r="J676" s="45" t="n"/>
      <c r="K676" s="45" t="n"/>
      <c r="L676" s="45" t="n"/>
      <c r="N676" s="46" t="n"/>
      <c r="P676" s="47" t="n"/>
      <c r="Q676" s="47" t="n"/>
      <c r="R676" s="47" t="n"/>
      <c r="V676" s="45" t="n"/>
    </row>
    <row r="677" ht="14.25" customHeight="1" s="142">
      <c r="C677" s="45" t="n"/>
      <c r="D677" s="45" t="n"/>
      <c r="E677" s="45" t="n"/>
      <c r="F677" s="45" t="n"/>
      <c r="G677" s="45" t="n"/>
      <c r="H677" s="45" t="n"/>
      <c r="I677" s="45" t="n"/>
      <c r="J677" s="45" t="n"/>
      <c r="K677" s="45" t="n"/>
      <c r="L677" s="45" t="n"/>
      <c r="N677" s="46" t="n"/>
      <c r="P677" s="47" t="n"/>
      <c r="Q677" s="47" t="n"/>
      <c r="R677" s="47" t="n"/>
      <c r="V677" s="45" t="n"/>
    </row>
    <row r="678" ht="14.25" customHeight="1" s="142">
      <c r="C678" s="45" t="n"/>
      <c r="D678" s="45" t="n"/>
      <c r="E678" s="45" t="n"/>
      <c r="F678" s="45" t="n"/>
      <c r="G678" s="45" t="n"/>
      <c r="H678" s="45" t="n"/>
      <c r="I678" s="45" t="n"/>
      <c r="J678" s="45" t="n"/>
      <c r="K678" s="45" t="n"/>
      <c r="L678" s="45" t="n"/>
      <c r="N678" s="46" t="n"/>
      <c r="P678" s="47" t="n"/>
      <c r="Q678" s="47" t="n"/>
      <c r="R678" s="47" t="n"/>
      <c r="V678" s="45" t="n"/>
    </row>
    <row r="679" ht="14.25" customHeight="1" s="142">
      <c r="C679" s="45" t="n"/>
      <c r="D679" s="45" t="n"/>
      <c r="E679" s="45" t="n"/>
      <c r="F679" s="45" t="n"/>
      <c r="G679" s="45" t="n"/>
      <c r="H679" s="45" t="n"/>
      <c r="I679" s="45" t="n"/>
      <c r="J679" s="45" t="n"/>
      <c r="K679" s="45" t="n"/>
      <c r="L679" s="45" t="n"/>
      <c r="N679" s="46" t="n"/>
      <c r="P679" s="47" t="n"/>
      <c r="Q679" s="47" t="n"/>
      <c r="R679" s="47" t="n"/>
      <c r="V679" s="45" t="n"/>
    </row>
    <row r="680" ht="14.25" customHeight="1" s="142">
      <c r="C680" s="45" t="n"/>
      <c r="D680" s="45" t="n"/>
      <c r="E680" s="45" t="n"/>
      <c r="F680" s="45" t="n"/>
      <c r="G680" s="45" t="n"/>
      <c r="H680" s="45" t="n"/>
      <c r="I680" s="45" t="n"/>
      <c r="J680" s="45" t="n"/>
      <c r="K680" s="45" t="n"/>
      <c r="L680" s="45" t="n"/>
      <c r="N680" s="46" t="n"/>
      <c r="P680" s="47" t="n"/>
      <c r="Q680" s="47" t="n"/>
      <c r="R680" s="47" t="n"/>
      <c r="V680" s="45" t="n"/>
    </row>
    <row r="681" ht="14.25" customHeight="1" s="142">
      <c r="C681" s="45" t="n"/>
      <c r="D681" s="45" t="n"/>
      <c r="E681" s="45" t="n"/>
      <c r="F681" s="45" t="n"/>
      <c r="G681" s="45" t="n"/>
      <c r="H681" s="45" t="n"/>
      <c r="I681" s="45" t="n"/>
      <c r="J681" s="45" t="n"/>
      <c r="K681" s="45" t="n"/>
      <c r="L681" s="45" t="n"/>
      <c r="N681" s="46" t="n"/>
      <c r="P681" s="47" t="n"/>
      <c r="Q681" s="47" t="n"/>
      <c r="R681" s="47" t="n"/>
      <c r="V681" s="45" t="n"/>
    </row>
    <row r="682" ht="14.25" customHeight="1" s="142">
      <c r="C682" s="45" t="n"/>
      <c r="D682" s="45" t="n"/>
      <c r="E682" s="45" t="n"/>
      <c r="F682" s="45" t="n"/>
      <c r="G682" s="45" t="n"/>
      <c r="H682" s="45" t="n"/>
      <c r="I682" s="45" t="n"/>
      <c r="J682" s="45" t="n"/>
      <c r="K682" s="45" t="n"/>
      <c r="L682" s="45" t="n"/>
      <c r="N682" s="46" t="n"/>
      <c r="P682" s="47" t="n"/>
      <c r="Q682" s="47" t="n"/>
      <c r="R682" s="47" t="n"/>
      <c r="V682" s="45" t="n"/>
    </row>
    <row r="683" ht="14.25" customHeight="1" s="142">
      <c r="C683" s="45" t="n"/>
      <c r="D683" s="45" t="n"/>
      <c r="E683" s="45" t="n"/>
      <c r="F683" s="45" t="n"/>
      <c r="G683" s="45" t="n"/>
      <c r="H683" s="45" t="n"/>
      <c r="I683" s="45" t="n"/>
      <c r="J683" s="45" t="n"/>
      <c r="K683" s="45" t="n"/>
      <c r="L683" s="45" t="n"/>
      <c r="N683" s="46" t="n"/>
      <c r="P683" s="47" t="n"/>
      <c r="Q683" s="47" t="n"/>
      <c r="R683" s="47" t="n"/>
      <c r="V683" s="45" t="n"/>
    </row>
    <row r="684" ht="14.25" customHeight="1" s="142">
      <c r="C684" s="45" t="n"/>
      <c r="D684" s="45" t="n"/>
      <c r="E684" s="45" t="n"/>
      <c r="F684" s="45" t="n"/>
      <c r="G684" s="45" t="n"/>
      <c r="H684" s="45" t="n"/>
      <c r="I684" s="45" t="n"/>
      <c r="J684" s="45" t="n"/>
      <c r="K684" s="45" t="n"/>
      <c r="L684" s="45" t="n"/>
      <c r="N684" s="46" t="n"/>
      <c r="P684" s="47" t="n"/>
      <c r="Q684" s="47" t="n"/>
      <c r="R684" s="47" t="n"/>
      <c r="V684" s="45" t="n"/>
    </row>
    <row r="685" ht="14.25" customHeight="1" s="142">
      <c r="C685" s="45" t="n"/>
      <c r="D685" s="45" t="n"/>
      <c r="E685" s="45" t="n"/>
      <c r="F685" s="45" t="n"/>
      <c r="G685" s="45" t="n"/>
      <c r="H685" s="45" t="n"/>
      <c r="I685" s="45" t="n"/>
      <c r="J685" s="45" t="n"/>
      <c r="K685" s="45" t="n"/>
      <c r="L685" s="45" t="n"/>
      <c r="N685" s="46" t="n"/>
      <c r="P685" s="47" t="n"/>
      <c r="Q685" s="47" t="n"/>
      <c r="R685" s="47" t="n"/>
      <c r="V685" s="45" t="n"/>
    </row>
    <row r="686" ht="14.25" customHeight="1" s="142">
      <c r="C686" s="45" t="n"/>
      <c r="D686" s="45" t="n"/>
      <c r="E686" s="45" t="n"/>
      <c r="F686" s="45" t="n"/>
      <c r="G686" s="45" t="n"/>
      <c r="H686" s="45" t="n"/>
      <c r="I686" s="45" t="n"/>
      <c r="J686" s="45" t="n"/>
      <c r="K686" s="45" t="n"/>
      <c r="L686" s="45" t="n"/>
      <c r="N686" s="46" t="n"/>
      <c r="P686" s="47" t="n"/>
      <c r="Q686" s="47" t="n"/>
      <c r="R686" s="47" t="n"/>
      <c r="V686" s="45" t="n"/>
    </row>
    <row r="687" ht="14.25" customHeight="1" s="142">
      <c r="C687" s="45" t="n"/>
      <c r="D687" s="45" t="n"/>
      <c r="E687" s="45" t="n"/>
      <c r="F687" s="45" t="n"/>
      <c r="G687" s="45" t="n"/>
      <c r="H687" s="45" t="n"/>
      <c r="I687" s="45" t="n"/>
      <c r="J687" s="45" t="n"/>
      <c r="K687" s="45" t="n"/>
      <c r="L687" s="45" t="n"/>
      <c r="N687" s="46" t="n"/>
      <c r="P687" s="47" t="n"/>
      <c r="Q687" s="47" t="n"/>
      <c r="R687" s="47" t="n"/>
      <c r="V687" s="45" t="n"/>
    </row>
    <row r="688" ht="14.25" customHeight="1" s="142">
      <c r="C688" s="45" t="n"/>
      <c r="D688" s="45" t="n"/>
      <c r="E688" s="45" t="n"/>
      <c r="F688" s="45" t="n"/>
      <c r="G688" s="45" t="n"/>
      <c r="H688" s="45" t="n"/>
      <c r="I688" s="45" t="n"/>
      <c r="J688" s="45" t="n"/>
      <c r="K688" s="45" t="n"/>
      <c r="L688" s="45" t="n"/>
      <c r="N688" s="46" t="n"/>
      <c r="P688" s="47" t="n"/>
      <c r="Q688" s="47" t="n"/>
      <c r="R688" s="47" t="n"/>
      <c r="V688" s="45" t="n"/>
    </row>
    <row r="689" ht="14.25" customHeight="1" s="142">
      <c r="C689" s="45" t="n"/>
      <c r="D689" s="45" t="n"/>
      <c r="E689" s="45" t="n"/>
      <c r="F689" s="45" t="n"/>
      <c r="G689" s="45" t="n"/>
      <c r="H689" s="45" t="n"/>
      <c r="I689" s="45" t="n"/>
      <c r="J689" s="45" t="n"/>
      <c r="K689" s="45" t="n"/>
      <c r="L689" s="45" t="n"/>
      <c r="N689" s="46" t="n"/>
      <c r="P689" s="47" t="n"/>
      <c r="Q689" s="47" t="n"/>
      <c r="R689" s="47" t="n"/>
      <c r="V689" s="45" t="n"/>
    </row>
    <row r="690" ht="14.25" customHeight="1" s="142">
      <c r="C690" s="45" t="n"/>
      <c r="D690" s="45" t="n"/>
      <c r="E690" s="45" t="n"/>
      <c r="F690" s="45" t="n"/>
      <c r="G690" s="45" t="n"/>
      <c r="H690" s="45" t="n"/>
      <c r="I690" s="45" t="n"/>
      <c r="J690" s="45" t="n"/>
      <c r="K690" s="45" t="n"/>
      <c r="L690" s="45" t="n"/>
      <c r="N690" s="46" t="n"/>
      <c r="P690" s="47" t="n"/>
      <c r="Q690" s="47" t="n"/>
      <c r="R690" s="47" t="n"/>
      <c r="V690" s="45" t="n"/>
    </row>
    <row r="691" ht="14.25" customHeight="1" s="142">
      <c r="C691" s="45" t="n"/>
      <c r="D691" s="45" t="n"/>
      <c r="E691" s="45" t="n"/>
      <c r="F691" s="45" t="n"/>
      <c r="G691" s="45" t="n"/>
      <c r="H691" s="45" t="n"/>
      <c r="I691" s="45" t="n"/>
      <c r="J691" s="45" t="n"/>
      <c r="K691" s="45" t="n"/>
      <c r="L691" s="45" t="n"/>
      <c r="N691" s="46" t="n"/>
      <c r="P691" s="47" t="n"/>
      <c r="Q691" s="47" t="n"/>
      <c r="R691" s="47" t="n"/>
      <c r="V691" s="45" t="n"/>
    </row>
    <row r="692" ht="14.25" customHeight="1" s="142">
      <c r="C692" s="45" t="n"/>
      <c r="D692" s="45" t="n"/>
      <c r="E692" s="45" t="n"/>
      <c r="F692" s="45" t="n"/>
      <c r="G692" s="45" t="n"/>
      <c r="H692" s="45" t="n"/>
      <c r="I692" s="45" t="n"/>
      <c r="J692" s="45" t="n"/>
      <c r="K692" s="45" t="n"/>
      <c r="L692" s="45" t="n"/>
      <c r="N692" s="46" t="n"/>
      <c r="P692" s="47" t="n"/>
      <c r="Q692" s="47" t="n"/>
      <c r="R692" s="47" t="n"/>
      <c r="V692" s="45" t="n"/>
    </row>
    <row r="693" ht="14.25" customHeight="1" s="142">
      <c r="C693" s="45" t="n"/>
      <c r="D693" s="45" t="n"/>
      <c r="E693" s="45" t="n"/>
      <c r="F693" s="45" t="n"/>
      <c r="G693" s="45" t="n"/>
      <c r="H693" s="45" t="n"/>
      <c r="I693" s="45" t="n"/>
      <c r="J693" s="45" t="n"/>
      <c r="K693" s="45" t="n"/>
      <c r="L693" s="45" t="n"/>
      <c r="N693" s="46" t="n"/>
      <c r="P693" s="47" t="n"/>
      <c r="Q693" s="47" t="n"/>
      <c r="R693" s="47" t="n"/>
      <c r="V693" s="45" t="n"/>
    </row>
    <row r="694" ht="14.25" customHeight="1" s="142">
      <c r="C694" s="45" t="n"/>
      <c r="D694" s="45" t="n"/>
      <c r="E694" s="45" t="n"/>
      <c r="F694" s="45" t="n"/>
      <c r="G694" s="45" t="n"/>
      <c r="H694" s="45" t="n"/>
      <c r="I694" s="45" t="n"/>
      <c r="J694" s="45" t="n"/>
      <c r="K694" s="45" t="n"/>
      <c r="L694" s="45" t="n"/>
      <c r="N694" s="46" t="n"/>
      <c r="P694" s="47" t="n"/>
      <c r="Q694" s="47" t="n"/>
      <c r="R694" s="47" t="n"/>
      <c r="V694" s="45" t="n"/>
    </row>
    <row r="695" ht="14.25" customHeight="1" s="142">
      <c r="C695" s="45" t="n"/>
      <c r="D695" s="45" t="n"/>
      <c r="E695" s="45" t="n"/>
      <c r="F695" s="45" t="n"/>
      <c r="G695" s="45" t="n"/>
      <c r="H695" s="45" t="n"/>
      <c r="I695" s="45" t="n"/>
      <c r="J695" s="45" t="n"/>
      <c r="K695" s="45" t="n"/>
      <c r="L695" s="45" t="n"/>
      <c r="N695" s="46" t="n"/>
      <c r="P695" s="47" t="n"/>
      <c r="Q695" s="47" t="n"/>
      <c r="R695" s="47" t="n"/>
      <c r="V695" s="45" t="n"/>
    </row>
    <row r="696" ht="14.25" customHeight="1" s="142">
      <c r="C696" s="45" t="n"/>
      <c r="D696" s="45" t="n"/>
      <c r="E696" s="45" t="n"/>
      <c r="F696" s="45" t="n"/>
      <c r="G696" s="45" t="n"/>
      <c r="H696" s="45" t="n"/>
      <c r="I696" s="45" t="n"/>
      <c r="J696" s="45" t="n"/>
      <c r="K696" s="45" t="n"/>
      <c r="L696" s="45" t="n"/>
      <c r="N696" s="46" t="n"/>
      <c r="P696" s="47" t="n"/>
      <c r="Q696" s="47" t="n"/>
      <c r="R696" s="47" t="n"/>
      <c r="V696" s="45" t="n"/>
    </row>
    <row r="697" ht="14.25" customHeight="1" s="142">
      <c r="C697" s="45" t="n"/>
      <c r="D697" s="45" t="n"/>
      <c r="E697" s="45" t="n"/>
      <c r="F697" s="45" t="n"/>
      <c r="G697" s="45" t="n"/>
      <c r="H697" s="45" t="n"/>
      <c r="I697" s="45" t="n"/>
      <c r="J697" s="45" t="n"/>
      <c r="K697" s="45" t="n"/>
      <c r="L697" s="45" t="n"/>
      <c r="N697" s="46" t="n"/>
      <c r="P697" s="47" t="n"/>
      <c r="Q697" s="47" t="n"/>
      <c r="R697" s="47" t="n"/>
      <c r="V697" s="45" t="n"/>
    </row>
    <row r="698" ht="14.25" customHeight="1" s="142">
      <c r="C698" s="45" t="n"/>
      <c r="D698" s="45" t="n"/>
      <c r="E698" s="45" t="n"/>
      <c r="F698" s="45" t="n"/>
      <c r="G698" s="45" t="n"/>
      <c r="H698" s="45" t="n"/>
      <c r="I698" s="45" t="n"/>
      <c r="J698" s="45" t="n"/>
      <c r="K698" s="45" t="n"/>
      <c r="L698" s="45" t="n"/>
      <c r="N698" s="46" t="n"/>
      <c r="P698" s="47" t="n"/>
      <c r="Q698" s="47" t="n"/>
      <c r="R698" s="47" t="n"/>
      <c r="V698" s="45" t="n"/>
    </row>
    <row r="699" ht="14.25" customHeight="1" s="142">
      <c r="C699" s="45" t="n"/>
      <c r="D699" s="45" t="n"/>
      <c r="E699" s="45" t="n"/>
      <c r="F699" s="45" t="n"/>
      <c r="G699" s="45" t="n"/>
      <c r="H699" s="45" t="n"/>
      <c r="I699" s="45" t="n"/>
      <c r="J699" s="45" t="n"/>
      <c r="K699" s="45" t="n"/>
      <c r="L699" s="45" t="n"/>
      <c r="N699" s="46" t="n"/>
      <c r="P699" s="47" t="n"/>
      <c r="Q699" s="47" t="n"/>
      <c r="R699" s="47" t="n"/>
      <c r="V699" s="45" t="n"/>
    </row>
    <row r="700" ht="14.25" customHeight="1" s="142">
      <c r="C700" s="45" t="n"/>
      <c r="D700" s="45" t="n"/>
      <c r="E700" s="45" t="n"/>
      <c r="F700" s="45" t="n"/>
      <c r="G700" s="45" t="n"/>
      <c r="H700" s="45" t="n"/>
      <c r="I700" s="45" t="n"/>
      <c r="J700" s="45" t="n"/>
      <c r="K700" s="45" t="n"/>
      <c r="L700" s="45" t="n"/>
      <c r="N700" s="46" t="n"/>
      <c r="P700" s="47" t="n"/>
      <c r="Q700" s="47" t="n"/>
      <c r="R700" s="47" t="n"/>
      <c r="V700" s="45" t="n"/>
    </row>
    <row r="701" ht="14.25" customHeight="1" s="142">
      <c r="C701" s="45" t="n"/>
      <c r="D701" s="45" t="n"/>
      <c r="E701" s="45" t="n"/>
      <c r="F701" s="45" t="n"/>
      <c r="G701" s="45" t="n"/>
      <c r="H701" s="45" t="n"/>
      <c r="I701" s="45" t="n"/>
      <c r="J701" s="45" t="n"/>
      <c r="K701" s="45" t="n"/>
      <c r="L701" s="45" t="n"/>
      <c r="N701" s="46" t="n"/>
      <c r="P701" s="47" t="n"/>
      <c r="Q701" s="47" t="n"/>
      <c r="R701" s="47" t="n"/>
      <c r="V701" s="45" t="n"/>
    </row>
    <row r="702" ht="14.25" customHeight="1" s="142">
      <c r="C702" s="45" t="n"/>
      <c r="D702" s="45" t="n"/>
      <c r="E702" s="45" t="n"/>
      <c r="F702" s="45" t="n"/>
      <c r="G702" s="45" t="n"/>
      <c r="H702" s="45" t="n"/>
      <c r="I702" s="45" t="n"/>
      <c r="J702" s="45" t="n"/>
      <c r="K702" s="45" t="n"/>
      <c r="L702" s="45" t="n"/>
      <c r="N702" s="46" t="n"/>
      <c r="P702" s="47" t="n"/>
      <c r="Q702" s="47" t="n"/>
      <c r="R702" s="47" t="n"/>
      <c r="V702" s="45" t="n"/>
    </row>
    <row r="703" ht="14.25" customHeight="1" s="142">
      <c r="C703" s="45" t="n"/>
      <c r="D703" s="45" t="n"/>
      <c r="E703" s="45" t="n"/>
      <c r="F703" s="45" t="n"/>
      <c r="G703" s="45" t="n"/>
      <c r="H703" s="45" t="n"/>
      <c r="I703" s="45" t="n"/>
      <c r="J703" s="45" t="n"/>
      <c r="K703" s="45" t="n"/>
      <c r="L703" s="45" t="n"/>
      <c r="N703" s="46" t="n"/>
      <c r="P703" s="47" t="n"/>
      <c r="Q703" s="47" t="n"/>
      <c r="R703" s="47" t="n"/>
      <c r="V703" s="45" t="n"/>
    </row>
    <row r="704" ht="14.25" customHeight="1" s="142">
      <c r="C704" s="45" t="n"/>
      <c r="D704" s="45" t="n"/>
      <c r="E704" s="45" t="n"/>
      <c r="F704" s="45" t="n"/>
      <c r="G704" s="45" t="n"/>
      <c r="H704" s="45" t="n"/>
      <c r="I704" s="45" t="n"/>
      <c r="J704" s="45" t="n"/>
      <c r="K704" s="45" t="n"/>
      <c r="L704" s="45" t="n"/>
      <c r="N704" s="46" t="n"/>
      <c r="P704" s="47" t="n"/>
      <c r="Q704" s="47" t="n"/>
      <c r="R704" s="47" t="n"/>
      <c r="V704" s="45" t="n"/>
    </row>
    <row r="705" ht="14.25" customHeight="1" s="142">
      <c r="C705" s="45" t="n"/>
      <c r="D705" s="45" t="n"/>
      <c r="E705" s="45" t="n"/>
      <c r="F705" s="45" t="n"/>
      <c r="G705" s="45" t="n"/>
      <c r="H705" s="45" t="n"/>
      <c r="I705" s="45" t="n"/>
      <c r="J705" s="45" t="n"/>
      <c r="K705" s="45" t="n"/>
      <c r="L705" s="45" t="n"/>
      <c r="N705" s="46" t="n"/>
      <c r="P705" s="47" t="n"/>
      <c r="Q705" s="47" t="n"/>
      <c r="R705" s="47" t="n"/>
      <c r="V705" s="45" t="n"/>
    </row>
    <row r="706" ht="14.25" customHeight="1" s="142">
      <c r="C706" s="45" t="n"/>
      <c r="D706" s="45" t="n"/>
      <c r="E706" s="45" t="n"/>
      <c r="F706" s="45" t="n"/>
      <c r="G706" s="45" t="n"/>
      <c r="H706" s="45" t="n"/>
      <c r="I706" s="45" t="n"/>
      <c r="J706" s="45" t="n"/>
      <c r="K706" s="45" t="n"/>
      <c r="L706" s="45" t="n"/>
      <c r="N706" s="46" t="n"/>
      <c r="P706" s="47" t="n"/>
      <c r="Q706" s="47" t="n"/>
      <c r="R706" s="47" t="n"/>
      <c r="V706" s="45" t="n"/>
    </row>
    <row r="707" ht="14.25" customHeight="1" s="142">
      <c r="C707" s="45" t="n"/>
      <c r="D707" s="45" t="n"/>
      <c r="E707" s="45" t="n"/>
      <c r="F707" s="45" t="n"/>
      <c r="G707" s="45" t="n"/>
      <c r="H707" s="45" t="n"/>
      <c r="I707" s="45" t="n"/>
      <c r="J707" s="45" t="n"/>
      <c r="K707" s="45" t="n"/>
      <c r="L707" s="45" t="n"/>
      <c r="N707" s="46" t="n"/>
      <c r="P707" s="47" t="n"/>
      <c r="Q707" s="47" t="n"/>
      <c r="R707" s="47" t="n"/>
      <c r="V707" s="45" t="n"/>
    </row>
    <row r="708" ht="14.25" customHeight="1" s="142">
      <c r="C708" s="45" t="n"/>
      <c r="D708" s="45" t="n"/>
      <c r="E708" s="45" t="n"/>
      <c r="F708" s="45" t="n"/>
      <c r="G708" s="45" t="n"/>
      <c r="H708" s="45" t="n"/>
      <c r="I708" s="45" t="n"/>
      <c r="J708" s="45" t="n"/>
      <c r="K708" s="45" t="n"/>
      <c r="L708" s="45" t="n"/>
      <c r="N708" s="46" t="n"/>
      <c r="P708" s="47" t="n"/>
      <c r="Q708" s="47" t="n"/>
      <c r="R708" s="47" t="n"/>
      <c r="V708" s="45" t="n"/>
    </row>
    <row r="709" ht="14.25" customHeight="1" s="142">
      <c r="C709" s="45" t="n"/>
      <c r="D709" s="45" t="n"/>
      <c r="E709" s="45" t="n"/>
      <c r="F709" s="45" t="n"/>
      <c r="G709" s="45" t="n"/>
      <c r="H709" s="45" t="n"/>
      <c r="I709" s="45" t="n"/>
      <c r="J709" s="45" t="n"/>
      <c r="K709" s="45" t="n"/>
      <c r="L709" s="45" t="n"/>
      <c r="N709" s="46" t="n"/>
      <c r="P709" s="47" t="n"/>
      <c r="Q709" s="47" t="n"/>
      <c r="R709" s="47" t="n"/>
      <c r="V709" s="45" t="n"/>
    </row>
    <row r="710" ht="14.25" customHeight="1" s="142">
      <c r="C710" s="45" t="n"/>
      <c r="D710" s="45" t="n"/>
      <c r="E710" s="45" t="n"/>
      <c r="F710" s="45" t="n"/>
      <c r="G710" s="45" t="n"/>
      <c r="H710" s="45" t="n"/>
      <c r="I710" s="45" t="n"/>
      <c r="J710" s="45" t="n"/>
      <c r="K710" s="45" t="n"/>
      <c r="L710" s="45" t="n"/>
      <c r="N710" s="46" t="n"/>
      <c r="P710" s="47" t="n"/>
      <c r="Q710" s="47" t="n"/>
      <c r="R710" s="47" t="n"/>
      <c r="V710" s="45" t="n"/>
    </row>
    <row r="711" ht="14.25" customHeight="1" s="142">
      <c r="C711" s="45" t="n"/>
      <c r="D711" s="45" t="n"/>
      <c r="E711" s="45" t="n"/>
      <c r="F711" s="45" t="n"/>
      <c r="G711" s="45" t="n"/>
      <c r="H711" s="45" t="n"/>
      <c r="I711" s="45" t="n"/>
      <c r="J711" s="45" t="n"/>
      <c r="K711" s="45" t="n"/>
      <c r="L711" s="45" t="n"/>
      <c r="N711" s="46" t="n"/>
      <c r="P711" s="47" t="n"/>
      <c r="Q711" s="47" t="n"/>
      <c r="R711" s="47" t="n"/>
      <c r="V711" s="45" t="n"/>
    </row>
    <row r="712" ht="14.25" customHeight="1" s="142">
      <c r="C712" s="45" t="n"/>
      <c r="D712" s="45" t="n"/>
      <c r="E712" s="45" t="n"/>
      <c r="F712" s="45" t="n"/>
      <c r="G712" s="45" t="n"/>
      <c r="H712" s="45" t="n"/>
      <c r="I712" s="45" t="n"/>
      <c r="J712" s="45" t="n"/>
      <c r="K712" s="45" t="n"/>
      <c r="L712" s="45" t="n"/>
      <c r="N712" s="46" t="n"/>
      <c r="P712" s="47" t="n"/>
      <c r="Q712" s="47" t="n"/>
      <c r="R712" s="47" t="n"/>
      <c r="V712" s="45" t="n"/>
    </row>
    <row r="713" ht="14.25" customHeight="1" s="142">
      <c r="C713" s="45" t="n"/>
      <c r="D713" s="45" t="n"/>
      <c r="E713" s="45" t="n"/>
      <c r="F713" s="45" t="n"/>
      <c r="G713" s="45" t="n"/>
      <c r="H713" s="45" t="n"/>
      <c r="I713" s="45" t="n"/>
      <c r="J713" s="45" t="n"/>
      <c r="K713" s="45" t="n"/>
      <c r="L713" s="45" t="n"/>
      <c r="N713" s="46" t="n"/>
      <c r="P713" s="47" t="n"/>
      <c r="Q713" s="47" t="n"/>
      <c r="R713" s="47" t="n"/>
      <c r="V713" s="45" t="n"/>
    </row>
    <row r="714" ht="14.25" customHeight="1" s="142">
      <c r="C714" s="45" t="n"/>
      <c r="D714" s="45" t="n"/>
      <c r="E714" s="45" t="n"/>
      <c r="F714" s="45" t="n"/>
      <c r="G714" s="45" t="n"/>
      <c r="H714" s="45" t="n"/>
      <c r="I714" s="45" t="n"/>
      <c r="J714" s="45" t="n"/>
      <c r="K714" s="45" t="n"/>
      <c r="L714" s="45" t="n"/>
      <c r="N714" s="46" t="n"/>
      <c r="P714" s="47" t="n"/>
      <c r="Q714" s="47" t="n"/>
      <c r="R714" s="47" t="n"/>
      <c r="V714" s="45" t="n"/>
    </row>
    <row r="715" ht="14.25" customHeight="1" s="142">
      <c r="C715" s="45" t="n"/>
      <c r="D715" s="45" t="n"/>
      <c r="E715" s="45" t="n"/>
      <c r="F715" s="45" t="n"/>
      <c r="G715" s="45" t="n"/>
      <c r="H715" s="45" t="n"/>
      <c r="I715" s="45" t="n"/>
      <c r="J715" s="45" t="n"/>
      <c r="K715" s="45" t="n"/>
      <c r="L715" s="45" t="n"/>
      <c r="N715" s="46" t="n"/>
      <c r="P715" s="47" t="n"/>
      <c r="Q715" s="47" t="n"/>
      <c r="R715" s="47" t="n"/>
      <c r="V715" s="45" t="n"/>
    </row>
    <row r="716" ht="14.25" customHeight="1" s="142">
      <c r="C716" s="45" t="n"/>
      <c r="D716" s="45" t="n"/>
      <c r="E716" s="45" t="n"/>
      <c r="F716" s="45" t="n"/>
      <c r="G716" s="45" t="n"/>
      <c r="H716" s="45" t="n"/>
      <c r="I716" s="45" t="n"/>
      <c r="J716" s="45" t="n"/>
      <c r="K716" s="45" t="n"/>
      <c r="L716" s="45" t="n"/>
      <c r="N716" s="46" t="n"/>
      <c r="P716" s="47" t="n"/>
      <c r="Q716" s="47" t="n"/>
      <c r="R716" s="47" t="n"/>
      <c r="V716" s="45" t="n"/>
    </row>
    <row r="717" ht="14.25" customHeight="1" s="142">
      <c r="C717" s="45" t="n"/>
      <c r="D717" s="45" t="n"/>
      <c r="E717" s="45" t="n"/>
      <c r="F717" s="45" t="n"/>
      <c r="G717" s="45" t="n"/>
      <c r="H717" s="45" t="n"/>
      <c r="I717" s="45" t="n"/>
      <c r="J717" s="45" t="n"/>
      <c r="K717" s="45" t="n"/>
      <c r="L717" s="45" t="n"/>
      <c r="N717" s="46" t="n"/>
      <c r="P717" s="47" t="n"/>
      <c r="Q717" s="47" t="n"/>
      <c r="R717" s="47" t="n"/>
      <c r="V717" s="45" t="n"/>
    </row>
    <row r="718" ht="14.25" customHeight="1" s="142">
      <c r="C718" s="45" t="n"/>
      <c r="D718" s="45" t="n"/>
      <c r="E718" s="45" t="n"/>
      <c r="F718" s="45" t="n"/>
      <c r="G718" s="45" t="n"/>
      <c r="H718" s="45" t="n"/>
      <c r="I718" s="45" t="n"/>
      <c r="J718" s="45" t="n"/>
      <c r="K718" s="45" t="n"/>
      <c r="L718" s="45" t="n"/>
      <c r="N718" s="46" t="n"/>
      <c r="P718" s="47" t="n"/>
      <c r="Q718" s="47" t="n"/>
      <c r="R718" s="47" t="n"/>
      <c r="V718" s="45" t="n"/>
    </row>
    <row r="719" ht="14.25" customHeight="1" s="142">
      <c r="C719" s="45" t="n"/>
      <c r="D719" s="45" t="n"/>
      <c r="E719" s="45" t="n"/>
      <c r="F719" s="45" t="n"/>
      <c r="G719" s="45" t="n"/>
      <c r="H719" s="45" t="n"/>
      <c r="I719" s="45" t="n"/>
      <c r="J719" s="45" t="n"/>
      <c r="K719" s="45" t="n"/>
      <c r="L719" s="45" t="n"/>
      <c r="N719" s="46" t="n"/>
      <c r="P719" s="47" t="n"/>
      <c r="Q719" s="47" t="n"/>
      <c r="R719" s="47" t="n"/>
      <c r="V719" s="45" t="n"/>
    </row>
    <row r="720" ht="14.25" customHeight="1" s="142">
      <c r="C720" s="45" t="n"/>
      <c r="D720" s="45" t="n"/>
      <c r="E720" s="45" t="n"/>
      <c r="F720" s="45" t="n"/>
      <c r="G720" s="45" t="n"/>
      <c r="H720" s="45" t="n"/>
      <c r="I720" s="45" t="n"/>
      <c r="J720" s="45" t="n"/>
      <c r="K720" s="45" t="n"/>
      <c r="L720" s="45" t="n"/>
      <c r="N720" s="46" t="n"/>
      <c r="P720" s="47" t="n"/>
      <c r="Q720" s="47" t="n"/>
      <c r="R720" s="47" t="n"/>
      <c r="V720" s="45" t="n"/>
    </row>
    <row r="721" ht="14.25" customHeight="1" s="142">
      <c r="C721" s="45" t="n"/>
      <c r="D721" s="45" t="n"/>
      <c r="E721" s="45" t="n"/>
      <c r="F721" s="45" t="n"/>
      <c r="G721" s="45" t="n"/>
      <c r="H721" s="45" t="n"/>
      <c r="I721" s="45" t="n"/>
      <c r="J721" s="45" t="n"/>
      <c r="K721" s="45" t="n"/>
      <c r="L721" s="45" t="n"/>
      <c r="N721" s="46" t="n"/>
      <c r="P721" s="47" t="n"/>
      <c r="Q721" s="47" t="n"/>
      <c r="R721" s="47" t="n"/>
      <c r="V721" s="45" t="n"/>
    </row>
    <row r="722" ht="14.25" customHeight="1" s="142">
      <c r="C722" s="45" t="n"/>
      <c r="D722" s="45" t="n"/>
      <c r="E722" s="45" t="n"/>
      <c r="F722" s="45" t="n"/>
      <c r="G722" s="45" t="n"/>
      <c r="H722" s="45" t="n"/>
      <c r="I722" s="45" t="n"/>
      <c r="J722" s="45" t="n"/>
      <c r="K722" s="45" t="n"/>
      <c r="L722" s="45" t="n"/>
      <c r="N722" s="46" t="n"/>
      <c r="P722" s="47" t="n"/>
      <c r="Q722" s="47" t="n"/>
      <c r="R722" s="47" t="n"/>
      <c r="V722" s="45" t="n"/>
    </row>
    <row r="723" ht="14.25" customHeight="1" s="142">
      <c r="C723" s="45" t="n"/>
      <c r="D723" s="45" t="n"/>
      <c r="E723" s="45" t="n"/>
      <c r="F723" s="45" t="n"/>
      <c r="G723" s="45" t="n"/>
      <c r="H723" s="45" t="n"/>
      <c r="I723" s="45" t="n"/>
      <c r="J723" s="45" t="n"/>
      <c r="K723" s="45" t="n"/>
      <c r="L723" s="45" t="n"/>
      <c r="N723" s="46" t="n"/>
      <c r="P723" s="47" t="n"/>
      <c r="Q723" s="47" t="n"/>
      <c r="R723" s="47" t="n"/>
      <c r="V723" s="45" t="n"/>
    </row>
    <row r="724" ht="14.25" customHeight="1" s="142">
      <c r="C724" s="45" t="n"/>
      <c r="D724" s="45" t="n"/>
      <c r="E724" s="45" t="n"/>
      <c r="F724" s="45" t="n"/>
      <c r="G724" s="45" t="n"/>
      <c r="H724" s="45" t="n"/>
      <c r="I724" s="45" t="n"/>
      <c r="J724" s="45" t="n"/>
      <c r="K724" s="45" t="n"/>
      <c r="L724" s="45" t="n"/>
      <c r="N724" s="46" t="n"/>
      <c r="P724" s="47" t="n"/>
      <c r="Q724" s="47" t="n"/>
      <c r="R724" s="47" t="n"/>
      <c r="V724" s="45" t="n"/>
    </row>
    <row r="725" ht="14.25" customHeight="1" s="142">
      <c r="C725" s="45" t="n"/>
      <c r="D725" s="45" t="n"/>
      <c r="E725" s="45" t="n"/>
      <c r="F725" s="45" t="n"/>
      <c r="G725" s="45" t="n"/>
      <c r="H725" s="45" t="n"/>
      <c r="I725" s="45" t="n"/>
      <c r="J725" s="45" t="n"/>
      <c r="K725" s="45" t="n"/>
      <c r="L725" s="45" t="n"/>
      <c r="N725" s="46" t="n"/>
      <c r="P725" s="47" t="n"/>
      <c r="Q725" s="47" t="n"/>
      <c r="R725" s="47" t="n"/>
      <c r="V725" s="45" t="n"/>
    </row>
    <row r="726" ht="14.25" customHeight="1" s="142">
      <c r="C726" s="45" t="n"/>
      <c r="D726" s="45" t="n"/>
      <c r="E726" s="45" t="n"/>
      <c r="F726" s="45" t="n"/>
      <c r="G726" s="45" t="n"/>
      <c r="H726" s="45" t="n"/>
      <c r="I726" s="45" t="n"/>
      <c r="J726" s="45" t="n"/>
      <c r="K726" s="45" t="n"/>
      <c r="L726" s="45" t="n"/>
      <c r="N726" s="46" t="n"/>
      <c r="P726" s="47" t="n"/>
      <c r="Q726" s="47" t="n"/>
      <c r="R726" s="47" t="n"/>
      <c r="V726" s="45" t="n"/>
    </row>
    <row r="727" ht="14.25" customHeight="1" s="142">
      <c r="C727" s="45" t="n"/>
      <c r="D727" s="45" t="n"/>
      <c r="E727" s="45" t="n"/>
      <c r="F727" s="45" t="n"/>
      <c r="G727" s="45" t="n"/>
      <c r="H727" s="45" t="n"/>
      <c r="I727" s="45" t="n"/>
      <c r="J727" s="45" t="n"/>
      <c r="K727" s="45" t="n"/>
      <c r="L727" s="45" t="n"/>
      <c r="N727" s="46" t="n"/>
      <c r="P727" s="47" t="n"/>
      <c r="Q727" s="47" t="n"/>
      <c r="R727" s="47" t="n"/>
      <c r="V727" s="45" t="n"/>
    </row>
    <row r="728" ht="14.25" customHeight="1" s="142">
      <c r="C728" s="45" t="n"/>
      <c r="D728" s="45" t="n"/>
      <c r="E728" s="45" t="n"/>
      <c r="F728" s="45" t="n"/>
      <c r="G728" s="45" t="n"/>
      <c r="H728" s="45" t="n"/>
      <c r="I728" s="45" t="n"/>
      <c r="J728" s="45" t="n"/>
      <c r="K728" s="45" t="n"/>
      <c r="L728" s="45" t="n"/>
      <c r="N728" s="46" t="n"/>
      <c r="P728" s="47" t="n"/>
      <c r="Q728" s="47" t="n"/>
      <c r="R728" s="47" t="n"/>
      <c r="V728" s="45" t="n"/>
    </row>
    <row r="729" ht="14.25" customHeight="1" s="142">
      <c r="C729" s="45" t="n"/>
      <c r="D729" s="45" t="n"/>
      <c r="E729" s="45" t="n"/>
      <c r="F729" s="45" t="n"/>
      <c r="G729" s="45" t="n"/>
      <c r="H729" s="45" t="n"/>
      <c r="I729" s="45" t="n"/>
      <c r="J729" s="45" t="n"/>
      <c r="K729" s="45" t="n"/>
      <c r="L729" s="45" t="n"/>
      <c r="N729" s="46" t="n"/>
      <c r="P729" s="47" t="n"/>
      <c r="Q729" s="47" t="n"/>
      <c r="R729" s="47" t="n"/>
      <c r="V729" s="45" t="n"/>
    </row>
    <row r="730" ht="14.25" customHeight="1" s="142">
      <c r="C730" s="45" t="n"/>
      <c r="D730" s="45" t="n"/>
      <c r="E730" s="45" t="n"/>
      <c r="F730" s="45" t="n"/>
      <c r="G730" s="45" t="n"/>
      <c r="H730" s="45" t="n"/>
      <c r="I730" s="45" t="n"/>
      <c r="J730" s="45" t="n"/>
      <c r="K730" s="45" t="n"/>
      <c r="L730" s="45" t="n"/>
      <c r="N730" s="46" t="n"/>
      <c r="P730" s="47" t="n"/>
      <c r="Q730" s="47" t="n"/>
      <c r="R730" s="47" t="n"/>
      <c r="V730" s="45" t="n"/>
    </row>
    <row r="731" ht="14.25" customHeight="1" s="142">
      <c r="C731" s="45" t="n"/>
      <c r="D731" s="45" t="n"/>
      <c r="E731" s="45" t="n"/>
      <c r="F731" s="45" t="n"/>
      <c r="G731" s="45" t="n"/>
      <c r="H731" s="45" t="n"/>
      <c r="I731" s="45" t="n"/>
      <c r="J731" s="45" t="n"/>
      <c r="K731" s="45" t="n"/>
      <c r="L731" s="45" t="n"/>
      <c r="N731" s="46" t="n"/>
      <c r="P731" s="47" t="n"/>
      <c r="Q731" s="47" t="n"/>
      <c r="R731" s="47" t="n"/>
      <c r="V731" s="45" t="n"/>
    </row>
    <row r="732" ht="14.25" customHeight="1" s="142">
      <c r="C732" s="45" t="n"/>
      <c r="D732" s="45" t="n"/>
      <c r="E732" s="45" t="n"/>
      <c r="F732" s="45" t="n"/>
      <c r="G732" s="45" t="n"/>
      <c r="H732" s="45" t="n"/>
      <c r="I732" s="45" t="n"/>
      <c r="J732" s="45" t="n"/>
      <c r="K732" s="45" t="n"/>
      <c r="L732" s="45" t="n"/>
      <c r="N732" s="46" t="n"/>
      <c r="P732" s="47" t="n"/>
      <c r="Q732" s="47" t="n"/>
      <c r="R732" s="47" t="n"/>
      <c r="V732" s="45" t="n"/>
    </row>
    <row r="733" ht="14.25" customHeight="1" s="142">
      <c r="C733" s="45" t="n"/>
      <c r="D733" s="45" t="n"/>
      <c r="E733" s="45" t="n"/>
      <c r="F733" s="45" t="n"/>
      <c r="G733" s="45" t="n"/>
      <c r="H733" s="45" t="n"/>
      <c r="I733" s="45" t="n"/>
      <c r="J733" s="45" t="n"/>
      <c r="K733" s="45" t="n"/>
      <c r="L733" s="45" t="n"/>
      <c r="N733" s="46" t="n"/>
      <c r="P733" s="47" t="n"/>
      <c r="Q733" s="47" t="n"/>
      <c r="R733" s="47" t="n"/>
      <c r="V733" s="45" t="n"/>
    </row>
    <row r="734" ht="14.25" customHeight="1" s="142">
      <c r="C734" s="45" t="n"/>
      <c r="D734" s="45" t="n"/>
      <c r="E734" s="45" t="n"/>
      <c r="F734" s="45" t="n"/>
      <c r="G734" s="45" t="n"/>
      <c r="H734" s="45" t="n"/>
      <c r="I734" s="45" t="n"/>
      <c r="J734" s="45" t="n"/>
      <c r="K734" s="45" t="n"/>
      <c r="L734" s="45" t="n"/>
      <c r="N734" s="46" t="n"/>
      <c r="P734" s="47" t="n"/>
      <c r="Q734" s="47" t="n"/>
      <c r="R734" s="47" t="n"/>
      <c r="V734" s="45" t="n"/>
    </row>
    <row r="735" ht="14.25" customHeight="1" s="142">
      <c r="C735" s="45" t="n"/>
      <c r="D735" s="45" t="n"/>
      <c r="E735" s="45" t="n"/>
      <c r="F735" s="45" t="n"/>
      <c r="G735" s="45" t="n"/>
      <c r="H735" s="45" t="n"/>
      <c r="I735" s="45" t="n"/>
      <c r="J735" s="45" t="n"/>
      <c r="K735" s="45" t="n"/>
      <c r="L735" s="45" t="n"/>
      <c r="N735" s="46" t="n"/>
      <c r="P735" s="47" t="n"/>
      <c r="Q735" s="47" t="n"/>
      <c r="R735" s="47" t="n"/>
      <c r="V735" s="45" t="n"/>
    </row>
    <row r="736" ht="14.25" customHeight="1" s="142">
      <c r="C736" s="45" t="n"/>
      <c r="D736" s="45" t="n"/>
      <c r="E736" s="45" t="n"/>
      <c r="F736" s="45" t="n"/>
      <c r="G736" s="45" t="n"/>
      <c r="H736" s="45" t="n"/>
      <c r="I736" s="45" t="n"/>
      <c r="J736" s="45" t="n"/>
      <c r="K736" s="45" t="n"/>
      <c r="L736" s="45" t="n"/>
      <c r="N736" s="46" t="n"/>
      <c r="P736" s="47" t="n"/>
      <c r="Q736" s="47" t="n"/>
      <c r="R736" s="47" t="n"/>
      <c r="V736" s="45" t="n"/>
    </row>
    <row r="737" ht="14.25" customHeight="1" s="142">
      <c r="C737" s="45" t="n"/>
      <c r="D737" s="45" t="n"/>
      <c r="E737" s="45" t="n"/>
      <c r="F737" s="45" t="n"/>
      <c r="G737" s="45" t="n"/>
      <c r="H737" s="45" t="n"/>
      <c r="I737" s="45" t="n"/>
      <c r="J737" s="45" t="n"/>
      <c r="K737" s="45" t="n"/>
      <c r="L737" s="45" t="n"/>
      <c r="N737" s="46" t="n"/>
      <c r="P737" s="47" t="n"/>
      <c r="Q737" s="47" t="n"/>
      <c r="R737" s="47" t="n"/>
      <c r="V737" s="45" t="n"/>
    </row>
    <row r="738" ht="14.25" customHeight="1" s="142">
      <c r="C738" s="45" t="n"/>
      <c r="D738" s="45" t="n"/>
      <c r="E738" s="45" t="n"/>
      <c r="F738" s="45" t="n"/>
      <c r="G738" s="45" t="n"/>
      <c r="H738" s="45" t="n"/>
      <c r="I738" s="45" t="n"/>
      <c r="J738" s="45" t="n"/>
      <c r="K738" s="45" t="n"/>
      <c r="L738" s="45" t="n"/>
      <c r="N738" s="46" t="n"/>
      <c r="P738" s="47" t="n"/>
      <c r="Q738" s="47" t="n"/>
      <c r="R738" s="47" t="n"/>
      <c r="V738" s="45" t="n"/>
    </row>
    <row r="739" ht="14.25" customHeight="1" s="142">
      <c r="C739" s="45" t="n"/>
      <c r="D739" s="45" t="n"/>
      <c r="E739" s="45" t="n"/>
      <c r="F739" s="45" t="n"/>
      <c r="G739" s="45" t="n"/>
      <c r="H739" s="45" t="n"/>
      <c r="I739" s="45" t="n"/>
      <c r="J739" s="45" t="n"/>
      <c r="K739" s="45" t="n"/>
      <c r="L739" s="45" t="n"/>
      <c r="N739" s="46" t="n"/>
      <c r="P739" s="47" t="n"/>
      <c r="Q739" s="47" t="n"/>
      <c r="R739" s="47" t="n"/>
      <c r="V739" s="45" t="n"/>
    </row>
    <row r="740" ht="14.25" customHeight="1" s="142">
      <c r="C740" s="45" t="n"/>
      <c r="D740" s="45" t="n"/>
      <c r="E740" s="45" t="n"/>
      <c r="F740" s="45" t="n"/>
      <c r="G740" s="45" t="n"/>
      <c r="H740" s="45" t="n"/>
      <c r="I740" s="45" t="n"/>
      <c r="J740" s="45" t="n"/>
      <c r="K740" s="45" t="n"/>
      <c r="L740" s="45" t="n"/>
      <c r="N740" s="46" t="n"/>
      <c r="P740" s="47" t="n"/>
      <c r="Q740" s="47" t="n"/>
      <c r="R740" s="47" t="n"/>
      <c r="V740" s="45" t="n"/>
    </row>
    <row r="741" ht="14.25" customHeight="1" s="142">
      <c r="C741" s="45" t="n"/>
      <c r="D741" s="45" t="n"/>
      <c r="E741" s="45" t="n"/>
      <c r="F741" s="45" t="n"/>
      <c r="G741" s="45" t="n"/>
      <c r="H741" s="45" t="n"/>
      <c r="I741" s="45" t="n"/>
      <c r="J741" s="45" t="n"/>
      <c r="K741" s="45" t="n"/>
      <c r="L741" s="45" t="n"/>
      <c r="N741" s="46" t="n"/>
      <c r="P741" s="47" t="n"/>
      <c r="Q741" s="47" t="n"/>
      <c r="R741" s="47" t="n"/>
      <c r="V741" s="45" t="n"/>
    </row>
    <row r="742" ht="14.25" customHeight="1" s="142">
      <c r="C742" s="45" t="n"/>
      <c r="D742" s="45" t="n"/>
      <c r="E742" s="45" t="n"/>
      <c r="F742" s="45" t="n"/>
      <c r="G742" s="45" t="n"/>
      <c r="H742" s="45" t="n"/>
      <c r="I742" s="45" t="n"/>
      <c r="J742" s="45" t="n"/>
      <c r="K742" s="45" t="n"/>
      <c r="L742" s="45" t="n"/>
      <c r="N742" s="46" t="n"/>
      <c r="P742" s="47" t="n"/>
      <c r="Q742" s="47" t="n"/>
      <c r="R742" s="47" t="n"/>
      <c r="V742" s="45" t="n"/>
    </row>
    <row r="743" ht="14.25" customHeight="1" s="142">
      <c r="C743" s="45" t="n"/>
      <c r="D743" s="45" t="n"/>
      <c r="E743" s="45" t="n"/>
      <c r="F743" s="45" t="n"/>
      <c r="G743" s="45" t="n"/>
      <c r="H743" s="45" t="n"/>
      <c r="I743" s="45" t="n"/>
      <c r="J743" s="45" t="n"/>
      <c r="K743" s="45" t="n"/>
      <c r="L743" s="45" t="n"/>
      <c r="N743" s="46" t="n"/>
      <c r="P743" s="47" t="n"/>
      <c r="Q743" s="47" t="n"/>
      <c r="R743" s="47" t="n"/>
      <c r="V743" s="45" t="n"/>
    </row>
    <row r="744" ht="14.25" customHeight="1" s="142">
      <c r="C744" s="45" t="n"/>
      <c r="D744" s="45" t="n"/>
      <c r="E744" s="45" t="n"/>
      <c r="F744" s="45" t="n"/>
      <c r="G744" s="45" t="n"/>
      <c r="H744" s="45" t="n"/>
      <c r="I744" s="45" t="n"/>
      <c r="J744" s="45" t="n"/>
      <c r="K744" s="45" t="n"/>
      <c r="L744" s="45" t="n"/>
      <c r="N744" s="46" t="n"/>
      <c r="P744" s="47" t="n"/>
      <c r="Q744" s="47" t="n"/>
      <c r="R744" s="47" t="n"/>
      <c r="V744" s="45" t="n"/>
    </row>
    <row r="745" ht="14.25" customHeight="1" s="142">
      <c r="C745" s="45" t="n"/>
      <c r="D745" s="45" t="n"/>
      <c r="E745" s="45" t="n"/>
      <c r="F745" s="45" t="n"/>
      <c r="G745" s="45" t="n"/>
      <c r="H745" s="45" t="n"/>
      <c r="I745" s="45" t="n"/>
      <c r="J745" s="45" t="n"/>
      <c r="K745" s="45" t="n"/>
      <c r="L745" s="45" t="n"/>
      <c r="N745" s="46" t="n"/>
      <c r="P745" s="47" t="n"/>
      <c r="Q745" s="47" t="n"/>
      <c r="R745" s="47" t="n"/>
      <c r="V745" s="45" t="n"/>
    </row>
    <row r="746" ht="14.25" customHeight="1" s="142">
      <c r="C746" s="45" t="n"/>
      <c r="D746" s="45" t="n"/>
      <c r="E746" s="45" t="n"/>
      <c r="F746" s="45" t="n"/>
      <c r="G746" s="45" t="n"/>
      <c r="H746" s="45" t="n"/>
      <c r="I746" s="45" t="n"/>
      <c r="J746" s="45" t="n"/>
      <c r="K746" s="45" t="n"/>
      <c r="L746" s="45" t="n"/>
      <c r="N746" s="46" t="n"/>
      <c r="P746" s="47" t="n"/>
      <c r="Q746" s="47" t="n"/>
      <c r="R746" s="47" t="n"/>
      <c r="V746" s="45" t="n"/>
    </row>
    <row r="747" ht="14.25" customHeight="1" s="142">
      <c r="C747" s="45" t="n"/>
      <c r="D747" s="45" t="n"/>
      <c r="E747" s="45" t="n"/>
      <c r="F747" s="45" t="n"/>
      <c r="G747" s="45" t="n"/>
      <c r="H747" s="45" t="n"/>
      <c r="I747" s="45" t="n"/>
      <c r="J747" s="45" t="n"/>
      <c r="K747" s="45" t="n"/>
      <c r="L747" s="45" t="n"/>
      <c r="N747" s="46" t="n"/>
      <c r="P747" s="47" t="n"/>
      <c r="Q747" s="47" t="n"/>
      <c r="R747" s="47" t="n"/>
      <c r="V747" s="45" t="n"/>
    </row>
    <row r="748" ht="14.25" customHeight="1" s="142">
      <c r="C748" s="45" t="n"/>
      <c r="D748" s="45" t="n"/>
      <c r="E748" s="45" t="n"/>
      <c r="F748" s="45" t="n"/>
      <c r="G748" s="45" t="n"/>
      <c r="H748" s="45" t="n"/>
      <c r="I748" s="45" t="n"/>
      <c r="J748" s="45" t="n"/>
      <c r="K748" s="45" t="n"/>
      <c r="L748" s="45" t="n"/>
      <c r="N748" s="46" t="n"/>
      <c r="P748" s="47" t="n"/>
      <c r="Q748" s="47" t="n"/>
      <c r="R748" s="47" t="n"/>
      <c r="V748" s="45" t="n"/>
    </row>
    <row r="749" ht="14.25" customHeight="1" s="142">
      <c r="C749" s="45" t="n"/>
      <c r="D749" s="45" t="n"/>
      <c r="E749" s="45" t="n"/>
      <c r="F749" s="45" t="n"/>
      <c r="G749" s="45" t="n"/>
      <c r="H749" s="45" t="n"/>
      <c r="I749" s="45" t="n"/>
      <c r="J749" s="45" t="n"/>
      <c r="K749" s="45" t="n"/>
      <c r="L749" s="45" t="n"/>
      <c r="N749" s="46" t="n"/>
      <c r="P749" s="47" t="n"/>
      <c r="Q749" s="47" t="n"/>
      <c r="R749" s="47" t="n"/>
      <c r="V749" s="45" t="n"/>
    </row>
    <row r="750" ht="14.25" customHeight="1" s="142">
      <c r="C750" s="45" t="n"/>
      <c r="D750" s="45" t="n"/>
      <c r="E750" s="45" t="n"/>
      <c r="F750" s="45" t="n"/>
      <c r="G750" s="45" t="n"/>
      <c r="H750" s="45" t="n"/>
      <c r="I750" s="45" t="n"/>
      <c r="J750" s="45" t="n"/>
      <c r="K750" s="45" t="n"/>
      <c r="L750" s="45" t="n"/>
      <c r="N750" s="46" t="n"/>
      <c r="P750" s="47" t="n"/>
      <c r="Q750" s="47" t="n"/>
      <c r="R750" s="47" t="n"/>
      <c r="V750" s="45" t="n"/>
    </row>
    <row r="751" ht="14.25" customHeight="1" s="142">
      <c r="C751" s="45" t="n"/>
      <c r="D751" s="45" t="n"/>
      <c r="E751" s="45" t="n"/>
      <c r="F751" s="45" t="n"/>
      <c r="G751" s="45" t="n"/>
      <c r="H751" s="45" t="n"/>
      <c r="I751" s="45" t="n"/>
      <c r="J751" s="45" t="n"/>
      <c r="K751" s="45" t="n"/>
      <c r="L751" s="45" t="n"/>
      <c r="N751" s="46" t="n"/>
      <c r="P751" s="47" t="n"/>
      <c r="Q751" s="47" t="n"/>
      <c r="R751" s="47" t="n"/>
      <c r="V751" s="45" t="n"/>
    </row>
    <row r="752" ht="14.25" customHeight="1" s="142">
      <c r="C752" s="45" t="n"/>
      <c r="D752" s="45" t="n"/>
      <c r="E752" s="45" t="n"/>
      <c r="F752" s="45" t="n"/>
      <c r="G752" s="45" t="n"/>
      <c r="H752" s="45" t="n"/>
      <c r="I752" s="45" t="n"/>
      <c r="J752" s="45" t="n"/>
      <c r="K752" s="45" t="n"/>
      <c r="L752" s="45" t="n"/>
      <c r="N752" s="46" t="n"/>
      <c r="P752" s="47" t="n"/>
      <c r="Q752" s="47" t="n"/>
      <c r="R752" s="47" t="n"/>
      <c r="V752" s="45" t="n"/>
    </row>
    <row r="753" ht="14.25" customHeight="1" s="142">
      <c r="C753" s="45" t="n"/>
      <c r="D753" s="45" t="n"/>
      <c r="E753" s="45" t="n"/>
      <c r="F753" s="45" t="n"/>
      <c r="G753" s="45" t="n"/>
      <c r="H753" s="45" t="n"/>
      <c r="I753" s="45" t="n"/>
      <c r="J753" s="45" t="n"/>
      <c r="K753" s="45" t="n"/>
      <c r="L753" s="45" t="n"/>
      <c r="N753" s="46" t="n"/>
      <c r="P753" s="47" t="n"/>
      <c r="Q753" s="47" t="n"/>
      <c r="R753" s="47" t="n"/>
      <c r="V753" s="45" t="n"/>
    </row>
    <row r="754" ht="14.25" customHeight="1" s="142">
      <c r="C754" s="45" t="n"/>
      <c r="D754" s="45" t="n"/>
      <c r="E754" s="45" t="n"/>
      <c r="F754" s="45" t="n"/>
      <c r="G754" s="45" t="n"/>
      <c r="H754" s="45" t="n"/>
      <c r="I754" s="45" t="n"/>
      <c r="J754" s="45" t="n"/>
      <c r="K754" s="45" t="n"/>
      <c r="L754" s="45" t="n"/>
      <c r="N754" s="46" t="n"/>
      <c r="P754" s="47" t="n"/>
      <c r="Q754" s="47" t="n"/>
      <c r="R754" s="47" t="n"/>
      <c r="V754" s="45" t="n"/>
    </row>
    <row r="755" ht="14.25" customHeight="1" s="142">
      <c r="C755" s="45" t="n"/>
      <c r="D755" s="45" t="n"/>
      <c r="E755" s="45" t="n"/>
      <c r="F755" s="45" t="n"/>
      <c r="G755" s="45" t="n"/>
      <c r="H755" s="45" t="n"/>
      <c r="I755" s="45" t="n"/>
      <c r="J755" s="45" t="n"/>
      <c r="K755" s="45" t="n"/>
      <c r="L755" s="45" t="n"/>
      <c r="N755" s="46" t="n"/>
      <c r="P755" s="47" t="n"/>
      <c r="Q755" s="47" t="n"/>
      <c r="R755" s="47" t="n"/>
      <c r="V755" s="45" t="n"/>
    </row>
    <row r="756" ht="14.25" customHeight="1" s="142">
      <c r="C756" s="45" t="n"/>
      <c r="D756" s="45" t="n"/>
      <c r="E756" s="45" t="n"/>
      <c r="F756" s="45" t="n"/>
      <c r="G756" s="45" t="n"/>
      <c r="H756" s="45" t="n"/>
      <c r="I756" s="45" t="n"/>
      <c r="J756" s="45" t="n"/>
      <c r="K756" s="45" t="n"/>
      <c r="L756" s="45" t="n"/>
      <c r="N756" s="46" t="n"/>
      <c r="P756" s="47" t="n"/>
      <c r="Q756" s="47" t="n"/>
      <c r="R756" s="47" t="n"/>
      <c r="V756" s="45" t="n"/>
    </row>
    <row r="757" ht="14.25" customHeight="1" s="142">
      <c r="C757" s="45" t="n"/>
      <c r="D757" s="45" t="n"/>
      <c r="E757" s="45" t="n"/>
      <c r="F757" s="45" t="n"/>
      <c r="G757" s="45" t="n"/>
      <c r="H757" s="45" t="n"/>
      <c r="I757" s="45" t="n"/>
      <c r="J757" s="45" t="n"/>
      <c r="K757" s="45" t="n"/>
      <c r="L757" s="45" t="n"/>
      <c r="N757" s="46" t="n"/>
      <c r="P757" s="47" t="n"/>
      <c r="Q757" s="47" t="n"/>
      <c r="R757" s="47" t="n"/>
      <c r="V757" s="45" t="n"/>
    </row>
    <row r="758" ht="14.25" customHeight="1" s="142">
      <c r="C758" s="45" t="n"/>
      <c r="D758" s="45" t="n"/>
      <c r="E758" s="45" t="n"/>
      <c r="F758" s="45" t="n"/>
      <c r="G758" s="45" t="n"/>
      <c r="H758" s="45" t="n"/>
      <c r="I758" s="45" t="n"/>
      <c r="J758" s="45" t="n"/>
      <c r="K758" s="45" t="n"/>
      <c r="L758" s="45" t="n"/>
      <c r="N758" s="46" t="n"/>
      <c r="P758" s="47" t="n"/>
      <c r="Q758" s="47" t="n"/>
      <c r="R758" s="47" t="n"/>
      <c r="V758" s="45" t="n"/>
    </row>
    <row r="759" ht="14.25" customHeight="1" s="142">
      <c r="C759" s="45" t="n"/>
      <c r="D759" s="45" t="n"/>
      <c r="E759" s="45" t="n"/>
      <c r="F759" s="45" t="n"/>
      <c r="G759" s="45" t="n"/>
      <c r="H759" s="45" t="n"/>
      <c r="I759" s="45" t="n"/>
      <c r="J759" s="45" t="n"/>
      <c r="K759" s="45" t="n"/>
      <c r="L759" s="45" t="n"/>
      <c r="N759" s="46" t="n"/>
      <c r="P759" s="47" t="n"/>
      <c r="Q759" s="47" t="n"/>
      <c r="R759" s="47" t="n"/>
      <c r="V759" s="45" t="n"/>
    </row>
    <row r="760" ht="14.25" customHeight="1" s="142">
      <c r="C760" s="45" t="n"/>
      <c r="D760" s="45" t="n"/>
      <c r="E760" s="45" t="n"/>
      <c r="F760" s="45" t="n"/>
      <c r="G760" s="45" t="n"/>
      <c r="H760" s="45" t="n"/>
      <c r="I760" s="45" t="n"/>
      <c r="J760" s="45" t="n"/>
      <c r="K760" s="45" t="n"/>
      <c r="L760" s="45" t="n"/>
      <c r="N760" s="46" t="n"/>
      <c r="P760" s="47" t="n"/>
      <c r="Q760" s="47" t="n"/>
      <c r="R760" s="47" t="n"/>
      <c r="V760" s="45" t="n"/>
    </row>
    <row r="761" ht="14.25" customHeight="1" s="142">
      <c r="C761" s="45" t="n"/>
      <c r="D761" s="45" t="n"/>
      <c r="E761" s="45" t="n"/>
      <c r="F761" s="45" t="n"/>
      <c r="G761" s="45" t="n"/>
      <c r="H761" s="45" t="n"/>
      <c r="I761" s="45" t="n"/>
      <c r="J761" s="45" t="n"/>
      <c r="K761" s="45" t="n"/>
      <c r="L761" s="45" t="n"/>
      <c r="N761" s="46" t="n"/>
      <c r="P761" s="47" t="n"/>
      <c r="Q761" s="47" t="n"/>
      <c r="R761" s="47" t="n"/>
      <c r="V761" s="45" t="n"/>
    </row>
    <row r="762" ht="14.25" customHeight="1" s="142">
      <c r="C762" s="45" t="n"/>
      <c r="D762" s="45" t="n"/>
      <c r="E762" s="45" t="n"/>
      <c r="F762" s="45" t="n"/>
      <c r="G762" s="45" t="n"/>
      <c r="H762" s="45" t="n"/>
      <c r="I762" s="45" t="n"/>
      <c r="J762" s="45" t="n"/>
      <c r="K762" s="45" t="n"/>
      <c r="L762" s="45" t="n"/>
      <c r="N762" s="46" t="n"/>
      <c r="P762" s="47" t="n"/>
      <c r="Q762" s="47" t="n"/>
      <c r="R762" s="47" t="n"/>
      <c r="V762" s="45" t="n"/>
    </row>
    <row r="763" ht="14.25" customHeight="1" s="142">
      <c r="C763" s="45" t="n"/>
      <c r="D763" s="45" t="n"/>
      <c r="E763" s="45" t="n"/>
      <c r="F763" s="45" t="n"/>
      <c r="G763" s="45" t="n"/>
      <c r="H763" s="45" t="n"/>
      <c r="I763" s="45" t="n"/>
      <c r="J763" s="45" t="n"/>
      <c r="K763" s="45" t="n"/>
      <c r="L763" s="45" t="n"/>
      <c r="N763" s="46" t="n"/>
      <c r="P763" s="47" t="n"/>
      <c r="Q763" s="47" t="n"/>
      <c r="R763" s="47" t="n"/>
      <c r="V763" s="45" t="n"/>
    </row>
    <row r="764" ht="14.25" customHeight="1" s="142">
      <c r="C764" s="45" t="n"/>
      <c r="D764" s="45" t="n"/>
      <c r="E764" s="45" t="n"/>
      <c r="F764" s="45" t="n"/>
      <c r="G764" s="45" t="n"/>
      <c r="H764" s="45" t="n"/>
      <c r="I764" s="45" t="n"/>
      <c r="J764" s="45" t="n"/>
      <c r="K764" s="45" t="n"/>
      <c r="L764" s="45" t="n"/>
      <c r="N764" s="46" t="n"/>
      <c r="P764" s="47" t="n"/>
      <c r="Q764" s="47" t="n"/>
      <c r="R764" s="47" t="n"/>
      <c r="V764" s="45" t="n"/>
    </row>
    <row r="765" ht="14.25" customHeight="1" s="142">
      <c r="C765" s="45" t="n"/>
      <c r="D765" s="45" t="n"/>
      <c r="E765" s="45" t="n"/>
      <c r="F765" s="45" t="n"/>
      <c r="G765" s="45" t="n"/>
      <c r="H765" s="45" t="n"/>
      <c r="I765" s="45" t="n"/>
      <c r="J765" s="45" t="n"/>
      <c r="K765" s="45" t="n"/>
      <c r="L765" s="45" t="n"/>
      <c r="N765" s="46" t="n"/>
      <c r="P765" s="47" t="n"/>
      <c r="Q765" s="47" t="n"/>
      <c r="R765" s="47" t="n"/>
      <c r="V765" s="45" t="n"/>
    </row>
    <row r="766" ht="14.25" customHeight="1" s="142">
      <c r="C766" s="45" t="n"/>
      <c r="D766" s="45" t="n"/>
      <c r="E766" s="45" t="n"/>
      <c r="F766" s="45" t="n"/>
      <c r="G766" s="45" t="n"/>
      <c r="H766" s="45" t="n"/>
      <c r="I766" s="45" t="n"/>
      <c r="J766" s="45" t="n"/>
      <c r="K766" s="45" t="n"/>
      <c r="L766" s="45" t="n"/>
      <c r="N766" s="46" t="n"/>
      <c r="P766" s="47" t="n"/>
      <c r="Q766" s="47" t="n"/>
      <c r="R766" s="47" t="n"/>
      <c r="V766" s="45" t="n"/>
    </row>
    <row r="767" ht="14.25" customHeight="1" s="142">
      <c r="C767" s="45" t="n"/>
      <c r="D767" s="45" t="n"/>
      <c r="E767" s="45" t="n"/>
      <c r="F767" s="45" t="n"/>
      <c r="G767" s="45" t="n"/>
      <c r="H767" s="45" t="n"/>
      <c r="I767" s="45" t="n"/>
      <c r="J767" s="45" t="n"/>
      <c r="K767" s="45" t="n"/>
      <c r="L767" s="45" t="n"/>
      <c r="N767" s="46" t="n"/>
      <c r="P767" s="47" t="n"/>
      <c r="Q767" s="47" t="n"/>
      <c r="R767" s="47" t="n"/>
      <c r="V767" s="45" t="n"/>
    </row>
    <row r="768" ht="14.25" customHeight="1" s="142">
      <c r="C768" s="45" t="n"/>
      <c r="D768" s="45" t="n"/>
      <c r="E768" s="45" t="n"/>
      <c r="F768" s="45" t="n"/>
      <c r="G768" s="45" t="n"/>
      <c r="H768" s="45" t="n"/>
      <c r="I768" s="45" t="n"/>
      <c r="J768" s="45" t="n"/>
      <c r="K768" s="45" t="n"/>
      <c r="L768" s="45" t="n"/>
      <c r="N768" s="46" t="n"/>
      <c r="P768" s="47" t="n"/>
      <c r="Q768" s="47" t="n"/>
      <c r="R768" s="47" t="n"/>
      <c r="V768" s="45" t="n"/>
    </row>
    <row r="769" ht="14.25" customHeight="1" s="142">
      <c r="C769" s="45" t="n"/>
      <c r="D769" s="45" t="n"/>
      <c r="E769" s="45" t="n"/>
      <c r="F769" s="45" t="n"/>
      <c r="G769" s="45" t="n"/>
      <c r="H769" s="45" t="n"/>
      <c r="I769" s="45" t="n"/>
      <c r="J769" s="45" t="n"/>
      <c r="K769" s="45" t="n"/>
      <c r="L769" s="45" t="n"/>
      <c r="N769" s="46" t="n"/>
      <c r="P769" s="47" t="n"/>
      <c r="Q769" s="47" t="n"/>
      <c r="R769" s="47" t="n"/>
      <c r="V769" s="45" t="n"/>
    </row>
    <row r="770" ht="14.25" customHeight="1" s="142">
      <c r="C770" s="45" t="n"/>
      <c r="D770" s="45" t="n"/>
      <c r="E770" s="45" t="n"/>
      <c r="F770" s="45" t="n"/>
      <c r="G770" s="45" t="n"/>
      <c r="H770" s="45" t="n"/>
      <c r="I770" s="45" t="n"/>
      <c r="J770" s="45" t="n"/>
      <c r="K770" s="45" t="n"/>
      <c r="L770" s="45" t="n"/>
      <c r="N770" s="46" t="n"/>
      <c r="P770" s="47" t="n"/>
      <c r="Q770" s="47" t="n"/>
      <c r="R770" s="47" t="n"/>
      <c r="V770" s="45" t="n"/>
    </row>
    <row r="771" ht="14.25" customHeight="1" s="142">
      <c r="C771" s="45" t="n"/>
      <c r="D771" s="45" t="n"/>
      <c r="E771" s="45" t="n"/>
      <c r="F771" s="45" t="n"/>
      <c r="G771" s="45" t="n"/>
      <c r="H771" s="45" t="n"/>
      <c r="I771" s="45" t="n"/>
      <c r="J771" s="45" t="n"/>
      <c r="K771" s="45" t="n"/>
      <c r="L771" s="45" t="n"/>
      <c r="N771" s="46" t="n"/>
      <c r="P771" s="47" t="n"/>
      <c r="Q771" s="47" t="n"/>
      <c r="R771" s="47" t="n"/>
      <c r="V771" s="45" t="n"/>
    </row>
    <row r="772" ht="14.25" customHeight="1" s="142">
      <c r="C772" s="45" t="n"/>
      <c r="D772" s="45" t="n"/>
      <c r="E772" s="45" t="n"/>
      <c r="F772" s="45" t="n"/>
      <c r="G772" s="45" t="n"/>
      <c r="H772" s="45" t="n"/>
      <c r="I772" s="45" t="n"/>
      <c r="J772" s="45" t="n"/>
      <c r="K772" s="45" t="n"/>
      <c r="L772" s="45" t="n"/>
      <c r="N772" s="46" t="n"/>
      <c r="P772" s="47" t="n"/>
      <c r="Q772" s="47" t="n"/>
      <c r="R772" s="47" t="n"/>
      <c r="V772" s="45" t="n"/>
    </row>
    <row r="773" ht="14.25" customHeight="1" s="142">
      <c r="C773" s="45" t="n"/>
      <c r="D773" s="45" t="n"/>
      <c r="E773" s="45" t="n"/>
      <c r="F773" s="45" t="n"/>
      <c r="G773" s="45" t="n"/>
      <c r="H773" s="45" t="n"/>
      <c r="I773" s="45" t="n"/>
      <c r="J773" s="45" t="n"/>
      <c r="K773" s="45" t="n"/>
      <c r="L773" s="45" t="n"/>
      <c r="N773" s="46" t="n"/>
      <c r="P773" s="47" t="n"/>
      <c r="Q773" s="47" t="n"/>
      <c r="R773" s="47" t="n"/>
      <c r="V773" s="45" t="n"/>
    </row>
    <row r="774" ht="14.25" customHeight="1" s="142">
      <c r="C774" s="45" t="n"/>
      <c r="D774" s="45" t="n"/>
      <c r="E774" s="45" t="n"/>
      <c r="F774" s="45" t="n"/>
      <c r="G774" s="45" t="n"/>
      <c r="H774" s="45" t="n"/>
      <c r="I774" s="45" t="n"/>
      <c r="J774" s="45" t="n"/>
      <c r="K774" s="45" t="n"/>
      <c r="L774" s="45" t="n"/>
      <c r="N774" s="46" t="n"/>
      <c r="P774" s="47" t="n"/>
      <c r="Q774" s="47" t="n"/>
      <c r="R774" s="47" t="n"/>
      <c r="V774" s="45" t="n"/>
    </row>
    <row r="775" ht="14.25" customHeight="1" s="142">
      <c r="C775" s="45" t="n"/>
      <c r="D775" s="45" t="n"/>
      <c r="E775" s="45" t="n"/>
      <c r="F775" s="45" t="n"/>
      <c r="G775" s="45" t="n"/>
      <c r="H775" s="45" t="n"/>
      <c r="I775" s="45" t="n"/>
      <c r="J775" s="45" t="n"/>
      <c r="K775" s="45" t="n"/>
      <c r="L775" s="45" t="n"/>
      <c r="N775" s="46" t="n"/>
      <c r="P775" s="47" t="n"/>
      <c r="Q775" s="47" t="n"/>
      <c r="R775" s="47" t="n"/>
      <c r="V775" s="45" t="n"/>
    </row>
    <row r="776" ht="14.25" customHeight="1" s="142">
      <c r="C776" s="45" t="n"/>
      <c r="D776" s="45" t="n"/>
      <c r="E776" s="45" t="n"/>
      <c r="F776" s="45" t="n"/>
      <c r="G776" s="45" t="n"/>
      <c r="H776" s="45" t="n"/>
      <c r="I776" s="45" t="n"/>
      <c r="J776" s="45" t="n"/>
      <c r="K776" s="45" t="n"/>
      <c r="L776" s="45" t="n"/>
      <c r="N776" s="46" t="n"/>
      <c r="P776" s="47" t="n"/>
      <c r="Q776" s="47" t="n"/>
      <c r="R776" s="47" t="n"/>
      <c r="V776" s="45" t="n"/>
    </row>
    <row r="777" ht="14.25" customHeight="1" s="142">
      <c r="C777" s="45" t="n"/>
      <c r="D777" s="45" t="n"/>
      <c r="E777" s="45" t="n"/>
      <c r="F777" s="45" t="n"/>
      <c r="G777" s="45" t="n"/>
      <c r="H777" s="45" t="n"/>
      <c r="I777" s="45" t="n"/>
      <c r="J777" s="45" t="n"/>
      <c r="K777" s="45" t="n"/>
      <c r="L777" s="45" t="n"/>
      <c r="N777" s="46" t="n"/>
      <c r="P777" s="47" t="n"/>
      <c r="Q777" s="47" t="n"/>
      <c r="R777" s="47" t="n"/>
      <c r="V777" s="45" t="n"/>
    </row>
    <row r="778" ht="14.25" customHeight="1" s="142">
      <c r="C778" s="45" t="n"/>
      <c r="D778" s="45" t="n"/>
      <c r="E778" s="45" t="n"/>
      <c r="F778" s="45" t="n"/>
      <c r="G778" s="45" t="n"/>
      <c r="H778" s="45" t="n"/>
      <c r="I778" s="45" t="n"/>
      <c r="J778" s="45" t="n"/>
      <c r="K778" s="45" t="n"/>
      <c r="L778" s="45" t="n"/>
      <c r="N778" s="46" t="n"/>
      <c r="P778" s="47" t="n"/>
      <c r="Q778" s="47" t="n"/>
      <c r="R778" s="47" t="n"/>
      <c r="V778" s="45" t="n"/>
    </row>
    <row r="779" ht="14.25" customHeight="1" s="142">
      <c r="C779" s="45" t="n"/>
      <c r="D779" s="45" t="n"/>
      <c r="E779" s="45" t="n"/>
      <c r="F779" s="45" t="n"/>
      <c r="G779" s="45" t="n"/>
      <c r="H779" s="45" t="n"/>
      <c r="I779" s="45" t="n"/>
      <c r="J779" s="45" t="n"/>
      <c r="K779" s="45" t="n"/>
      <c r="L779" s="45" t="n"/>
      <c r="N779" s="46" t="n"/>
      <c r="P779" s="47" t="n"/>
      <c r="Q779" s="47" t="n"/>
      <c r="R779" s="47" t="n"/>
      <c r="V779" s="45" t="n"/>
    </row>
    <row r="780" ht="14.25" customHeight="1" s="142">
      <c r="C780" s="45" t="n"/>
      <c r="D780" s="45" t="n"/>
      <c r="E780" s="45" t="n"/>
      <c r="F780" s="45" t="n"/>
      <c r="G780" s="45" t="n"/>
      <c r="H780" s="45" t="n"/>
      <c r="I780" s="45" t="n"/>
      <c r="J780" s="45" t="n"/>
      <c r="K780" s="45" t="n"/>
      <c r="L780" s="45" t="n"/>
      <c r="N780" s="46" t="n"/>
      <c r="P780" s="47" t="n"/>
      <c r="Q780" s="47" t="n"/>
      <c r="R780" s="47" t="n"/>
      <c r="V780" s="45" t="n"/>
    </row>
    <row r="781" ht="14.25" customHeight="1" s="142">
      <c r="C781" s="45" t="n"/>
      <c r="D781" s="45" t="n"/>
      <c r="E781" s="45" t="n"/>
      <c r="F781" s="45" t="n"/>
      <c r="G781" s="45" t="n"/>
      <c r="H781" s="45" t="n"/>
      <c r="I781" s="45" t="n"/>
      <c r="J781" s="45" t="n"/>
      <c r="K781" s="45" t="n"/>
      <c r="L781" s="45" t="n"/>
      <c r="N781" s="46" t="n"/>
      <c r="P781" s="47" t="n"/>
      <c r="Q781" s="47" t="n"/>
      <c r="R781" s="47" t="n"/>
      <c r="V781" s="45" t="n"/>
    </row>
    <row r="782" ht="14.25" customHeight="1" s="142">
      <c r="C782" s="45" t="n"/>
      <c r="D782" s="45" t="n"/>
      <c r="E782" s="45" t="n"/>
      <c r="F782" s="45" t="n"/>
      <c r="G782" s="45" t="n"/>
      <c r="H782" s="45" t="n"/>
      <c r="I782" s="45" t="n"/>
      <c r="J782" s="45" t="n"/>
      <c r="K782" s="45" t="n"/>
      <c r="L782" s="45" t="n"/>
      <c r="N782" s="46" t="n"/>
      <c r="P782" s="47" t="n"/>
      <c r="Q782" s="47" t="n"/>
      <c r="R782" s="47" t="n"/>
      <c r="V782" s="45" t="n"/>
    </row>
    <row r="783" ht="14.25" customHeight="1" s="142">
      <c r="C783" s="45" t="n"/>
      <c r="D783" s="45" t="n"/>
      <c r="E783" s="45" t="n"/>
      <c r="F783" s="45" t="n"/>
      <c r="G783" s="45" t="n"/>
      <c r="H783" s="45" t="n"/>
      <c r="I783" s="45" t="n"/>
      <c r="J783" s="45" t="n"/>
      <c r="K783" s="45" t="n"/>
      <c r="L783" s="45" t="n"/>
      <c r="N783" s="46" t="n"/>
      <c r="P783" s="47" t="n"/>
      <c r="Q783" s="47" t="n"/>
      <c r="R783" s="47" t="n"/>
      <c r="V783" s="45" t="n"/>
    </row>
    <row r="784" ht="14.25" customHeight="1" s="142">
      <c r="C784" s="45" t="n"/>
      <c r="D784" s="45" t="n"/>
      <c r="E784" s="45" t="n"/>
      <c r="F784" s="45" t="n"/>
      <c r="G784" s="45" t="n"/>
      <c r="H784" s="45" t="n"/>
      <c r="I784" s="45" t="n"/>
      <c r="J784" s="45" t="n"/>
      <c r="K784" s="45" t="n"/>
      <c r="L784" s="45" t="n"/>
      <c r="N784" s="46" t="n"/>
      <c r="P784" s="47" t="n"/>
      <c r="Q784" s="47" t="n"/>
      <c r="R784" s="47" t="n"/>
      <c r="V784" s="45" t="n"/>
    </row>
    <row r="785" ht="14.25" customHeight="1" s="142">
      <c r="C785" s="45" t="n"/>
      <c r="D785" s="45" t="n"/>
      <c r="E785" s="45" t="n"/>
      <c r="F785" s="45" t="n"/>
      <c r="G785" s="45" t="n"/>
      <c r="H785" s="45" t="n"/>
      <c r="I785" s="45" t="n"/>
      <c r="J785" s="45" t="n"/>
      <c r="K785" s="45" t="n"/>
      <c r="L785" s="45" t="n"/>
      <c r="N785" s="46" t="n"/>
      <c r="P785" s="47" t="n"/>
      <c r="Q785" s="47" t="n"/>
      <c r="R785" s="47" t="n"/>
      <c r="V785" s="45" t="n"/>
    </row>
    <row r="786" ht="14.25" customHeight="1" s="142">
      <c r="C786" s="45" t="n"/>
      <c r="D786" s="45" t="n"/>
      <c r="E786" s="45" t="n"/>
      <c r="F786" s="45" t="n"/>
      <c r="G786" s="45" t="n"/>
      <c r="H786" s="45" t="n"/>
      <c r="I786" s="45" t="n"/>
      <c r="J786" s="45" t="n"/>
      <c r="K786" s="45" t="n"/>
      <c r="L786" s="45" t="n"/>
      <c r="N786" s="46" t="n"/>
      <c r="P786" s="47" t="n"/>
      <c r="Q786" s="47" t="n"/>
      <c r="R786" s="47" t="n"/>
      <c r="V786" s="45" t="n"/>
    </row>
    <row r="787" ht="14.25" customHeight="1" s="142">
      <c r="C787" s="45" t="n"/>
      <c r="D787" s="45" t="n"/>
      <c r="E787" s="45" t="n"/>
      <c r="F787" s="45" t="n"/>
      <c r="G787" s="45" t="n"/>
      <c r="H787" s="45" t="n"/>
      <c r="I787" s="45" t="n"/>
      <c r="J787" s="45" t="n"/>
      <c r="K787" s="45" t="n"/>
      <c r="L787" s="45" t="n"/>
      <c r="N787" s="46" t="n"/>
      <c r="P787" s="47" t="n"/>
      <c r="Q787" s="47" t="n"/>
      <c r="R787" s="47" t="n"/>
      <c r="V787" s="45" t="n"/>
    </row>
    <row r="788" ht="14.25" customHeight="1" s="142">
      <c r="C788" s="45" t="n"/>
      <c r="D788" s="45" t="n"/>
      <c r="E788" s="45" t="n"/>
      <c r="F788" s="45" t="n"/>
      <c r="G788" s="45" t="n"/>
      <c r="H788" s="45" t="n"/>
      <c r="I788" s="45" t="n"/>
      <c r="J788" s="45" t="n"/>
      <c r="K788" s="45" t="n"/>
      <c r="L788" s="45" t="n"/>
      <c r="N788" s="46" t="n"/>
      <c r="P788" s="47" t="n"/>
      <c r="Q788" s="47" t="n"/>
      <c r="R788" s="47" t="n"/>
      <c r="V788" s="45" t="n"/>
    </row>
    <row r="789" ht="14.25" customHeight="1" s="142">
      <c r="C789" s="45" t="n"/>
      <c r="D789" s="45" t="n"/>
      <c r="E789" s="45" t="n"/>
      <c r="F789" s="45" t="n"/>
      <c r="G789" s="45" t="n"/>
      <c r="H789" s="45" t="n"/>
      <c r="I789" s="45" t="n"/>
      <c r="J789" s="45" t="n"/>
      <c r="K789" s="45" t="n"/>
      <c r="L789" s="45" t="n"/>
      <c r="N789" s="46" t="n"/>
      <c r="P789" s="47" t="n"/>
      <c r="Q789" s="47" t="n"/>
      <c r="R789" s="47" t="n"/>
      <c r="V789" s="45" t="n"/>
    </row>
    <row r="790" ht="14.25" customHeight="1" s="142">
      <c r="C790" s="45" t="n"/>
      <c r="D790" s="45" t="n"/>
      <c r="E790" s="45" t="n"/>
      <c r="F790" s="45" t="n"/>
      <c r="G790" s="45" t="n"/>
      <c r="H790" s="45" t="n"/>
      <c r="I790" s="45" t="n"/>
      <c r="J790" s="45" t="n"/>
      <c r="K790" s="45" t="n"/>
      <c r="L790" s="45" t="n"/>
      <c r="N790" s="46" t="n"/>
      <c r="P790" s="47" t="n"/>
      <c r="Q790" s="47" t="n"/>
      <c r="R790" s="47" t="n"/>
      <c r="V790" s="45" t="n"/>
    </row>
    <row r="791" ht="14.25" customHeight="1" s="142">
      <c r="C791" s="45" t="n"/>
      <c r="D791" s="45" t="n"/>
      <c r="E791" s="45" t="n"/>
      <c r="F791" s="45" t="n"/>
      <c r="G791" s="45" t="n"/>
      <c r="H791" s="45" t="n"/>
      <c r="I791" s="45" t="n"/>
      <c r="J791" s="45" t="n"/>
      <c r="K791" s="45" t="n"/>
      <c r="L791" s="45" t="n"/>
      <c r="N791" s="46" t="n"/>
      <c r="P791" s="47" t="n"/>
      <c r="Q791" s="47" t="n"/>
      <c r="R791" s="47" t="n"/>
      <c r="V791" s="45" t="n"/>
    </row>
    <row r="792" ht="14.25" customHeight="1" s="142">
      <c r="C792" s="45" t="n"/>
      <c r="D792" s="45" t="n"/>
      <c r="E792" s="45" t="n"/>
      <c r="F792" s="45" t="n"/>
      <c r="G792" s="45" t="n"/>
      <c r="H792" s="45" t="n"/>
      <c r="I792" s="45" t="n"/>
      <c r="J792" s="45" t="n"/>
      <c r="K792" s="45" t="n"/>
      <c r="L792" s="45" t="n"/>
      <c r="N792" s="46" t="n"/>
      <c r="P792" s="47" t="n"/>
      <c r="Q792" s="47" t="n"/>
      <c r="R792" s="47" t="n"/>
      <c r="V792" s="45" t="n"/>
    </row>
    <row r="793" ht="14.25" customHeight="1" s="142">
      <c r="C793" s="45" t="n"/>
      <c r="D793" s="45" t="n"/>
      <c r="E793" s="45" t="n"/>
      <c r="F793" s="45" t="n"/>
      <c r="G793" s="45" t="n"/>
      <c r="H793" s="45" t="n"/>
      <c r="I793" s="45" t="n"/>
      <c r="J793" s="45" t="n"/>
      <c r="K793" s="45" t="n"/>
      <c r="L793" s="45" t="n"/>
      <c r="N793" s="46" t="n"/>
      <c r="P793" s="47" t="n"/>
      <c r="Q793" s="47" t="n"/>
      <c r="R793" s="47" t="n"/>
      <c r="V793" s="45" t="n"/>
    </row>
    <row r="794" ht="14.25" customHeight="1" s="142">
      <c r="C794" s="45" t="n"/>
      <c r="D794" s="45" t="n"/>
      <c r="E794" s="45" t="n"/>
      <c r="F794" s="45" t="n"/>
      <c r="G794" s="45" t="n"/>
      <c r="H794" s="45" t="n"/>
      <c r="I794" s="45" t="n"/>
      <c r="J794" s="45" t="n"/>
      <c r="K794" s="45" t="n"/>
      <c r="L794" s="45" t="n"/>
      <c r="N794" s="46" t="n"/>
      <c r="P794" s="47" t="n"/>
      <c r="Q794" s="47" t="n"/>
      <c r="R794" s="47" t="n"/>
      <c r="V794" s="45" t="n"/>
    </row>
    <row r="795" ht="14.25" customHeight="1" s="142">
      <c r="C795" s="45" t="n"/>
      <c r="D795" s="45" t="n"/>
      <c r="E795" s="45" t="n"/>
      <c r="F795" s="45" t="n"/>
      <c r="G795" s="45" t="n"/>
      <c r="H795" s="45" t="n"/>
      <c r="I795" s="45" t="n"/>
      <c r="J795" s="45" t="n"/>
      <c r="K795" s="45" t="n"/>
      <c r="L795" s="45" t="n"/>
      <c r="N795" s="46" t="n"/>
      <c r="P795" s="47" t="n"/>
      <c r="Q795" s="47" t="n"/>
      <c r="R795" s="47" t="n"/>
      <c r="V795" s="45" t="n"/>
    </row>
    <row r="796" ht="14.25" customHeight="1" s="142">
      <c r="C796" s="45" t="n"/>
      <c r="D796" s="45" t="n"/>
      <c r="E796" s="45" t="n"/>
      <c r="F796" s="45" t="n"/>
      <c r="G796" s="45" t="n"/>
      <c r="H796" s="45" t="n"/>
      <c r="I796" s="45" t="n"/>
      <c r="J796" s="45" t="n"/>
      <c r="K796" s="45" t="n"/>
      <c r="L796" s="45" t="n"/>
      <c r="N796" s="46" t="n"/>
      <c r="P796" s="47" t="n"/>
      <c r="Q796" s="47" t="n"/>
      <c r="R796" s="47" t="n"/>
      <c r="V796" s="45" t="n"/>
    </row>
    <row r="797" ht="14.25" customHeight="1" s="142">
      <c r="C797" s="45" t="n"/>
      <c r="D797" s="45" t="n"/>
      <c r="E797" s="45" t="n"/>
      <c r="F797" s="45" t="n"/>
      <c r="G797" s="45" t="n"/>
      <c r="H797" s="45" t="n"/>
      <c r="I797" s="45" t="n"/>
      <c r="J797" s="45" t="n"/>
      <c r="K797" s="45" t="n"/>
      <c r="L797" s="45" t="n"/>
      <c r="N797" s="46" t="n"/>
      <c r="P797" s="47" t="n"/>
      <c r="Q797" s="47" t="n"/>
      <c r="R797" s="47" t="n"/>
      <c r="V797" s="45" t="n"/>
    </row>
    <row r="798" ht="14.25" customHeight="1" s="142">
      <c r="C798" s="45" t="n"/>
      <c r="D798" s="45" t="n"/>
      <c r="E798" s="45" t="n"/>
      <c r="F798" s="45" t="n"/>
      <c r="G798" s="45" t="n"/>
      <c r="H798" s="45" t="n"/>
      <c r="I798" s="45" t="n"/>
      <c r="J798" s="45" t="n"/>
      <c r="K798" s="45" t="n"/>
      <c r="L798" s="45" t="n"/>
      <c r="N798" s="46" t="n"/>
      <c r="P798" s="47" t="n"/>
      <c r="Q798" s="47" t="n"/>
      <c r="R798" s="47" t="n"/>
      <c r="V798" s="45" t="n"/>
    </row>
    <row r="799" ht="14.25" customHeight="1" s="142">
      <c r="C799" s="45" t="n"/>
      <c r="D799" s="45" t="n"/>
      <c r="E799" s="45" t="n"/>
      <c r="F799" s="45" t="n"/>
      <c r="G799" s="45" t="n"/>
      <c r="H799" s="45" t="n"/>
      <c r="I799" s="45" t="n"/>
      <c r="J799" s="45" t="n"/>
      <c r="K799" s="45" t="n"/>
      <c r="L799" s="45" t="n"/>
      <c r="N799" s="46" t="n"/>
      <c r="P799" s="47" t="n"/>
      <c r="Q799" s="47" t="n"/>
      <c r="R799" s="47" t="n"/>
      <c r="V799" s="45" t="n"/>
    </row>
    <row r="800" ht="14.25" customHeight="1" s="142">
      <c r="C800" s="45" t="n"/>
      <c r="D800" s="45" t="n"/>
      <c r="E800" s="45" t="n"/>
      <c r="F800" s="45" t="n"/>
      <c r="G800" s="45" t="n"/>
      <c r="H800" s="45" t="n"/>
      <c r="I800" s="45" t="n"/>
      <c r="J800" s="45" t="n"/>
      <c r="K800" s="45" t="n"/>
      <c r="L800" s="45" t="n"/>
      <c r="N800" s="46" t="n"/>
      <c r="P800" s="47" t="n"/>
      <c r="Q800" s="47" t="n"/>
      <c r="R800" s="47" t="n"/>
      <c r="V800" s="45" t="n"/>
    </row>
    <row r="801" ht="14.25" customHeight="1" s="142">
      <c r="C801" s="45" t="n"/>
      <c r="D801" s="45" t="n"/>
      <c r="E801" s="45" t="n"/>
      <c r="F801" s="45" t="n"/>
      <c r="G801" s="45" t="n"/>
      <c r="H801" s="45" t="n"/>
      <c r="I801" s="45" t="n"/>
      <c r="J801" s="45" t="n"/>
      <c r="K801" s="45" t="n"/>
      <c r="L801" s="45" t="n"/>
      <c r="N801" s="46" t="n"/>
      <c r="P801" s="47" t="n"/>
      <c r="Q801" s="47" t="n"/>
      <c r="R801" s="47" t="n"/>
      <c r="V801" s="45" t="n"/>
    </row>
    <row r="802" ht="14.25" customHeight="1" s="142">
      <c r="C802" s="45" t="n"/>
      <c r="D802" s="45" t="n"/>
      <c r="E802" s="45" t="n"/>
      <c r="F802" s="45" t="n"/>
      <c r="G802" s="45" t="n"/>
      <c r="H802" s="45" t="n"/>
      <c r="I802" s="45" t="n"/>
      <c r="J802" s="45" t="n"/>
      <c r="K802" s="45" t="n"/>
      <c r="L802" s="45" t="n"/>
      <c r="N802" s="46" t="n"/>
      <c r="P802" s="47" t="n"/>
      <c r="Q802" s="47" t="n"/>
      <c r="R802" s="47" t="n"/>
      <c r="V802" s="45" t="n"/>
    </row>
    <row r="803" ht="14.25" customHeight="1" s="142">
      <c r="C803" s="45" t="n"/>
      <c r="D803" s="45" t="n"/>
      <c r="E803" s="45" t="n"/>
      <c r="F803" s="45" t="n"/>
      <c r="G803" s="45" t="n"/>
      <c r="H803" s="45" t="n"/>
      <c r="I803" s="45" t="n"/>
      <c r="J803" s="45" t="n"/>
      <c r="K803" s="45" t="n"/>
      <c r="L803" s="45" t="n"/>
      <c r="N803" s="46" t="n"/>
      <c r="P803" s="47" t="n"/>
      <c r="Q803" s="47" t="n"/>
      <c r="R803" s="47" t="n"/>
      <c r="V803" s="45" t="n"/>
    </row>
    <row r="804" ht="14.25" customHeight="1" s="142">
      <c r="C804" s="45" t="n"/>
      <c r="D804" s="45" t="n"/>
      <c r="E804" s="45" t="n"/>
      <c r="F804" s="45" t="n"/>
      <c r="G804" s="45" t="n"/>
      <c r="H804" s="45" t="n"/>
      <c r="I804" s="45" t="n"/>
      <c r="J804" s="45" t="n"/>
      <c r="K804" s="45" t="n"/>
      <c r="L804" s="45" t="n"/>
      <c r="N804" s="46" t="n"/>
      <c r="P804" s="47" t="n"/>
      <c r="Q804" s="47" t="n"/>
      <c r="R804" s="47" t="n"/>
      <c r="V804" s="45" t="n"/>
    </row>
    <row r="805" ht="14.25" customHeight="1" s="142">
      <c r="C805" s="45" t="n"/>
      <c r="D805" s="45" t="n"/>
      <c r="E805" s="45" t="n"/>
      <c r="F805" s="45" t="n"/>
      <c r="G805" s="45" t="n"/>
      <c r="H805" s="45" t="n"/>
      <c r="I805" s="45" t="n"/>
      <c r="J805" s="45" t="n"/>
      <c r="K805" s="45" t="n"/>
      <c r="L805" s="45" t="n"/>
      <c r="N805" s="46" t="n"/>
      <c r="P805" s="47" t="n"/>
      <c r="Q805" s="47" t="n"/>
      <c r="R805" s="47" t="n"/>
      <c r="V805" s="45" t="n"/>
    </row>
    <row r="806" ht="14.25" customHeight="1" s="142">
      <c r="C806" s="45" t="n"/>
      <c r="D806" s="45" t="n"/>
      <c r="E806" s="45" t="n"/>
      <c r="F806" s="45" t="n"/>
      <c r="G806" s="45" t="n"/>
      <c r="H806" s="45" t="n"/>
      <c r="I806" s="45" t="n"/>
      <c r="J806" s="45" t="n"/>
      <c r="K806" s="45" t="n"/>
      <c r="L806" s="45" t="n"/>
      <c r="N806" s="46" t="n"/>
      <c r="P806" s="47" t="n"/>
      <c r="Q806" s="47" t="n"/>
      <c r="R806" s="47" t="n"/>
      <c r="V806" s="45" t="n"/>
    </row>
    <row r="807" ht="14.25" customHeight="1" s="142">
      <c r="C807" s="45" t="n"/>
      <c r="D807" s="45" t="n"/>
      <c r="E807" s="45" t="n"/>
      <c r="F807" s="45" t="n"/>
      <c r="G807" s="45" t="n"/>
      <c r="H807" s="45" t="n"/>
      <c r="I807" s="45" t="n"/>
      <c r="J807" s="45" t="n"/>
      <c r="K807" s="45" t="n"/>
      <c r="L807" s="45" t="n"/>
      <c r="N807" s="46" t="n"/>
      <c r="P807" s="47" t="n"/>
      <c r="Q807" s="47" t="n"/>
      <c r="R807" s="47" t="n"/>
      <c r="V807" s="45" t="n"/>
    </row>
    <row r="808" ht="14.25" customHeight="1" s="142">
      <c r="C808" s="45" t="n"/>
      <c r="D808" s="45" t="n"/>
      <c r="E808" s="45" t="n"/>
      <c r="F808" s="45" t="n"/>
      <c r="G808" s="45" t="n"/>
      <c r="H808" s="45" t="n"/>
      <c r="I808" s="45" t="n"/>
      <c r="J808" s="45" t="n"/>
      <c r="K808" s="45" t="n"/>
      <c r="L808" s="45" t="n"/>
      <c r="N808" s="46" t="n"/>
      <c r="P808" s="47" t="n"/>
      <c r="Q808" s="47" t="n"/>
      <c r="R808" s="47" t="n"/>
      <c r="V808" s="45" t="n"/>
    </row>
    <row r="809" ht="14.25" customHeight="1" s="142">
      <c r="C809" s="45" t="n"/>
      <c r="D809" s="45" t="n"/>
      <c r="E809" s="45" t="n"/>
      <c r="F809" s="45" t="n"/>
      <c r="G809" s="45" t="n"/>
      <c r="H809" s="45" t="n"/>
      <c r="I809" s="45" t="n"/>
      <c r="J809" s="45" t="n"/>
      <c r="K809" s="45" t="n"/>
      <c r="L809" s="45" t="n"/>
      <c r="N809" s="46" t="n"/>
      <c r="P809" s="47" t="n"/>
      <c r="Q809" s="47" t="n"/>
      <c r="R809" s="47" t="n"/>
      <c r="V809" s="45" t="n"/>
    </row>
    <row r="810" ht="14.25" customHeight="1" s="142">
      <c r="C810" s="45" t="n"/>
      <c r="D810" s="45" t="n"/>
      <c r="E810" s="45" t="n"/>
      <c r="F810" s="45" t="n"/>
      <c r="G810" s="45" t="n"/>
      <c r="H810" s="45" t="n"/>
      <c r="I810" s="45" t="n"/>
      <c r="J810" s="45" t="n"/>
      <c r="K810" s="45" t="n"/>
      <c r="L810" s="45" t="n"/>
      <c r="N810" s="46" t="n"/>
      <c r="P810" s="47" t="n"/>
      <c r="Q810" s="47" t="n"/>
      <c r="R810" s="47" t="n"/>
      <c r="V810" s="45" t="n"/>
    </row>
    <row r="811" ht="14.25" customHeight="1" s="142">
      <c r="C811" s="45" t="n"/>
      <c r="D811" s="45" t="n"/>
      <c r="E811" s="45" t="n"/>
      <c r="F811" s="45" t="n"/>
      <c r="G811" s="45" t="n"/>
      <c r="H811" s="45" t="n"/>
      <c r="I811" s="45" t="n"/>
      <c r="J811" s="45" t="n"/>
      <c r="K811" s="45" t="n"/>
      <c r="L811" s="45" t="n"/>
      <c r="N811" s="46" t="n"/>
      <c r="P811" s="47" t="n"/>
      <c r="Q811" s="47" t="n"/>
      <c r="R811" s="47" t="n"/>
      <c r="V811" s="45" t="n"/>
    </row>
    <row r="812" ht="14.25" customHeight="1" s="142">
      <c r="C812" s="45" t="n"/>
      <c r="D812" s="45" t="n"/>
      <c r="E812" s="45" t="n"/>
      <c r="F812" s="45" t="n"/>
      <c r="G812" s="45" t="n"/>
      <c r="H812" s="45" t="n"/>
      <c r="I812" s="45" t="n"/>
      <c r="J812" s="45" t="n"/>
      <c r="K812" s="45" t="n"/>
      <c r="L812" s="45" t="n"/>
      <c r="N812" s="46" t="n"/>
      <c r="P812" s="47" t="n"/>
      <c r="Q812" s="47" t="n"/>
      <c r="R812" s="47" t="n"/>
      <c r="V812" s="45" t="n"/>
    </row>
    <row r="813" ht="14.25" customHeight="1" s="142">
      <c r="C813" s="45" t="n"/>
      <c r="D813" s="45" t="n"/>
      <c r="E813" s="45" t="n"/>
      <c r="F813" s="45" t="n"/>
      <c r="G813" s="45" t="n"/>
      <c r="H813" s="45" t="n"/>
      <c r="I813" s="45" t="n"/>
      <c r="J813" s="45" t="n"/>
      <c r="K813" s="45" t="n"/>
      <c r="L813" s="45" t="n"/>
      <c r="N813" s="46" t="n"/>
      <c r="P813" s="47" t="n"/>
      <c r="Q813" s="47" t="n"/>
      <c r="R813" s="47" t="n"/>
      <c r="V813" s="45" t="n"/>
    </row>
    <row r="814" ht="14.25" customHeight="1" s="142">
      <c r="C814" s="45" t="n"/>
      <c r="D814" s="45" t="n"/>
      <c r="E814" s="45" t="n"/>
      <c r="F814" s="45" t="n"/>
      <c r="G814" s="45" t="n"/>
      <c r="H814" s="45" t="n"/>
      <c r="I814" s="45" t="n"/>
      <c r="J814" s="45" t="n"/>
      <c r="K814" s="45" t="n"/>
      <c r="L814" s="45" t="n"/>
      <c r="N814" s="46" t="n"/>
      <c r="P814" s="47" t="n"/>
      <c r="Q814" s="47" t="n"/>
      <c r="R814" s="47" t="n"/>
      <c r="V814" s="45" t="n"/>
    </row>
    <row r="815" ht="14.25" customHeight="1" s="142">
      <c r="C815" s="45" t="n"/>
      <c r="D815" s="45" t="n"/>
      <c r="E815" s="45" t="n"/>
      <c r="F815" s="45" t="n"/>
      <c r="G815" s="45" t="n"/>
      <c r="H815" s="45" t="n"/>
      <c r="I815" s="45" t="n"/>
      <c r="J815" s="45" t="n"/>
      <c r="K815" s="45" t="n"/>
      <c r="L815" s="45" t="n"/>
      <c r="N815" s="46" t="n"/>
      <c r="P815" s="47" t="n"/>
      <c r="Q815" s="47" t="n"/>
      <c r="R815" s="47" t="n"/>
      <c r="V815" s="45" t="n"/>
    </row>
    <row r="816" ht="14.25" customHeight="1" s="142">
      <c r="C816" s="45" t="n"/>
      <c r="D816" s="45" t="n"/>
      <c r="E816" s="45" t="n"/>
      <c r="F816" s="45" t="n"/>
      <c r="G816" s="45" t="n"/>
      <c r="H816" s="45" t="n"/>
      <c r="I816" s="45" t="n"/>
      <c r="J816" s="45" t="n"/>
      <c r="K816" s="45" t="n"/>
      <c r="L816" s="45" t="n"/>
      <c r="N816" s="46" t="n"/>
      <c r="P816" s="47" t="n"/>
      <c r="Q816" s="47" t="n"/>
      <c r="R816" s="47" t="n"/>
      <c r="V816" s="45" t="n"/>
    </row>
    <row r="817" ht="14.25" customHeight="1" s="142">
      <c r="C817" s="45" t="n"/>
      <c r="D817" s="45" t="n"/>
      <c r="E817" s="45" t="n"/>
      <c r="F817" s="45" t="n"/>
      <c r="G817" s="45" t="n"/>
      <c r="H817" s="45" t="n"/>
      <c r="I817" s="45" t="n"/>
      <c r="J817" s="45" t="n"/>
      <c r="K817" s="45" t="n"/>
      <c r="L817" s="45" t="n"/>
      <c r="N817" s="46" t="n"/>
      <c r="P817" s="47" t="n"/>
      <c r="Q817" s="47" t="n"/>
      <c r="R817" s="47" t="n"/>
      <c r="V817" s="45" t="n"/>
    </row>
    <row r="818" ht="14.25" customHeight="1" s="142">
      <c r="C818" s="45" t="n"/>
      <c r="D818" s="45" t="n"/>
      <c r="E818" s="45" t="n"/>
      <c r="F818" s="45" t="n"/>
      <c r="G818" s="45" t="n"/>
      <c r="H818" s="45" t="n"/>
      <c r="I818" s="45" t="n"/>
      <c r="J818" s="45" t="n"/>
      <c r="K818" s="45" t="n"/>
      <c r="L818" s="45" t="n"/>
      <c r="N818" s="46" t="n"/>
      <c r="P818" s="47" t="n"/>
      <c r="Q818" s="47" t="n"/>
      <c r="R818" s="47" t="n"/>
      <c r="V818" s="45" t="n"/>
    </row>
    <row r="819" ht="14.25" customHeight="1" s="142">
      <c r="C819" s="45" t="n"/>
      <c r="D819" s="45" t="n"/>
      <c r="E819" s="45" t="n"/>
      <c r="F819" s="45" t="n"/>
      <c r="G819" s="45" t="n"/>
      <c r="H819" s="45" t="n"/>
      <c r="I819" s="45" t="n"/>
      <c r="J819" s="45" t="n"/>
      <c r="K819" s="45" t="n"/>
      <c r="L819" s="45" t="n"/>
      <c r="N819" s="46" t="n"/>
      <c r="P819" s="47" t="n"/>
      <c r="Q819" s="47" t="n"/>
      <c r="R819" s="47" t="n"/>
      <c r="V819" s="45" t="n"/>
    </row>
    <row r="820" ht="14.25" customHeight="1" s="142">
      <c r="C820" s="45" t="n"/>
      <c r="D820" s="45" t="n"/>
      <c r="E820" s="45" t="n"/>
      <c r="F820" s="45" t="n"/>
      <c r="G820" s="45" t="n"/>
      <c r="H820" s="45" t="n"/>
      <c r="I820" s="45" t="n"/>
      <c r="J820" s="45" t="n"/>
      <c r="K820" s="45" t="n"/>
      <c r="L820" s="45" t="n"/>
      <c r="N820" s="46" t="n"/>
      <c r="P820" s="47" t="n"/>
      <c r="Q820" s="47" t="n"/>
      <c r="R820" s="47" t="n"/>
      <c r="V820" s="45" t="n"/>
    </row>
    <row r="821" ht="14.25" customHeight="1" s="142">
      <c r="C821" s="45" t="n"/>
      <c r="D821" s="45" t="n"/>
      <c r="E821" s="45" t="n"/>
      <c r="F821" s="45" t="n"/>
      <c r="G821" s="45" t="n"/>
      <c r="H821" s="45" t="n"/>
      <c r="I821" s="45" t="n"/>
      <c r="J821" s="45" t="n"/>
      <c r="K821" s="45" t="n"/>
      <c r="L821" s="45" t="n"/>
      <c r="N821" s="46" t="n"/>
      <c r="P821" s="47" t="n"/>
      <c r="Q821" s="47" t="n"/>
      <c r="R821" s="47" t="n"/>
      <c r="V821" s="45" t="n"/>
    </row>
    <row r="822" ht="14.25" customHeight="1" s="142">
      <c r="C822" s="45" t="n"/>
      <c r="D822" s="45" t="n"/>
      <c r="E822" s="45" t="n"/>
      <c r="F822" s="45" t="n"/>
      <c r="G822" s="45" t="n"/>
      <c r="H822" s="45" t="n"/>
      <c r="I822" s="45" t="n"/>
      <c r="J822" s="45" t="n"/>
      <c r="K822" s="45" t="n"/>
      <c r="L822" s="45" t="n"/>
      <c r="N822" s="46" t="n"/>
      <c r="P822" s="47" t="n"/>
      <c r="Q822" s="47" t="n"/>
      <c r="R822" s="47" t="n"/>
      <c r="V822" s="45" t="n"/>
    </row>
    <row r="823" ht="14.25" customHeight="1" s="142">
      <c r="C823" s="45" t="n"/>
      <c r="D823" s="45" t="n"/>
      <c r="E823" s="45" t="n"/>
      <c r="F823" s="45" t="n"/>
      <c r="G823" s="45" t="n"/>
      <c r="H823" s="45" t="n"/>
      <c r="I823" s="45" t="n"/>
      <c r="J823" s="45" t="n"/>
      <c r="K823" s="45" t="n"/>
      <c r="L823" s="45" t="n"/>
      <c r="N823" s="46" t="n"/>
      <c r="P823" s="47" t="n"/>
      <c r="Q823" s="47" t="n"/>
      <c r="R823" s="47" t="n"/>
      <c r="V823" s="45" t="n"/>
    </row>
    <row r="824" ht="14.25" customHeight="1" s="142">
      <c r="C824" s="45" t="n"/>
      <c r="D824" s="45" t="n"/>
      <c r="E824" s="45" t="n"/>
      <c r="F824" s="45" t="n"/>
      <c r="G824" s="45" t="n"/>
      <c r="H824" s="45" t="n"/>
      <c r="I824" s="45" t="n"/>
      <c r="J824" s="45" t="n"/>
      <c r="K824" s="45" t="n"/>
      <c r="L824" s="45" t="n"/>
      <c r="N824" s="46" t="n"/>
      <c r="P824" s="47" t="n"/>
      <c r="Q824" s="47" t="n"/>
      <c r="R824" s="47" t="n"/>
      <c r="V824" s="45" t="n"/>
    </row>
    <row r="825" ht="14.25" customHeight="1" s="142">
      <c r="C825" s="45" t="n"/>
      <c r="D825" s="45" t="n"/>
      <c r="E825" s="45" t="n"/>
      <c r="F825" s="45" t="n"/>
      <c r="G825" s="45" t="n"/>
      <c r="H825" s="45" t="n"/>
      <c r="I825" s="45" t="n"/>
      <c r="J825" s="45" t="n"/>
      <c r="K825" s="45" t="n"/>
      <c r="L825" s="45" t="n"/>
      <c r="N825" s="46" t="n"/>
      <c r="P825" s="47" t="n"/>
      <c r="Q825" s="47" t="n"/>
      <c r="R825" s="47" t="n"/>
      <c r="V825" s="45" t="n"/>
    </row>
    <row r="826" ht="14.25" customHeight="1" s="142">
      <c r="C826" s="45" t="n"/>
      <c r="D826" s="45" t="n"/>
      <c r="E826" s="45" t="n"/>
      <c r="F826" s="45" t="n"/>
      <c r="G826" s="45" t="n"/>
      <c r="H826" s="45" t="n"/>
      <c r="I826" s="45" t="n"/>
      <c r="J826" s="45" t="n"/>
      <c r="K826" s="45" t="n"/>
      <c r="L826" s="45" t="n"/>
      <c r="N826" s="46" t="n"/>
      <c r="P826" s="47" t="n"/>
      <c r="Q826" s="47" t="n"/>
      <c r="R826" s="47" t="n"/>
      <c r="V826" s="45" t="n"/>
    </row>
    <row r="827" ht="14.25" customHeight="1" s="142">
      <c r="C827" s="45" t="n"/>
      <c r="D827" s="45" t="n"/>
      <c r="E827" s="45" t="n"/>
      <c r="F827" s="45" t="n"/>
      <c r="G827" s="45" t="n"/>
      <c r="H827" s="45" t="n"/>
      <c r="I827" s="45" t="n"/>
      <c r="J827" s="45" t="n"/>
      <c r="K827" s="45" t="n"/>
      <c r="L827" s="45" t="n"/>
      <c r="N827" s="46" t="n"/>
      <c r="P827" s="47" t="n"/>
      <c r="Q827" s="47" t="n"/>
      <c r="R827" s="47" t="n"/>
      <c r="V827" s="45" t="n"/>
    </row>
    <row r="828" ht="14.25" customHeight="1" s="142">
      <c r="C828" s="45" t="n"/>
      <c r="D828" s="45" t="n"/>
      <c r="E828" s="45" t="n"/>
      <c r="F828" s="45" t="n"/>
      <c r="G828" s="45" t="n"/>
      <c r="H828" s="45" t="n"/>
      <c r="I828" s="45" t="n"/>
      <c r="J828" s="45" t="n"/>
      <c r="K828" s="45" t="n"/>
      <c r="L828" s="45" t="n"/>
      <c r="N828" s="46" t="n"/>
      <c r="P828" s="47" t="n"/>
      <c r="Q828" s="47" t="n"/>
      <c r="R828" s="47" t="n"/>
      <c r="V828" s="45" t="n"/>
    </row>
    <row r="829" ht="14.25" customHeight="1" s="142">
      <c r="C829" s="45" t="n"/>
      <c r="D829" s="45" t="n"/>
      <c r="E829" s="45" t="n"/>
      <c r="F829" s="45" t="n"/>
      <c r="G829" s="45" t="n"/>
      <c r="H829" s="45" t="n"/>
      <c r="I829" s="45" t="n"/>
      <c r="J829" s="45" t="n"/>
      <c r="K829" s="45" t="n"/>
      <c r="L829" s="45" t="n"/>
      <c r="N829" s="46" t="n"/>
      <c r="P829" s="47" t="n"/>
      <c r="Q829" s="47" t="n"/>
      <c r="R829" s="47" t="n"/>
      <c r="V829" s="45" t="n"/>
    </row>
    <row r="830" ht="14.25" customHeight="1" s="142">
      <c r="C830" s="45" t="n"/>
      <c r="D830" s="45" t="n"/>
      <c r="E830" s="45" t="n"/>
      <c r="F830" s="45" t="n"/>
      <c r="G830" s="45" t="n"/>
      <c r="H830" s="45" t="n"/>
      <c r="I830" s="45" t="n"/>
      <c r="J830" s="45" t="n"/>
      <c r="K830" s="45" t="n"/>
      <c r="L830" s="45" t="n"/>
      <c r="N830" s="46" t="n"/>
      <c r="P830" s="47" t="n"/>
      <c r="Q830" s="47" t="n"/>
      <c r="R830" s="47" t="n"/>
      <c r="V830" s="45" t="n"/>
    </row>
    <row r="831" ht="14.25" customHeight="1" s="142">
      <c r="C831" s="45" t="n"/>
      <c r="D831" s="45" t="n"/>
      <c r="E831" s="45" t="n"/>
      <c r="F831" s="45" t="n"/>
      <c r="G831" s="45" t="n"/>
      <c r="H831" s="45" t="n"/>
      <c r="I831" s="45" t="n"/>
      <c r="J831" s="45" t="n"/>
      <c r="K831" s="45" t="n"/>
      <c r="L831" s="45" t="n"/>
      <c r="N831" s="46" t="n"/>
      <c r="P831" s="47" t="n"/>
      <c r="Q831" s="47" t="n"/>
      <c r="R831" s="47" t="n"/>
      <c r="V831" s="45" t="n"/>
    </row>
    <row r="832" ht="14.25" customHeight="1" s="142">
      <c r="C832" s="45" t="n"/>
      <c r="D832" s="45" t="n"/>
      <c r="E832" s="45" t="n"/>
      <c r="F832" s="45" t="n"/>
      <c r="G832" s="45" t="n"/>
      <c r="H832" s="45" t="n"/>
      <c r="I832" s="45" t="n"/>
      <c r="J832" s="45" t="n"/>
      <c r="K832" s="45" t="n"/>
      <c r="L832" s="45" t="n"/>
      <c r="N832" s="46" t="n"/>
      <c r="P832" s="47" t="n"/>
      <c r="Q832" s="47" t="n"/>
      <c r="R832" s="47" t="n"/>
      <c r="V832" s="45" t="n"/>
    </row>
    <row r="833" ht="14.25" customHeight="1" s="142">
      <c r="C833" s="45" t="n"/>
      <c r="D833" s="45" t="n"/>
      <c r="E833" s="45" t="n"/>
      <c r="F833" s="45" t="n"/>
      <c r="G833" s="45" t="n"/>
      <c r="H833" s="45" t="n"/>
      <c r="I833" s="45" t="n"/>
      <c r="J833" s="45" t="n"/>
      <c r="K833" s="45" t="n"/>
      <c r="L833" s="45" t="n"/>
      <c r="N833" s="46" t="n"/>
      <c r="P833" s="47" t="n"/>
      <c r="Q833" s="47" t="n"/>
      <c r="R833" s="47" t="n"/>
      <c r="V833" s="45" t="n"/>
    </row>
    <row r="834" ht="14.25" customHeight="1" s="142">
      <c r="C834" s="45" t="n"/>
      <c r="D834" s="45" t="n"/>
      <c r="E834" s="45" t="n"/>
      <c r="F834" s="45" t="n"/>
      <c r="G834" s="45" t="n"/>
      <c r="H834" s="45" t="n"/>
      <c r="I834" s="45" t="n"/>
      <c r="J834" s="45" t="n"/>
      <c r="K834" s="45" t="n"/>
      <c r="L834" s="45" t="n"/>
      <c r="N834" s="46" t="n"/>
      <c r="P834" s="47" t="n"/>
      <c r="Q834" s="47" t="n"/>
      <c r="R834" s="47" t="n"/>
      <c r="V834" s="45" t="n"/>
    </row>
    <row r="835" ht="14.25" customHeight="1" s="142">
      <c r="C835" s="45" t="n"/>
      <c r="D835" s="45" t="n"/>
      <c r="E835" s="45" t="n"/>
      <c r="F835" s="45" t="n"/>
      <c r="G835" s="45" t="n"/>
      <c r="H835" s="45" t="n"/>
      <c r="I835" s="45" t="n"/>
      <c r="J835" s="45" t="n"/>
      <c r="K835" s="45" t="n"/>
      <c r="L835" s="45" t="n"/>
      <c r="N835" s="46" t="n"/>
      <c r="P835" s="47" t="n"/>
      <c r="Q835" s="47" t="n"/>
      <c r="R835" s="47" t="n"/>
      <c r="V835" s="45" t="n"/>
    </row>
    <row r="836" ht="14.25" customHeight="1" s="142">
      <c r="C836" s="45" t="n"/>
      <c r="D836" s="45" t="n"/>
      <c r="E836" s="45" t="n"/>
      <c r="F836" s="45" t="n"/>
      <c r="G836" s="45" t="n"/>
      <c r="H836" s="45" t="n"/>
      <c r="I836" s="45" t="n"/>
      <c r="J836" s="45" t="n"/>
      <c r="K836" s="45" t="n"/>
      <c r="L836" s="45" t="n"/>
      <c r="N836" s="46" t="n"/>
      <c r="P836" s="47" t="n"/>
      <c r="Q836" s="47" t="n"/>
      <c r="R836" s="47" t="n"/>
      <c r="V836" s="45" t="n"/>
    </row>
    <row r="837" ht="14.25" customHeight="1" s="142">
      <c r="C837" s="45" t="n"/>
      <c r="D837" s="45" t="n"/>
      <c r="E837" s="45" t="n"/>
      <c r="F837" s="45" t="n"/>
      <c r="G837" s="45" t="n"/>
      <c r="H837" s="45" t="n"/>
      <c r="I837" s="45" t="n"/>
      <c r="J837" s="45" t="n"/>
      <c r="K837" s="45" t="n"/>
      <c r="L837" s="45" t="n"/>
      <c r="N837" s="46" t="n"/>
      <c r="P837" s="47" t="n"/>
      <c r="Q837" s="47" t="n"/>
      <c r="R837" s="47" t="n"/>
      <c r="V837" s="45" t="n"/>
    </row>
    <row r="838" ht="14.25" customHeight="1" s="142">
      <c r="C838" s="45" t="n"/>
      <c r="D838" s="45" t="n"/>
      <c r="E838" s="45" t="n"/>
      <c r="F838" s="45" t="n"/>
      <c r="G838" s="45" t="n"/>
      <c r="H838" s="45" t="n"/>
      <c r="I838" s="45" t="n"/>
      <c r="J838" s="45" t="n"/>
      <c r="K838" s="45" t="n"/>
      <c r="L838" s="45" t="n"/>
      <c r="N838" s="46" t="n"/>
      <c r="P838" s="47" t="n"/>
      <c r="Q838" s="47" t="n"/>
      <c r="R838" s="47" t="n"/>
      <c r="V838" s="45" t="n"/>
    </row>
    <row r="839" ht="14.25" customHeight="1" s="142">
      <c r="C839" s="45" t="n"/>
      <c r="D839" s="45" t="n"/>
      <c r="E839" s="45" t="n"/>
      <c r="F839" s="45" t="n"/>
      <c r="G839" s="45" t="n"/>
      <c r="H839" s="45" t="n"/>
      <c r="I839" s="45" t="n"/>
      <c r="J839" s="45" t="n"/>
      <c r="K839" s="45" t="n"/>
      <c r="L839" s="45" t="n"/>
      <c r="N839" s="46" t="n"/>
      <c r="P839" s="47" t="n"/>
      <c r="Q839" s="47" t="n"/>
      <c r="R839" s="47" t="n"/>
      <c r="V839" s="45" t="n"/>
    </row>
    <row r="840" ht="14.25" customHeight="1" s="142">
      <c r="C840" s="45" t="n"/>
      <c r="D840" s="45" t="n"/>
      <c r="E840" s="45" t="n"/>
      <c r="F840" s="45" t="n"/>
      <c r="G840" s="45" t="n"/>
      <c r="H840" s="45" t="n"/>
      <c r="I840" s="45" t="n"/>
      <c r="J840" s="45" t="n"/>
      <c r="K840" s="45" t="n"/>
      <c r="L840" s="45" t="n"/>
      <c r="N840" s="46" t="n"/>
      <c r="P840" s="47" t="n"/>
      <c r="Q840" s="47" t="n"/>
      <c r="R840" s="47" t="n"/>
      <c r="V840" s="45" t="n"/>
    </row>
    <row r="841" ht="14.25" customHeight="1" s="142">
      <c r="C841" s="45" t="n"/>
      <c r="D841" s="45" t="n"/>
      <c r="E841" s="45" t="n"/>
      <c r="F841" s="45" t="n"/>
      <c r="G841" s="45" t="n"/>
      <c r="H841" s="45" t="n"/>
      <c r="I841" s="45" t="n"/>
      <c r="J841" s="45" t="n"/>
      <c r="K841" s="45" t="n"/>
      <c r="L841" s="45" t="n"/>
      <c r="N841" s="46" t="n"/>
      <c r="P841" s="47" t="n"/>
      <c r="Q841" s="47" t="n"/>
      <c r="R841" s="47" t="n"/>
      <c r="V841" s="45" t="n"/>
    </row>
    <row r="842" ht="14.25" customHeight="1" s="142">
      <c r="C842" s="45" t="n"/>
      <c r="D842" s="45" t="n"/>
      <c r="E842" s="45" t="n"/>
      <c r="F842" s="45" t="n"/>
      <c r="G842" s="45" t="n"/>
      <c r="H842" s="45" t="n"/>
      <c r="I842" s="45" t="n"/>
      <c r="J842" s="45" t="n"/>
      <c r="K842" s="45" t="n"/>
      <c r="L842" s="45" t="n"/>
      <c r="N842" s="46" t="n"/>
      <c r="P842" s="47" t="n"/>
      <c r="Q842" s="47" t="n"/>
      <c r="R842" s="47" t="n"/>
      <c r="V842" s="45" t="n"/>
    </row>
    <row r="843" ht="14.25" customHeight="1" s="142">
      <c r="C843" s="45" t="n"/>
      <c r="D843" s="45" t="n"/>
      <c r="E843" s="45" t="n"/>
      <c r="F843" s="45" t="n"/>
      <c r="G843" s="45" t="n"/>
      <c r="H843" s="45" t="n"/>
      <c r="I843" s="45" t="n"/>
      <c r="J843" s="45" t="n"/>
      <c r="K843" s="45" t="n"/>
      <c r="L843" s="45" t="n"/>
      <c r="N843" s="46" t="n"/>
      <c r="P843" s="47" t="n"/>
      <c r="Q843" s="47" t="n"/>
      <c r="R843" s="47" t="n"/>
      <c r="V843" s="45" t="n"/>
    </row>
    <row r="844" ht="14.25" customHeight="1" s="142">
      <c r="C844" s="45" t="n"/>
      <c r="D844" s="45" t="n"/>
      <c r="E844" s="45" t="n"/>
      <c r="F844" s="45" t="n"/>
      <c r="G844" s="45" t="n"/>
      <c r="H844" s="45" t="n"/>
      <c r="I844" s="45" t="n"/>
      <c r="J844" s="45" t="n"/>
      <c r="K844" s="45" t="n"/>
      <c r="L844" s="45" t="n"/>
      <c r="N844" s="46" t="n"/>
      <c r="P844" s="47" t="n"/>
      <c r="Q844" s="47" t="n"/>
      <c r="R844" s="47" t="n"/>
      <c r="V844" s="45" t="n"/>
    </row>
    <row r="845" ht="14.25" customHeight="1" s="142">
      <c r="C845" s="45" t="n"/>
      <c r="D845" s="45" t="n"/>
      <c r="E845" s="45" t="n"/>
      <c r="F845" s="45" t="n"/>
      <c r="G845" s="45" t="n"/>
      <c r="H845" s="45" t="n"/>
      <c r="I845" s="45" t="n"/>
      <c r="J845" s="45" t="n"/>
      <c r="K845" s="45" t="n"/>
      <c r="L845" s="45" t="n"/>
      <c r="N845" s="46" t="n"/>
      <c r="P845" s="47" t="n"/>
      <c r="Q845" s="47" t="n"/>
      <c r="R845" s="47" t="n"/>
      <c r="V845" s="45" t="n"/>
    </row>
    <row r="846" ht="14.25" customHeight="1" s="142">
      <c r="C846" s="45" t="n"/>
      <c r="D846" s="45" t="n"/>
      <c r="E846" s="45" t="n"/>
      <c r="F846" s="45" t="n"/>
      <c r="G846" s="45" t="n"/>
      <c r="H846" s="45" t="n"/>
      <c r="I846" s="45" t="n"/>
      <c r="J846" s="45" t="n"/>
      <c r="K846" s="45" t="n"/>
      <c r="L846" s="45" t="n"/>
      <c r="N846" s="46" t="n"/>
      <c r="P846" s="47" t="n"/>
      <c r="Q846" s="47" t="n"/>
      <c r="R846" s="47" t="n"/>
      <c r="V846" s="45" t="n"/>
    </row>
    <row r="847" ht="14.25" customHeight="1" s="142">
      <c r="C847" s="45" t="n"/>
      <c r="D847" s="45" t="n"/>
      <c r="E847" s="45" t="n"/>
      <c r="F847" s="45" t="n"/>
      <c r="G847" s="45" t="n"/>
      <c r="H847" s="45" t="n"/>
      <c r="I847" s="45" t="n"/>
      <c r="J847" s="45" t="n"/>
      <c r="K847" s="45" t="n"/>
      <c r="L847" s="45" t="n"/>
      <c r="N847" s="46" t="n"/>
      <c r="P847" s="47" t="n"/>
      <c r="Q847" s="47" t="n"/>
      <c r="R847" s="47" t="n"/>
      <c r="V847" s="45" t="n"/>
    </row>
    <row r="848" ht="14.25" customHeight="1" s="142">
      <c r="C848" s="45" t="n"/>
      <c r="D848" s="45" t="n"/>
      <c r="E848" s="45" t="n"/>
      <c r="F848" s="45" t="n"/>
      <c r="G848" s="45" t="n"/>
      <c r="H848" s="45" t="n"/>
      <c r="I848" s="45" t="n"/>
      <c r="J848" s="45" t="n"/>
      <c r="K848" s="45" t="n"/>
      <c r="L848" s="45" t="n"/>
      <c r="N848" s="46" t="n"/>
      <c r="P848" s="47" t="n"/>
      <c r="Q848" s="47" t="n"/>
      <c r="R848" s="47" t="n"/>
      <c r="V848" s="45" t="n"/>
    </row>
    <row r="849" ht="14.25" customHeight="1" s="142">
      <c r="C849" s="45" t="n"/>
      <c r="D849" s="45" t="n"/>
      <c r="E849" s="45" t="n"/>
      <c r="F849" s="45" t="n"/>
      <c r="G849" s="45" t="n"/>
      <c r="H849" s="45" t="n"/>
      <c r="I849" s="45" t="n"/>
      <c r="J849" s="45" t="n"/>
      <c r="K849" s="45" t="n"/>
      <c r="L849" s="45" t="n"/>
      <c r="N849" s="46" t="n"/>
      <c r="P849" s="47" t="n"/>
      <c r="Q849" s="47" t="n"/>
      <c r="R849" s="47" t="n"/>
      <c r="V849" s="45" t="n"/>
    </row>
    <row r="850" ht="14.25" customHeight="1" s="142">
      <c r="C850" s="45" t="n"/>
      <c r="D850" s="45" t="n"/>
      <c r="E850" s="45" t="n"/>
      <c r="F850" s="45" t="n"/>
      <c r="G850" s="45" t="n"/>
      <c r="H850" s="45" t="n"/>
      <c r="I850" s="45" t="n"/>
      <c r="J850" s="45" t="n"/>
      <c r="K850" s="45" t="n"/>
      <c r="L850" s="45" t="n"/>
      <c r="N850" s="46" t="n"/>
      <c r="P850" s="47" t="n"/>
      <c r="Q850" s="47" t="n"/>
      <c r="R850" s="47" t="n"/>
      <c r="V850" s="45" t="n"/>
    </row>
    <row r="851" ht="14.25" customHeight="1" s="142">
      <c r="C851" s="45" t="n"/>
      <c r="D851" s="45" t="n"/>
      <c r="E851" s="45" t="n"/>
      <c r="F851" s="45" t="n"/>
      <c r="G851" s="45" t="n"/>
      <c r="H851" s="45" t="n"/>
      <c r="I851" s="45" t="n"/>
      <c r="J851" s="45" t="n"/>
      <c r="K851" s="45" t="n"/>
      <c r="L851" s="45" t="n"/>
      <c r="N851" s="46" t="n"/>
      <c r="P851" s="47" t="n"/>
      <c r="Q851" s="47" t="n"/>
      <c r="R851" s="47" t="n"/>
      <c r="V851" s="45" t="n"/>
    </row>
    <row r="852" ht="14.25" customHeight="1" s="142">
      <c r="C852" s="45" t="n"/>
      <c r="D852" s="45" t="n"/>
      <c r="E852" s="45" t="n"/>
      <c r="F852" s="45" t="n"/>
      <c r="G852" s="45" t="n"/>
      <c r="H852" s="45" t="n"/>
      <c r="I852" s="45" t="n"/>
      <c r="J852" s="45" t="n"/>
      <c r="K852" s="45" t="n"/>
      <c r="L852" s="45" t="n"/>
      <c r="N852" s="46" t="n"/>
      <c r="P852" s="47" t="n"/>
      <c r="Q852" s="47" t="n"/>
      <c r="R852" s="47" t="n"/>
      <c r="V852" s="45" t="n"/>
    </row>
    <row r="853" ht="14.25" customHeight="1" s="142">
      <c r="C853" s="45" t="n"/>
      <c r="D853" s="45" t="n"/>
      <c r="E853" s="45" t="n"/>
      <c r="F853" s="45" t="n"/>
      <c r="G853" s="45" t="n"/>
      <c r="H853" s="45" t="n"/>
      <c r="I853" s="45" t="n"/>
      <c r="J853" s="45" t="n"/>
      <c r="K853" s="45" t="n"/>
      <c r="L853" s="45" t="n"/>
      <c r="N853" s="46" t="n"/>
      <c r="P853" s="47" t="n"/>
      <c r="Q853" s="47" t="n"/>
      <c r="R853" s="47" t="n"/>
      <c r="V853" s="45" t="n"/>
    </row>
    <row r="854" ht="14.25" customHeight="1" s="142">
      <c r="C854" s="45" t="n"/>
      <c r="D854" s="45" t="n"/>
      <c r="E854" s="45" t="n"/>
      <c r="F854" s="45" t="n"/>
      <c r="G854" s="45" t="n"/>
      <c r="H854" s="45" t="n"/>
      <c r="I854" s="45" t="n"/>
      <c r="J854" s="45" t="n"/>
      <c r="K854" s="45" t="n"/>
      <c r="L854" s="45" t="n"/>
      <c r="N854" s="46" t="n"/>
      <c r="P854" s="47" t="n"/>
      <c r="Q854" s="47" t="n"/>
      <c r="R854" s="47" t="n"/>
      <c r="V854" s="45" t="n"/>
    </row>
    <row r="855" ht="14.25" customHeight="1" s="142">
      <c r="C855" s="45" t="n"/>
      <c r="D855" s="45" t="n"/>
      <c r="E855" s="45" t="n"/>
      <c r="F855" s="45" t="n"/>
      <c r="G855" s="45" t="n"/>
      <c r="H855" s="45" t="n"/>
      <c r="I855" s="45" t="n"/>
      <c r="J855" s="45" t="n"/>
      <c r="K855" s="45" t="n"/>
      <c r="L855" s="45" t="n"/>
      <c r="N855" s="46" t="n"/>
      <c r="P855" s="47" t="n"/>
      <c r="Q855" s="47" t="n"/>
      <c r="R855" s="47" t="n"/>
      <c r="V855" s="45" t="n"/>
    </row>
    <row r="856" ht="14.25" customHeight="1" s="142">
      <c r="C856" s="45" t="n"/>
      <c r="D856" s="45" t="n"/>
      <c r="E856" s="45" t="n"/>
      <c r="F856" s="45" t="n"/>
      <c r="G856" s="45" t="n"/>
      <c r="H856" s="45" t="n"/>
      <c r="I856" s="45" t="n"/>
      <c r="J856" s="45" t="n"/>
      <c r="K856" s="45" t="n"/>
      <c r="L856" s="45" t="n"/>
      <c r="N856" s="46" t="n"/>
      <c r="P856" s="47" t="n"/>
      <c r="Q856" s="47" t="n"/>
      <c r="R856" s="47" t="n"/>
      <c r="V856" s="45" t="n"/>
    </row>
    <row r="857" ht="14.25" customHeight="1" s="142">
      <c r="C857" s="45" t="n"/>
      <c r="D857" s="45" t="n"/>
      <c r="E857" s="45" t="n"/>
      <c r="F857" s="45" t="n"/>
      <c r="G857" s="45" t="n"/>
      <c r="H857" s="45" t="n"/>
      <c r="I857" s="45" t="n"/>
      <c r="J857" s="45" t="n"/>
      <c r="K857" s="45" t="n"/>
      <c r="L857" s="45" t="n"/>
      <c r="N857" s="46" t="n"/>
      <c r="P857" s="47" t="n"/>
      <c r="Q857" s="47" t="n"/>
      <c r="R857" s="47" t="n"/>
      <c r="V857" s="45" t="n"/>
    </row>
    <row r="858" ht="14.25" customHeight="1" s="142">
      <c r="C858" s="45" t="n"/>
      <c r="D858" s="45" t="n"/>
      <c r="E858" s="45" t="n"/>
      <c r="F858" s="45" t="n"/>
      <c r="G858" s="45" t="n"/>
      <c r="H858" s="45" t="n"/>
      <c r="I858" s="45" t="n"/>
      <c r="J858" s="45" t="n"/>
      <c r="K858" s="45" t="n"/>
      <c r="L858" s="45" t="n"/>
      <c r="N858" s="46" t="n"/>
      <c r="P858" s="47" t="n"/>
      <c r="Q858" s="47" t="n"/>
      <c r="R858" s="47" t="n"/>
      <c r="V858" s="45" t="n"/>
    </row>
    <row r="859" ht="14.25" customHeight="1" s="142">
      <c r="C859" s="45" t="n"/>
      <c r="D859" s="45" t="n"/>
      <c r="E859" s="45" t="n"/>
      <c r="F859" s="45" t="n"/>
      <c r="G859" s="45" t="n"/>
      <c r="H859" s="45" t="n"/>
      <c r="I859" s="45" t="n"/>
      <c r="J859" s="45" t="n"/>
      <c r="K859" s="45" t="n"/>
      <c r="L859" s="45" t="n"/>
      <c r="N859" s="46" t="n"/>
      <c r="P859" s="47" t="n"/>
      <c r="Q859" s="47" t="n"/>
      <c r="R859" s="47" t="n"/>
      <c r="V859" s="45" t="n"/>
    </row>
    <row r="860" ht="14.25" customHeight="1" s="142">
      <c r="C860" s="45" t="n"/>
      <c r="D860" s="45" t="n"/>
      <c r="E860" s="45" t="n"/>
      <c r="F860" s="45" t="n"/>
      <c r="G860" s="45" t="n"/>
      <c r="H860" s="45" t="n"/>
      <c r="I860" s="45" t="n"/>
      <c r="J860" s="45" t="n"/>
      <c r="K860" s="45" t="n"/>
      <c r="L860" s="45" t="n"/>
      <c r="N860" s="46" t="n"/>
      <c r="P860" s="47" t="n"/>
      <c r="Q860" s="47" t="n"/>
      <c r="R860" s="47" t="n"/>
      <c r="V860" s="45" t="n"/>
    </row>
    <row r="861" ht="14.25" customHeight="1" s="142">
      <c r="C861" s="45" t="n"/>
      <c r="D861" s="45" t="n"/>
      <c r="E861" s="45" t="n"/>
      <c r="F861" s="45" t="n"/>
      <c r="G861" s="45" t="n"/>
      <c r="H861" s="45" t="n"/>
      <c r="I861" s="45" t="n"/>
      <c r="J861" s="45" t="n"/>
      <c r="K861" s="45" t="n"/>
      <c r="L861" s="45" t="n"/>
      <c r="N861" s="46" t="n"/>
      <c r="P861" s="47" t="n"/>
      <c r="Q861" s="47" t="n"/>
      <c r="R861" s="47" t="n"/>
      <c r="V861" s="45" t="n"/>
    </row>
    <row r="862" ht="14.25" customHeight="1" s="142">
      <c r="C862" s="45" t="n"/>
      <c r="D862" s="45" t="n"/>
      <c r="E862" s="45" t="n"/>
      <c r="F862" s="45" t="n"/>
      <c r="G862" s="45" t="n"/>
      <c r="H862" s="45" t="n"/>
      <c r="I862" s="45" t="n"/>
      <c r="J862" s="45" t="n"/>
      <c r="K862" s="45" t="n"/>
      <c r="L862" s="45" t="n"/>
      <c r="N862" s="46" t="n"/>
      <c r="P862" s="47" t="n"/>
      <c r="Q862" s="47" t="n"/>
      <c r="R862" s="47" t="n"/>
      <c r="V862" s="45" t="n"/>
    </row>
    <row r="863" ht="14.25" customHeight="1" s="142">
      <c r="C863" s="45" t="n"/>
      <c r="D863" s="45" t="n"/>
      <c r="E863" s="45" t="n"/>
      <c r="F863" s="45" t="n"/>
      <c r="G863" s="45" t="n"/>
      <c r="H863" s="45" t="n"/>
      <c r="I863" s="45" t="n"/>
      <c r="J863" s="45" t="n"/>
      <c r="K863" s="45" t="n"/>
      <c r="L863" s="45" t="n"/>
      <c r="N863" s="46" t="n"/>
      <c r="P863" s="47" t="n"/>
      <c r="Q863" s="47" t="n"/>
      <c r="R863" s="47" t="n"/>
      <c r="V863" s="45" t="n"/>
    </row>
    <row r="864" ht="14.25" customHeight="1" s="142">
      <c r="C864" s="45" t="n"/>
      <c r="D864" s="45" t="n"/>
      <c r="E864" s="45" t="n"/>
      <c r="F864" s="45" t="n"/>
      <c r="G864" s="45" t="n"/>
      <c r="H864" s="45" t="n"/>
      <c r="I864" s="45" t="n"/>
      <c r="J864" s="45" t="n"/>
      <c r="K864" s="45" t="n"/>
      <c r="L864" s="45" t="n"/>
      <c r="N864" s="46" t="n"/>
      <c r="P864" s="47" t="n"/>
      <c r="Q864" s="47" t="n"/>
      <c r="R864" s="47" t="n"/>
      <c r="V864" s="45" t="n"/>
    </row>
    <row r="865" ht="14.25" customHeight="1" s="142">
      <c r="C865" s="45" t="n"/>
      <c r="D865" s="45" t="n"/>
      <c r="E865" s="45" t="n"/>
      <c r="F865" s="45" t="n"/>
      <c r="G865" s="45" t="n"/>
      <c r="H865" s="45" t="n"/>
      <c r="I865" s="45" t="n"/>
      <c r="J865" s="45" t="n"/>
      <c r="K865" s="45" t="n"/>
      <c r="L865" s="45" t="n"/>
      <c r="N865" s="46" t="n"/>
      <c r="P865" s="47" t="n"/>
      <c r="Q865" s="47" t="n"/>
      <c r="R865" s="47" t="n"/>
      <c r="V865" s="45" t="n"/>
    </row>
    <row r="866" ht="14.25" customHeight="1" s="142">
      <c r="C866" s="45" t="n"/>
      <c r="D866" s="45" t="n"/>
      <c r="E866" s="45" t="n"/>
      <c r="F866" s="45" t="n"/>
      <c r="G866" s="45" t="n"/>
      <c r="H866" s="45" t="n"/>
      <c r="I866" s="45" t="n"/>
      <c r="J866" s="45" t="n"/>
      <c r="K866" s="45" t="n"/>
      <c r="L866" s="45" t="n"/>
      <c r="N866" s="46" t="n"/>
      <c r="P866" s="47" t="n"/>
      <c r="Q866" s="47" t="n"/>
      <c r="R866" s="47" t="n"/>
      <c r="V866" s="45" t="n"/>
    </row>
    <row r="867" ht="14.25" customHeight="1" s="142">
      <c r="C867" s="45" t="n"/>
      <c r="D867" s="45" t="n"/>
      <c r="E867" s="45" t="n"/>
      <c r="F867" s="45" t="n"/>
      <c r="G867" s="45" t="n"/>
      <c r="H867" s="45" t="n"/>
      <c r="I867" s="45" t="n"/>
      <c r="J867" s="45" t="n"/>
      <c r="K867" s="45" t="n"/>
      <c r="L867" s="45" t="n"/>
      <c r="N867" s="46" t="n"/>
      <c r="P867" s="47" t="n"/>
      <c r="Q867" s="47" t="n"/>
      <c r="R867" s="47" t="n"/>
      <c r="V867" s="45" t="n"/>
    </row>
    <row r="868" ht="14.25" customHeight="1" s="142">
      <c r="C868" s="45" t="n"/>
      <c r="D868" s="45" t="n"/>
      <c r="E868" s="45" t="n"/>
      <c r="F868" s="45" t="n"/>
      <c r="G868" s="45" t="n"/>
      <c r="H868" s="45" t="n"/>
      <c r="I868" s="45" t="n"/>
      <c r="J868" s="45" t="n"/>
      <c r="K868" s="45" t="n"/>
      <c r="L868" s="45" t="n"/>
      <c r="N868" s="46" t="n"/>
      <c r="P868" s="47" t="n"/>
      <c r="Q868" s="47" t="n"/>
      <c r="R868" s="47" t="n"/>
      <c r="V868" s="45" t="n"/>
    </row>
    <row r="869" ht="14.25" customHeight="1" s="142">
      <c r="C869" s="45" t="n"/>
      <c r="D869" s="45" t="n"/>
      <c r="E869" s="45" t="n"/>
      <c r="F869" s="45" t="n"/>
      <c r="G869" s="45" t="n"/>
      <c r="H869" s="45" t="n"/>
      <c r="I869" s="45" t="n"/>
      <c r="J869" s="45" t="n"/>
      <c r="K869" s="45" t="n"/>
      <c r="L869" s="45" t="n"/>
      <c r="N869" s="46" t="n"/>
      <c r="P869" s="47" t="n"/>
      <c r="Q869" s="47" t="n"/>
      <c r="R869" s="47" t="n"/>
      <c r="V869" s="45" t="n"/>
    </row>
    <row r="870" ht="14.25" customHeight="1" s="142">
      <c r="C870" s="45" t="n"/>
      <c r="D870" s="45" t="n"/>
      <c r="E870" s="45" t="n"/>
      <c r="F870" s="45" t="n"/>
      <c r="G870" s="45" t="n"/>
      <c r="H870" s="45" t="n"/>
      <c r="I870" s="45" t="n"/>
      <c r="J870" s="45" t="n"/>
      <c r="K870" s="45" t="n"/>
      <c r="L870" s="45" t="n"/>
      <c r="N870" s="46" t="n"/>
      <c r="P870" s="47" t="n"/>
      <c r="Q870" s="47" t="n"/>
      <c r="R870" s="47" t="n"/>
      <c r="V870" s="45" t="n"/>
    </row>
    <row r="871" ht="14.25" customHeight="1" s="142">
      <c r="C871" s="45" t="n"/>
      <c r="D871" s="45" t="n"/>
      <c r="E871" s="45" t="n"/>
      <c r="F871" s="45" t="n"/>
      <c r="G871" s="45" t="n"/>
      <c r="H871" s="45" t="n"/>
      <c r="I871" s="45" t="n"/>
      <c r="J871" s="45" t="n"/>
      <c r="K871" s="45" t="n"/>
      <c r="L871" s="45" t="n"/>
      <c r="N871" s="46" t="n"/>
      <c r="P871" s="47" t="n"/>
      <c r="Q871" s="47" t="n"/>
      <c r="R871" s="47" t="n"/>
      <c r="V871" s="45" t="n"/>
    </row>
    <row r="872" ht="14.25" customHeight="1" s="142">
      <c r="C872" s="45" t="n"/>
      <c r="D872" s="45" t="n"/>
      <c r="E872" s="45" t="n"/>
      <c r="F872" s="45" t="n"/>
      <c r="G872" s="45" t="n"/>
      <c r="H872" s="45" t="n"/>
      <c r="I872" s="45" t="n"/>
      <c r="J872" s="45" t="n"/>
      <c r="K872" s="45" t="n"/>
      <c r="L872" s="45" t="n"/>
      <c r="N872" s="46" t="n"/>
      <c r="P872" s="47" t="n"/>
      <c r="Q872" s="47" t="n"/>
      <c r="R872" s="47" t="n"/>
      <c r="V872" s="45" t="n"/>
    </row>
    <row r="873" ht="14.25" customHeight="1" s="142">
      <c r="C873" s="45" t="n"/>
      <c r="D873" s="45" t="n"/>
      <c r="E873" s="45" t="n"/>
      <c r="F873" s="45" t="n"/>
      <c r="G873" s="45" t="n"/>
      <c r="H873" s="45" t="n"/>
      <c r="I873" s="45" t="n"/>
      <c r="J873" s="45" t="n"/>
      <c r="K873" s="45" t="n"/>
      <c r="L873" s="45" t="n"/>
      <c r="N873" s="46" t="n"/>
      <c r="P873" s="47" t="n"/>
      <c r="Q873" s="47" t="n"/>
      <c r="R873" s="47" t="n"/>
      <c r="V873" s="45" t="n"/>
    </row>
    <row r="874" ht="14.25" customHeight="1" s="142">
      <c r="C874" s="45" t="n"/>
      <c r="D874" s="45" t="n"/>
      <c r="E874" s="45" t="n"/>
      <c r="F874" s="45" t="n"/>
      <c r="G874" s="45" t="n"/>
      <c r="H874" s="45" t="n"/>
      <c r="I874" s="45" t="n"/>
      <c r="J874" s="45" t="n"/>
      <c r="K874" s="45" t="n"/>
      <c r="L874" s="45" t="n"/>
      <c r="N874" s="46" t="n"/>
      <c r="P874" s="47" t="n"/>
      <c r="Q874" s="47" t="n"/>
      <c r="R874" s="47" t="n"/>
      <c r="V874" s="45" t="n"/>
    </row>
    <row r="875" ht="14.25" customHeight="1" s="142">
      <c r="C875" s="45" t="n"/>
      <c r="D875" s="45" t="n"/>
      <c r="E875" s="45" t="n"/>
      <c r="F875" s="45" t="n"/>
      <c r="G875" s="45" t="n"/>
      <c r="H875" s="45" t="n"/>
      <c r="I875" s="45" t="n"/>
      <c r="J875" s="45" t="n"/>
      <c r="K875" s="45" t="n"/>
      <c r="L875" s="45" t="n"/>
      <c r="N875" s="46" t="n"/>
      <c r="P875" s="47" t="n"/>
      <c r="Q875" s="47" t="n"/>
      <c r="R875" s="47" t="n"/>
      <c r="V875" s="45" t="n"/>
    </row>
    <row r="876" ht="14.25" customHeight="1" s="142">
      <c r="C876" s="45" t="n"/>
      <c r="D876" s="45" t="n"/>
      <c r="E876" s="45" t="n"/>
      <c r="F876" s="45" t="n"/>
      <c r="G876" s="45" t="n"/>
      <c r="H876" s="45" t="n"/>
      <c r="I876" s="45" t="n"/>
      <c r="J876" s="45" t="n"/>
      <c r="K876" s="45" t="n"/>
      <c r="L876" s="45" t="n"/>
      <c r="N876" s="46" t="n"/>
      <c r="P876" s="47" t="n"/>
      <c r="Q876" s="47" t="n"/>
      <c r="R876" s="47" t="n"/>
      <c r="V876" s="45" t="n"/>
    </row>
    <row r="877" ht="14.25" customHeight="1" s="142">
      <c r="C877" s="45" t="n"/>
      <c r="D877" s="45" t="n"/>
      <c r="E877" s="45" t="n"/>
      <c r="F877" s="45" t="n"/>
      <c r="G877" s="45" t="n"/>
      <c r="H877" s="45" t="n"/>
      <c r="I877" s="45" t="n"/>
      <c r="J877" s="45" t="n"/>
      <c r="K877" s="45" t="n"/>
      <c r="L877" s="45" t="n"/>
      <c r="N877" s="46" t="n"/>
      <c r="P877" s="47" t="n"/>
      <c r="Q877" s="47" t="n"/>
      <c r="R877" s="47" t="n"/>
      <c r="V877" s="45" t="n"/>
    </row>
    <row r="878" ht="14.25" customHeight="1" s="142">
      <c r="C878" s="45" t="n"/>
      <c r="D878" s="45" t="n"/>
      <c r="E878" s="45" t="n"/>
      <c r="F878" s="45" t="n"/>
      <c r="G878" s="45" t="n"/>
      <c r="H878" s="45" t="n"/>
      <c r="I878" s="45" t="n"/>
      <c r="J878" s="45" t="n"/>
      <c r="K878" s="45" t="n"/>
      <c r="L878" s="45" t="n"/>
      <c r="N878" s="46" t="n"/>
      <c r="P878" s="47" t="n"/>
      <c r="Q878" s="47" t="n"/>
      <c r="R878" s="47" t="n"/>
      <c r="V878" s="45" t="n"/>
    </row>
    <row r="879" ht="14.25" customHeight="1" s="142">
      <c r="C879" s="45" t="n"/>
      <c r="D879" s="45" t="n"/>
      <c r="E879" s="45" t="n"/>
      <c r="F879" s="45" t="n"/>
      <c r="G879" s="45" t="n"/>
      <c r="H879" s="45" t="n"/>
      <c r="I879" s="45" t="n"/>
      <c r="J879" s="45" t="n"/>
      <c r="K879" s="45" t="n"/>
      <c r="L879" s="45" t="n"/>
      <c r="N879" s="46" t="n"/>
      <c r="P879" s="47" t="n"/>
      <c r="Q879" s="47" t="n"/>
      <c r="R879" s="47" t="n"/>
      <c r="V879" s="45" t="n"/>
    </row>
    <row r="880" ht="14.25" customHeight="1" s="142">
      <c r="C880" s="45" t="n"/>
      <c r="D880" s="45" t="n"/>
      <c r="E880" s="45" t="n"/>
      <c r="F880" s="45" t="n"/>
      <c r="G880" s="45" t="n"/>
      <c r="H880" s="45" t="n"/>
      <c r="I880" s="45" t="n"/>
      <c r="J880" s="45" t="n"/>
      <c r="K880" s="45" t="n"/>
      <c r="L880" s="45" t="n"/>
      <c r="N880" s="46" t="n"/>
      <c r="P880" s="47" t="n"/>
      <c r="Q880" s="47" t="n"/>
      <c r="R880" s="47" t="n"/>
      <c r="V880" s="45" t="n"/>
    </row>
    <row r="881" ht="14.25" customHeight="1" s="142">
      <c r="C881" s="45" t="n"/>
      <c r="D881" s="45" t="n"/>
      <c r="E881" s="45" t="n"/>
      <c r="F881" s="45" t="n"/>
      <c r="G881" s="45" t="n"/>
      <c r="H881" s="45" t="n"/>
      <c r="I881" s="45" t="n"/>
      <c r="J881" s="45" t="n"/>
      <c r="K881" s="45" t="n"/>
      <c r="L881" s="45" t="n"/>
      <c r="N881" s="46" t="n"/>
      <c r="P881" s="47" t="n"/>
      <c r="Q881" s="47" t="n"/>
      <c r="R881" s="47" t="n"/>
      <c r="V881" s="45" t="n"/>
    </row>
    <row r="882" ht="14.25" customHeight="1" s="142">
      <c r="C882" s="45" t="n"/>
      <c r="D882" s="45" t="n"/>
      <c r="E882" s="45" t="n"/>
      <c r="F882" s="45" t="n"/>
      <c r="G882" s="45" t="n"/>
      <c r="H882" s="45" t="n"/>
      <c r="I882" s="45" t="n"/>
      <c r="J882" s="45" t="n"/>
      <c r="K882" s="45" t="n"/>
      <c r="L882" s="45" t="n"/>
      <c r="N882" s="46" t="n"/>
      <c r="P882" s="47" t="n"/>
      <c r="Q882" s="47" t="n"/>
      <c r="R882" s="47" t="n"/>
      <c r="V882" s="45" t="n"/>
    </row>
    <row r="883" ht="14.25" customHeight="1" s="142">
      <c r="C883" s="45" t="n"/>
      <c r="D883" s="45" t="n"/>
      <c r="E883" s="45" t="n"/>
      <c r="F883" s="45" t="n"/>
      <c r="G883" s="45" t="n"/>
      <c r="H883" s="45" t="n"/>
      <c r="I883" s="45" t="n"/>
      <c r="J883" s="45" t="n"/>
      <c r="K883" s="45" t="n"/>
      <c r="L883" s="45" t="n"/>
      <c r="N883" s="46" t="n"/>
      <c r="P883" s="47" t="n"/>
      <c r="Q883" s="47" t="n"/>
      <c r="R883" s="47" t="n"/>
      <c r="V883" s="45" t="n"/>
    </row>
    <row r="884" ht="14.25" customHeight="1" s="142">
      <c r="C884" s="45" t="n"/>
      <c r="D884" s="45" t="n"/>
      <c r="E884" s="45" t="n"/>
      <c r="F884" s="45" t="n"/>
      <c r="G884" s="45" t="n"/>
      <c r="H884" s="45" t="n"/>
      <c r="I884" s="45" t="n"/>
      <c r="J884" s="45" t="n"/>
      <c r="K884" s="45" t="n"/>
      <c r="L884" s="45" t="n"/>
      <c r="N884" s="46" t="n"/>
      <c r="P884" s="47" t="n"/>
      <c r="Q884" s="47" t="n"/>
      <c r="R884" s="47" t="n"/>
      <c r="V884" s="45" t="n"/>
    </row>
    <row r="885" ht="14.25" customHeight="1" s="142">
      <c r="C885" s="45" t="n"/>
      <c r="D885" s="45" t="n"/>
      <c r="E885" s="45" t="n"/>
      <c r="F885" s="45" t="n"/>
      <c r="G885" s="45" t="n"/>
      <c r="H885" s="45" t="n"/>
      <c r="I885" s="45" t="n"/>
      <c r="J885" s="45" t="n"/>
      <c r="K885" s="45" t="n"/>
      <c r="L885" s="45" t="n"/>
      <c r="N885" s="46" t="n"/>
      <c r="P885" s="47" t="n"/>
      <c r="Q885" s="47" t="n"/>
      <c r="R885" s="47" t="n"/>
      <c r="V885" s="45" t="n"/>
    </row>
    <row r="886" ht="14.25" customHeight="1" s="142">
      <c r="C886" s="45" t="n"/>
      <c r="D886" s="45" t="n"/>
      <c r="E886" s="45" t="n"/>
      <c r="F886" s="45" t="n"/>
      <c r="G886" s="45" t="n"/>
      <c r="H886" s="45" t="n"/>
      <c r="I886" s="45" t="n"/>
      <c r="J886" s="45" t="n"/>
      <c r="K886" s="45" t="n"/>
      <c r="L886" s="45" t="n"/>
      <c r="N886" s="46" t="n"/>
      <c r="P886" s="47" t="n"/>
      <c r="Q886" s="47" t="n"/>
      <c r="R886" s="47" t="n"/>
      <c r="V886" s="45" t="n"/>
    </row>
    <row r="887" ht="14.25" customHeight="1" s="142">
      <c r="C887" s="45" t="n"/>
      <c r="D887" s="45" t="n"/>
      <c r="E887" s="45" t="n"/>
      <c r="F887" s="45" t="n"/>
      <c r="G887" s="45" t="n"/>
      <c r="H887" s="45" t="n"/>
      <c r="I887" s="45" t="n"/>
      <c r="J887" s="45" t="n"/>
      <c r="K887" s="45" t="n"/>
      <c r="L887" s="45" t="n"/>
      <c r="N887" s="46" t="n"/>
      <c r="P887" s="47" t="n"/>
      <c r="Q887" s="47" t="n"/>
      <c r="R887" s="47" t="n"/>
      <c r="V887" s="45" t="n"/>
    </row>
    <row r="888" ht="14.25" customHeight="1" s="142">
      <c r="C888" s="45" t="n"/>
      <c r="D888" s="45" t="n"/>
      <c r="E888" s="45" t="n"/>
      <c r="F888" s="45" t="n"/>
      <c r="G888" s="45" t="n"/>
      <c r="H888" s="45" t="n"/>
      <c r="I888" s="45" t="n"/>
      <c r="J888" s="45" t="n"/>
      <c r="K888" s="45" t="n"/>
      <c r="L888" s="45" t="n"/>
      <c r="N888" s="46" t="n"/>
      <c r="P888" s="47" t="n"/>
      <c r="Q888" s="47" t="n"/>
      <c r="R888" s="47" t="n"/>
      <c r="V888" s="45" t="n"/>
    </row>
    <row r="889" ht="14.25" customHeight="1" s="142">
      <c r="C889" s="45" t="n"/>
      <c r="D889" s="45" t="n"/>
      <c r="E889" s="45" t="n"/>
      <c r="F889" s="45" t="n"/>
      <c r="G889" s="45" t="n"/>
      <c r="H889" s="45" t="n"/>
      <c r="I889" s="45" t="n"/>
      <c r="J889" s="45" t="n"/>
      <c r="K889" s="45" t="n"/>
      <c r="L889" s="45" t="n"/>
      <c r="N889" s="46" t="n"/>
      <c r="P889" s="47" t="n"/>
      <c r="Q889" s="47" t="n"/>
      <c r="R889" s="47" t="n"/>
      <c r="V889" s="45" t="n"/>
    </row>
    <row r="890" ht="14.25" customHeight="1" s="142">
      <c r="C890" s="45" t="n"/>
      <c r="D890" s="45" t="n"/>
      <c r="E890" s="45" t="n"/>
      <c r="F890" s="45" t="n"/>
      <c r="G890" s="45" t="n"/>
      <c r="H890" s="45" t="n"/>
      <c r="I890" s="45" t="n"/>
      <c r="J890" s="45" t="n"/>
      <c r="K890" s="45" t="n"/>
      <c r="L890" s="45" t="n"/>
      <c r="N890" s="46" t="n"/>
      <c r="P890" s="47" t="n"/>
      <c r="Q890" s="47" t="n"/>
      <c r="R890" s="47" t="n"/>
      <c r="V890" s="45" t="n"/>
    </row>
    <row r="891" ht="14.25" customHeight="1" s="142">
      <c r="C891" s="45" t="n"/>
      <c r="D891" s="45" t="n"/>
      <c r="E891" s="45" t="n"/>
      <c r="F891" s="45" t="n"/>
      <c r="G891" s="45" t="n"/>
      <c r="H891" s="45" t="n"/>
      <c r="I891" s="45" t="n"/>
      <c r="J891" s="45" t="n"/>
      <c r="K891" s="45" t="n"/>
      <c r="L891" s="45" t="n"/>
      <c r="N891" s="46" t="n"/>
      <c r="P891" s="47" t="n"/>
      <c r="Q891" s="47" t="n"/>
      <c r="R891" s="47" t="n"/>
      <c r="V891" s="45" t="n"/>
    </row>
    <row r="892" ht="14.25" customHeight="1" s="142">
      <c r="C892" s="45" t="n"/>
      <c r="D892" s="45" t="n"/>
      <c r="E892" s="45" t="n"/>
      <c r="F892" s="45" t="n"/>
      <c r="G892" s="45" t="n"/>
      <c r="H892" s="45" t="n"/>
      <c r="I892" s="45" t="n"/>
      <c r="J892" s="45" t="n"/>
      <c r="K892" s="45" t="n"/>
      <c r="L892" s="45" t="n"/>
      <c r="N892" s="46" t="n"/>
      <c r="P892" s="47" t="n"/>
      <c r="Q892" s="47" t="n"/>
      <c r="R892" s="47" t="n"/>
      <c r="V892" s="45" t="n"/>
    </row>
    <row r="893" ht="14.25" customHeight="1" s="142">
      <c r="C893" s="45" t="n"/>
      <c r="D893" s="45" t="n"/>
      <c r="E893" s="45" t="n"/>
      <c r="F893" s="45" t="n"/>
      <c r="G893" s="45" t="n"/>
      <c r="H893" s="45" t="n"/>
      <c r="I893" s="45" t="n"/>
      <c r="J893" s="45" t="n"/>
      <c r="K893" s="45" t="n"/>
      <c r="L893" s="45" t="n"/>
      <c r="N893" s="46" t="n"/>
      <c r="P893" s="47" t="n"/>
      <c r="Q893" s="47" t="n"/>
      <c r="R893" s="47" t="n"/>
      <c r="V893" s="45" t="n"/>
    </row>
    <row r="894" ht="14.25" customHeight="1" s="142">
      <c r="C894" s="45" t="n"/>
      <c r="D894" s="45" t="n"/>
      <c r="E894" s="45" t="n"/>
      <c r="F894" s="45" t="n"/>
      <c r="G894" s="45" t="n"/>
      <c r="H894" s="45" t="n"/>
      <c r="I894" s="45" t="n"/>
      <c r="J894" s="45" t="n"/>
      <c r="K894" s="45" t="n"/>
      <c r="L894" s="45" t="n"/>
      <c r="N894" s="46" t="n"/>
      <c r="P894" s="47" t="n"/>
      <c r="Q894" s="47" t="n"/>
      <c r="R894" s="47" t="n"/>
      <c r="V894" s="45" t="n"/>
    </row>
    <row r="895" ht="14.25" customHeight="1" s="142">
      <c r="C895" s="45" t="n"/>
      <c r="D895" s="45" t="n"/>
      <c r="E895" s="45" t="n"/>
      <c r="F895" s="45" t="n"/>
      <c r="G895" s="45" t="n"/>
      <c r="H895" s="45" t="n"/>
      <c r="I895" s="45" t="n"/>
      <c r="J895" s="45" t="n"/>
      <c r="K895" s="45" t="n"/>
      <c r="L895" s="45" t="n"/>
      <c r="N895" s="46" t="n"/>
      <c r="P895" s="47" t="n"/>
      <c r="Q895" s="47" t="n"/>
      <c r="R895" s="47" t="n"/>
      <c r="V895" s="45" t="n"/>
    </row>
    <row r="896" ht="14.25" customHeight="1" s="142">
      <c r="C896" s="45" t="n"/>
      <c r="D896" s="45" t="n"/>
      <c r="E896" s="45" t="n"/>
      <c r="F896" s="45" t="n"/>
      <c r="G896" s="45" t="n"/>
      <c r="H896" s="45" t="n"/>
      <c r="I896" s="45" t="n"/>
      <c r="J896" s="45" t="n"/>
      <c r="K896" s="45" t="n"/>
      <c r="L896" s="45" t="n"/>
      <c r="N896" s="46" t="n"/>
      <c r="P896" s="47" t="n"/>
      <c r="Q896" s="47" t="n"/>
      <c r="R896" s="47" t="n"/>
      <c r="V896" s="45" t="n"/>
    </row>
    <row r="897" ht="14.25" customHeight="1" s="142">
      <c r="C897" s="45" t="n"/>
      <c r="D897" s="45" t="n"/>
      <c r="E897" s="45" t="n"/>
      <c r="F897" s="45" t="n"/>
      <c r="G897" s="45" t="n"/>
      <c r="H897" s="45" t="n"/>
      <c r="I897" s="45" t="n"/>
      <c r="J897" s="45" t="n"/>
      <c r="K897" s="45" t="n"/>
      <c r="L897" s="45" t="n"/>
      <c r="N897" s="46" t="n"/>
      <c r="P897" s="47" t="n"/>
      <c r="Q897" s="47" t="n"/>
      <c r="R897" s="47" t="n"/>
      <c r="V897" s="45" t="n"/>
    </row>
    <row r="898" ht="14.25" customHeight="1" s="142">
      <c r="C898" s="45" t="n"/>
      <c r="D898" s="45" t="n"/>
      <c r="E898" s="45" t="n"/>
      <c r="F898" s="45" t="n"/>
      <c r="G898" s="45" t="n"/>
      <c r="H898" s="45" t="n"/>
      <c r="I898" s="45" t="n"/>
      <c r="J898" s="45" t="n"/>
      <c r="K898" s="45" t="n"/>
      <c r="L898" s="45" t="n"/>
      <c r="N898" s="46" t="n"/>
      <c r="P898" s="47" t="n"/>
      <c r="Q898" s="47" t="n"/>
      <c r="R898" s="47" t="n"/>
      <c r="V898" s="45" t="n"/>
    </row>
    <row r="899" ht="14.25" customHeight="1" s="142">
      <c r="C899" s="45" t="n"/>
      <c r="D899" s="45" t="n"/>
      <c r="E899" s="45" t="n"/>
      <c r="F899" s="45" t="n"/>
      <c r="G899" s="45" t="n"/>
      <c r="H899" s="45" t="n"/>
      <c r="I899" s="45" t="n"/>
      <c r="J899" s="45" t="n"/>
      <c r="K899" s="45" t="n"/>
      <c r="L899" s="45" t="n"/>
      <c r="N899" s="46" t="n"/>
      <c r="P899" s="47" t="n"/>
      <c r="Q899" s="47" t="n"/>
      <c r="R899" s="47" t="n"/>
      <c r="V899" s="45" t="n"/>
    </row>
    <row r="900" ht="14.25" customHeight="1" s="142">
      <c r="C900" s="45" t="n"/>
      <c r="D900" s="45" t="n"/>
      <c r="E900" s="45" t="n"/>
      <c r="F900" s="45" t="n"/>
      <c r="G900" s="45" t="n"/>
      <c r="H900" s="45" t="n"/>
      <c r="I900" s="45" t="n"/>
      <c r="J900" s="45" t="n"/>
      <c r="K900" s="45" t="n"/>
      <c r="L900" s="45" t="n"/>
      <c r="N900" s="46" t="n"/>
      <c r="P900" s="47" t="n"/>
      <c r="Q900" s="47" t="n"/>
      <c r="R900" s="47" t="n"/>
      <c r="V900" s="45" t="n"/>
    </row>
    <row r="901" ht="14.25" customHeight="1" s="142">
      <c r="C901" s="45" t="n"/>
      <c r="D901" s="45" t="n"/>
      <c r="E901" s="45" t="n"/>
      <c r="F901" s="45" t="n"/>
      <c r="G901" s="45" t="n"/>
      <c r="H901" s="45" t="n"/>
      <c r="I901" s="45" t="n"/>
      <c r="J901" s="45" t="n"/>
      <c r="K901" s="45" t="n"/>
      <c r="L901" s="45" t="n"/>
      <c r="N901" s="46" t="n"/>
      <c r="P901" s="47" t="n"/>
      <c r="Q901" s="47" t="n"/>
      <c r="R901" s="47" t="n"/>
      <c r="V901" s="45" t="n"/>
    </row>
    <row r="902" ht="14.25" customHeight="1" s="142">
      <c r="C902" s="45" t="n"/>
      <c r="D902" s="45" t="n"/>
      <c r="E902" s="45" t="n"/>
      <c r="F902" s="45" t="n"/>
      <c r="G902" s="45" t="n"/>
      <c r="H902" s="45" t="n"/>
      <c r="I902" s="45" t="n"/>
      <c r="J902" s="45" t="n"/>
      <c r="K902" s="45" t="n"/>
      <c r="L902" s="45" t="n"/>
      <c r="N902" s="46" t="n"/>
      <c r="P902" s="47" t="n"/>
      <c r="Q902" s="47" t="n"/>
      <c r="R902" s="47" t="n"/>
      <c r="V902" s="45" t="n"/>
    </row>
    <row r="903" ht="14.25" customHeight="1" s="142">
      <c r="C903" s="45" t="n"/>
      <c r="D903" s="45" t="n"/>
      <c r="E903" s="45" t="n"/>
      <c r="F903" s="45" t="n"/>
      <c r="G903" s="45" t="n"/>
      <c r="H903" s="45" t="n"/>
      <c r="I903" s="45" t="n"/>
      <c r="J903" s="45" t="n"/>
      <c r="K903" s="45" t="n"/>
      <c r="L903" s="45" t="n"/>
      <c r="N903" s="46" t="n"/>
      <c r="P903" s="47" t="n"/>
      <c r="Q903" s="47" t="n"/>
      <c r="R903" s="47" t="n"/>
      <c r="V903" s="45" t="n"/>
    </row>
    <row r="904" ht="14.25" customHeight="1" s="142">
      <c r="C904" s="45" t="n"/>
      <c r="D904" s="45" t="n"/>
      <c r="E904" s="45" t="n"/>
      <c r="F904" s="45" t="n"/>
      <c r="G904" s="45" t="n"/>
      <c r="H904" s="45" t="n"/>
      <c r="I904" s="45" t="n"/>
      <c r="J904" s="45" t="n"/>
      <c r="K904" s="45" t="n"/>
      <c r="L904" s="45" t="n"/>
      <c r="N904" s="46" t="n"/>
      <c r="P904" s="47" t="n"/>
      <c r="Q904" s="47" t="n"/>
      <c r="R904" s="47" t="n"/>
      <c r="V904" s="45" t="n"/>
    </row>
    <row r="905" ht="14.25" customHeight="1" s="142">
      <c r="C905" s="45" t="n"/>
      <c r="D905" s="45" t="n"/>
      <c r="E905" s="45" t="n"/>
      <c r="F905" s="45" t="n"/>
      <c r="G905" s="45" t="n"/>
      <c r="H905" s="45" t="n"/>
      <c r="I905" s="45" t="n"/>
      <c r="J905" s="45" t="n"/>
      <c r="K905" s="45" t="n"/>
      <c r="L905" s="45" t="n"/>
      <c r="N905" s="46" t="n"/>
      <c r="P905" s="47" t="n"/>
      <c r="Q905" s="47" t="n"/>
      <c r="R905" s="47" t="n"/>
      <c r="V905" s="45" t="n"/>
    </row>
    <row r="906" ht="14.25" customHeight="1" s="142">
      <c r="C906" s="45" t="n"/>
      <c r="D906" s="45" t="n"/>
      <c r="E906" s="45" t="n"/>
      <c r="F906" s="45" t="n"/>
      <c r="G906" s="45" t="n"/>
      <c r="H906" s="45" t="n"/>
      <c r="I906" s="45" t="n"/>
      <c r="J906" s="45" t="n"/>
      <c r="K906" s="45" t="n"/>
      <c r="L906" s="45" t="n"/>
      <c r="N906" s="46" t="n"/>
      <c r="P906" s="47" t="n"/>
      <c r="Q906" s="47" t="n"/>
      <c r="R906" s="47" t="n"/>
      <c r="V906" s="45" t="n"/>
    </row>
    <row r="907" ht="14.25" customHeight="1" s="142">
      <c r="C907" s="45" t="n"/>
      <c r="D907" s="45" t="n"/>
      <c r="E907" s="45" t="n"/>
      <c r="F907" s="45" t="n"/>
      <c r="G907" s="45" t="n"/>
      <c r="H907" s="45" t="n"/>
      <c r="I907" s="45" t="n"/>
      <c r="J907" s="45" t="n"/>
      <c r="K907" s="45" t="n"/>
      <c r="L907" s="45" t="n"/>
      <c r="N907" s="46" t="n"/>
      <c r="P907" s="47" t="n"/>
      <c r="Q907" s="47" t="n"/>
      <c r="R907" s="47" t="n"/>
      <c r="V907" s="45" t="n"/>
    </row>
    <row r="908" ht="14.25" customHeight="1" s="142">
      <c r="C908" s="45" t="n"/>
      <c r="D908" s="45" t="n"/>
      <c r="E908" s="45" t="n"/>
      <c r="F908" s="45" t="n"/>
      <c r="G908" s="45" t="n"/>
      <c r="H908" s="45" t="n"/>
      <c r="I908" s="45" t="n"/>
      <c r="J908" s="45" t="n"/>
      <c r="K908" s="45" t="n"/>
      <c r="L908" s="45" t="n"/>
      <c r="N908" s="46" t="n"/>
      <c r="P908" s="47" t="n"/>
      <c r="Q908" s="47" t="n"/>
      <c r="R908" s="47" t="n"/>
      <c r="V908" s="45" t="n"/>
    </row>
    <row r="909" ht="14.25" customHeight="1" s="142">
      <c r="C909" s="45" t="n"/>
      <c r="D909" s="45" t="n"/>
      <c r="E909" s="45" t="n"/>
      <c r="F909" s="45" t="n"/>
      <c r="G909" s="45" t="n"/>
      <c r="H909" s="45" t="n"/>
      <c r="I909" s="45" t="n"/>
      <c r="J909" s="45" t="n"/>
      <c r="K909" s="45" t="n"/>
      <c r="L909" s="45" t="n"/>
      <c r="N909" s="46" t="n"/>
      <c r="P909" s="47" t="n"/>
      <c r="Q909" s="47" t="n"/>
      <c r="R909" s="47" t="n"/>
      <c r="V909" s="45" t="n"/>
    </row>
    <row r="910" ht="14.25" customHeight="1" s="142">
      <c r="C910" s="45" t="n"/>
      <c r="D910" s="45" t="n"/>
      <c r="E910" s="45" t="n"/>
      <c r="F910" s="45" t="n"/>
      <c r="G910" s="45" t="n"/>
      <c r="H910" s="45" t="n"/>
      <c r="I910" s="45" t="n"/>
      <c r="J910" s="45" t="n"/>
      <c r="K910" s="45" t="n"/>
      <c r="L910" s="45" t="n"/>
      <c r="N910" s="46" t="n"/>
      <c r="P910" s="47" t="n"/>
      <c r="Q910" s="47" t="n"/>
      <c r="R910" s="47" t="n"/>
      <c r="V910" s="45" t="n"/>
    </row>
    <row r="911" ht="14.25" customHeight="1" s="142">
      <c r="C911" s="45" t="n"/>
      <c r="D911" s="45" t="n"/>
      <c r="E911" s="45" t="n"/>
      <c r="F911" s="45" t="n"/>
      <c r="G911" s="45" t="n"/>
      <c r="H911" s="45" t="n"/>
      <c r="I911" s="45" t="n"/>
      <c r="J911" s="45" t="n"/>
      <c r="K911" s="45" t="n"/>
      <c r="L911" s="45" t="n"/>
      <c r="N911" s="46" t="n"/>
      <c r="P911" s="47" t="n"/>
      <c r="Q911" s="47" t="n"/>
      <c r="R911" s="47" t="n"/>
      <c r="V911" s="45" t="n"/>
    </row>
    <row r="912" ht="14.25" customHeight="1" s="142">
      <c r="C912" s="45" t="n"/>
      <c r="D912" s="45" t="n"/>
      <c r="E912" s="45" t="n"/>
      <c r="F912" s="45" t="n"/>
      <c r="G912" s="45" t="n"/>
      <c r="H912" s="45" t="n"/>
      <c r="I912" s="45" t="n"/>
      <c r="J912" s="45" t="n"/>
      <c r="K912" s="45" t="n"/>
      <c r="L912" s="45" t="n"/>
      <c r="N912" s="46" t="n"/>
      <c r="P912" s="47" t="n"/>
      <c r="Q912" s="47" t="n"/>
      <c r="R912" s="47" t="n"/>
      <c r="V912" s="45" t="n"/>
    </row>
    <row r="913" ht="14.25" customHeight="1" s="142">
      <c r="C913" s="45" t="n"/>
      <c r="D913" s="45" t="n"/>
      <c r="E913" s="45" t="n"/>
      <c r="F913" s="45" t="n"/>
      <c r="G913" s="45" t="n"/>
      <c r="H913" s="45" t="n"/>
      <c r="I913" s="45" t="n"/>
      <c r="J913" s="45" t="n"/>
      <c r="K913" s="45" t="n"/>
      <c r="L913" s="45" t="n"/>
      <c r="N913" s="46" t="n"/>
      <c r="P913" s="47" t="n"/>
      <c r="Q913" s="47" t="n"/>
      <c r="R913" s="47" t="n"/>
      <c r="V913" s="45" t="n"/>
    </row>
    <row r="914" ht="14.25" customHeight="1" s="142">
      <c r="C914" s="45" t="n"/>
      <c r="D914" s="45" t="n"/>
      <c r="E914" s="45" t="n"/>
      <c r="F914" s="45" t="n"/>
      <c r="G914" s="45" t="n"/>
      <c r="H914" s="45" t="n"/>
      <c r="I914" s="45" t="n"/>
      <c r="J914" s="45" t="n"/>
      <c r="K914" s="45" t="n"/>
      <c r="L914" s="45" t="n"/>
      <c r="N914" s="46" t="n"/>
      <c r="P914" s="47" t="n"/>
      <c r="Q914" s="47" t="n"/>
      <c r="R914" s="47" t="n"/>
      <c r="V914" s="45" t="n"/>
    </row>
    <row r="915" ht="14.25" customHeight="1" s="142">
      <c r="C915" s="45" t="n"/>
      <c r="D915" s="45" t="n"/>
      <c r="E915" s="45" t="n"/>
      <c r="F915" s="45" t="n"/>
      <c r="G915" s="45" t="n"/>
      <c r="H915" s="45" t="n"/>
      <c r="I915" s="45" t="n"/>
      <c r="J915" s="45" t="n"/>
      <c r="K915" s="45" t="n"/>
      <c r="L915" s="45" t="n"/>
      <c r="N915" s="46" t="n"/>
      <c r="P915" s="47" t="n"/>
      <c r="Q915" s="47" t="n"/>
      <c r="R915" s="47" t="n"/>
      <c r="V915" s="45" t="n"/>
    </row>
    <row r="916" ht="14.25" customHeight="1" s="142">
      <c r="C916" s="45" t="n"/>
      <c r="D916" s="45" t="n"/>
      <c r="E916" s="45" t="n"/>
      <c r="F916" s="45" t="n"/>
      <c r="G916" s="45" t="n"/>
      <c r="H916" s="45" t="n"/>
      <c r="I916" s="45" t="n"/>
      <c r="J916" s="45" t="n"/>
      <c r="K916" s="45" t="n"/>
      <c r="L916" s="45" t="n"/>
      <c r="N916" s="46" t="n"/>
      <c r="P916" s="47" t="n"/>
      <c r="Q916" s="47" t="n"/>
      <c r="R916" s="47" t="n"/>
      <c r="V916" s="45" t="n"/>
    </row>
    <row r="917" ht="14.25" customHeight="1" s="142">
      <c r="C917" s="45" t="n"/>
      <c r="D917" s="45" t="n"/>
      <c r="E917" s="45" t="n"/>
      <c r="F917" s="45" t="n"/>
      <c r="G917" s="45" t="n"/>
      <c r="H917" s="45" t="n"/>
      <c r="I917" s="45" t="n"/>
      <c r="J917" s="45" t="n"/>
      <c r="K917" s="45" t="n"/>
      <c r="L917" s="45" t="n"/>
      <c r="N917" s="46" t="n"/>
      <c r="P917" s="47" t="n"/>
      <c r="Q917" s="47" t="n"/>
      <c r="R917" s="47" t="n"/>
      <c r="V917" s="45" t="n"/>
    </row>
    <row r="918" ht="14.25" customHeight="1" s="142">
      <c r="C918" s="45" t="n"/>
      <c r="D918" s="45" t="n"/>
      <c r="E918" s="45" t="n"/>
      <c r="F918" s="45" t="n"/>
      <c r="G918" s="45" t="n"/>
      <c r="H918" s="45" t="n"/>
      <c r="I918" s="45" t="n"/>
      <c r="J918" s="45" t="n"/>
      <c r="K918" s="45" t="n"/>
      <c r="L918" s="45" t="n"/>
      <c r="N918" s="46" t="n"/>
      <c r="P918" s="47" t="n"/>
      <c r="Q918" s="47" t="n"/>
      <c r="R918" s="47" t="n"/>
      <c r="V918" s="45" t="n"/>
    </row>
    <row r="919" ht="14.25" customHeight="1" s="142">
      <c r="C919" s="45" t="n"/>
      <c r="D919" s="45" t="n"/>
      <c r="E919" s="45" t="n"/>
      <c r="F919" s="45" t="n"/>
      <c r="G919" s="45" t="n"/>
      <c r="H919" s="45" t="n"/>
      <c r="I919" s="45" t="n"/>
      <c r="J919" s="45" t="n"/>
      <c r="K919" s="45" t="n"/>
      <c r="L919" s="45" t="n"/>
      <c r="N919" s="46" t="n"/>
      <c r="P919" s="47" t="n"/>
      <c r="Q919" s="47" t="n"/>
      <c r="R919" s="47" t="n"/>
      <c r="V919" s="45" t="n"/>
    </row>
    <row r="920" ht="14.25" customHeight="1" s="142">
      <c r="C920" s="45" t="n"/>
      <c r="D920" s="45" t="n"/>
      <c r="E920" s="45" t="n"/>
      <c r="F920" s="45" t="n"/>
      <c r="G920" s="45" t="n"/>
      <c r="H920" s="45" t="n"/>
      <c r="I920" s="45" t="n"/>
      <c r="J920" s="45" t="n"/>
      <c r="K920" s="45" t="n"/>
      <c r="L920" s="45" t="n"/>
      <c r="N920" s="46" t="n"/>
      <c r="P920" s="47" t="n"/>
      <c r="Q920" s="47" t="n"/>
      <c r="R920" s="47" t="n"/>
      <c r="V920" s="45" t="n"/>
    </row>
    <row r="921" ht="14.25" customHeight="1" s="142">
      <c r="C921" s="45" t="n"/>
      <c r="D921" s="45" t="n"/>
      <c r="E921" s="45" t="n"/>
      <c r="F921" s="45" t="n"/>
      <c r="G921" s="45" t="n"/>
      <c r="H921" s="45" t="n"/>
      <c r="I921" s="45" t="n"/>
      <c r="J921" s="45" t="n"/>
      <c r="K921" s="45" t="n"/>
      <c r="L921" s="45" t="n"/>
      <c r="N921" s="46" t="n"/>
      <c r="P921" s="47" t="n"/>
      <c r="Q921" s="47" t="n"/>
      <c r="R921" s="47" t="n"/>
      <c r="V921" s="45" t="n"/>
    </row>
    <row r="922" ht="14.25" customHeight="1" s="142">
      <c r="C922" s="45" t="n"/>
      <c r="D922" s="45" t="n"/>
      <c r="E922" s="45" t="n"/>
      <c r="F922" s="45" t="n"/>
      <c r="G922" s="45" t="n"/>
      <c r="H922" s="45" t="n"/>
      <c r="I922" s="45" t="n"/>
      <c r="J922" s="45" t="n"/>
      <c r="K922" s="45" t="n"/>
      <c r="L922" s="45" t="n"/>
      <c r="N922" s="46" t="n"/>
      <c r="P922" s="47" t="n"/>
      <c r="Q922" s="47" t="n"/>
      <c r="R922" s="47" t="n"/>
      <c r="V922" s="45" t="n"/>
    </row>
    <row r="923" ht="14.25" customHeight="1" s="142">
      <c r="C923" s="45" t="n"/>
      <c r="D923" s="45" t="n"/>
      <c r="E923" s="45" t="n"/>
      <c r="F923" s="45" t="n"/>
      <c r="G923" s="45" t="n"/>
      <c r="H923" s="45" t="n"/>
      <c r="I923" s="45" t="n"/>
      <c r="J923" s="45" t="n"/>
      <c r="K923" s="45" t="n"/>
      <c r="L923" s="45" t="n"/>
      <c r="N923" s="46" t="n"/>
      <c r="P923" s="47" t="n"/>
      <c r="Q923" s="47" t="n"/>
      <c r="R923" s="47" t="n"/>
      <c r="V923" s="45" t="n"/>
    </row>
    <row r="924" ht="14.25" customHeight="1" s="142">
      <c r="C924" s="45" t="n"/>
      <c r="D924" s="45" t="n"/>
      <c r="E924" s="45" t="n"/>
      <c r="F924" s="45" t="n"/>
      <c r="G924" s="45" t="n"/>
      <c r="H924" s="45" t="n"/>
      <c r="I924" s="45" t="n"/>
      <c r="J924" s="45" t="n"/>
      <c r="K924" s="45" t="n"/>
      <c r="L924" s="45" t="n"/>
      <c r="N924" s="46" t="n"/>
      <c r="P924" s="47" t="n"/>
      <c r="Q924" s="47" t="n"/>
      <c r="R924" s="47" t="n"/>
      <c r="V924" s="45" t="n"/>
    </row>
    <row r="925" ht="14.25" customHeight="1" s="142">
      <c r="C925" s="45" t="n"/>
      <c r="D925" s="45" t="n"/>
      <c r="E925" s="45" t="n"/>
      <c r="F925" s="45" t="n"/>
      <c r="G925" s="45" t="n"/>
      <c r="H925" s="45" t="n"/>
      <c r="I925" s="45" t="n"/>
      <c r="J925" s="45" t="n"/>
      <c r="K925" s="45" t="n"/>
      <c r="L925" s="45" t="n"/>
      <c r="N925" s="46" t="n"/>
      <c r="P925" s="47" t="n"/>
      <c r="Q925" s="47" t="n"/>
      <c r="R925" s="47" t="n"/>
      <c r="V925" s="45" t="n"/>
    </row>
    <row r="926" ht="14.25" customHeight="1" s="142">
      <c r="C926" s="45" t="n"/>
      <c r="D926" s="45" t="n"/>
      <c r="E926" s="45" t="n"/>
      <c r="F926" s="45" t="n"/>
      <c r="G926" s="45" t="n"/>
      <c r="H926" s="45" t="n"/>
      <c r="I926" s="45" t="n"/>
      <c r="J926" s="45" t="n"/>
      <c r="K926" s="45" t="n"/>
      <c r="L926" s="45" t="n"/>
      <c r="N926" s="46" t="n"/>
      <c r="P926" s="47" t="n"/>
      <c r="Q926" s="47" t="n"/>
      <c r="R926" s="47" t="n"/>
      <c r="V926" s="45" t="n"/>
    </row>
    <row r="927" ht="14.25" customHeight="1" s="142">
      <c r="C927" s="45" t="n"/>
      <c r="D927" s="45" t="n"/>
      <c r="E927" s="45" t="n"/>
      <c r="F927" s="45" t="n"/>
      <c r="G927" s="45" t="n"/>
      <c r="H927" s="45" t="n"/>
      <c r="I927" s="45" t="n"/>
      <c r="J927" s="45" t="n"/>
      <c r="K927" s="45" t="n"/>
      <c r="L927" s="45" t="n"/>
      <c r="N927" s="46" t="n"/>
      <c r="P927" s="47" t="n"/>
      <c r="Q927" s="47" t="n"/>
      <c r="R927" s="47" t="n"/>
      <c r="V927" s="45" t="n"/>
    </row>
    <row r="928" ht="14.25" customHeight="1" s="142">
      <c r="C928" s="45" t="n"/>
      <c r="D928" s="45" t="n"/>
      <c r="E928" s="45" t="n"/>
      <c r="F928" s="45" t="n"/>
      <c r="G928" s="45" t="n"/>
      <c r="H928" s="45" t="n"/>
      <c r="I928" s="45" t="n"/>
      <c r="J928" s="45" t="n"/>
      <c r="K928" s="45" t="n"/>
      <c r="L928" s="45" t="n"/>
      <c r="N928" s="46" t="n"/>
      <c r="P928" s="47" t="n"/>
      <c r="Q928" s="47" t="n"/>
      <c r="R928" s="47" t="n"/>
      <c r="V928" s="45" t="n"/>
    </row>
    <row r="929" ht="14.25" customHeight="1" s="142">
      <c r="C929" s="45" t="n"/>
      <c r="D929" s="45" t="n"/>
      <c r="E929" s="45" t="n"/>
      <c r="F929" s="45" t="n"/>
      <c r="G929" s="45" t="n"/>
      <c r="H929" s="45" t="n"/>
      <c r="I929" s="45" t="n"/>
      <c r="J929" s="45" t="n"/>
      <c r="K929" s="45" t="n"/>
      <c r="L929" s="45" t="n"/>
      <c r="N929" s="46" t="n"/>
      <c r="P929" s="47" t="n"/>
      <c r="Q929" s="47" t="n"/>
      <c r="R929" s="47" t="n"/>
      <c r="V929" s="45" t="n"/>
    </row>
    <row r="930" ht="14.25" customHeight="1" s="142">
      <c r="C930" s="45" t="n"/>
      <c r="D930" s="45" t="n"/>
      <c r="E930" s="45" t="n"/>
      <c r="F930" s="45" t="n"/>
      <c r="G930" s="45" t="n"/>
      <c r="H930" s="45" t="n"/>
      <c r="I930" s="45" t="n"/>
      <c r="J930" s="45" t="n"/>
      <c r="K930" s="45" t="n"/>
      <c r="L930" s="45" t="n"/>
      <c r="N930" s="46" t="n"/>
      <c r="P930" s="47" t="n"/>
      <c r="Q930" s="47" t="n"/>
      <c r="R930" s="47" t="n"/>
      <c r="V930" s="45" t="n"/>
    </row>
    <row r="931" ht="14.25" customHeight="1" s="142">
      <c r="C931" s="45" t="n"/>
      <c r="D931" s="45" t="n"/>
      <c r="E931" s="45" t="n"/>
      <c r="F931" s="45" t="n"/>
      <c r="G931" s="45" t="n"/>
      <c r="H931" s="45" t="n"/>
      <c r="I931" s="45" t="n"/>
      <c r="J931" s="45" t="n"/>
      <c r="K931" s="45" t="n"/>
      <c r="L931" s="45" t="n"/>
      <c r="N931" s="46" t="n"/>
      <c r="P931" s="47" t="n"/>
      <c r="Q931" s="47" t="n"/>
      <c r="R931" s="47" t="n"/>
      <c r="V931" s="45" t="n"/>
    </row>
    <row r="932" ht="14.25" customHeight="1" s="142">
      <c r="C932" s="45" t="n"/>
      <c r="D932" s="45" t="n"/>
      <c r="E932" s="45" t="n"/>
      <c r="F932" s="45" t="n"/>
      <c r="G932" s="45" t="n"/>
      <c r="H932" s="45" t="n"/>
      <c r="I932" s="45" t="n"/>
      <c r="J932" s="45" t="n"/>
      <c r="K932" s="45" t="n"/>
      <c r="L932" s="45" t="n"/>
      <c r="N932" s="46" t="n"/>
      <c r="P932" s="47" t="n"/>
      <c r="Q932" s="47" t="n"/>
      <c r="R932" s="47" t="n"/>
      <c r="V932" s="45" t="n"/>
    </row>
    <row r="933" ht="14.25" customHeight="1" s="142">
      <c r="C933" s="45" t="n"/>
      <c r="D933" s="45" t="n"/>
      <c r="E933" s="45" t="n"/>
      <c r="F933" s="45" t="n"/>
      <c r="G933" s="45" t="n"/>
      <c r="H933" s="45" t="n"/>
      <c r="I933" s="45" t="n"/>
      <c r="J933" s="45" t="n"/>
      <c r="K933" s="45" t="n"/>
      <c r="L933" s="45" t="n"/>
      <c r="N933" s="46" t="n"/>
      <c r="P933" s="47" t="n"/>
      <c r="Q933" s="47" t="n"/>
      <c r="R933" s="47" t="n"/>
      <c r="V933" s="45" t="n"/>
    </row>
    <row r="934" ht="14.25" customHeight="1" s="142">
      <c r="C934" s="45" t="n"/>
      <c r="D934" s="45" t="n"/>
      <c r="E934" s="45" t="n"/>
      <c r="F934" s="45" t="n"/>
      <c r="G934" s="45" t="n"/>
      <c r="H934" s="45" t="n"/>
      <c r="I934" s="45" t="n"/>
      <c r="J934" s="45" t="n"/>
      <c r="K934" s="45" t="n"/>
      <c r="L934" s="45" t="n"/>
      <c r="N934" s="46" t="n"/>
      <c r="P934" s="47" t="n"/>
      <c r="Q934" s="47" t="n"/>
      <c r="R934" s="47" t="n"/>
      <c r="V934" s="45" t="n"/>
    </row>
    <row r="935" ht="14.25" customHeight="1" s="142">
      <c r="C935" s="45" t="n"/>
      <c r="D935" s="45" t="n"/>
      <c r="E935" s="45" t="n"/>
      <c r="F935" s="45" t="n"/>
      <c r="G935" s="45" t="n"/>
      <c r="H935" s="45" t="n"/>
      <c r="I935" s="45" t="n"/>
      <c r="J935" s="45" t="n"/>
      <c r="K935" s="45" t="n"/>
      <c r="L935" s="45" t="n"/>
      <c r="N935" s="46" t="n"/>
      <c r="P935" s="47" t="n"/>
      <c r="Q935" s="47" t="n"/>
      <c r="R935" s="47" t="n"/>
      <c r="V935" s="45" t="n"/>
    </row>
    <row r="936" ht="14.25" customHeight="1" s="142">
      <c r="C936" s="45" t="n"/>
      <c r="D936" s="45" t="n"/>
      <c r="E936" s="45" t="n"/>
      <c r="F936" s="45" t="n"/>
      <c r="G936" s="45" t="n"/>
      <c r="H936" s="45" t="n"/>
      <c r="I936" s="45" t="n"/>
      <c r="J936" s="45" t="n"/>
      <c r="K936" s="45" t="n"/>
      <c r="L936" s="45" t="n"/>
      <c r="N936" s="46" t="n"/>
      <c r="P936" s="47" t="n"/>
      <c r="Q936" s="47" t="n"/>
      <c r="R936" s="47" t="n"/>
      <c r="V936" s="45" t="n"/>
    </row>
    <row r="937" ht="14.25" customHeight="1" s="142">
      <c r="C937" s="45" t="n"/>
      <c r="D937" s="45" t="n"/>
      <c r="E937" s="45" t="n"/>
      <c r="F937" s="45" t="n"/>
      <c r="G937" s="45" t="n"/>
      <c r="H937" s="45" t="n"/>
      <c r="I937" s="45" t="n"/>
      <c r="J937" s="45" t="n"/>
      <c r="K937" s="45" t="n"/>
      <c r="L937" s="45" t="n"/>
      <c r="N937" s="46" t="n"/>
      <c r="P937" s="47" t="n"/>
      <c r="Q937" s="47" t="n"/>
      <c r="R937" s="47" t="n"/>
      <c r="V937" s="45" t="n"/>
    </row>
    <row r="938" ht="14.25" customHeight="1" s="142">
      <c r="C938" s="45" t="n"/>
      <c r="D938" s="45" t="n"/>
      <c r="E938" s="45" t="n"/>
      <c r="F938" s="45" t="n"/>
      <c r="G938" s="45" t="n"/>
      <c r="H938" s="45" t="n"/>
      <c r="I938" s="45" t="n"/>
      <c r="J938" s="45" t="n"/>
      <c r="K938" s="45" t="n"/>
      <c r="L938" s="45" t="n"/>
      <c r="N938" s="46" t="n"/>
      <c r="P938" s="47" t="n"/>
      <c r="Q938" s="47" t="n"/>
      <c r="R938" s="47" t="n"/>
      <c r="V938" s="45" t="n"/>
    </row>
    <row r="939" ht="14.25" customHeight="1" s="142">
      <c r="C939" s="45" t="n"/>
      <c r="D939" s="45" t="n"/>
      <c r="E939" s="45" t="n"/>
      <c r="F939" s="45" t="n"/>
      <c r="G939" s="45" t="n"/>
      <c r="H939" s="45" t="n"/>
      <c r="I939" s="45" t="n"/>
      <c r="J939" s="45" t="n"/>
      <c r="K939" s="45" t="n"/>
      <c r="L939" s="45" t="n"/>
      <c r="N939" s="46" t="n"/>
      <c r="P939" s="47" t="n"/>
      <c r="Q939" s="47" t="n"/>
      <c r="R939" s="47" t="n"/>
      <c r="V939" s="45" t="n"/>
    </row>
    <row r="940" ht="14.25" customHeight="1" s="142">
      <c r="C940" s="45" t="n"/>
      <c r="D940" s="45" t="n"/>
      <c r="E940" s="45" t="n"/>
      <c r="F940" s="45" t="n"/>
      <c r="G940" s="45" t="n"/>
      <c r="H940" s="45" t="n"/>
      <c r="I940" s="45" t="n"/>
      <c r="J940" s="45" t="n"/>
      <c r="K940" s="45" t="n"/>
      <c r="L940" s="45" t="n"/>
      <c r="N940" s="46" t="n"/>
      <c r="P940" s="47" t="n"/>
      <c r="Q940" s="47" t="n"/>
      <c r="R940" s="47" t="n"/>
      <c r="V940" s="45" t="n"/>
    </row>
    <row r="941" ht="14.25" customHeight="1" s="142">
      <c r="C941" s="45" t="n"/>
      <c r="D941" s="45" t="n"/>
      <c r="E941" s="45" t="n"/>
      <c r="F941" s="45" t="n"/>
      <c r="G941" s="45" t="n"/>
      <c r="H941" s="45" t="n"/>
      <c r="I941" s="45" t="n"/>
      <c r="J941" s="45" t="n"/>
      <c r="K941" s="45" t="n"/>
      <c r="L941" s="45" t="n"/>
      <c r="N941" s="46" t="n"/>
      <c r="P941" s="47" t="n"/>
      <c r="Q941" s="47" t="n"/>
      <c r="R941" s="47" t="n"/>
      <c r="V941" s="45" t="n"/>
    </row>
    <row r="942" ht="14.25" customHeight="1" s="142">
      <c r="C942" s="45" t="n"/>
      <c r="D942" s="45" t="n"/>
      <c r="E942" s="45" t="n"/>
      <c r="F942" s="45" t="n"/>
      <c r="G942" s="45" t="n"/>
      <c r="H942" s="45" t="n"/>
      <c r="I942" s="45" t="n"/>
      <c r="J942" s="45" t="n"/>
      <c r="K942" s="45" t="n"/>
      <c r="L942" s="45" t="n"/>
      <c r="N942" s="46" t="n"/>
      <c r="P942" s="47" t="n"/>
      <c r="Q942" s="47" t="n"/>
      <c r="R942" s="47" t="n"/>
      <c r="V942" s="45" t="n"/>
    </row>
    <row r="943" ht="14.25" customHeight="1" s="142">
      <c r="C943" s="45" t="n"/>
      <c r="D943" s="45" t="n"/>
      <c r="E943" s="45" t="n"/>
      <c r="F943" s="45" t="n"/>
      <c r="G943" s="45" t="n"/>
      <c r="H943" s="45" t="n"/>
      <c r="I943" s="45" t="n"/>
      <c r="J943" s="45" t="n"/>
      <c r="K943" s="45" t="n"/>
      <c r="L943" s="45" t="n"/>
      <c r="N943" s="46" t="n"/>
      <c r="P943" s="47" t="n"/>
      <c r="Q943" s="47" t="n"/>
      <c r="R943" s="47" t="n"/>
      <c r="V943" s="45" t="n"/>
    </row>
    <row r="944" ht="14.25" customHeight="1" s="142">
      <c r="C944" s="45" t="n"/>
      <c r="D944" s="45" t="n"/>
      <c r="E944" s="45" t="n"/>
      <c r="F944" s="45" t="n"/>
      <c r="G944" s="45" t="n"/>
      <c r="H944" s="45" t="n"/>
      <c r="I944" s="45" t="n"/>
      <c r="J944" s="45" t="n"/>
      <c r="K944" s="45" t="n"/>
      <c r="L944" s="45" t="n"/>
      <c r="N944" s="46" t="n"/>
      <c r="P944" s="47" t="n"/>
      <c r="Q944" s="47" t="n"/>
      <c r="R944" s="47" t="n"/>
      <c r="V944" s="45" t="n"/>
    </row>
    <row r="945" ht="14.25" customHeight="1" s="142">
      <c r="C945" s="45" t="n"/>
      <c r="D945" s="45" t="n"/>
      <c r="E945" s="45" t="n"/>
      <c r="F945" s="45" t="n"/>
      <c r="G945" s="45" t="n"/>
      <c r="H945" s="45" t="n"/>
      <c r="I945" s="45" t="n"/>
      <c r="J945" s="45" t="n"/>
      <c r="K945" s="45" t="n"/>
      <c r="L945" s="45" t="n"/>
      <c r="N945" s="46" t="n"/>
      <c r="P945" s="47" t="n"/>
      <c r="Q945" s="47" t="n"/>
      <c r="R945" s="47" t="n"/>
      <c r="V945" s="45" t="n"/>
    </row>
    <row r="946" ht="14.25" customHeight="1" s="142">
      <c r="C946" s="45" t="n"/>
      <c r="D946" s="45" t="n"/>
      <c r="E946" s="45" t="n"/>
      <c r="F946" s="45" t="n"/>
      <c r="G946" s="45" t="n"/>
      <c r="H946" s="45" t="n"/>
      <c r="I946" s="45" t="n"/>
      <c r="J946" s="45" t="n"/>
      <c r="K946" s="45" t="n"/>
      <c r="L946" s="45" t="n"/>
      <c r="N946" s="46" t="n"/>
      <c r="P946" s="47" t="n"/>
      <c r="Q946" s="47" t="n"/>
      <c r="R946" s="47" t="n"/>
      <c r="V946" s="45" t="n"/>
    </row>
    <row r="947" ht="14.25" customHeight="1" s="142">
      <c r="C947" s="45" t="n"/>
      <c r="D947" s="45" t="n"/>
      <c r="E947" s="45" t="n"/>
      <c r="F947" s="45" t="n"/>
      <c r="G947" s="45" t="n"/>
      <c r="H947" s="45" t="n"/>
      <c r="I947" s="45" t="n"/>
      <c r="J947" s="45" t="n"/>
      <c r="K947" s="45" t="n"/>
      <c r="L947" s="45" t="n"/>
      <c r="N947" s="46" t="n"/>
      <c r="P947" s="47" t="n"/>
      <c r="Q947" s="47" t="n"/>
      <c r="R947" s="47" t="n"/>
      <c r="V947" s="45" t="n"/>
    </row>
    <row r="948" ht="14.25" customHeight="1" s="142">
      <c r="C948" s="45" t="n"/>
      <c r="D948" s="45" t="n"/>
      <c r="E948" s="45" t="n"/>
      <c r="F948" s="45" t="n"/>
      <c r="G948" s="45" t="n"/>
      <c r="H948" s="45" t="n"/>
      <c r="I948" s="45" t="n"/>
      <c r="J948" s="45" t="n"/>
      <c r="K948" s="45" t="n"/>
      <c r="L948" s="45" t="n"/>
      <c r="N948" s="46" t="n"/>
      <c r="P948" s="47" t="n"/>
      <c r="Q948" s="47" t="n"/>
      <c r="R948" s="47" t="n"/>
      <c r="V948" s="45" t="n"/>
    </row>
    <row r="949" ht="14.25" customHeight="1" s="142">
      <c r="C949" s="45" t="n"/>
      <c r="D949" s="45" t="n"/>
      <c r="E949" s="45" t="n"/>
      <c r="F949" s="45" t="n"/>
      <c r="G949" s="45" t="n"/>
      <c r="H949" s="45" t="n"/>
      <c r="I949" s="45" t="n"/>
      <c r="J949" s="45" t="n"/>
      <c r="K949" s="45" t="n"/>
      <c r="L949" s="45" t="n"/>
      <c r="N949" s="46" t="n"/>
      <c r="P949" s="47" t="n"/>
      <c r="Q949" s="47" t="n"/>
      <c r="R949" s="47" t="n"/>
      <c r="V949" s="45" t="n"/>
    </row>
    <row r="950" ht="14.25" customHeight="1" s="142">
      <c r="C950" s="45" t="n"/>
      <c r="D950" s="45" t="n"/>
      <c r="E950" s="45" t="n"/>
      <c r="F950" s="45" t="n"/>
      <c r="G950" s="45" t="n"/>
      <c r="H950" s="45" t="n"/>
      <c r="I950" s="45" t="n"/>
      <c r="J950" s="45" t="n"/>
      <c r="K950" s="45" t="n"/>
      <c r="L950" s="45" t="n"/>
      <c r="N950" s="46" t="n"/>
      <c r="P950" s="47" t="n"/>
      <c r="Q950" s="47" t="n"/>
      <c r="R950" s="47" t="n"/>
      <c r="V950" s="45" t="n"/>
    </row>
    <row r="951" ht="14.25" customHeight="1" s="142">
      <c r="C951" s="45" t="n"/>
      <c r="D951" s="45" t="n"/>
      <c r="E951" s="45" t="n"/>
      <c r="F951" s="45" t="n"/>
      <c r="G951" s="45" t="n"/>
      <c r="H951" s="45" t="n"/>
      <c r="I951" s="45" t="n"/>
      <c r="J951" s="45" t="n"/>
      <c r="K951" s="45" t="n"/>
      <c r="L951" s="45" t="n"/>
      <c r="N951" s="46" t="n"/>
      <c r="P951" s="47" t="n"/>
      <c r="Q951" s="47" t="n"/>
      <c r="R951" s="47" t="n"/>
      <c r="V951" s="45" t="n"/>
    </row>
    <row r="952" ht="14.25" customHeight="1" s="142">
      <c r="C952" s="45" t="n"/>
      <c r="D952" s="45" t="n"/>
      <c r="E952" s="45" t="n"/>
      <c r="F952" s="45" t="n"/>
      <c r="G952" s="45" t="n"/>
      <c r="H952" s="45" t="n"/>
      <c r="I952" s="45" t="n"/>
      <c r="J952" s="45" t="n"/>
      <c r="K952" s="45" t="n"/>
      <c r="L952" s="45" t="n"/>
      <c r="N952" s="46" t="n"/>
      <c r="P952" s="47" t="n"/>
      <c r="Q952" s="47" t="n"/>
      <c r="R952" s="47" t="n"/>
      <c r="V952" s="45" t="n"/>
    </row>
    <row r="953" ht="14.25" customHeight="1" s="142">
      <c r="C953" s="45" t="n"/>
      <c r="D953" s="45" t="n"/>
      <c r="E953" s="45" t="n"/>
      <c r="F953" s="45" t="n"/>
      <c r="G953" s="45" t="n"/>
      <c r="H953" s="45" t="n"/>
      <c r="I953" s="45" t="n"/>
      <c r="J953" s="45" t="n"/>
      <c r="K953" s="45" t="n"/>
      <c r="L953" s="45" t="n"/>
      <c r="N953" s="46" t="n"/>
      <c r="P953" s="47" t="n"/>
      <c r="Q953" s="47" t="n"/>
      <c r="R953" s="47" t="n"/>
      <c r="V953" s="45" t="n"/>
    </row>
    <row r="954" ht="14.25" customHeight="1" s="142">
      <c r="C954" s="45" t="n"/>
      <c r="D954" s="45" t="n"/>
      <c r="E954" s="45" t="n"/>
      <c r="F954" s="45" t="n"/>
      <c r="G954" s="45" t="n"/>
      <c r="H954" s="45" t="n"/>
      <c r="I954" s="45" t="n"/>
      <c r="J954" s="45" t="n"/>
      <c r="K954" s="45" t="n"/>
      <c r="L954" s="45" t="n"/>
      <c r="N954" s="46" t="n"/>
      <c r="P954" s="47" t="n"/>
      <c r="Q954" s="47" t="n"/>
      <c r="R954" s="47" t="n"/>
      <c r="V954" s="45" t="n"/>
    </row>
    <row r="955" ht="14.25" customHeight="1" s="142">
      <c r="C955" s="45" t="n"/>
      <c r="D955" s="45" t="n"/>
      <c r="E955" s="45" t="n"/>
      <c r="F955" s="45" t="n"/>
      <c r="G955" s="45" t="n"/>
      <c r="H955" s="45" t="n"/>
      <c r="I955" s="45" t="n"/>
      <c r="J955" s="45" t="n"/>
      <c r="K955" s="45" t="n"/>
      <c r="L955" s="45" t="n"/>
      <c r="N955" s="46" t="n"/>
      <c r="P955" s="47" t="n"/>
      <c r="Q955" s="47" t="n"/>
      <c r="R955" s="47" t="n"/>
      <c r="V955" s="45" t="n"/>
    </row>
    <row r="956" ht="14.25" customHeight="1" s="142">
      <c r="C956" s="45" t="n"/>
      <c r="D956" s="45" t="n"/>
      <c r="E956" s="45" t="n"/>
      <c r="F956" s="45" t="n"/>
      <c r="G956" s="45" t="n"/>
      <c r="H956" s="45" t="n"/>
      <c r="I956" s="45" t="n"/>
      <c r="J956" s="45" t="n"/>
      <c r="K956" s="45" t="n"/>
      <c r="L956" s="45" t="n"/>
      <c r="N956" s="46" t="n"/>
      <c r="P956" s="47" t="n"/>
      <c r="Q956" s="47" t="n"/>
      <c r="R956" s="47" t="n"/>
      <c r="V956" s="45" t="n"/>
    </row>
    <row r="957" ht="14.25" customHeight="1" s="142">
      <c r="C957" s="45" t="n"/>
      <c r="D957" s="45" t="n"/>
      <c r="E957" s="45" t="n"/>
      <c r="F957" s="45" t="n"/>
      <c r="G957" s="45" t="n"/>
      <c r="H957" s="45" t="n"/>
      <c r="I957" s="45" t="n"/>
      <c r="J957" s="45" t="n"/>
      <c r="K957" s="45" t="n"/>
      <c r="L957" s="45" t="n"/>
      <c r="N957" s="46" t="n"/>
      <c r="P957" s="47" t="n"/>
      <c r="Q957" s="47" t="n"/>
      <c r="R957" s="47" t="n"/>
      <c r="V957" s="45" t="n"/>
    </row>
    <row r="958" ht="14.25" customHeight="1" s="142">
      <c r="C958" s="45" t="n"/>
      <c r="D958" s="45" t="n"/>
      <c r="E958" s="45" t="n"/>
      <c r="F958" s="45" t="n"/>
      <c r="G958" s="45" t="n"/>
      <c r="H958" s="45" t="n"/>
      <c r="I958" s="45" t="n"/>
      <c r="J958" s="45" t="n"/>
      <c r="K958" s="45" t="n"/>
      <c r="L958" s="45" t="n"/>
      <c r="N958" s="46" t="n"/>
      <c r="P958" s="47" t="n"/>
      <c r="Q958" s="47" t="n"/>
      <c r="R958" s="47" t="n"/>
      <c r="V958" s="45" t="n"/>
    </row>
    <row r="959" ht="14.25" customHeight="1" s="142">
      <c r="C959" s="45" t="n"/>
      <c r="D959" s="45" t="n"/>
      <c r="E959" s="45" t="n"/>
      <c r="F959" s="45" t="n"/>
      <c r="G959" s="45" t="n"/>
      <c r="H959" s="45" t="n"/>
      <c r="I959" s="45" t="n"/>
      <c r="J959" s="45" t="n"/>
      <c r="K959" s="45" t="n"/>
      <c r="L959" s="45" t="n"/>
      <c r="N959" s="46" t="n"/>
      <c r="P959" s="47" t="n"/>
      <c r="Q959" s="47" t="n"/>
      <c r="R959" s="47" t="n"/>
      <c r="V959" s="45" t="n"/>
    </row>
    <row r="960" ht="14.25" customHeight="1" s="142">
      <c r="C960" s="45" t="n"/>
      <c r="D960" s="45" t="n"/>
      <c r="E960" s="45" t="n"/>
      <c r="F960" s="45" t="n"/>
      <c r="G960" s="45" t="n"/>
      <c r="H960" s="45" t="n"/>
      <c r="I960" s="45" t="n"/>
      <c r="J960" s="45" t="n"/>
      <c r="K960" s="45" t="n"/>
      <c r="L960" s="45" t="n"/>
      <c r="N960" s="46" t="n"/>
      <c r="P960" s="47" t="n"/>
      <c r="Q960" s="47" t="n"/>
      <c r="R960" s="47" t="n"/>
      <c r="V960" s="45" t="n"/>
    </row>
    <row r="961" ht="14.25" customHeight="1" s="142">
      <c r="C961" s="45" t="n"/>
      <c r="D961" s="45" t="n"/>
      <c r="E961" s="45" t="n"/>
      <c r="F961" s="45" t="n"/>
      <c r="G961" s="45" t="n"/>
      <c r="H961" s="45" t="n"/>
      <c r="I961" s="45" t="n"/>
      <c r="J961" s="45" t="n"/>
      <c r="K961" s="45" t="n"/>
      <c r="L961" s="45" t="n"/>
      <c r="N961" s="46" t="n"/>
      <c r="P961" s="47" t="n"/>
      <c r="Q961" s="47" t="n"/>
      <c r="R961" s="47" t="n"/>
      <c r="V961" s="45" t="n"/>
    </row>
    <row r="962" ht="14.25" customHeight="1" s="142">
      <c r="C962" s="45" t="n"/>
      <c r="D962" s="45" t="n"/>
      <c r="E962" s="45" t="n"/>
      <c r="F962" s="45" t="n"/>
      <c r="G962" s="45" t="n"/>
      <c r="H962" s="45" t="n"/>
      <c r="I962" s="45" t="n"/>
      <c r="J962" s="45" t="n"/>
      <c r="K962" s="45" t="n"/>
      <c r="L962" s="45" t="n"/>
      <c r="N962" s="46" t="n"/>
      <c r="P962" s="47" t="n"/>
      <c r="Q962" s="47" t="n"/>
      <c r="R962" s="47" t="n"/>
      <c r="V962" s="45" t="n"/>
    </row>
    <row r="963" ht="14.25" customHeight="1" s="142">
      <c r="C963" s="45" t="n"/>
      <c r="D963" s="45" t="n"/>
      <c r="E963" s="45" t="n"/>
      <c r="F963" s="45" t="n"/>
      <c r="G963" s="45" t="n"/>
      <c r="H963" s="45" t="n"/>
      <c r="I963" s="45" t="n"/>
      <c r="J963" s="45" t="n"/>
      <c r="K963" s="45" t="n"/>
      <c r="L963" s="45" t="n"/>
      <c r="N963" s="46" t="n"/>
      <c r="P963" s="47" t="n"/>
      <c r="Q963" s="47" t="n"/>
      <c r="R963" s="47" t="n"/>
      <c r="V963" s="45" t="n"/>
    </row>
    <row r="964" ht="14.25" customHeight="1" s="142">
      <c r="C964" s="45" t="n"/>
      <c r="D964" s="45" t="n"/>
      <c r="E964" s="45" t="n"/>
      <c r="F964" s="45" t="n"/>
      <c r="G964" s="45" t="n"/>
      <c r="H964" s="45" t="n"/>
      <c r="I964" s="45" t="n"/>
      <c r="J964" s="45" t="n"/>
      <c r="K964" s="45" t="n"/>
      <c r="L964" s="45" t="n"/>
      <c r="N964" s="46" t="n"/>
      <c r="P964" s="47" t="n"/>
      <c r="Q964" s="47" t="n"/>
      <c r="R964" s="47" t="n"/>
      <c r="V964" s="45" t="n"/>
    </row>
    <row r="965" ht="14.25" customHeight="1" s="142">
      <c r="C965" s="45" t="n"/>
      <c r="D965" s="45" t="n"/>
      <c r="E965" s="45" t="n"/>
      <c r="F965" s="45" t="n"/>
      <c r="G965" s="45" t="n"/>
      <c r="H965" s="45" t="n"/>
      <c r="I965" s="45" t="n"/>
      <c r="J965" s="45" t="n"/>
      <c r="K965" s="45" t="n"/>
      <c r="L965" s="45" t="n"/>
      <c r="N965" s="46" t="n"/>
      <c r="P965" s="47" t="n"/>
      <c r="Q965" s="47" t="n"/>
      <c r="R965" s="47" t="n"/>
      <c r="V965" s="45" t="n"/>
    </row>
    <row r="966" ht="14.25" customHeight="1" s="142">
      <c r="C966" s="45" t="n"/>
      <c r="D966" s="45" t="n"/>
      <c r="E966" s="45" t="n"/>
      <c r="F966" s="45" t="n"/>
      <c r="G966" s="45" t="n"/>
      <c r="H966" s="45" t="n"/>
      <c r="I966" s="45" t="n"/>
      <c r="J966" s="45" t="n"/>
      <c r="K966" s="45" t="n"/>
      <c r="L966" s="45" t="n"/>
      <c r="N966" s="46" t="n"/>
      <c r="P966" s="47" t="n"/>
      <c r="Q966" s="47" t="n"/>
      <c r="R966" s="47" t="n"/>
      <c r="V966" s="45" t="n"/>
    </row>
    <row r="967" ht="14.25" customHeight="1" s="142">
      <c r="C967" s="45" t="n"/>
      <c r="D967" s="45" t="n"/>
      <c r="E967" s="45" t="n"/>
      <c r="F967" s="45" t="n"/>
      <c r="G967" s="45" t="n"/>
      <c r="H967" s="45" t="n"/>
      <c r="I967" s="45" t="n"/>
      <c r="J967" s="45" t="n"/>
      <c r="K967" s="45" t="n"/>
      <c r="L967" s="45" t="n"/>
      <c r="N967" s="46" t="n"/>
      <c r="P967" s="47" t="n"/>
      <c r="Q967" s="47" t="n"/>
      <c r="R967" s="47" t="n"/>
      <c r="V967" s="45" t="n"/>
    </row>
    <row r="968" ht="14.25" customHeight="1" s="142">
      <c r="C968" s="45" t="n"/>
      <c r="D968" s="45" t="n"/>
      <c r="E968" s="45" t="n"/>
      <c r="F968" s="45" t="n"/>
      <c r="G968" s="45" t="n"/>
      <c r="H968" s="45" t="n"/>
      <c r="I968" s="45" t="n"/>
      <c r="J968" s="45" t="n"/>
      <c r="K968" s="45" t="n"/>
      <c r="L968" s="45" t="n"/>
      <c r="N968" s="46" t="n"/>
      <c r="P968" s="47" t="n"/>
      <c r="Q968" s="47" t="n"/>
      <c r="R968" s="47" t="n"/>
      <c r="V968" s="45" t="n"/>
    </row>
    <row r="969" ht="14.25" customHeight="1" s="142">
      <c r="C969" s="45" t="n"/>
      <c r="D969" s="45" t="n"/>
      <c r="E969" s="45" t="n"/>
      <c r="F969" s="45" t="n"/>
      <c r="G969" s="45" t="n"/>
      <c r="H969" s="45" t="n"/>
      <c r="I969" s="45" t="n"/>
      <c r="J969" s="45" t="n"/>
      <c r="K969" s="45" t="n"/>
      <c r="L969" s="45" t="n"/>
      <c r="N969" s="46" t="n"/>
      <c r="P969" s="47" t="n"/>
      <c r="Q969" s="47" t="n"/>
      <c r="R969" s="47" t="n"/>
      <c r="V969" s="45" t="n"/>
    </row>
    <row r="970" ht="14.25" customHeight="1" s="142">
      <c r="C970" s="45" t="n"/>
      <c r="D970" s="45" t="n"/>
      <c r="E970" s="45" t="n"/>
      <c r="F970" s="45" t="n"/>
      <c r="G970" s="45" t="n"/>
      <c r="H970" s="45" t="n"/>
      <c r="I970" s="45" t="n"/>
      <c r="J970" s="45" t="n"/>
      <c r="K970" s="45" t="n"/>
      <c r="L970" s="45" t="n"/>
      <c r="N970" s="46" t="n"/>
      <c r="P970" s="47" t="n"/>
      <c r="Q970" s="47" t="n"/>
      <c r="R970" s="47" t="n"/>
      <c r="V970" s="45" t="n"/>
    </row>
    <row r="971" ht="14.25" customHeight="1" s="142">
      <c r="C971" s="45" t="n"/>
      <c r="D971" s="45" t="n"/>
      <c r="E971" s="45" t="n"/>
      <c r="F971" s="45" t="n"/>
      <c r="G971" s="45" t="n"/>
      <c r="H971" s="45" t="n"/>
      <c r="I971" s="45" t="n"/>
      <c r="J971" s="45" t="n"/>
      <c r="K971" s="45" t="n"/>
      <c r="L971" s="45" t="n"/>
      <c r="N971" s="46" t="n"/>
      <c r="P971" s="47" t="n"/>
      <c r="Q971" s="47" t="n"/>
      <c r="R971" s="47" t="n"/>
      <c r="V971" s="45" t="n"/>
    </row>
    <row r="972" ht="14.25" customHeight="1" s="142">
      <c r="C972" s="45" t="n"/>
      <c r="D972" s="45" t="n"/>
      <c r="E972" s="45" t="n"/>
      <c r="F972" s="45" t="n"/>
      <c r="G972" s="45" t="n"/>
      <c r="H972" s="45" t="n"/>
      <c r="I972" s="45" t="n"/>
      <c r="J972" s="45" t="n"/>
      <c r="K972" s="45" t="n"/>
      <c r="L972" s="45" t="n"/>
      <c r="N972" s="46" t="n"/>
      <c r="P972" s="47" t="n"/>
      <c r="Q972" s="47" t="n"/>
      <c r="R972" s="47" t="n"/>
      <c r="V972" s="45" t="n"/>
    </row>
    <row r="973" ht="14.25" customHeight="1" s="142">
      <c r="C973" s="45" t="n"/>
      <c r="D973" s="45" t="n"/>
      <c r="E973" s="45" t="n"/>
      <c r="F973" s="45" t="n"/>
      <c r="G973" s="45" t="n"/>
      <c r="H973" s="45" t="n"/>
      <c r="I973" s="45" t="n"/>
      <c r="J973" s="45" t="n"/>
      <c r="K973" s="45" t="n"/>
      <c r="L973" s="45" t="n"/>
      <c r="N973" s="46" t="n"/>
      <c r="P973" s="47" t="n"/>
      <c r="Q973" s="47" t="n"/>
      <c r="R973" s="47" t="n"/>
      <c r="V973" s="45" t="n"/>
    </row>
    <row r="974" ht="14.25" customHeight="1" s="142">
      <c r="C974" s="45" t="n"/>
      <c r="D974" s="45" t="n"/>
      <c r="E974" s="45" t="n"/>
      <c r="F974" s="45" t="n"/>
      <c r="G974" s="45" t="n"/>
      <c r="H974" s="45" t="n"/>
      <c r="I974" s="45" t="n"/>
      <c r="J974" s="45" t="n"/>
      <c r="K974" s="45" t="n"/>
      <c r="L974" s="45" t="n"/>
      <c r="N974" s="46" t="n"/>
      <c r="P974" s="47" t="n"/>
      <c r="Q974" s="47" t="n"/>
      <c r="R974" s="47" t="n"/>
      <c r="V974" s="45" t="n"/>
    </row>
    <row r="975" ht="14.25" customHeight="1" s="142">
      <c r="C975" s="45" t="n"/>
      <c r="D975" s="45" t="n"/>
      <c r="E975" s="45" t="n"/>
      <c r="F975" s="45" t="n"/>
      <c r="G975" s="45" t="n"/>
      <c r="H975" s="45" t="n"/>
      <c r="I975" s="45" t="n"/>
      <c r="J975" s="45" t="n"/>
      <c r="K975" s="45" t="n"/>
      <c r="L975" s="45" t="n"/>
      <c r="N975" s="46" t="n"/>
      <c r="P975" s="47" t="n"/>
      <c r="Q975" s="47" t="n"/>
      <c r="R975" s="47" t="n"/>
      <c r="V975" s="45" t="n"/>
    </row>
    <row r="976" ht="14.25" customHeight="1" s="142">
      <c r="C976" s="45" t="n"/>
      <c r="D976" s="45" t="n"/>
      <c r="E976" s="45" t="n"/>
      <c r="F976" s="45" t="n"/>
      <c r="G976" s="45" t="n"/>
      <c r="H976" s="45" t="n"/>
      <c r="I976" s="45" t="n"/>
      <c r="J976" s="45" t="n"/>
      <c r="K976" s="45" t="n"/>
      <c r="L976" s="45" t="n"/>
      <c r="N976" s="46" t="n"/>
      <c r="P976" s="47" t="n"/>
      <c r="Q976" s="47" t="n"/>
      <c r="R976" s="47" t="n"/>
      <c r="V976" s="45" t="n"/>
    </row>
    <row r="977" ht="14.25" customHeight="1" s="142">
      <c r="C977" s="45" t="n"/>
      <c r="D977" s="45" t="n"/>
      <c r="E977" s="45" t="n"/>
      <c r="F977" s="45" t="n"/>
      <c r="G977" s="45" t="n"/>
      <c r="H977" s="45" t="n"/>
      <c r="I977" s="45" t="n"/>
      <c r="J977" s="45" t="n"/>
      <c r="K977" s="45" t="n"/>
      <c r="L977" s="45" t="n"/>
      <c r="N977" s="46" t="n"/>
      <c r="P977" s="47" t="n"/>
      <c r="Q977" s="47" t="n"/>
      <c r="R977" s="47" t="n"/>
      <c r="V977" s="45" t="n"/>
    </row>
    <row r="978" ht="14.25" customHeight="1" s="142">
      <c r="C978" s="45" t="n"/>
      <c r="D978" s="45" t="n"/>
      <c r="E978" s="45" t="n"/>
      <c r="F978" s="45" t="n"/>
      <c r="G978" s="45" t="n"/>
      <c r="H978" s="45" t="n"/>
      <c r="I978" s="45" t="n"/>
      <c r="J978" s="45" t="n"/>
      <c r="K978" s="45" t="n"/>
      <c r="L978" s="45" t="n"/>
      <c r="N978" s="46" t="n"/>
      <c r="P978" s="47" t="n"/>
      <c r="Q978" s="47" t="n"/>
      <c r="R978" s="47" t="n"/>
      <c r="V978" s="45" t="n"/>
    </row>
    <row r="979" ht="14.25" customHeight="1" s="142">
      <c r="C979" s="45" t="n"/>
      <c r="D979" s="45" t="n"/>
      <c r="E979" s="45" t="n"/>
      <c r="F979" s="45" t="n"/>
      <c r="G979" s="45" t="n"/>
      <c r="H979" s="45" t="n"/>
      <c r="I979" s="45" t="n"/>
      <c r="J979" s="45" t="n"/>
      <c r="K979" s="45" t="n"/>
      <c r="L979" s="45" t="n"/>
      <c r="N979" s="46" t="n"/>
      <c r="P979" s="47" t="n"/>
      <c r="Q979" s="47" t="n"/>
      <c r="R979" s="47" t="n"/>
      <c r="V979" s="45" t="n"/>
    </row>
    <row r="980" ht="14.25" customHeight="1" s="142">
      <c r="C980" s="45" t="n"/>
      <c r="D980" s="45" t="n"/>
      <c r="E980" s="45" t="n"/>
      <c r="F980" s="45" t="n"/>
      <c r="G980" s="45" t="n"/>
      <c r="H980" s="45" t="n"/>
      <c r="I980" s="45" t="n"/>
      <c r="J980" s="45" t="n"/>
      <c r="K980" s="45" t="n"/>
      <c r="L980" s="45" t="n"/>
      <c r="N980" s="46" t="n"/>
      <c r="P980" s="47" t="n"/>
      <c r="Q980" s="47" t="n"/>
      <c r="R980" s="47" t="n"/>
      <c r="V980" s="45" t="n"/>
    </row>
    <row r="981" ht="14.25" customHeight="1" s="142">
      <c r="C981" s="45" t="n"/>
      <c r="D981" s="45" t="n"/>
      <c r="E981" s="45" t="n"/>
      <c r="F981" s="45" t="n"/>
      <c r="G981" s="45" t="n"/>
      <c r="H981" s="45" t="n"/>
      <c r="I981" s="45" t="n"/>
      <c r="J981" s="45" t="n"/>
      <c r="K981" s="45" t="n"/>
      <c r="L981" s="45" t="n"/>
      <c r="N981" s="46" t="n"/>
      <c r="P981" s="47" t="n"/>
      <c r="Q981" s="47" t="n"/>
      <c r="R981" s="47" t="n"/>
      <c r="V981" s="45" t="n"/>
    </row>
    <row r="982" ht="14.25" customHeight="1" s="142">
      <c r="C982" s="45" t="n"/>
      <c r="D982" s="45" t="n"/>
      <c r="E982" s="45" t="n"/>
      <c r="F982" s="45" t="n"/>
      <c r="G982" s="45" t="n"/>
      <c r="H982" s="45" t="n"/>
      <c r="I982" s="45" t="n"/>
      <c r="J982" s="45" t="n"/>
      <c r="K982" s="45" t="n"/>
      <c r="L982" s="45" t="n"/>
      <c r="N982" s="46" t="n"/>
      <c r="P982" s="47" t="n"/>
      <c r="Q982" s="47" t="n"/>
      <c r="R982" s="47" t="n"/>
      <c r="V982" s="45" t="n"/>
    </row>
    <row r="983" ht="14.25" customHeight="1" s="142">
      <c r="C983" s="45" t="n"/>
      <c r="D983" s="45" t="n"/>
      <c r="E983" s="45" t="n"/>
      <c r="F983" s="45" t="n"/>
      <c r="G983" s="45" t="n"/>
      <c r="H983" s="45" t="n"/>
      <c r="I983" s="45" t="n"/>
      <c r="J983" s="45" t="n"/>
      <c r="K983" s="45" t="n"/>
      <c r="L983" s="45" t="n"/>
      <c r="N983" s="46" t="n"/>
      <c r="P983" s="47" t="n"/>
      <c r="Q983" s="47" t="n"/>
      <c r="R983" s="47" t="n"/>
      <c r="V983" s="45" t="n"/>
    </row>
    <row r="984" ht="14.25" customHeight="1" s="142">
      <c r="C984" s="45" t="n"/>
      <c r="D984" s="45" t="n"/>
      <c r="E984" s="45" t="n"/>
      <c r="F984" s="45" t="n"/>
      <c r="G984" s="45" t="n"/>
      <c r="H984" s="45" t="n"/>
      <c r="I984" s="45" t="n"/>
      <c r="J984" s="45" t="n"/>
      <c r="K984" s="45" t="n"/>
      <c r="L984" s="45" t="n"/>
      <c r="N984" s="46" t="n"/>
      <c r="P984" s="47" t="n"/>
      <c r="Q984" s="47" t="n"/>
      <c r="R984" s="47" t="n"/>
      <c r="V984" s="45" t="n"/>
    </row>
    <row r="985" ht="14.25" customHeight="1" s="142">
      <c r="C985" s="45" t="n"/>
      <c r="D985" s="45" t="n"/>
      <c r="E985" s="45" t="n"/>
      <c r="F985" s="45" t="n"/>
      <c r="G985" s="45" t="n"/>
      <c r="H985" s="45" t="n"/>
      <c r="I985" s="45" t="n"/>
      <c r="J985" s="45" t="n"/>
      <c r="K985" s="45" t="n"/>
      <c r="L985" s="45" t="n"/>
      <c r="N985" s="46" t="n"/>
      <c r="P985" s="47" t="n"/>
      <c r="Q985" s="47" t="n"/>
      <c r="R985" s="47" t="n"/>
      <c r="V985" s="45" t="n"/>
    </row>
    <row r="986" ht="14.25" customHeight="1" s="142">
      <c r="C986" s="45" t="n"/>
      <c r="D986" s="45" t="n"/>
      <c r="E986" s="45" t="n"/>
      <c r="F986" s="45" t="n"/>
      <c r="G986" s="45" t="n"/>
      <c r="H986" s="45" t="n"/>
      <c r="I986" s="45" t="n"/>
      <c r="J986" s="45" t="n"/>
      <c r="K986" s="45" t="n"/>
      <c r="L986" s="45" t="n"/>
      <c r="N986" s="46" t="n"/>
      <c r="P986" s="47" t="n"/>
      <c r="Q986" s="47" t="n"/>
      <c r="R986" s="47" t="n"/>
      <c r="V986" s="45" t="n"/>
    </row>
    <row r="987" ht="14.25" customHeight="1" s="142">
      <c r="C987" s="45" t="n"/>
      <c r="D987" s="45" t="n"/>
      <c r="E987" s="45" t="n"/>
      <c r="F987" s="45" t="n"/>
      <c r="G987" s="45" t="n"/>
      <c r="H987" s="45" t="n"/>
      <c r="I987" s="45" t="n"/>
      <c r="J987" s="45" t="n"/>
      <c r="K987" s="45" t="n"/>
      <c r="L987" s="45" t="n"/>
      <c r="N987" s="46" t="n"/>
      <c r="P987" s="47" t="n"/>
      <c r="Q987" s="47" t="n"/>
      <c r="R987" s="47" t="n"/>
      <c r="V987" s="45" t="n"/>
    </row>
    <row r="988" ht="14.25" customHeight="1" s="142">
      <c r="C988" s="45" t="n"/>
      <c r="D988" s="45" t="n"/>
      <c r="E988" s="45" t="n"/>
      <c r="F988" s="45" t="n"/>
      <c r="G988" s="45" t="n"/>
      <c r="H988" s="45" t="n"/>
      <c r="I988" s="45" t="n"/>
      <c r="J988" s="45" t="n"/>
      <c r="K988" s="45" t="n"/>
      <c r="L988" s="45" t="n"/>
      <c r="N988" s="46" t="n"/>
      <c r="P988" s="47" t="n"/>
      <c r="Q988" s="47" t="n"/>
      <c r="R988" s="47" t="n"/>
      <c r="V988" s="45" t="n"/>
    </row>
    <row r="989" ht="14.25" customHeight="1" s="142">
      <c r="C989" s="45" t="n"/>
      <c r="D989" s="45" t="n"/>
      <c r="E989" s="45" t="n"/>
      <c r="F989" s="45" t="n"/>
      <c r="G989" s="45" t="n"/>
      <c r="H989" s="45" t="n"/>
      <c r="I989" s="45" t="n"/>
      <c r="J989" s="45" t="n"/>
      <c r="K989" s="45" t="n"/>
      <c r="L989" s="45" t="n"/>
      <c r="N989" s="46" t="n"/>
      <c r="P989" s="47" t="n"/>
      <c r="Q989" s="47" t="n"/>
      <c r="R989" s="47" t="n"/>
      <c r="V989" s="45" t="n"/>
    </row>
    <row r="990" ht="14.25" customHeight="1" s="142">
      <c r="C990" s="45" t="n"/>
      <c r="D990" s="45" t="n"/>
      <c r="E990" s="45" t="n"/>
      <c r="F990" s="45" t="n"/>
      <c r="G990" s="45" t="n"/>
      <c r="H990" s="45" t="n"/>
      <c r="I990" s="45" t="n"/>
      <c r="J990" s="45" t="n"/>
      <c r="K990" s="45" t="n"/>
      <c r="L990" s="45" t="n"/>
      <c r="N990" s="46" t="n"/>
      <c r="P990" s="47" t="n"/>
      <c r="Q990" s="47" t="n"/>
      <c r="R990" s="47" t="n"/>
      <c r="V990" s="45" t="n"/>
    </row>
    <row r="991" ht="14.25" customHeight="1" s="142">
      <c r="C991" s="45" t="n"/>
      <c r="D991" s="45" t="n"/>
      <c r="E991" s="45" t="n"/>
      <c r="F991" s="45" t="n"/>
      <c r="G991" s="45" t="n"/>
      <c r="H991" s="45" t="n"/>
      <c r="I991" s="45" t="n"/>
      <c r="J991" s="45" t="n"/>
      <c r="K991" s="45" t="n"/>
      <c r="L991" s="45" t="n"/>
      <c r="N991" s="46" t="n"/>
      <c r="P991" s="47" t="n"/>
      <c r="Q991" s="47" t="n"/>
      <c r="R991" s="47" t="n"/>
      <c r="V991" s="45" t="n"/>
    </row>
    <row r="992" ht="14.25" customHeight="1" s="142">
      <c r="C992" s="45" t="n"/>
      <c r="D992" s="45" t="n"/>
      <c r="E992" s="45" t="n"/>
      <c r="F992" s="45" t="n"/>
      <c r="G992" s="45" t="n"/>
      <c r="H992" s="45" t="n"/>
      <c r="I992" s="45" t="n"/>
      <c r="J992" s="45" t="n"/>
      <c r="K992" s="45" t="n"/>
      <c r="L992" s="45" t="n"/>
      <c r="N992" s="46" t="n"/>
      <c r="P992" s="47" t="n"/>
      <c r="Q992" s="47" t="n"/>
      <c r="R992" s="47" t="n"/>
      <c r="V992" s="45" t="n"/>
    </row>
    <row r="993" ht="14.25" customHeight="1" s="142">
      <c r="C993" s="45" t="n"/>
      <c r="D993" s="45" t="n"/>
      <c r="E993" s="45" t="n"/>
      <c r="F993" s="45" t="n"/>
      <c r="G993" s="45" t="n"/>
      <c r="H993" s="45" t="n"/>
      <c r="I993" s="45" t="n"/>
      <c r="J993" s="45" t="n"/>
      <c r="K993" s="45" t="n"/>
      <c r="L993" s="45" t="n"/>
      <c r="N993" s="46" t="n"/>
      <c r="P993" s="47" t="n"/>
      <c r="Q993" s="47" t="n"/>
      <c r="R993" s="47" t="n"/>
      <c r="V993" s="45" t="n"/>
    </row>
    <row r="994" ht="14.25" customHeight="1" s="142">
      <c r="C994" s="45" t="n"/>
      <c r="D994" s="45" t="n"/>
      <c r="E994" s="45" t="n"/>
      <c r="F994" s="45" t="n"/>
      <c r="G994" s="45" t="n"/>
      <c r="H994" s="45" t="n"/>
      <c r="I994" s="45" t="n"/>
      <c r="J994" s="45" t="n"/>
      <c r="K994" s="45" t="n"/>
      <c r="L994" s="45" t="n"/>
      <c r="N994" s="46" t="n"/>
      <c r="P994" s="47" t="n"/>
      <c r="Q994" s="47" t="n"/>
      <c r="R994" s="47" t="n"/>
      <c r="V994" s="45" t="n"/>
    </row>
    <row r="995" ht="14.25" customHeight="1" s="142">
      <c r="C995" s="45" t="n"/>
      <c r="D995" s="45" t="n"/>
      <c r="E995" s="45" t="n"/>
      <c r="F995" s="45" t="n"/>
      <c r="G995" s="45" t="n"/>
      <c r="H995" s="45" t="n"/>
      <c r="I995" s="45" t="n"/>
      <c r="J995" s="45" t="n"/>
      <c r="K995" s="45" t="n"/>
      <c r="L995" s="45" t="n"/>
      <c r="N995" s="46" t="n"/>
      <c r="P995" s="47" t="n"/>
      <c r="Q995" s="47" t="n"/>
      <c r="R995" s="47" t="n"/>
      <c r="V995" s="45" t="n"/>
    </row>
    <row r="996" ht="14.25" customHeight="1" s="142">
      <c r="C996" s="45" t="n"/>
      <c r="D996" s="45" t="n"/>
      <c r="E996" s="45" t="n"/>
      <c r="F996" s="45" t="n"/>
      <c r="G996" s="45" t="n"/>
      <c r="H996" s="45" t="n"/>
      <c r="I996" s="45" t="n"/>
      <c r="J996" s="45" t="n"/>
      <c r="K996" s="45" t="n"/>
      <c r="L996" s="45" t="n"/>
      <c r="N996" s="46" t="n"/>
      <c r="P996" s="47" t="n"/>
      <c r="Q996" s="47" t="n"/>
      <c r="R996" s="47" t="n"/>
      <c r="V996" s="45" t="n"/>
    </row>
    <row r="997" ht="14.25" customHeight="1" s="142">
      <c r="C997" s="45" t="n"/>
      <c r="D997" s="45" t="n"/>
      <c r="E997" s="45" t="n"/>
      <c r="F997" s="45" t="n"/>
      <c r="G997" s="45" t="n"/>
      <c r="H997" s="45" t="n"/>
      <c r="I997" s="45" t="n"/>
      <c r="J997" s="45" t="n"/>
      <c r="K997" s="45" t="n"/>
      <c r="L997" s="45" t="n"/>
      <c r="N997" s="46" t="n"/>
      <c r="P997" s="47" t="n"/>
      <c r="Q997" s="47" t="n"/>
      <c r="R997" s="47" t="n"/>
      <c r="V997" s="45" t="n"/>
    </row>
    <row r="998" ht="14.25" customHeight="1" s="142">
      <c r="C998" s="45" t="n"/>
      <c r="D998" s="45" t="n"/>
      <c r="E998" s="45" t="n"/>
      <c r="F998" s="45" t="n"/>
      <c r="G998" s="45" t="n"/>
      <c r="H998" s="45" t="n"/>
      <c r="I998" s="45" t="n"/>
      <c r="J998" s="45" t="n"/>
      <c r="K998" s="45" t="n"/>
      <c r="L998" s="45" t="n"/>
      <c r="N998" s="46" t="n"/>
      <c r="P998" s="47" t="n"/>
      <c r="Q998" s="47" t="n"/>
      <c r="R998" s="47" t="n"/>
      <c r="V998" s="45" t="n"/>
    </row>
    <row r="999" ht="14.25" customHeight="1" s="142">
      <c r="C999" s="45" t="n"/>
      <c r="D999" s="45" t="n"/>
      <c r="E999" s="45" t="n"/>
      <c r="F999" s="45" t="n"/>
      <c r="G999" s="45" t="n"/>
      <c r="H999" s="45" t="n"/>
      <c r="I999" s="45" t="n"/>
      <c r="J999" s="45" t="n"/>
      <c r="K999" s="45" t="n"/>
      <c r="L999" s="45" t="n"/>
      <c r="N999" s="46" t="n"/>
      <c r="P999" s="47" t="n"/>
      <c r="Q999" s="47" t="n"/>
      <c r="R999" s="47" t="n"/>
      <c r="V999" s="45" t="n"/>
    </row>
    <row r="1000" ht="14.25" customHeight="1" s="142">
      <c r="C1000" s="45" t="n"/>
      <c r="D1000" s="45" t="n"/>
      <c r="E1000" s="45" t="n"/>
      <c r="F1000" s="45" t="n"/>
      <c r="G1000" s="45" t="n"/>
      <c r="H1000" s="45" t="n"/>
      <c r="I1000" s="45" t="n"/>
      <c r="J1000" s="45" t="n"/>
      <c r="K1000" s="45" t="n"/>
      <c r="L1000" s="45" t="n"/>
      <c r="N1000" s="46" t="n"/>
      <c r="P1000" s="47" t="n"/>
      <c r="Q1000" s="47" t="n"/>
      <c r="R1000" s="47" t="n"/>
      <c r="V1000" s="45" t="n"/>
    </row>
    <row r="1001" ht="14.25" customHeight="1" s="142">
      <c r="C1001" s="45" t="n"/>
      <c r="D1001" s="45" t="n"/>
      <c r="E1001" s="45" t="n"/>
      <c r="F1001" s="45" t="n"/>
      <c r="G1001" s="45" t="n"/>
      <c r="H1001" s="45" t="n"/>
      <c r="I1001" s="45" t="n"/>
      <c r="J1001" s="45" t="n"/>
      <c r="K1001" s="45" t="n"/>
      <c r="L1001" s="45" t="n"/>
      <c r="N1001" s="46" t="n"/>
      <c r="P1001" s="47" t="n"/>
      <c r="Q1001" s="47" t="n"/>
      <c r="R1001" s="47" t="n"/>
      <c r="V1001" s="45" t="n"/>
    </row>
    <row r="1002" ht="14.25" customHeight="1" s="142">
      <c r="C1002" s="45" t="n"/>
      <c r="D1002" s="45" t="n"/>
      <c r="E1002" s="45" t="n"/>
      <c r="F1002" s="45" t="n"/>
      <c r="G1002" s="45" t="n"/>
      <c r="H1002" s="45" t="n"/>
      <c r="I1002" s="45" t="n"/>
      <c r="J1002" s="45" t="n"/>
      <c r="K1002" s="45" t="n"/>
      <c r="L1002" s="45" t="n"/>
      <c r="N1002" s="46" t="n"/>
      <c r="P1002" s="47" t="n"/>
      <c r="Q1002" s="47" t="n"/>
      <c r="R1002" s="47" t="n"/>
      <c r="V1002" s="45" t="n"/>
    </row>
    <row r="1003" ht="14.25" customHeight="1" s="142">
      <c r="C1003" s="45" t="n"/>
      <c r="D1003" s="45" t="n"/>
      <c r="E1003" s="45" t="n"/>
      <c r="F1003" s="45" t="n"/>
      <c r="G1003" s="45" t="n"/>
      <c r="H1003" s="45" t="n"/>
      <c r="I1003" s="45" t="n"/>
      <c r="J1003" s="45" t="n"/>
      <c r="K1003" s="45" t="n"/>
      <c r="L1003" s="45" t="n"/>
      <c r="N1003" s="46" t="n"/>
      <c r="P1003" s="47" t="n"/>
      <c r="Q1003" s="47" t="n"/>
      <c r="R1003" s="47" t="n"/>
      <c r="V1003" s="45" t="n"/>
    </row>
    <row r="1004" ht="14.25" customHeight="1" s="142">
      <c r="C1004" s="45" t="n"/>
      <c r="D1004" s="45" t="n"/>
      <c r="E1004" s="45" t="n"/>
      <c r="F1004" s="45" t="n"/>
      <c r="G1004" s="45" t="n"/>
      <c r="H1004" s="45" t="n"/>
      <c r="I1004" s="45" t="n"/>
      <c r="J1004" s="45" t="n"/>
      <c r="K1004" s="45" t="n"/>
      <c r="L1004" s="45" t="n"/>
      <c r="N1004" s="46" t="n"/>
      <c r="P1004" s="47" t="n"/>
      <c r="Q1004" s="47" t="n"/>
      <c r="R1004" s="47" t="n"/>
      <c r="V1004" s="45" t="n"/>
    </row>
    <row r="1005" ht="14.25" customHeight="1" s="142">
      <c r="C1005" s="45" t="n"/>
      <c r="D1005" s="45" t="n"/>
      <c r="E1005" s="45" t="n"/>
      <c r="F1005" s="45" t="n"/>
      <c r="G1005" s="45" t="n"/>
      <c r="H1005" s="45" t="n"/>
      <c r="I1005" s="45" t="n"/>
      <c r="J1005" s="45" t="n"/>
      <c r="K1005" s="45" t="n"/>
      <c r="L1005" s="45" t="n"/>
      <c r="N1005" s="46" t="n"/>
      <c r="P1005" s="47" t="n"/>
      <c r="Q1005" s="47" t="n"/>
      <c r="R1005" s="47" t="n"/>
      <c r="V1005" s="45" t="n"/>
    </row>
    <row r="1006" ht="14.25" customHeight="1" s="142">
      <c r="C1006" s="45" t="n"/>
      <c r="D1006" s="45" t="n"/>
      <c r="E1006" s="45" t="n"/>
      <c r="F1006" s="45" t="n"/>
      <c r="G1006" s="45" t="n"/>
      <c r="H1006" s="45" t="n"/>
      <c r="I1006" s="45" t="n"/>
      <c r="J1006" s="45" t="n"/>
      <c r="K1006" s="45" t="n"/>
      <c r="L1006" s="45" t="n"/>
      <c r="N1006" s="46" t="n"/>
      <c r="P1006" s="47" t="n"/>
      <c r="Q1006" s="47" t="n"/>
      <c r="R1006" s="47" t="n"/>
      <c r="V1006" s="45" t="n"/>
    </row>
    <row r="1007" ht="14.25" customHeight="1" s="142">
      <c r="C1007" s="45" t="n"/>
      <c r="D1007" s="45" t="n"/>
      <c r="E1007" s="45" t="n"/>
      <c r="F1007" s="45" t="n"/>
      <c r="G1007" s="45" t="n"/>
      <c r="H1007" s="45" t="n"/>
      <c r="I1007" s="45" t="n"/>
      <c r="J1007" s="45" t="n"/>
      <c r="K1007" s="45" t="n"/>
      <c r="L1007" s="45" t="n"/>
      <c r="N1007" s="46" t="n"/>
      <c r="P1007" s="47" t="n"/>
      <c r="Q1007" s="47" t="n"/>
      <c r="R1007" s="47" t="n"/>
      <c r="V1007" s="45" t="n"/>
    </row>
    <row r="1008" ht="14.25" customHeight="1" s="142">
      <c r="C1008" s="45" t="n"/>
      <c r="D1008" s="45" t="n"/>
      <c r="E1008" s="45" t="n"/>
      <c r="F1008" s="45" t="n"/>
      <c r="G1008" s="45" t="n"/>
      <c r="H1008" s="45" t="n"/>
      <c r="I1008" s="45" t="n"/>
      <c r="J1008" s="45" t="n"/>
      <c r="K1008" s="45" t="n"/>
      <c r="L1008" s="45" t="n"/>
      <c r="N1008" s="46" t="n"/>
      <c r="P1008" s="47" t="n"/>
      <c r="Q1008" s="47" t="n"/>
      <c r="R1008" s="47" t="n"/>
      <c r="V1008" s="45" t="n"/>
    </row>
    <row r="1009" ht="14.25" customHeight="1" s="142">
      <c r="C1009" s="45" t="n"/>
      <c r="D1009" s="45" t="n"/>
      <c r="E1009" s="45" t="n"/>
      <c r="F1009" s="45" t="n"/>
      <c r="G1009" s="45" t="n"/>
      <c r="H1009" s="45" t="n"/>
      <c r="I1009" s="45" t="n"/>
      <c r="J1009" s="45" t="n"/>
      <c r="K1009" s="45" t="n"/>
      <c r="L1009" s="45" t="n"/>
      <c r="N1009" s="46" t="n"/>
      <c r="P1009" s="47" t="n"/>
      <c r="Q1009" s="47" t="n"/>
      <c r="R1009" s="47" t="n"/>
      <c r="V1009" s="45" t="n"/>
    </row>
    <row r="1010" ht="14.25" customHeight="1" s="142">
      <c r="C1010" s="45" t="n"/>
      <c r="D1010" s="45" t="n"/>
      <c r="E1010" s="45" t="n"/>
      <c r="F1010" s="45" t="n"/>
      <c r="G1010" s="45" t="n"/>
      <c r="H1010" s="45" t="n"/>
      <c r="I1010" s="45" t="n"/>
      <c r="J1010" s="45" t="n"/>
      <c r="K1010" s="45" t="n"/>
      <c r="L1010" s="45" t="n"/>
      <c r="N1010" s="46" t="n"/>
      <c r="P1010" s="47" t="n"/>
      <c r="Q1010" s="47" t="n"/>
      <c r="R1010" s="47" t="n"/>
      <c r="V1010" s="45" t="n"/>
    </row>
    <row r="1011" ht="14.25" customHeight="1" s="142">
      <c r="C1011" s="45" t="n"/>
      <c r="D1011" s="45" t="n"/>
      <c r="E1011" s="45" t="n"/>
      <c r="F1011" s="45" t="n"/>
      <c r="G1011" s="45" t="n"/>
      <c r="H1011" s="45" t="n"/>
      <c r="I1011" s="45" t="n"/>
      <c r="J1011" s="45" t="n"/>
      <c r="K1011" s="45" t="n"/>
      <c r="L1011" s="45" t="n"/>
      <c r="N1011" s="46" t="n"/>
      <c r="P1011" s="47" t="n"/>
      <c r="Q1011" s="47" t="n"/>
      <c r="R1011" s="47" t="n"/>
      <c r="V1011" s="45" t="n"/>
    </row>
    <row r="1012" ht="14.25" customHeight="1" s="142">
      <c r="C1012" s="45" t="n"/>
      <c r="D1012" s="45" t="n"/>
      <c r="E1012" s="45" t="n"/>
      <c r="F1012" s="45" t="n"/>
      <c r="G1012" s="45" t="n"/>
      <c r="H1012" s="45" t="n"/>
      <c r="I1012" s="45" t="n"/>
      <c r="J1012" s="45" t="n"/>
      <c r="K1012" s="45" t="n"/>
      <c r="L1012" s="45" t="n"/>
      <c r="N1012" s="46" t="n"/>
      <c r="P1012" s="47" t="n"/>
      <c r="Q1012" s="47" t="n"/>
      <c r="R1012" s="47" t="n"/>
      <c r="V1012" s="45" t="n"/>
    </row>
    <row r="1013" ht="14.25" customHeight="1" s="142">
      <c r="C1013" s="45" t="n"/>
      <c r="D1013" s="45" t="n"/>
      <c r="E1013" s="45" t="n"/>
      <c r="F1013" s="45" t="n"/>
      <c r="G1013" s="45" t="n"/>
      <c r="H1013" s="45" t="n"/>
      <c r="I1013" s="45" t="n"/>
      <c r="J1013" s="45" t="n"/>
      <c r="K1013" s="45" t="n"/>
      <c r="L1013" s="45" t="n"/>
      <c r="N1013" s="46" t="n"/>
      <c r="P1013" s="47" t="n"/>
      <c r="Q1013" s="47" t="n"/>
      <c r="R1013" s="47" t="n"/>
      <c r="V1013" s="45" t="n"/>
    </row>
    <row r="1014" ht="14.25" customHeight="1" s="142">
      <c r="C1014" s="45" t="n"/>
      <c r="D1014" s="45" t="n"/>
      <c r="E1014" s="45" t="n"/>
      <c r="F1014" s="45" t="n"/>
      <c r="G1014" s="45" t="n"/>
      <c r="H1014" s="45" t="n"/>
      <c r="I1014" s="45" t="n"/>
      <c r="J1014" s="45" t="n"/>
      <c r="K1014" s="45" t="n"/>
      <c r="L1014" s="45" t="n"/>
      <c r="N1014" s="46" t="n"/>
      <c r="P1014" s="47" t="n"/>
      <c r="Q1014" s="47" t="n"/>
      <c r="R1014" s="47" t="n"/>
      <c r="V1014" s="45" t="n"/>
    </row>
    <row r="1015" ht="14.25" customHeight="1" s="142">
      <c r="C1015" s="45" t="n"/>
      <c r="D1015" s="45" t="n"/>
      <c r="E1015" s="45" t="n"/>
      <c r="F1015" s="45" t="n"/>
      <c r="G1015" s="45" t="n"/>
      <c r="H1015" s="45" t="n"/>
      <c r="I1015" s="45" t="n"/>
      <c r="J1015" s="45" t="n"/>
      <c r="K1015" s="45" t="n"/>
      <c r="L1015" s="45" t="n"/>
      <c r="N1015" s="46" t="n"/>
      <c r="P1015" s="47" t="n"/>
      <c r="Q1015" s="47" t="n"/>
      <c r="R1015" s="47" t="n"/>
      <c r="V1015" s="45" t="n"/>
    </row>
    <row r="1016" ht="14.25" customHeight="1" s="142">
      <c r="C1016" s="45" t="n"/>
      <c r="D1016" s="45" t="n"/>
      <c r="E1016" s="45" t="n"/>
      <c r="F1016" s="45" t="n"/>
      <c r="G1016" s="45" t="n"/>
      <c r="H1016" s="45" t="n"/>
      <c r="I1016" s="45" t="n"/>
      <c r="J1016" s="45" t="n"/>
      <c r="K1016" s="45" t="n"/>
      <c r="L1016" s="45" t="n"/>
      <c r="N1016" s="46" t="n"/>
      <c r="P1016" s="47" t="n"/>
      <c r="Q1016" s="47" t="n"/>
      <c r="R1016" s="47" t="n"/>
      <c r="V1016" s="45" t="n"/>
    </row>
    <row r="1017" ht="14.25" customHeight="1" s="142">
      <c r="C1017" s="45" t="n"/>
      <c r="D1017" s="45" t="n"/>
      <c r="E1017" s="45" t="n"/>
      <c r="F1017" s="45" t="n"/>
      <c r="G1017" s="45" t="n"/>
      <c r="H1017" s="45" t="n"/>
      <c r="I1017" s="45" t="n"/>
      <c r="J1017" s="45" t="n"/>
      <c r="K1017" s="45" t="n"/>
      <c r="L1017" s="45" t="n"/>
      <c r="N1017" s="46" t="n"/>
      <c r="P1017" s="47" t="n"/>
      <c r="Q1017" s="47" t="n"/>
      <c r="R1017" s="47" t="n"/>
      <c r="V1017" s="45" t="n"/>
    </row>
    <row r="1018" ht="14.25" customHeight="1" s="142">
      <c r="C1018" s="45" t="n"/>
      <c r="D1018" s="45" t="n"/>
      <c r="E1018" s="45" t="n"/>
      <c r="F1018" s="45" t="n"/>
      <c r="G1018" s="45" t="n"/>
      <c r="H1018" s="45" t="n"/>
      <c r="I1018" s="45" t="n"/>
      <c r="J1018" s="45" t="n"/>
      <c r="K1018" s="45" t="n"/>
      <c r="L1018" s="45" t="n"/>
      <c r="N1018" s="46" t="n"/>
      <c r="P1018" s="47" t="n"/>
      <c r="Q1018" s="47" t="n"/>
      <c r="R1018" s="47" t="n"/>
      <c r="V1018" s="45" t="n"/>
    </row>
    <row r="1019" ht="14.25" customHeight="1" s="142">
      <c r="C1019" s="45" t="n"/>
      <c r="D1019" s="45" t="n"/>
      <c r="E1019" s="45" t="n"/>
      <c r="F1019" s="45" t="n"/>
      <c r="G1019" s="45" t="n"/>
      <c r="H1019" s="45" t="n"/>
      <c r="I1019" s="45" t="n"/>
      <c r="J1019" s="45" t="n"/>
      <c r="K1019" s="45" t="n"/>
      <c r="L1019" s="45" t="n"/>
      <c r="N1019" s="46" t="n"/>
      <c r="P1019" s="47" t="n"/>
      <c r="Q1019" s="47" t="n"/>
      <c r="R1019" s="47" t="n"/>
      <c r="V1019" s="45" t="n"/>
    </row>
    <row r="1020" ht="14.25" customHeight="1" s="142">
      <c r="C1020" s="45" t="n"/>
      <c r="D1020" s="45" t="n"/>
      <c r="E1020" s="45" t="n"/>
      <c r="F1020" s="45" t="n"/>
      <c r="G1020" s="45" t="n"/>
      <c r="H1020" s="45" t="n"/>
      <c r="I1020" s="45" t="n"/>
      <c r="J1020" s="45" t="n"/>
      <c r="K1020" s="45" t="n"/>
      <c r="L1020" s="45" t="n"/>
      <c r="N1020" s="46" t="n"/>
      <c r="P1020" s="47" t="n"/>
      <c r="Q1020" s="47" t="n"/>
      <c r="R1020" s="47" t="n"/>
      <c r="V1020" s="45" t="n"/>
    </row>
    <row r="1021" ht="14.25" customHeight="1" s="142">
      <c r="C1021" s="45" t="n"/>
      <c r="D1021" s="45" t="n"/>
      <c r="E1021" s="45" t="n"/>
      <c r="F1021" s="45" t="n"/>
      <c r="G1021" s="45" t="n"/>
      <c r="H1021" s="45" t="n"/>
      <c r="I1021" s="45" t="n"/>
      <c r="J1021" s="45" t="n"/>
      <c r="K1021" s="45" t="n"/>
      <c r="L1021" s="45" t="n"/>
      <c r="N1021" s="46" t="n"/>
      <c r="P1021" s="47" t="n"/>
      <c r="Q1021" s="47" t="n"/>
      <c r="R1021" s="47" t="n"/>
      <c r="V1021" s="45" t="n"/>
    </row>
    <row r="1022" ht="14.25" customHeight="1" s="142">
      <c r="C1022" s="45" t="n"/>
      <c r="D1022" s="45" t="n"/>
      <c r="E1022" s="45" t="n"/>
      <c r="F1022" s="45" t="n"/>
      <c r="G1022" s="45" t="n"/>
      <c r="H1022" s="45" t="n"/>
      <c r="I1022" s="45" t="n"/>
      <c r="J1022" s="45" t="n"/>
      <c r="K1022" s="45" t="n"/>
      <c r="L1022" s="45" t="n"/>
      <c r="N1022" s="46" t="n"/>
      <c r="P1022" s="47" t="n"/>
      <c r="Q1022" s="47" t="n"/>
      <c r="R1022" s="47" t="n"/>
      <c r="V1022" s="45" t="n"/>
    </row>
    <row r="1023" ht="14.25" customHeight="1" s="142">
      <c r="C1023" s="45" t="n"/>
      <c r="D1023" s="45" t="n"/>
      <c r="E1023" s="45" t="n"/>
      <c r="F1023" s="45" t="n"/>
      <c r="G1023" s="45" t="n"/>
      <c r="H1023" s="45" t="n"/>
      <c r="I1023" s="45" t="n"/>
      <c r="J1023" s="45" t="n"/>
      <c r="K1023" s="45" t="n"/>
      <c r="L1023" s="45" t="n"/>
      <c r="N1023" s="46" t="n"/>
      <c r="P1023" s="47" t="n"/>
      <c r="Q1023" s="47" t="n"/>
      <c r="R1023" s="47" t="n"/>
      <c r="V1023" s="45" t="n"/>
    </row>
    <row r="1024" ht="14.25" customHeight="1" s="142">
      <c r="C1024" s="45" t="n"/>
      <c r="D1024" s="45" t="n"/>
      <c r="E1024" s="45" t="n"/>
      <c r="F1024" s="45" t="n"/>
      <c r="G1024" s="45" t="n"/>
      <c r="H1024" s="45" t="n"/>
      <c r="I1024" s="45" t="n"/>
      <c r="J1024" s="45" t="n"/>
      <c r="K1024" s="45" t="n"/>
      <c r="L1024" s="45" t="n"/>
      <c r="N1024" s="46" t="n"/>
      <c r="P1024" s="47" t="n"/>
      <c r="Q1024" s="47" t="n"/>
      <c r="R1024" s="47" t="n"/>
      <c r="V1024" s="45" t="n"/>
    </row>
    <row r="1025" ht="14.25" customHeight="1" s="142">
      <c r="C1025" s="45" t="n"/>
      <c r="D1025" s="45" t="n"/>
      <c r="E1025" s="45" t="n"/>
      <c r="F1025" s="45" t="n"/>
      <c r="G1025" s="45" t="n"/>
      <c r="H1025" s="45" t="n"/>
      <c r="I1025" s="45" t="n"/>
      <c r="J1025" s="45" t="n"/>
      <c r="K1025" s="45" t="n"/>
      <c r="L1025" s="45" t="n"/>
      <c r="N1025" s="46" t="n"/>
      <c r="P1025" s="47" t="n"/>
      <c r="Q1025" s="47" t="n"/>
      <c r="R1025" s="47" t="n"/>
      <c r="V1025" s="45" t="n"/>
    </row>
    <row r="1026" ht="14.25" customHeight="1" s="142">
      <c r="C1026" s="45" t="n"/>
      <c r="D1026" s="45" t="n"/>
      <c r="E1026" s="45" t="n"/>
      <c r="F1026" s="45" t="n"/>
      <c r="G1026" s="45" t="n"/>
      <c r="H1026" s="45" t="n"/>
      <c r="I1026" s="45" t="n"/>
      <c r="J1026" s="45" t="n"/>
      <c r="K1026" s="45" t="n"/>
      <c r="L1026" s="45" t="n"/>
      <c r="N1026" s="46" t="n"/>
      <c r="P1026" s="47" t="n"/>
      <c r="Q1026" s="47" t="n"/>
      <c r="R1026" s="47" t="n"/>
      <c r="V1026" s="45" t="n"/>
    </row>
    <row r="1027" ht="14.25" customHeight="1" s="142">
      <c r="C1027" s="45" t="n"/>
      <c r="D1027" s="45" t="n"/>
      <c r="E1027" s="45" t="n"/>
      <c r="F1027" s="45" t="n"/>
      <c r="G1027" s="45" t="n"/>
      <c r="H1027" s="45" t="n"/>
      <c r="I1027" s="45" t="n"/>
      <c r="J1027" s="45" t="n"/>
      <c r="K1027" s="45" t="n"/>
      <c r="L1027" s="45" t="n"/>
      <c r="N1027" s="46" t="n"/>
      <c r="P1027" s="47" t="n"/>
      <c r="Q1027" s="47" t="n"/>
      <c r="R1027" s="47" t="n"/>
      <c r="V1027" s="45" t="n"/>
    </row>
    <row r="1028" ht="14.25" customHeight="1" s="142">
      <c r="C1028" s="45" t="n"/>
      <c r="D1028" s="45" t="n"/>
      <c r="E1028" s="45" t="n"/>
      <c r="F1028" s="45" t="n"/>
      <c r="G1028" s="45" t="n"/>
      <c r="H1028" s="45" t="n"/>
      <c r="I1028" s="45" t="n"/>
      <c r="J1028" s="45" t="n"/>
      <c r="K1028" s="45" t="n"/>
      <c r="L1028" s="45" t="n"/>
      <c r="N1028" s="46" t="n"/>
      <c r="P1028" s="47" t="n"/>
      <c r="Q1028" s="47" t="n"/>
      <c r="R1028" s="47" t="n"/>
      <c r="V1028" s="45" t="n"/>
    </row>
    <row r="1029" ht="14.25" customHeight="1" s="142">
      <c r="C1029" s="45" t="n"/>
      <c r="D1029" s="45" t="n"/>
      <c r="E1029" s="45" t="n"/>
      <c r="F1029" s="45" t="n"/>
      <c r="G1029" s="45" t="n"/>
      <c r="H1029" s="45" t="n"/>
      <c r="I1029" s="45" t="n"/>
      <c r="J1029" s="45" t="n"/>
      <c r="K1029" s="45" t="n"/>
      <c r="L1029" s="45" t="n"/>
      <c r="N1029" s="46" t="n"/>
      <c r="P1029" s="47" t="n"/>
      <c r="Q1029" s="47" t="n"/>
      <c r="R1029" s="47" t="n"/>
      <c r="V1029" s="45" t="n"/>
    </row>
    <row r="1030" ht="14.25" customHeight="1" s="142">
      <c r="C1030" s="45" t="n"/>
      <c r="D1030" s="45" t="n"/>
      <c r="E1030" s="45" t="n"/>
      <c r="F1030" s="45" t="n"/>
      <c r="G1030" s="45" t="n"/>
      <c r="H1030" s="45" t="n"/>
      <c r="I1030" s="45" t="n"/>
      <c r="J1030" s="45" t="n"/>
      <c r="K1030" s="45" t="n"/>
      <c r="L1030" s="45" t="n"/>
      <c r="N1030" s="46" t="n"/>
      <c r="P1030" s="47" t="n"/>
      <c r="Q1030" s="47" t="n"/>
      <c r="R1030" s="47" t="n"/>
      <c r="V1030" s="45" t="n"/>
    </row>
    <row r="1031" ht="14.25" customHeight="1" s="142">
      <c r="C1031" s="45" t="n"/>
      <c r="D1031" s="45" t="n"/>
      <c r="E1031" s="45" t="n"/>
      <c r="F1031" s="45" t="n"/>
      <c r="G1031" s="45" t="n"/>
      <c r="H1031" s="45" t="n"/>
      <c r="I1031" s="45" t="n"/>
      <c r="J1031" s="45" t="n"/>
      <c r="K1031" s="45" t="n"/>
      <c r="L1031" s="45" t="n"/>
      <c r="N1031" s="46" t="n"/>
      <c r="P1031" s="47" t="n"/>
      <c r="Q1031" s="47" t="n"/>
      <c r="R1031" s="47" t="n"/>
      <c r="V1031" s="45" t="n"/>
    </row>
    <row r="1032" ht="14.25" customHeight="1" s="142">
      <c r="C1032" s="45" t="n"/>
      <c r="D1032" s="45" t="n"/>
      <c r="E1032" s="45" t="n"/>
      <c r="F1032" s="45" t="n"/>
      <c r="G1032" s="45" t="n"/>
      <c r="H1032" s="45" t="n"/>
      <c r="I1032" s="45" t="n"/>
      <c r="J1032" s="45" t="n"/>
      <c r="K1032" s="45" t="n"/>
      <c r="L1032" s="45" t="n"/>
      <c r="N1032" s="46" t="n"/>
      <c r="P1032" s="47" t="n"/>
      <c r="Q1032" s="47" t="n"/>
      <c r="R1032" s="47" t="n"/>
      <c r="V1032" s="45" t="n"/>
    </row>
    <row r="1033" ht="14.25" customHeight="1" s="142">
      <c r="C1033" s="45" t="n"/>
      <c r="D1033" s="45" t="n"/>
      <c r="E1033" s="45" t="n"/>
      <c r="F1033" s="45" t="n"/>
      <c r="G1033" s="45" t="n"/>
      <c r="H1033" s="45" t="n"/>
      <c r="I1033" s="45" t="n"/>
      <c r="J1033" s="45" t="n"/>
      <c r="K1033" s="45" t="n"/>
      <c r="L1033" s="45" t="n"/>
      <c r="N1033" s="46" t="n"/>
      <c r="P1033" s="47" t="n"/>
      <c r="Q1033" s="47" t="n"/>
      <c r="R1033" s="47" t="n"/>
      <c r="V1033" s="45" t="n"/>
    </row>
    <row r="1034" ht="14.25" customHeight="1" s="142">
      <c r="C1034" s="45" t="n"/>
      <c r="D1034" s="45" t="n"/>
      <c r="E1034" s="45" t="n"/>
      <c r="F1034" s="45" t="n"/>
      <c r="G1034" s="45" t="n"/>
      <c r="H1034" s="45" t="n"/>
      <c r="I1034" s="45" t="n"/>
      <c r="J1034" s="45" t="n"/>
      <c r="K1034" s="45" t="n"/>
      <c r="L1034" s="45" t="n"/>
      <c r="N1034" s="46" t="n"/>
      <c r="P1034" s="47" t="n"/>
      <c r="Q1034" s="47" t="n"/>
      <c r="R1034" s="47" t="n"/>
      <c r="V1034" s="45" t="n"/>
    </row>
    <row r="1035" ht="14.25" customHeight="1" s="142">
      <c r="C1035" s="45" t="n"/>
      <c r="D1035" s="45" t="n"/>
      <c r="E1035" s="45" t="n"/>
      <c r="F1035" s="45" t="n"/>
      <c r="G1035" s="45" t="n"/>
      <c r="H1035" s="45" t="n"/>
      <c r="I1035" s="45" t="n"/>
      <c r="J1035" s="45" t="n"/>
      <c r="K1035" s="45" t="n"/>
      <c r="L1035" s="45" t="n"/>
      <c r="N1035" s="46" t="n"/>
      <c r="P1035" s="47" t="n"/>
      <c r="Q1035" s="47" t="n"/>
      <c r="R1035" s="47" t="n"/>
      <c r="V1035" s="45" t="n"/>
    </row>
    <row r="1036" ht="14.25" customHeight="1" s="142">
      <c r="C1036" s="45" t="n"/>
      <c r="D1036" s="45" t="n"/>
      <c r="E1036" s="45" t="n"/>
      <c r="F1036" s="45" t="n"/>
      <c r="G1036" s="45" t="n"/>
      <c r="H1036" s="45" t="n"/>
      <c r="I1036" s="45" t="n"/>
      <c r="J1036" s="45" t="n"/>
      <c r="K1036" s="45" t="n"/>
      <c r="L1036" s="45" t="n"/>
      <c r="N1036" s="46" t="n"/>
      <c r="P1036" s="47" t="n"/>
      <c r="Q1036" s="47" t="n"/>
      <c r="R1036" s="47" t="n"/>
      <c r="V1036" s="45" t="n"/>
    </row>
    <row r="1037" ht="14.25" customHeight="1" s="142">
      <c r="C1037" s="45" t="n"/>
      <c r="D1037" s="45" t="n"/>
      <c r="E1037" s="45" t="n"/>
      <c r="F1037" s="45" t="n"/>
      <c r="G1037" s="45" t="n"/>
      <c r="H1037" s="45" t="n"/>
      <c r="I1037" s="45" t="n"/>
      <c r="J1037" s="45" t="n"/>
      <c r="K1037" s="45" t="n"/>
      <c r="L1037" s="45" t="n"/>
      <c r="N1037" s="46" t="n"/>
      <c r="P1037" s="47" t="n"/>
      <c r="Q1037" s="47" t="n"/>
      <c r="R1037" s="47" t="n"/>
      <c r="V1037" s="45" t="n"/>
    </row>
    <row r="1038" ht="14.25" customHeight="1" s="142">
      <c r="C1038" s="45" t="n"/>
      <c r="D1038" s="45" t="n"/>
      <c r="E1038" s="45" t="n"/>
      <c r="F1038" s="45" t="n"/>
      <c r="G1038" s="45" t="n"/>
      <c r="H1038" s="45" t="n"/>
      <c r="I1038" s="45" t="n"/>
      <c r="J1038" s="45" t="n"/>
      <c r="K1038" s="45" t="n"/>
      <c r="L1038" s="45" t="n"/>
      <c r="N1038" s="46" t="n"/>
      <c r="P1038" s="47" t="n"/>
      <c r="Q1038" s="47" t="n"/>
      <c r="R1038" s="47" t="n"/>
      <c r="V1038" s="45" t="n"/>
    </row>
    <row r="1039" ht="14.25" customHeight="1" s="142">
      <c r="C1039" s="45" t="n"/>
      <c r="D1039" s="45" t="n"/>
      <c r="E1039" s="45" t="n"/>
      <c r="F1039" s="45" t="n"/>
      <c r="G1039" s="45" t="n"/>
      <c r="H1039" s="45" t="n"/>
      <c r="I1039" s="45" t="n"/>
      <c r="J1039" s="45" t="n"/>
      <c r="K1039" s="45" t="n"/>
      <c r="L1039" s="45" t="n"/>
      <c r="N1039" s="46" t="n"/>
      <c r="P1039" s="47" t="n"/>
      <c r="Q1039" s="47" t="n"/>
      <c r="R1039" s="47" t="n"/>
      <c r="V1039" s="45" t="n"/>
    </row>
    <row r="1040" ht="14.25" customHeight="1" s="142">
      <c r="C1040" s="45" t="n"/>
      <c r="D1040" s="45" t="n"/>
      <c r="E1040" s="45" t="n"/>
      <c r="F1040" s="45" t="n"/>
      <c r="G1040" s="45" t="n"/>
      <c r="H1040" s="45" t="n"/>
      <c r="I1040" s="45" t="n"/>
      <c r="J1040" s="45" t="n"/>
      <c r="K1040" s="45" t="n"/>
      <c r="L1040" s="45" t="n"/>
      <c r="N1040" s="46" t="n"/>
      <c r="P1040" s="47" t="n"/>
      <c r="Q1040" s="47" t="n"/>
      <c r="R1040" s="47" t="n"/>
      <c r="V1040" s="45" t="n"/>
    </row>
    <row r="1041" ht="14.25" customHeight="1" s="142">
      <c r="C1041" s="45" t="n"/>
      <c r="D1041" s="45" t="n"/>
      <c r="E1041" s="45" t="n"/>
      <c r="F1041" s="45" t="n"/>
      <c r="G1041" s="45" t="n"/>
      <c r="H1041" s="45" t="n"/>
      <c r="I1041" s="45" t="n"/>
      <c r="J1041" s="45" t="n"/>
      <c r="K1041" s="45" t="n"/>
      <c r="L1041" s="45" t="n"/>
      <c r="N1041" s="46" t="n"/>
      <c r="P1041" s="47" t="n"/>
      <c r="Q1041" s="47" t="n"/>
      <c r="R1041" s="47" t="n"/>
      <c r="V1041" s="45" t="n"/>
    </row>
    <row r="1042" ht="14.25" customHeight="1" s="142">
      <c r="C1042" s="45" t="n"/>
      <c r="D1042" s="45" t="n"/>
      <c r="E1042" s="45" t="n"/>
      <c r="F1042" s="45" t="n"/>
      <c r="G1042" s="45" t="n"/>
      <c r="H1042" s="45" t="n"/>
      <c r="I1042" s="45" t="n"/>
      <c r="J1042" s="45" t="n"/>
      <c r="K1042" s="45" t="n"/>
      <c r="L1042" s="45" t="n"/>
      <c r="N1042" s="46" t="n"/>
      <c r="P1042" s="47" t="n"/>
      <c r="Q1042" s="47" t="n"/>
      <c r="R1042" s="47" t="n"/>
      <c r="V1042" s="45" t="n"/>
    </row>
    <row r="1043" ht="14.25" customHeight="1" s="142">
      <c r="C1043" s="45" t="n"/>
      <c r="D1043" s="45" t="n"/>
      <c r="E1043" s="45" t="n"/>
      <c r="F1043" s="45" t="n"/>
      <c r="G1043" s="45" t="n"/>
      <c r="H1043" s="45" t="n"/>
      <c r="I1043" s="45" t="n"/>
      <c r="J1043" s="45" t="n"/>
      <c r="K1043" s="45" t="n"/>
      <c r="L1043" s="45" t="n"/>
      <c r="N1043" s="46" t="n"/>
      <c r="P1043" s="47" t="n"/>
      <c r="Q1043" s="47" t="n"/>
      <c r="R1043" s="47" t="n"/>
      <c r="V1043" s="45" t="n"/>
    </row>
    <row r="1044" ht="14.25" customHeight="1" s="142">
      <c r="C1044" s="45" t="n"/>
      <c r="D1044" s="45" t="n"/>
      <c r="E1044" s="45" t="n"/>
      <c r="F1044" s="45" t="n"/>
      <c r="G1044" s="45" t="n"/>
      <c r="H1044" s="45" t="n"/>
      <c r="I1044" s="45" t="n"/>
      <c r="J1044" s="45" t="n"/>
      <c r="K1044" s="45" t="n"/>
      <c r="L1044" s="45" t="n"/>
      <c r="N1044" s="46" t="n"/>
      <c r="P1044" s="47" t="n"/>
      <c r="Q1044" s="47" t="n"/>
      <c r="R1044" s="47" t="n"/>
      <c r="V1044" s="45" t="n"/>
    </row>
    <row r="1045" ht="14.25" customHeight="1" s="142">
      <c r="C1045" s="45" t="n"/>
      <c r="D1045" s="45" t="n"/>
      <c r="E1045" s="45" t="n"/>
      <c r="F1045" s="45" t="n"/>
      <c r="G1045" s="45" t="n"/>
      <c r="H1045" s="45" t="n"/>
      <c r="I1045" s="45" t="n"/>
      <c r="J1045" s="45" t="n"/>
      <c r="K1045" s="45" t="n"/>
      <c r="L1045" s="45" t="n"/>
      <c r="N1045" s="46" t="n"/>
      <c r="P1045" s="47" t="n"/>
      <c r="Q1045" s="47" t="n"/>
      <c r="R1045" s="47" t="n"/>
      <c r="V1045" s="45" t="n"/>
    </row>
    <row r="1046" ht="14.25" customHeight="1" s="142">
      <c r="C1046" s="45" t="n"/>
      <c r="D1046" s="45" t="n"/>
      <c r="E1046" s="45" t="n"/>
      <c r="F1046" s="45" t="n"/>
      <c r="G1046" s="45" t="n"/>
      <c r="H1046" s="45" t="n"/>
      <c r="I1046" s="45" t="n"/>
      <c r="J1046" s="45" t="n"/>
      <c r="K1046" s="45" t="n"/>
      <c r="L1046" s="45" t="n"/>
      <c r="N1046" s="46" t="n"/>
      <c r="P1046" s="47" t="n"/>
      <c r="Q1046" s="47" t="n"/>
      <c r="R1046" s="47" t="n"/>
      <c r="V1046" s="45" t="n"/>
    </row>
    <row r="1047" ht="14.25" customHeight="1" s="142">
      <c r="C1047" s="45" t="n"/>
      <c r="D1047" s="45" t="n"/>
      <c r="E1047" s="45" t="n"/>
      <c r="F1047" s="45" t="n"/>
      <c r="G1047" s="45" t="n"/>
      <c r="H1047" s="45" t="n"/>
      <c r="I1047" s="45" t="n"/>
      <c r="J1047" s="45" t="n"/>
      <c r="K1047" s="45" t="n"/>
      <c r="L1047" s="45" t="n"/>
      <c r="N1047" s="46" t="n"/>
      <c r="P1047" s="47" t="n"/>
      <c r="Q1047" s="47" t="n"/>
      <c r="R1047" s="47" t="n"/>
      <c r="V1047" s="45" t="n"/>
    </row>
    <row r="1048" ht="14.25" customHeight="1" s="142">
      <c r="C1048" s="45" t="n"/>
      <c r="D1048" s="45" t="n"/>
      <c r="E1048" s="45" t="n"/>
      <c r="F1048" s="45" t="n"/>
      <c r="G1048" s="45" t="n"/>
      <c r="H1048" s="45" t="n"/>
      <c r="I1048" s="45" t="n"/>
      <c r="J1048" s="45" t="n"/>
      <c r="K1048" s="45" t="n"/>
      <c r="L1048" s="45" t="n"/>
      <c r="N1048" s="46" t="n"/>
      <c r="P1048" s="47" t="n"/>
      <c r="Q1048" s="47" t="n"/>
      <c r="R1048" s="47" t="n"/>
      <c r="V1048" s="45" t="n"/>
    </row>
    <row r="1049" ht="14.25" customHeight="1" s="142">
      <c r="C1049" s="45" t="n"/>
      <c r="D1049" s="45" t="n"/>
      <c r="E1049" s="45" t="n"/>
      <c r="F1049" s="45" t="n"/>
      <c r="G1049" s="45" t="n"/>
      <c r="H1049" s="45" t="n"/>
      <c r="I1049" s="45" t="n"/>
      <c r="J1049" s="45" t="n"/>
      <c r="K1049" s="45" t="n"/>
      <c r="L1049" s="45" t="n"/>
      <c r="N1049" s="46" t="n"/>
      <c r="P1049" s="47" t="n"/>
      <c r="Q1049" s="47" t="n"/>
      <c r="R1049" s="47" t="n"/>
      <c r="V1049" s="45" t="n"/>
    </row>
    <row r="1050" ht="14.25" customHeight="1" s="142">
      <c r="C1050" s="45" t="n"/>
      <c r="D1050" s="45" t="n"/>
      <c r="E1050" s="45" t="n"/>
      <c r="F1050" s="45" t="n"/>
      <c r="G1050" s="45" t="n"/>
      <c r="H1050" s="45" t="n"/>
      <c r="I1050" s="45" t="n"/>
      <c r="J1050" s="45" t="n"/>
      <c r="K1050" s="45" t="n"/>
      <c r="L1050" s="45" t="n"/>
      <c r="N1050" s="46" t="n"/>
      <c r="P1050" s="47" t="n"/>
      <c r="Q1050" s="47" t="n"/>
      <c r="R1050" s="47" t="n"/>
      <c r="V1050" s="45" t="n"/>
    </row>
    <row r="1051" ht="14.25" customHeight="1" s="142">
      <c r="C1051" s="45" t="n"/>
      <c r="D1051" s="45" t="n"/>
      <c r="E1051" s="45" t="n"/>
      <c r="F1051" s="45" t="n"/>
      <c r="G1051" s="45" t="n"/>
      <c r="H1051" s="45" t="n"/>
      <c r="I1051" s="45" t="n"/>
      <c r="J1051" s="45" t="n"/>
      <c r="K1051" s="45" t="n"/>
      <c r="L1051" s="45" t="n"/>
      <c r="N1051" s="46" t="n"/>
      <c r="P1051" s="47" t="n"/>
      <c r="Q1051" s="47" t="n"/>
      <c r="R1051" s="47" t="n"/>
      <c r="V1051" s="45" t="n"/>
    </row>
    <row r="1052" ht="14.25" customHeight="1" s="142">
      <c r="C1052" s="45" t="n"/>
      <c r="D1052" s="45" t="n"/>
      <c r="E1052" s="45" t="n"/>
      <c r="F1052" s="45" t="n"/>
      <c r="G1052" s="45" t="n"/>
      <c r="H1052" s="45" t="n"/>
      <c r="I1052" s="45" t="n"/>
      <c r="J1052" s="45" t="n"/>
      <c r="K1052" s="45" t="n"/>
      <c r="L1052" s="45" t="n"/>
      <c r="N1052" s="46" t="n"/>
      <c r="P1052" s="47" t="n"/>
      <c r="Q1052" s="47" t="n"/>
      <c r="R1052" s="47" t="n"/>
      <c r="V1052" s="45" t="n"/>
    </row>
    <row r="1053" ht="14.25" customHeight="1" s="142">
      <c r="C1053" s="45" t="n"/>
      <c r="D1053" s="45" t="n"/>
      <c r="E1053" s="45" t="n"/>
      <c r="F1053" s="45" t="n"/>
      <c r="G1053" s="45" t="n"/>
      <c r="H1053" s="45" t="n"/>
      <c r="I1053" s="45" t="n"/>
      <c r="J1053" s="45" t="n"/>
      <c r="K1053" s="45" t="n"/>
      <c r="L1053" s="45" t="n"/>
      <c r="N1053" s="46" t="n"/>
      <c r="P1053" s="47" t="n"/>
      <c r="Q1053" s="47" t="n"/>
      <c r="R1053" s="47" t="n"/>
      <c r="V1053" s="45" t="n"/>
    </row>
    <row r="1054" ht="14.25" customHeight="1" s="142">
      <c r="C1054" s="45" t="n"/>
      <c r="D1054" s="45" t="n"/>
      <c r="E1054" s="45" t="n"/>
      <c r="F1054" s="45" t="n"/>
      <c r="G1054" s="45" t="n"/>
      <c r="H1054" s="45" t="n"/>
      <c r="I1054" s="45" t="n"/>
      <c r="J1054" s="45" t="n"/>
      <c r="K1054" s="45" t="n"/>
      <c r="L1054" s="45" t="n"/>
      <c r="N1054" s="46" t="n"/>
      <c r="P1054" s="47" t="n"/>
      <c r="Q1054" s="47" t="n"/>
      <c r="R1054" s="47" t="n"/>
      <c r="V1054" s="45" t="n"/>
    </row>
    <row r="1055" ht="14.25" customHeight="1" s="142">
      <c r="C1055" s="45" t="n"/>
      <c r="D1055" s="45" t="n"/>
      <c r="E1055" s="45" t="n"/>
      <c r="F1055" s="45" t="n"/>
      <c r="G1055" s="45" t="n"/>
      <c r="H1055" s="45" t="n"/>
      <c r="I1055" s="45" t="n"/>
      <c r="J1055" s="45" t="n"/>
      <c r="K1055" s="45" t="n"/>
      <c r="L1055" s="45" t="n"/>
      <c r="N1055" s="46" t="n"/>
      <c r="P1055" s="47" t="n"/>
      <c r="Q1055" s="47" t="n"/>
      <c r="R1055" s="47" t="n"/>
      <c r="V1055" s="45" t="n"/>
    </row>
    <row r="1056" ht="14.25" customHeight="1" s="142">
      <c r="C1056" s="45" t="n"/>
      <c r="D1056" s="45" t="n"/>
      <c r="E1056" s="45" t="n"/>
      <c r="F1056" s="45" t="n"/>
      <c r="G1056" s="45" t="n"/>
      <c r="H1056" s="45" t="n"/>
      <c r="I1056" s="45" t="n"/>
      <c r="J1056" s="45" t="n"/>
      <c r="K1056" s="45" t="n"/>
      <c r="L1056" s="45" t="n"/>
      <c r="N1056" s="46" t="n"/>
      <c r="P1056" s="47" t="n"/>
      <c r="Q1056" s="47" t="n"/>
      <c r="R1056" s="47" t="n"/>
      <c r="V1056" s="45" t="n"/>
    </row>
    <row r="1057" ht="14.25" customHeight="1" s="142">
      <c r="C1057" s="45" t="n"/>
      <c r="D1057" s="45" t="n"/>
      <c r="E1057" s="45" t="n"/>
      <c r="F1057" s="45" t="n"/>
      <c r="G1057" s="45" t="n"/>
      <c r="H1057" s="45" t="n"/>
      <c r="I1057" s="45" t="n"/>
      <c r="J1057" s="45" t="n"/>
      <c r="K1057" s="45" t="n"/>
      <c r="L1057" s="45" t="n"/>
      <c r="N1057" s="46" t="n"/>
      <c r="P1057" s="47" t="n"/>
      <c r="Q1057" s="47" t="n"/>
      <c r="R1057" s="47" t="n"/>
      <c r="V1057" s="45" t="n"/>
    </row>
    <row r="1058" ht="14.25" customHeight="1" s="142">
      <c r="C1058" s="45" t="n"/>
      <c r="D1058" s="45" t="n"/>
      <c r="E1058" s="45" t="n"/>
      <c r="F1058" s="45" t="n"/>
      <c r="G1058" s="45" t="n"/>
      <c r="H1058" s="45" t="n"/>
      <c r="I1058" s="45" t="n"/>
      <c r="J1058" s="45" t="n"/>
      <c r="K1058" s="45" t="n"/>
      <c r="L1058" s="45" t="n"/>
      <c r="N1058" s="46" t="n"/>
      <c r="P1058" s="47" t="n"/>
      <c r="Q1058" s="47" t="n"/>
      <c r="R1058" s="47" t="n"/>
      <c r="V1058" s="45" t="n"/>
    </row>
    <row r="1059" ht="14.25" customHeight="1" s="142">
      <c r="C1059" s="45" t="n"/>
      <c r="D1059" s="45" t="n"/>
      <c r="E1059" s="45" t="n"/>
      <c r="F1059" s="45" t="n"/>
      <c r="G1059" s="45" t="n"/>
      <c r="H1059" s="45" t="n"/>
      <c r="I1059" s="45" t="n"/>
      <c r="J1059" s="45" t="n"/>
      <c r="K1059" s="45" t="n"/>
      <c r="L1059" s="45" t="n"/>
      <c r="N1059" s="46" t="n"/>
      <c r="P1059" s="47" t="n"/>
      <c r="Q1059" s="47" t="n"/>
      <c r="R1059" s="47" t="n"/>
      <c r="V1059" s="45" t="n"/>
    </row>
    <row r="1060" ht="14.25" customHeight="1" s="142">
      <c r="C1060" s="45" t="n"/>
      <c r="D1060" s="45" t="n"/>
      <c r="E1060" s="45" t="n"/>
      <c r="F1060" s="45" t="n"/>
      <c r="G1060" s="45" t="n"/>
      <c r="H1060" s="45" t="n"/>
      <c r="I1060" s="45" t="n"/>
      <c r="J1060" s="45" t="n"/>
      <c r="K1060" s="45" t="n"/>
      <c r="L1060" s="45" t="n"/>
      <c r="N1060" s="46" t="n"/>
      <c r="P1060" s="47" t="n"/>
      <c r="Q1060" s="47" t="n"/>
      <c r="R1060" s="47" t="n"/>
      <c r="V1060" s="45" t="n"/>
    </row>
    <row r="1061" ht="14.25" customHeight="1" s="142">
      <c r="C1061" s="45" t="n"/>
      <c r="D1061" s="45" t="n"/>
      <c r="E1061" s="45" t="n"/>
      <c r="F1061" s="45" t="n"/>
      <c r="G1061" s="45" t="n"/>
      <c r="H1061" s="45" t="n"/>
      <c r="I1061" s="45" t="n"/>
      <c r="J1061" s="45" t="n"/>
      <c r="K1061" s="45" t="n"/>
      <c r="L1061" s="45" t="n"/>
      <c r="N1061" s="46" t="n"/>
      <c r="P1061" s="47" t="n"/>
      <c r="Q1061" s="47" t="n"/>
      <c r="R1061" s="47" t="n"/>
      <c r="V1061" s="45" t="n"/>
    </row>
    <row r="1062" ht="14.25" customHeight="1" s="142">
      <c r="C1062" s="45" t="n"/>
      <c r="D1062" s="45" t="n"/>
      <c r="E1062" s="45" t="n"/>
      <c r="F1062" s="45" t="n"/>
      <c r="G1062" s="45" t="n"/>
      <c r="H1062" s="45" t="n"/>
      <c r="I1062" s="45" t="n"/>
      <c r="J1062" s="45" t="n"/>
      <c r="K1062" s="45" t="n"/>
      <c r="L1062" s="45" t="n"/>
      <c r="N1062" s="46" t="n"/>
      <c r="P1062" s="47" t="n"/>
      <c r="Q1062" s="47" t="n"/>
      <c r="R1062" s="47" t="n"/>
      <c r="V1062" s="45" t="n"/>
    </row>
    <row r="1063" ht="14.25" customHeight="1" s="142">
      <c r="C1063" s="45" t="n"/>
      <c r="D1063" s="45" t="n"/>
      <c r="E1063" s="45" t="n"/>
      <c r="F1063" s="45" t="n"/>
      <c r="G1063" s="45" t="n"/>
      <c r="H1063" s="45" t="n"/>
      <c r="I1063" s="45" t="n"/>
      <c r="J1063" s="45" t="n"/>
      <c r="K1063" s="45" t="n"/>
      <c r="L1063" s="45" t="n"/>
      <c r="N1063" s="46" t="n"/>
      <c r="P1063" s="47" t="n"/>
      <c r="Q1063" s="47" t="n"/>
      <c r="R1063" s="47" t="n"/>
      <c r="V1063" s="45" t="n"/>
    </row>
    <row r="1064" ht="14.25" customHeight="1" s="142">
      <c r="C1064" s="45" t="n"/>
      <c r="D1064" s="45" t="n"/>
      <c r="E1064" s="45" t="n"/>
      <c r="F1064" s="45" t="n"/>
      <c r="G1064" s="45" t="n"/>
      <c r="H1064" s="45" t="n"/>
      <c r="I1064" s="45" t="n"/>
      <c r="J1064" s="45" t="n"/>
      <c r="K1064" s="45" t="n"/>
      <c r="L1064" s="45" t="n"/>
      <c r="N1064" s="46" t="n"/>
      <c r="P1064" s="47" t="n"/>
      <c r="Q1064" s="47" t="n"/>
      <c r="R1064" s="47" t="n"/>
      <c r="V1064" s="45" t="n"/>
    </row>
    <row r="1065" ht="14.25" customHeight="1" s="142">
      <c r="C1065" s="45" t="n"/>
      <c r="D1065" s="45" t="n"/>
      <c r="E1065" s="45" t="n"/>
      <c r="F1065" s="45" t="n"/>
      <c r="G1065" s="45" t="n"/>
      <c r="H1065" s="45" t="n"/>
      <c r="I1065" s="45" t="n"/>
      <c r="J1065" s="45" t="n"/>
      <c r="K1065" s="45" t="n"/>
      <c r="L1065" s="45" t="n"/>
      <c r="N1065" s="46" t="n"/>
      <c r="P1065" s="47" t="n"/>
      <c r="Q1065" s="47" t="n"/>
      <c r="R1065" s="47" t="n"/>
      <c r="V1065" s="45" t="n"/>
    </row>
    <row r="1066" ht="14.25" customHeight="1" s="142">
      <c r="C1066" s="45" t="n"/>
      <c r="D1066" s="45" t="n"/>
      <c r="E1066" s="45" t="n"/>
      <c r="F1066" s="45" t="n"/>
      <c r="G1066" s="45" t="n"/>
      <c r="H1066" s="45" t="n"/>
      <c r="I1066" s="45" t="n"/>
      <c r="J1066" s="45" t="n"/>
      <c r="K1066" s="45" t="n"/>
      <c r="L1066" s="45" t="n"/>
      <c r="N1066" s="46" t="n"/>
      <c r="P1066" s="47" t="n"/>
      <c r="Q1066" s="47" t="n"/>
      <c r="R1066" s="47" t="n"/>
      <c r="V1066" s="45" t="n"/>
    </row>
    <row r="1067" ht="14.25" customHeight="1" s="142">
      <c r="C1067" s="45" t="n"/>
      <c r="D1067" s="45" t="n"/>
      <c r="E1067" s="45" t="n"/>
      <c r="F1067" s="45" t="n"/>
      <c r="G1067" s="45" t="n"/>
      <c r="H1067" s="45" t="n"/>
      <c r="I1067" s="45" t="n"/>
      <c r="J1067" s="45" t="n"/>
      <c r="K1067" s="45" t="n"/>
      <c r="L1067" s="45" t="n"/>
      <c r="N1067" s="46" t="n"/>
      <c r="P1067" s="47" t="n"/>
      <c r="Q1067" s="47" t="n"/>
      <c r="R1067" s="47" t="n"/>
      <c r="V1067" s="45" t="n"/>
    </row>
    <row r="1068" ht="14.25" customHeight="1" s="142">
      <c r="C1068" s="45" t="n"/>
      <c r="D1068" s="45" t="n"/>
      <c r="E1068" s="45" t="n"/>
      <c r="F1068" s="45" t="n"/>
      <c r="G1068" s="45" t="n"/>
      <c r="H1068" s="45" t="n"/>
      <c r="I1068" s="45" t="n"/>
      <c r="J1068" s="45" t="n"/>
      <c r="K1068" s="45" t="n"/>
      <c r="L1068" s="45" t="n"/>
      <c r="N1068" s="46" t="n"/>
      <c r="P1068" s="47" t="n"/>
      <c r="Q1068" s="47" t="n"/>
      <c r="R1068" s="47" t="n"/>
      <c r="V1068" s="45" t="n"/>
    </row>
    <row r="1069" ht="14.25" customHeight="1" s="142">
      <c r="C1069" s="45" t="n"/>
      <c r="D1069" s="45" t="n"/>
      <c r="E1069" s="45" t="n"/>
      <c r="F1069" s="45" t="n"/>
      <c r="G1069" s="45" t="n"/>
      <c r="H1069" s="45" t="n"/>
      <c r="I1069" s="45" t="n"/>
      <c r="J1069" s="45" t="n"/>
      <c r="K1069" s="45" t="n"/>
      <c r="L1069" s="45" t="n"/>
      <c r="N1069" s="46" t="n"/>
      <c r="P1069" s="47" t="n"/>
      <c r="Q1069" s="47" t="n"/>
      <c r="R1069" s="47" t="n"/>
      <c r="V1069" s="45" t="n"/>
    </row>
    <row r="1070" ht="14.25" customHeight="1" s="142">
      <c r="C1070" s="45" t="n"/>
      <c r="D1070" s="45" t="n"/>
      <c r="E1070" s="45" t="n"/>
      <c r="F1070" s="45" t="n"/>
      <c r="G1070" s="45" t="n"/>
      <c r="H1070" s="45" t="n"/>
      <c r="I1070" s="45" t="n"/>
      <c r="J1070" s="45" t="n"/>
      <c r="K1070" s="45" t="n"/>
      <c r="L1070" s="45" t="n"/>
      <c r="N1070" s="46" t="n"/>
      <c r="P1070" s="47" t="n"/>
      <c r="Q1070" s="47" t="n"/>
      <c r="R1070" s="47" t="n"/>
      <c r="V1070" s="45" t="n"/>
    </row>
    <row r="1071" ht="14.25" customHeight="1" s="142">
      <c r="C1071" s="45" t="n"/>
      <c r="D1071" s="45" t="n"/>
      <c r="E1071" s="45" t="n"/>
      <c r="F1071" s="45" t="n"/>
      <c r="G1071" s="45" t="n"/>
      <c r="H1071" s="45" t="n"/>
      <c r="I1071" s="45" t="n"/>
      <c r="J1071" s="45" t="n"/>
      <c r="K1071" s="45" t="n"/>
      <c r="L1071" s="45" t="n"/>
      <c r="N1071" s="46" t="n"/>
      <c r="P1071" s="47" t="n"/>
      <c r="Q1071" s="47" t="n"/>
      <c r="R1071" s="47" t="n"/>
      <c r="V1071" s="45" t="n"/>
    </row>
    <row r="1072" ht="14.25" customHeight="1" s="142">
      <c r="C1072" s="45" t="n"/>
      <c r="D1072" s="45" t="n"/>
      <c r="E1072" s="45" t="n"/>
      <c r="F1072" s="45" t="n"/>
      <c r="G1072" s="45" t="n"/>
      <c r="H1072" s="45" t="n"/>
      <c r="I1072" s="45" t="n"/>
      <c r="J1072" s="45" t="n"/>
      <c r="K1072" s="45" t="n"/>
      <c r="L1072" s="45" t="n"/>
      <c r="N1072" s="46" t="n"/>
      <c r="P1072" s="47" t="n"/>
      <c r="Q1072" s="47" t="n"/>
      <c r="R1072" s="47" t="n"/>
      <c r="V1072" s="45" t="n"/>
    </row>
    <row r="1073" ht="14.25" customHeight="1" s="142">
      <c r="C1073" s="45" t="n"/>
      <c r="D1073" s="45" t="n"/>
      <c r="E1073" s="45" t="n"/>
      <c r="F1073" s="45" t="n"/>
      <c r="G1073" s="45" t="n"/>
      <c r="H1073" s="45" t="n"/>
      <c r="I1073" s="45" t="n"/>
      <c r="J1073" s="45" t="n"/>
      <c r="K1073" s="45" t="n"/>
      <c r="L1073" s="45" t="n"/>
      <c r="N1073" s="46" t="n"/>
      <c r="P1073" s="47" t="n"/>
      <c r="Q1073" s="47" t="n"/>
      <c r="R1073" s="47" t="n"/>
      <c r="V1073" s="45" t="n"/>
    </row>
    <row r="1074" ht="14.25" customHeight="1" s="142">
      <c r="C1074" s="45" t="n"/>
      <c r="D1074" s="45" t="n"/>
      <c r="E1074" s="45" t="n"/>
      <c r="F1074" s="45" t="n"/>
      <c r="G1074" s="45" t="n"/>
      <c r="H1074" s="45" t="n"/>
      <c r="I1074" s="45" t="n"/>
      <c r="J1074" s="45" t="n"/>
      <c r="K1074" s="45" t="n"/>
      <c r="L1074" s="45" t="n"/>
      <c r="N1074" s="46" t="n"/>
      <c r="P1074" s="47" t="n"/>
      <c r="Q1074" s="47" t="n"/>
      <c r="R1074" s="47" t="n"/>
      <c r="V1074" s="45" t="n"/>
    </row>
    <row r="1075" ht="14.25" customHeight="1" s="142">
      <c r="C1075" s="45" t="n"/>
      <c r="D1075" s="45" t="n"/>
      <c r="E1075" s="45" t="n"/>
      <c r="F1075" s="45" t="n"/>
      <c r="G1075" s="45" t="n"/>
      <c r="H1075" s="45" t="n"/>
      <c r="I1075" s="45" t="n"/>
      <c r="J1075" s="45" t="n"/>
      <c r="K1075" s="45" t="n"/>
      <c r="L1075" s="45" t="n"/>
      <c r="N1075" s="46" t="n"/>
      <c r="P1075" s="47" t="n"/>
      <c r="Q1075" s="47" t="n"/>
      <c r="R1075" s="47" t="n"/>
      <c r="V1075" s="45" t="n"/>
    </row>
    <row r="1076" ht="14.25" customHeight="1" s="142">
      <c r="C1076" s="45" t="n"/>
      <c r="D1076" s="45" t="n"/>
      <c r="E1076" s="45" t="n"/>
      <c r="F1076" s="45" t="n"/>
      <c r="G1076" s="45" t="n"/>
      <c r="H1076" s="45" t="n"/>
      <c r="I1076" s="45" t="n"/>
      <c r="J1076" s="45" t="n"/>
      <c r="K1076" s="45" t="n"/>
      <c r="L1076" s="45" t="n"/>
      <c r="N1076" s="46" t="n"/>
      <c r="P1076" s="47" t="n"/>
      <c r="Q1076" s="47" t="n"/>
      <c r="R1076" s="47" t="n"/>
      <c r="V1076" s="45" t="n"/>
    </row>
    <row r="1077" ht="14.25" customHeight="1" s="142">
      <c r="C1077" s="45" t="n"/>
      <c r="D1077" s="45" t="n"/>
      <c r="E1077" s="45" t="n"/>
      <c r="F1077" s="45" t="n"/>
      <c r="G1077" s="45" t="n"/>
      <c r="H1077" s="45" t="n"/>
      <c r="I1077" s="45" t="n"/>
      <c r="J1077" s="45" t="n"/>
      <c r="K1077" s="45" t="n"/>
      <c r="L1077" s="45" t="n"/>
      <c r="N1077" s="46" t="n"/>
      <c r="P1077" s="47" t="n"/>
      <c r="Q1077" s="47" t="n"/>
      <c r="R1077" s="47" t="n"/>
      <c r="V1077" s="45" t="n"/>
    </row>
    <row r="1078" ht="14.25" customHeight="1" s="142">
      <c r="C1078" s="45" t="n"/>
      <c r="D1078" s="45" t="n"/>
      <c r="E1078" s="45" t="n"/>
      <c r="F1078" s="45" t="n"/>
      <c r="G1078" s="45" t="n"/>
      <c r="H1078" s="45" t="n"/>
      <c r="I1078" s="45" t="n"/>
      <c r="J1078" s="45" t="n"/>
      <c r="K1078" s="45" t="n"/>
      <c r="L1078" s="45" t="n"/>
      <c r="N1078" s="46" t="n"/>
      <c r="P1078" s="47" t="n"/>
      <c r="Q1078" s="47" t="n"/>
      <c r="R1078" s="47" t="n"/>
      <c r="V1078" s="45" t="n"/>
    </row>
    <row r="1079" ht="14.25" customHeight="1" s="142">
      <c r="C1079" s="45" t="n"/>
      <c r="D1079" s="45" t="n"/>
      <c r="E1079" s="45" t="n"/>
      <c r="F1079" s="45" t="n"/>
      <c r="G1079" s="45" t="n"/>
      <c r="H1079" s="45" t="n"/>
      <c r="I1079" s="45" t="n"/>
      <c r="J1079" s="45" t="n"/>
      <c r="K1079" s="45" t="n"/>
      <c r="L1079" s="45" t="n"/>
      <c r="N1079" s="46" t="n"/>
      <c r="P1079" s="47" t="n"/>
      <c r="Q1079" s="47" t="n"/>
      <c r="R1079" s="47" t="n"/>
      <c r="V1079" s="45" t="n"/>
    </row>
    <row r="1080" ht="14.25" customHeight="1" s="142">
      <c r="C1080" s="45" t="n"/>
      <c r="D1080" s="45" t="n"/>
      <c r="E1080" s="45" t="n"/>
      <c r="F1080" s="45" t="n"/>
      <c r="G1080" s="45" t="n"/>
      <c r="H1080" s="45" t="n"/>
      <c r="I1080" s="45" t="n"/>
      <c r="J1080" s="45" t="n"/>
      <c r="K1080" s="45" t="n"/>
      <c r="L1080" s="45" t="n"/>
      <c r="N1080" s="46" t="n"/>
      <c r="P1080" s="47" t="n"/>
      <c r="Q1080" s="47" t="n"/>
      <c r="R1080" s="47" t="n"/>
      <c r="V1080" s="45" t="n"/>
    </row>
    <row r="1081" ht="14.25" customHeight="1" s="142">
      <c r="C1081" s="45" t="n"/>
      <c r="D1081" s="45" t="n"/>
      <c r="E1081" s="45" t="n"/>
      <c r="F1081" s="45" t="n"/>
      <c r="G1081" s="45" t="n"/>
      <c r="H1081" s="45" t="n"/>
      <c r="I1081" s="45" t="n"/>
      <c r="J1081" s="45" t="n"/>
      <c r="K1081" s="45" t="n"/>
      <c r="L1081" s="45" t="n"/>
      <c r="N1081" s="46" t="n"/>
      <c r="P1081" s="47" t="n"/>
      <c r="Q1081" s="47" t="n"/>
      <c r="R1081" s="47" t="n"/>
      <c r="V1081" s="45" t="n"/>
    </row>
    <row r="1082" ht="14.25" customHeight="1" s="142">
      <c r="C1082" s="45" t="n"/>
      <c r="D1082" s="45" t="n"/>
      <c r="E1082" s="45" t="n"/>
      <c r="F1082" s="45" t="n"/>
      <c r="G1082" s="45" t="n"/>
      <c r="H1082" s="45" t="n"/>
      <c r="I1082" s="45" t="n"/>
      <c r="J1082" s="45" t="n"/>
      <c r="K1082" s="45" t="n"/>
      <c r="L1082" s="45" t="n"/>
      <c r="N1082" s="46" t="n"/>
      <c r="P1082" s="47" t="n"/>
      <c r="Q1082" s="47" t="n"/>
      <c r="R1082" s="47" t="n"/>
      <c r="V1082" s="45" t="n"/>
    </row>
    <row r="1083" ht="14.25" customHeight="1" s="142">
      <c r="C1083" s="45" t="n"/>
      <c r="D1083" s="45" t="n"/>
      <c r="E1083" s="45" t="n"/>
      <c r="F1083" s="45" t="n"/>
      <c r="G1083" s="45" t="n"/>
      <c r="H1083" s="45" t="n"/>
      <c r="I1083" s="45" t="n"/>
      <c r="J1083" s="45" t="n"/>
      <c r="K1083" s="45" t="n"/>
      <c r="L1083" s="45" t="n"/>
      <c r="N1083" s="46" t="n"/>
      <c r="P1083" s="47" t="n"/>
      <c r="Q1083" s="47" t="n"/>
      <c r="R1083" s="47" t="n"/>
      <c r="V1083" s="45" t="n"/>
    </row>
    <row r="1084" ht="14.25" customHeight="1" s="142">
      <c r="C1084" s="45" t="n"/>
      <c r="D1084" s="45" t="n"/>
      <c r="E1084" s="45" t="n"/>
      <c r="F1084" s="45" t="n"/>
      <c r="G1084" s="45" t="n"/>
      <c r="H1084" s="45" t="n"/>
      <c r="I1084" s="45" t="n"/>
      <c r="J1084" s="45" t="n"/>
      <c r="K1084" s="45" t="n"/>
      <c r="L1084" s="45" t="n"/>
      <c r="N1084" s="46" t="n"/>
      <c r="P1084" s="47" t="n"/>
      <c r="Q1084" s="47" t="n"/>
      <c r="R1084" s="47" t="n"/>
      <c r="V1084" s="45" t="n"/>
    </row>
    <row r="1085" ht="14.25" customHeight="1" s="142">
      <c r="C1085" s="45" t="n"/>
      <c r="D1085" s="45" t="n"/>
      <c r="E1085" s="45" t="n"/>
      <c r="F1085" s="45" t="n"/>
      <c r="G1085" s="45" t="n"/>
      <c r="H1085" s="45" t="n"/>
      <c r="I1085" s="45" t="n"/>
      <c r="J1085" s="45" t="n"/>
      <c r="K1085" s="45" t="n"/>
      <c r="L1085" s="45" t="n"/>
      <c r="N1085" s="46" t="n"/>
      <c r="P1085" s="47" t="n"/>
      <c r="Q1085" s="47" t="n"/>
      <c r="R1085" s="47" t="n"/>
      <c r="V1085" s="45" t="n"/>
    </row>
    <row r="1086" ht="14.25" customHeight="1" s="142">
      <c r="C1086" s="45" t="n"/>
      <c r="D1086" s="45" t="n"/>
      <c r="E1086" s="45" t="n"/>
      <c r="F1086" s="45" t="n"/>
      <c r="G1086" s="45" t="n"/>
      <c r="H1086" s="45" t="n"/>
      <c r="I1086" s="45" t="n"/>
      <c r="J1086" s="45" t="n"/>
      <c r="K1086" s="45" t="n"/>
      <c r="L1086" s="45" t="n"/>
      <c r="N1086" s="46" t="n"/>
      <c r="P1086" s="47" t="n"/>
      <c r="Q1086" s="47" t="n"/>
      <c r="R1086" s="47" t="n"/>
      <c r="V1086" s="45" t="n"/>
    </row>
    <row r="1087" ht="14.25" customHeight="1" s="142">
      <c r="C1087" s="45" t="n"/>
      <c r="D1087" s="45" t="n"/>
      <c r="E1087" s="45" t="n"/>
      <c r="F1087" s="45" t="n"/>
      <c r="G1087" s="45" t="n"/>
      <c r="H1087" s="45" t="n"/>
      <c r="I1087" s="45" t="n"/>
      <c r="J1087" s="45" t="n"/>
      <c r="K1087" s="45" t="n"/>
      <c r="L1087" s="45" t="n"/>
      <c r="N1087" s="46" t="n"/>
      <c r="P1087" s="47" t="n"/>
      <c r="Q1087" s="47" t="n"/>
      <c r="R1087" s="47" t="n"/>
      <c r="V1087" s="45" t="n"/>
    </row>
    <row r="1088" ht="14.25" customHeight="1" s="142">
      <c r="C1088" s="45" t="n"/>
      <c r="D1088" s="45" t="n"/>
      <c r="E1088" s="45" t="n"/>
      <c r="F1088" s="45" t="n"/>
      <c r="G1088" s="45" t="n"/>
      <c r="H1088" s="45" t="n"/>
      <c r="I1088" s="45" t="n"/>
      <c r="J1088" s="45" t="n"/>
      <c r="K1088" s="45" t="n"/>
      <c r="L1088" s="45" t="n"/>
      <c r="N1088" s="46" t="n"/>
      <c r="P1088" s="47" t="n"/>
      <c r="Q1088" s="47" t="n"/>
      <c r="R1088" s="47" t="n"/>
      <c r="V1088" s="45" t="n"/>
    </row>
    <row r="1089" ht="14.25" customHeight="1" s="142">
      <c r="C1089" s="45" t="n"/>
      <c r="D1089" s="45" t="n"/>
      <c r="E1089" s="45" t="n"/>
      <c r="F1089" s="45" t="n"/>
      <c r="G1089" s="45" t="n"/>
      <c r="H1089" s="45" t="n"/>
      <c r="I1089" s="45" t="n"/>
      <c r="J1089" s="45" t="n"/>
      <c r="K1089" s="45" t="n"/>
      <c r="L1089" s="45" t="n"/>
      <c r="N1089" s="46" t="n"/>
      <c r="P1089" s="47" t="n"/>
      <c r="Q1089" s="47" t="n"/>
      <c r="R1089" s="47" t="n"/>
      <c r="V1089" s="45" t="n"/>
    </row>
    <row r="1090" ht="14.25" customHeight="1" s="142">
      <c r="C1090" s="45" t="n"/>
      <c r="D1090" s="45" t="n"/>
      <c r="E1090" s="45" t="n"/>
      <c r="F1090" s="45" t="n"/>
      <c r="G1090" s="45" t="n"/>
      <c r="H1090" s="45" t="n"/>
      <c r="I1090" s="45" t="n"/>
      <c r="J1090" s="45" t="n"/>
      <c r="K1090" s="45" t="n"/>
      <c r="L1090" s="45" t="n"/>
      <c r="N1090" s="46" t="n"/>
      <c r="P1090" s="47" t="n"/>
      <c r="Q1090" s="47" t="n"/>
      <c r="R1090" s="47" t="n"/>
      <c r="V1090" s="45" t="n"/>
    </row>
    <row r="1091" ht="14.25" customHeight="1" s="142">
      <c r="C1091" s="45" t="n"/>
      <c r="D1091" s="45" t="n"/>
      <c r="E1091" s="45" t="n"/>
      <c r="F1091" s="45" t="n"/>
      <c r="G1091" s="45" t="n"/>
      <c r="H1091" s="45" t="n"/>
      <c r="I1091" s="45" t="n"/>
      <c r="J1091" s="45" t="n"/>
      <c r="K1091" s="45" t="n"/>
      <c r="L1091" s="45" t="n"/>
      <c r="N1091" s="46" t="n"/>
      <c r="P1091" s="47" t="n"/>
      <c r="Q1091" s="47" t="n"/>
      <c r="R1091" s="47" t="n"/>
      <c r="V1091" s="45" t="n"/>
    </row>
    <row r="1092" ht="14.25" customHeight="1" s="142">
      <c r="C1092" s="45" t="n"/>
      <c r="D1092" s="45" t="n"/>
      <c r="E1092" s="45" t="n"/>
      <c r="F1092" s="45" t="n"/>
      <c r="G1092" s="45" t="n"/>
      <c r="H1092" s="45" t="n"/>
      <c r="I1092" s="45" t="n"/>
      <c r="J1092" s="45" t="n"/>
      <c r="K1092" s="45" t="n"/>
      <c r="L1092" s="45" t="n"/>
      <c r="N1092" s="46" t="n"/>
      <c r="P1092" s="47" t="n"/>
      <c r="Q1092" s="47" t="n"/>
      <c r="R1092" s="47" t="n"/>
      <c r="V1092" s="45" t="n"/>
    </row>
    <row r="1093" ht="14.25" customHeight="1" s="142">
      <c r="C1093" s="45" t="n"/>
      <c r="D1093" s="45" t="n"/>
      <c r="E1093" s="45" t="n"/>
      <c r="F1093" s="45" t="n"/>
      <c r="G1093" s="45" t="n"/>
      <c r="H1093" s="45" t="n"/>
      <c r="I1093" s="45" t="n"/>
      <c r="J1093" s="45" t="n"/>
      <c r="K1093" s="45" t="n"/>
      <c r="L1093" s="45" t="n"/>
      <c r="N1093" s="46" t="n"/>
      <c r="P1093" s="47" t="n"/>
      <c r="Q1093" s="47" t="n"/>
      <c r="R1093" s="47" t="n"/>
      <c r="V1093" s="45" t="n"/>
    </row>
    <row r="1094" ht="14.25" customHeight="1" s="142">
      <c r="C1094" s="45" t="n"/>
      <c r="D1094" s="45" t="n"/>
      <c r="E1094" s="45" t="n"/>
      <c r="F1094" s="45" t="n"/>
      <c r="G1094" s="45" t="n"/>
      <c r="H1094" s="45" t="n"/>
      <c r="I1094" s="45" t="n"/>
      <c r="J1094" s="45" t="n"/>
      <c r="K1094" s="45" t="n"/>
      <c r="L1094" s="45" t="n"/>
      <c r="N1094" s="46" t="n"/>
      <c r="P1094" s="47" t="n"/>
      <c r="Q1094" s="47" t="n"/>
      <c r="R1094" s="47" t="n"/>
      <c r="V1094" s="45" t="n"/>
    </row>
    <row r="1095" ht="14.25" customHeight="1" s="142">
      <c r="C1095" s="45" t="n"/>
      <c r="D1095" s="45" t="n"/>
      <c r="E1095" s="45" t="n"/>
      <c r="F1095" s="45" t="n"/>
      <c r="G1095" s="45" t="n"/>
      <c r="H1095" s="45" t="n"/>
      <c r="I1095" s="45" t="n"/>
      <c r="J1095" s="45" t="n"/>
      <c r="K1095" s="45" t="n"/>
      <c r="L1095" s="45" t="n"/>
      <c r="N1095" s="46" t="n"/>
      <c r="P1095" s="47" t="n"/>
      <c r="Q1095" s="47" t="n"/>
      <c r="R1095" s="47" t="n"/>
      <c r="V1095" s="45" t="n"/>
    </row>
    <row r="1096" ht="14.25" customHeight="1" s="142">
      <c r="C1096" s="45" t="n"/>
      <c r="D1096" s="45" t="n"/>
      <c r="E1096" s="45" t="n"/>
      <c r="F1096" s="45" t="n"/>
      <c r="G1096" s="45" t="n"/>
      <c r="H1096" s="45" t="n"/>
      <c r="I1096" s="45" t="n"/>
      <c r="J1096" s="45" t="n"/>
      <c r="K1096" s="45" t="n"/>
      <c r="L1096" s="45" t="n"/>
      <c r="N1096" s="46" t="n"/>
      <c r="P1096" s="47" t="n"/>
      <c r="Q1096" s="47" t="n"/>
      <c r="R1096" s="47" t="n"/>
      <c r="V1096" s="45" t="n"/>
    </row>
    <row r="1097" ht="14.25" customHeight="1" s="142">
      <c r="C1097" s="45" t="n"/>
      <c r="D1097" s="45" t="n"/>
      <c r="E1097" s="45" t="n"/>
      <c r="F1097" s="45" t="n"/>
      <c r="G1097" s="45" t="n"/>
      <c r="H1097" s="45" t="n"/>
      <c r="I1097" s="45" t="n"/>
      <c r="J1097" s="45" t="n"/>
      <c r="K1097" s="45" t="n"/>
      <c r="L1097" s="45" t="n"/>
      <c r="N1097" s="46" t="n"/>
      <c r="P1097" s="47" t="n"/>
      <c r="Q1097" s="47" t="n"/>
      <c r="R1097" s="47" t="n"/>
      <c r="V1097" s="45" t="n"/>
    </row>
    <row r="1098" ht="14.25" customHeight="1" s="142">
      <c r="C1098" s="45" t="n"/>
      <c r="D1098" s="45" t="n"/>
      <c r="E1098" s="45" t="n"/>
      <c r="F1098" s="45" t="n"/>
      <c r="G1098" s="45" t="n"/>
      <c r="H1098" s="45" t="n"/>
      <c r="I1098" s="45" t="n"/>
      <c r="J1098" s="45" t="n"/>
      <c r="K1098" s="45" t="n"/>
      <c r="L1098" s="45" t="n"/>
      <c r="N1098" s="46" t="n"/>
      <c r="P1098" s="47" t="n"/>
      <c r="Q1098" s="47" t="n"/>
      <c r="R1098" s="47" t="n"/>
      <c r="V1098" s="45" t="n"/>
    </row>
    <row r="1099" ht="14.25" customHeight="1" s="142">
      <c r="C1099" s="45" t="n"/>
      <c r="D1099" s="45" t="n"/>
      <c r="E1099" s="45" t="n"/>
      <c r="F1099" s="45" t="n"/>
      <c r="G1099" s="45" t="n"/>
      <c r="H1099" s="45" t="n"/>
      <c r="I1099" s="45" t="n"/>
      <c r="J1099" s="45" t="n"/>
      <c r="K1099" s="45" t="n"/>
      <c r="L1099" s="45" t="n"/>
      <c r="N1099" s="46" t="n"/>
      <c r="P1099" s="47" t="n"/>
      <c r="Q1099" s="47" t="n"/>
      <c r="R1099" s="47" t="n"/>
      <c r="V1099" s="45" t="n"/>
    </row>
    <row r="1100" ht="14.25" customHeight="1" s="142">
      <c r="C1100" s="45" t="n"/>
      <c r="D1100" s="45" t="n"/>
      <c r="E1100" s="45" t="n"/>
      <c r="F1100" s="45" t="n"/>
      <c r="G1100" s="45" t="n"/>
      <c r="H1100" s="45" t="n"/>
      <c r="I1100" s="45" t="n"/>
      <c r="J1100" s="45" t="n"/>
      <c r="K1100" s="45" t="n"/>
      <c r="L1100" s="45" t="n"/>
      <c r="N1100" s="46" t="n"/>
      <c r="P1100" s="47" t="n"/>
      <c r="Q1100" s="47" t="n"/>
      <c r="R1100" s="47" t="n"/>
      <c r="V1100" s="45" t="n"/>
    </row>
    <row r="1101" ht="14.25" customHeight="1" s="142">
      <c r="C1101" s="45" t="n"/>
      <c r="D1101" s="45" t="n"/>
      <c r="E1101" s="45" t="n"/>
      <c r="F1101" s="45" t="n"/>
      <c r="G1101" s="45" t="n"/>
      <c r="H1101" s="45" t="n"/>
      <c r="I1101" s="45" t="n"/>
      <c r="J1101" s="45" t="n"/>
      <c r="K1101" s="45" t="n"/>
      <c r="L1101" s="45" t="n"/>
      <c r="N1101" s="46" t="n"/>
      <c r="P1101" s="47" t="n"/>
      <c r="Q1101" s="47" t="n"/>
      <c r="R1101" s="47" t="n"/>
      <c r="V1101" s="45" t="n"/>
    </row>
    <row r="1102" ht="14.25" customHeight="1" s="142">
      <c r="C1102" s="45" t="n"/>
      <c r="D1102" s="45" t="n"/>
      <c r="E1102" s="45" t="n"/>
      <c r="F1102" s="45" t="n"/>
      <c r="G1102" s="45" t="n"/>
      <c r="H1102" s="45" t="n"/>
      <c r="I1102" s="45" t="n"/>
      <c r="J1102" s="45" t="n"/>
      <c r="K1102" s="45" t="n"/>
      <c r="L1102" s="45" t="n"/>
      <c r="N1102" s="46" t="n"/>
      <c r="P1102" s="47" t="n"/>
      <c r="Q1102" s="47" t="n"/>
      <c r="R1102" s="47" t="n"/>
      <c r="V1102" s="45" t="n"/>
    </row>
    <row r="1103" ht="14.25" customHeight="1" s="142">
      <c r="C1103" s="45" t="n"/>
      <c r="D1103" s="45" t="n"/>
      <c r="E1103" s="45" t="n"/>
      <c r="F1103" s="45" t="n"/>
      <c r="G1103" s="45" t="n"/>
      <c r="H1103" s="45" t="n"/>
      <c r="I1103" s="45" t="n"/>
      <c r="J1103" s="45" t="n"/>
      <c r="K1103" s="45" t="n"/>
      <c r="L1103" s="45" t="n"/>
      <c r="N1103" s="46" t="n"/>
      <c r="P1103" s="47" t="n"/>
      <c r="Q1103" s="47" t="n"/>
      <c r="R1103" s="47" t="n"/>
      <c r="V1103" s="45" t="n"/>
    </row>
    <row r="1104" ht="14.25" customHeight="1" s="142">
      <c r="C1104" s="45" t="n"/>
      <c r="D1104" s="45" t="n"/>
      <c r="E1104" s="45" t="n"/>
      <c r="F1104" s="45" t="n"/>
      <c r="G1104" s="45" t="n"/>
      <c r="H1104" s="45" t="n"/>
      <c r="I1104" s="45" t="n"/>
      <c r="J1104" s="45" t="n"/>
      <c r="K1104" s="45" t="n"/>
      <c r="L1104" s="45" t="n"/>
      <c r="N1104" s="46" t="n"/>
      <c r="P1104" s="47" t="n"/>
      <c r="Q1104" s="47" t="n"/>
      <c r="R1104" s="47" t="n"/>
      <c r="V1104" s="45" t="n"/>
    </row>
    <row r="1105" ht="14.25" customHeight="1" s="142">
      <c r="C1105" s="45" t="n"/>
      <c r="D1105" s="45" t="n"/>
      <c r="E1105" s="45" t="n"/>
      <c r="F1105" s="45" t="n"/>
      <c r="G1105" s="45" t="n"/>
      <c r="H1105" s="45" t="n"/>
      <c r="I1105" s="45" t="n"/>
      <c r="J1105" s="45" t="n"/>
      <c r="K1105" s="45" t="n"/>
      <c r="L1105" s="45" t="n"/>
      <c r="N1105" s="46" t="n"/>
      <c r="P1105" s="47" t="n"/>
      <c r="Q1105" s="47" t="n"/>
      <c r="R1105" s="47" t="n"/>
      <c r="V1105" s="45" t="n"/>
    </row>
    <row r="1106" ht="14.25" customHeight="1" s="142">
      <c r="C1106" s="45" t="n"/>
      <c r="D1106" s="45" t="n"/>
      <c r="E1106" s="45" t="n"/>
      <c r="F1106" s="45" t="n"/>
      <c r="G1106" s="45" t="n"/>
      <c r="H1106" s="45" t="n"/>
      <c r="I1106" s="45" t="n"/>
      <c r="J1106" s="45" t="n"/>
      <c r="K1106" s="45" t="n"/>
      <c r="L1106" s="45" t="n"/>
      <c r="N1106" s="46" t="n"/>
      <c r="P1106" s="47" t="n"/>
      <c r="Q1106" s="47" t="n"/>
      <c r="R1106" s="47" t="n"/>
      <c r="V1106" s="45" t="n"/>
    </row>
    <row r="1107" ht="14.25" customHeight="1" s="142">
      <c r="C1107" s="45" t="n"/>
      <c r="D1107" s="45" t="n"/>
      <c r="E1107" s="45" t="n"/>
      <c r="F1107" s="45" t="n"/>
      <c r="G1107" s="45" t="n"/>
      <c r="H1107" s="45" t="n"/>
      <c r="I1107" s="45" t="n"/>
      <c r="J1107" s="45" t="n"/>
      <c r="K1107" s="45" t="n"/>
      <c r="L1107" s="45" t="n"/>
      <c r="N1107" s="46" t="n"/>
      <c r="P1107" s="47" t="n"/>
      <c r="Q1107" s="47" t="n"/>
      <c r="R1107" s="47" t="n"/>
      <c r="V1107" s="45" t="n"/>
    </row>
    <row r="1108" ht="14.25" customHeight="1" s="142">
      <c r="C1108" s="45" t="n"/>
      <c r="D1108" s="45" t="n"/>
      <c r="E1108" s="45" t="n"/>
      <c r="F1108" s="45" t="n"/>
      <c r="G1108" s="45" t="n"/>
      <c r="H1108" s="45" t="n"/>
      <c r="I1108" s="45" t="n"/>
      <c r="J1108" s="45" t="n"/>
      <c r="K1108" s="45" t="n"/>
      <c r="L1108" s="45" t="n"/>
      <c r="N1108" s="46" t="n"/>
      <c r="P1108" s="47" t="n"/>
      <c r="Q1108" s="47" t="n"/>
      <c r="R1108" s="47" t="n"/>
      <c r="V1108" s="45" t="n"/>
    </row>
    <row r="1109" ht="14.25" customHeight="1" s="142">
      <c r="C1109" s="45" t="n"/>
      <c r="D1109" s="45" t="n"/>
      <c r="E1109" s="45" t="n"/>
      <c r="F1109" s="45" t="n"/>
      <c r="G1109" s="45" t="n"/>
      <c r="H1109" s="45" t="n"/>
      <c r="I1109" s="45" t="n"/>
      <c r="J1109" s="45" t="n"/>
      <c r="K1109" s="45" t="n"/>
      <c r="L1109" s="45" t="n"/>
      <c r="N1109" s="46" t="n"/>
      <c r="P1109" s="47" t="n"/>
      <c r="Q1109" s="47" t="n"/>
      <c r="R1109" s="47" t="n"/>
      <c r="V1109" s="45" t="n"/>
    </row>
    <row r="1110" ht="14.25" customHeight="1" s="142">
      <c r="C1110" s="45" t="n"/>
      <c r="D1110" s="45" t="n"/>
      <c r="E1110" s="45" t="n"/>
      <c r="F1110" s="45" t="n"/>
      <c r="G1110" s="45" t="n"/>
      <c r="H1110" s="45" t="n"/>
      <c r="I1110" s="45" t="n"/>
      <c r="J1110" s="45" t="n"/>
      <c r="K1110" s="45" t="n"/>
      <c r="L1110" s="45" t="n"/>
      <c r="N1110" s="46" t="n"/>
      <c r="P1110" s="47" t="n"/>
      <c r="Q1110" s="47" t="n"/>
      <c r="R1110" s="47" t="n"/>
      <c r="V1110" s="45" t="n"/>
    </row>
    <row r="1111" ht="14.25" customHeight="1" s="142">
      <c r="C1111" s="45" t="n"/>
      <c r="D1111" s="45" t="n"/>
      <c r="E1111" s="45" t="n"/>
      <c r="F1111" s="45" t="n"/>
      <c r="G1111" s="45" t="n"/>
      <c r="H1111" s="45" t="n"/>
      <c r="I1111" s="45" t="n"/>
      <c r="J1111" s="45" t="n"/>
      <c r="K1111" s="45" t="n"/>
      <c r="L1111" s="45" t="n"/>
      <c r="N1111" s="46" t="n"/>
      <c r="P1111" s="47" t="n"/>
      <c r="Q1111" s="47" t="n"/>
      <c r="R1111" s="47" t="n"/>
      <c r="V1111" s="45" t="n"/>
    </row>
    <row r="1112" ht="14.25" customHeight="1" s="142">
      <c r="C1112" s="45" t="n"/>
      <c r="D1112" s="45" t="n"/>
      <c r="E1112" s="45" t="n"/>
      <c r="F1112" s="45" t="n"/>
      <c r="G1112" s="45" t="n"/>
      <c r="H1112" s="45" t="n"/>
      <c r="I1112" s="45" t="n"/>
      <c r="J1112" s="45" t="n"/>
      <c r="K1112" s="45" t="n"/>
      <c r="L1112" s="45" t="n"/>
      <c r="N1112" s="46" t="n"/>
      <c r="P1112" s="47" t="n"/>
      <c r="Q1112" s="47" t="n"/>
      <c r="R1112" s="47" t="n"/>
      <c r="V1112" s="45" t="n"/>
    </row>
    <row r="1113" ht="14.25" customHeight="1" s="142">
      <c r="C1113" s="45" t="n"/>
      <c r="D1113" s="45" t="n"/>
      <c r="E1113" s="45" t="n"/>
      <c r="F1113" s="45" t="n"/>
      <c r="G1113" s="45" t="n"/>
      <c r="H1113" s="45" t="n"/>
      <c r="I1113" s="45" t="n"/>
      <c r="J1113" s="45" t="n"/>
      <c r="K1113" s="45" t="n"/>
      <c r="L1113" s="45" t="n"/>
      <c r="N1113" s="46" t="n"/>
      <c r="P1113" s="47" t="n"/>
      <c r="Q1113" s="47" t="n"/>
      <c r="R1113" s="47" t="n"/>
      <c r="V1113" s="45" t="n"/>
    </row>
    <row r="1114" ht="14.25" customHeight="1" s="142">
      <c r="C1114" s="45" t="n"/>
      <c r="D1114" s="45" t="n"/>
      <c r="E1114" s="45" t="n"/>
      <c r="F1114" s="45" t="n"/>
      <c r="G1114" s="45" t="n"/>
      <c r="H1114" s="45" t="n"/>
      <c r="I1114" s="45" t="n"/>
      <c r="J1114" s="45" t="n"/>
      <c r="K1114" s="45" t="n"/>
      <c r="L1114" s="45" t="n"/>
      <c r="N1114" s="46" t="n"/>
      <c r="P1114" s="47" t="n"/>
      <c r="Q1114" s="47" t="n"/>
      <c r="R1114" s="47" t="n"/>
      <c r="V1114" s="45" t="n"/>
    </row>
    <row r="1115" ht="14.25" customHeight="1" s="142">
      <c r="C1115" s="45" t="n"/>
      <c r="D1115" s="45" t="n"/>
      <c r="E1115" s="45" t="n"/>
      <c r="F1115" s="45" t="n"/>
      <c r="G1115" s="45" t="n"/>
      <c r="H1115" s="45" t="n"/>
      <c r="I1115" s="45" t="n"/>
      <c r="J1115" s="45" t="n"/>
      <c r="K1115" s="45" t="n"/>
      <c r="L1115" s="45" t="n"/>
      <c r="N1115" s="46" t="n"/>
      <c r="P1115" s="47" t="n"/>
      <c r="Q1115" s="47" t="n"/>
      <c r="R1115" s="47" t="n"/>
      <c r="V1115" s="45" t="n"/>
    </row>
    <row r="1116" ht="14.25" customHeight="1" s="142">
      <c r="C1116" s="45" t="n"/>
      <c r="D1116" s="45" t="n"/>
      <c r="E1116" s="45" t="n"/>
      <c r="F1116" s="45" t="n"/>
      <c r="G1116" s="45" t="n"/>
      <c r="H1116" s="45" t="n"/>
      <c r="I1116" s="45" t="n"/>
      <c r="J1116" s="45" t="n"/>
      <c r="K1116" s="45" t="n"/>
      <c r="L1116" s="45" t="n"/>
      <c r="N1116" s="46" t="n"/>
      <c r="P1116" s="47" t="n"/>
      <c r="Q1116" s="47" t="n"/>
      <c r="R1116" s="47" t="n"/>
      <c r="V1116" s="45" t="n"/>
    </row>
    <row r="1117" ht="14.25" customHeight="1" s="142">
      <c r="C1117" s="45" t="n"/>
      <c r="D1117" s="45" t="n"/>
      <c r="E1117" s="45" t="n"/>
      <c r="F1117" s="45" t="n"/>
      <c r="G1117" s="45" t="n"/>
      <c r="H1117" s="45" t="n"/>
      <c r="I1117" s="45" t="n"/>
      <c r="J1117" s="45" t="n"/>
      <c r="K1117" s="45" t="n"/>
      <c r="L1117" s="45" t="n"/>
      <c r="N1117" s="46" t="n"/>
      <c r="P1117" s="47" t="n"/>
      <c r="Q1117" s="47" t="n"/>
      <c r="R1117" s="47" t="n"/>
      <c r="V1117" s="45" t="n"/>
    </row>
    <row r="1118" ht="14.25" customHeight="1" s="142">
      <c r="C1118" s="45" t="n"/>
      <c r="D1118" s="45" t="n"/>
      <c r="E1118" s="45" t="n"/>
      <c r="F1118" s="45" t="n"/>
      <c r="G1118" s="45" t="n"/>
      <c r="H1118" s="45" t="n"/>
      <c r="I1118" s="45" t="n"/>
      <c r="J1118" s="45" t="n"/>
      <c r="K1118" s="45" t="n"/>
      <c r="L1118" s="45" t="n"/>
      <c r="N1118" s="46" t="n"/>
      <c r="P1118" s="47" t="n"/>
      <c r="Q1118" s="47" t="n"/>
      <c r="R1118" s="47" t="n"/>
      <c r="V1118" s="45" t="n"/>
    </row>
    <row r="1119" ht="14.25" customHeight="1" s="142">
      <c r="C1119" s="45" t="n"/>
      <c r="D1119" s="45" t="n"/>
      <c r="E1119" s="45" t="n"/>
      <c r="F1119" s="45" t="n"/>
      <c r="G1119" s="45" t="n"/>
      <c r="H1119" s="45" t="n"/>
      <c r="I1119" s="45" t="n"/>
      <c r="J1119" s="45" t="n"/>
      <c r="K1119" s="45" t="n"/>
      <c r="L1119" s="45" t="n"/>
      <c r="N1119" s="46" t="n"/>
      <c r="P1119" s="47" t="n"/>
      <c r="Q1119" s="47" t="n"/>
      <c r="R1119" s="47" t="n"/>
      <c r="V1119" s="45" t="n"/>
    </row>
    <row r="1120" ht="14.25" customHeight="1" s="142">
      <c r="C1120" s="45" t="n"/>
      <c r="D1120" s="45" t="n"/>
      <c r="E1120" s="45" t="n"/>
      <c r="F1120" s="45" t="n"/>
      <c r="G1120" s="45" t="n"/>
      <c r="H1120" s="45" t="n"/>
      <c r="I1120" s="45" t="n"/>
      <c r="J1120" s="45" t="n"/>
      <c r="K1120" s="45" t="n"/>
      <c r="L1120" s="45" t="n"/>
      <c r="N1120" s="46" t="n"/>
      <c r="P1120" s="47" t="n"/>
      <c r="Q1120" s="47" t="n"/>
      <c r="R1120" s="47" t="n"/>
      <c r="V1120" s="45" t="n"/>
    </row>
    <row r="1121" ht="14.25" customHeight="1" s="142">
      <c r="C1121" s="45" t="n"/>
      <c r="D1121" s="45" t="n"/>
      <c r="E1121" s="45" t="n"/>
      <c r="F1121" s="45" t="n"/>
      <c r="G1121" s="45" t="n"/>
      <c r="H1121" s="45" t="n"/>
      <c r="I1121" s="45" t="n"/>
      <c r="J1121" s="45" t="n"/>
      <c r="K1121" s="45" t="n"/>
      <c r="L1121" s="45" t="n"/>
      <c r="N1121" s="46" t="n"/>
      <c r="P1121" s="47" t="n"/>
      <c r="Q1121" s="47" t="n"/>
      <c r="R1121" s="47" t="n"/>
      <c r="V1121" s="45" t="n"/>
    </row>
    <row r="1122" ht="14.25" customHeight="1" s="142">
      <c r="C1122" s="45" t="n"/>
      <c r="D1122" s="45" t="n"/>
      <c r="E1122" s="45" t="n"/>
      <c r="F1122" s="45" t="n"/>
      <c r="G1122" s="45" t="n"/>
      <c r="H1122" s="45" t="n"/>
      <c r="I1122" s="45" t="n"/>
      <c r="J1122" s="45" t="n"/>
      <c r="K1122" s="45" t="n"/>
      <c r="L1122" s="45" t="n"/>
      <c r="N1122" s="46" t="n"/>
      <c r="P1122" s="47" t="n"/>
      <c r="Q1122" s="47" t="n"/>
      <c r="R1122" s="47" t="n"/>
      <c r="V1122" s="45" t="n"/>
    </row>
    <row r="1123" ht="14.25" customHeight="1" s="142">
      <c r="C1123" s="45" t="n"/>
      <c r="D1123" s="45" t="n"/>
      <c r="E1123" s="45" t="n"/>
      <c r="F1123" s="45" t="n"/>
      <c r="G1123" s="45" t="n"/>
      <c r="H1123" s="45" t="n"/>
      <c r="I1123" s="45" t="n"/>
      <c r="J1123" s="45" t="n"/>
      <c r="K1123" s="45" t="n"/>
      <c r="L1123" s="45" t="n"/>
      <c r="N1123" s="46" t="n"/>
      <c r="P1123" s="47" t="n"/>
      <c r="Q1123" s="47" t="n"/>
      <c r="R1123" s="47" t="n"/>
      <c r="V1123" s="45" t="n"/>
    </row>
    <row r="1124" ht="14.25" customHeight="1" s="142">
      <c r="C1124" s="45" t="n"/>
      <c r="D1124" s="45" t="n"/>
      <c r="E1124" s="45" t="n"/>
      <c r="F1124" s="45" t="n"/>
      <c r="G1124" s="45" t="n"/>
      <c r="H1124" s="45" t="n"/>
      <c r="I1124" s="45" t="n"/>
      <c r="J1124" s="45" t="n"/>
      <c r="K1124" s="45" t="n"/>
      <c r="L1124" s="45" t="n"/>
      <c r="N1124" s="46" t="n"/>
      <c r="P1124" s="47" t="n"/>
      <c r="Q1124" s="47" t="n"/>
      <c r="R1124" s="47" t="n"/>
      <c r="V1124" s="45" t="n"/>
    </row>
    <row r="1125" ht="14.25" customHeight="1" s="142">
      <c r="C1125" s="45" t="n"/>
      <c r="D1125" s="45" t="n"/>
      <c r="E1125" s="45" t="n"/>
      <c r="F1125" s="45" t="n"/>
      <c r="G1125" s="45" t="n"/>
      <c r="H1125" s="45" t="n"/>
      <c r="I1125" s="45" t="n"/>
      <c r="J1125" s="45" t="n"/>
      <c r="K1125" s="45" t="n"/>
      <c r="L1125" s="45" t="n"/>
      <c r="N1125" s="46" t="n"/>
      <c r="P1125" s="47" t="n"/>
      <c r="Q1125" s="47" t="n"/>
      <c r="R1125" s="47" t="n"/>
      <c r="V1125" s="45" t="n"/>
    </row>
    <row r="1126" ht="14.25" customHeight="1" s="142">
      <c r="C1126" s="45" t="n"/>
      <c r="D1126" s="45" t="n"/>
      <c r="E1126" s="45" t="n"/>
      <c r="F1126" s="45" t="n"/>
      <c r="G1126" s="45" t="n"/>
      <c r="H1126" s="45" t="n"/>
      <c r="I1126" s="45" t="n"/>
      <c r="J1126" s="45" t="n"/>
      <c r="K1126" s="45" t="n"/>
      <c r="L1126" s="45" t="n"/>
      <c r="N1126" s="46" t="n"/>
      <c r="P1126" s="47" t="n"/>
      <c r="Q1126" s="47" t="n"/>
      <c r="R1126" s="47" t="n"/>
      <c r="V1126" s="45" t="n"/>
    </row>
    <row r="1127" ht="14.25" customHeight="1" s="142">
      <c r="C1127" s="45" t="n"/>
      <c r="D1127" s="45" t="n"/>
      <c r="E1127" s="45" t="n"/>
      <c r="F1127" s="45" t="n"/>
      <c r="G1127" s="45" t="n"/>
      <c r="H1127" s="45" t="n"/>
      <c r="I1127" s="45" t="n"/>
      <c r="J1127" s="45" t="n"/>
      <c r="K1127" s="45" t="n"/>
      <c r="L1127" s="45" t="n"/>
      <c r="N1127" s="46" t="n"/>
      <c r="P1127" s="47" t="n"/>
      <c r="Q1127" s="47" t="n"/>
      <c r="R1127" s="47" t="n"/>
      <c r="V1127" s="45" t="n"/>
    </row>
    <row r="1128" ht="14.25" customHeight="1" s="142">
      <c r="C1128" s="45" t="n"/>
      <c r="D1128" s="45" t="n"/>
      <c r="E1128" s="45" t="n"/>
      <c r="F1128" s="45" t="n"/>
      <c r="G1128" s="45" t="n"/>
      <c r="H1128" s="45" t="n"/>
      <c r="I1128" s="45" t="n"/>
      <c r="J1128" s="45" t="n"/>
      <c r="K1128" s="45" t="n"/>
      <c r="L1128" s="45" t="n"/>
      <c r="N1128" s="46" t="n"/>
      <c r="P1128" s="47" t="n"/>
      <c r="Q1128" s="47" t="n"/>
      <c r="R1128" s="47" t="n"/>
      <c r="V1128" s="45" t="n"/>
    </row>
    <row r="1129" ht="14.25" customHeight="1" s="142">
      <c r="C1129" s="45" t="n"/>
      <c r="D1129" s="45" t="n"/>
      <c r="E1129" s="45" t="n"/>
      <c r="F1129" s="45" t="n"/>
      <c r="G1129" s="45" t="n"/>
      <c r="H1129" s="45" t="n"/>
      <c r="I1129" s="45" t="n"/>
      <c r="J1129" s="45" t="n"/>
      <c r="K1129" s="45" t="n"/>
      <c r="L1129" s="45" t="n"/>
      <c r="N1129" s="46" t="n"/>
      <c r="P1129" s="47" t="n"/>
      <c r="Q1129" s="47" t="n"/>
      <c r="R1129" s="47" t="n"/>
      <c r="V1129" s="45" t="n"/>
    </row>
    <row r="1130" ht="14.25" customHeight="1" s="142">
      <c r="C1130" s="45" t="n"/>
      <c r="D1130" s="45" t="n"/>
      <c r="E1130" s="45" t="n"/>
      <c r="F1130" s="45" t="n"/>
      <c r="G1130" s="45" t="n"/>
      <c r="H1130" s="45" t="n"/>
      <c r="I1130" s="45" t="n"/>
      <c r="J1130" s="45" t="n"/>
      <c r="K1130" s="45" t="n"/>
      <c r="L1130" s="45" t="n"/>
      <c r="N1130" s="46" t="n"/>
      <c r="P1130" s="47" t="n"/>
      <c r="Q1130" s="47" t="n"/>
      <c r="R1130" s="47" t="n"/>
      <c r="V1130" s="45" t="n"/>
    </row>
    <row r="1131" ht="14.25" customHeight="1" s="142">
      <c r="C1131" s="45" t="n"/>
      <c r="D1131" s="45" t="n"/>
      <c r="E1131" s="45" t="n"/>
      <c r="F1131" s="45" t="n"/>
      <c r="G1131" s="45" t="n"/>
      <c r="H1131" s="45" t="n"/>
      <c r="I1131" s="45" t="n"/>
      <c r="J1131" s="45" t="n"/>
      <c r="K1131" s="45" t="n"/>
      <c r="L1131" s="45" t="n"/>
      <c r="N1131" s="46" t="n"/>
      <c r="P1131" s="47" t="n"/>
      <c r="Q1131" s="47" t="n"/>
      <c r="R1131" s="47" t="n"/>
      <c r="V1131" s="45" t="n"/>
    </row>
    <row r="1132" ht="14.25" customHeight="1" s="142">
      <c r="C1132" s="45" t="n"/>
      <c r="D1132" s="45" t="n"/>
      <c r="E1132" s="45" t="n"/>
      <c r="F1132" s="45" t="n"/>
      <c r="G1132" s="45" t="n"/>
      <c r="H1132" s="45" t="n"/>
      <c r="I1132" s="45" t="n"/>
      <c r="J1132" s="45" t="n"/>
      <c r="K1132" s="45" t="n"/>
      <c r="L1132" s="45" t="n"/>
      <c r="N1132" s="46" t="n"/>
      <c r="P1132" s="47" t="n"/>
      <c r="Q1132" s="47" t="n"/>
      <c r="R1132" s="47" t="n"/>
      <c r="V1132" s="45" t="n"/>
    </row>
    <row r="1133" ht="14.25" customHeight="1" s="142">
      <c r="C1133" s="45" t="n"/>
      <c r="D1133" s="45" t="n"/>
      <c r="E1133" s="45" t="n"/>
      <c r="F1133" s="45" t="n"/>
      <c r="G1133" s="45" t="n"/>
      <c r="H1133" s="45" t="n"/>
      <c r="I1133" s="45" t="n"/>
      <c r="J1133" s="45" t="n"/>
      <c r="K1133" s="45" t="n"/>
      <c r="L1133" s="45" t="n"/>
      <c r="N1133" s="46" t="n"/>
      <c r="P1133" s="47" t="n"/>
      <c r="Q1133" s="47" t="n"/>
      <c r="R1133" s="47" t="n"/>
      <c r="V1133" s="45" t="n"/>
    </row>
    <row r="1134" ht="14.25" customHeight="1" s="142">
      <c r="C1134" s="45" t="n"/>
      <c r="D1134" s="45" t="n"/>
      <c r="E1134" s="45" t="n"/>
      <c r="F1134" s="45" t="n"/>
      <c r="G1134" s="45" t="n"/>
      <c r="H1134" s="45" t="n"/>
      <c r="I1134" s="45" t="n"/>
      <c r="J1134" s="45" t="n"/>
      <c r="K1134" s="45" t="n"/>
      <c r="L1134" s="45" t="n"/>
      <c r="N1134" s="46" t="n"/>
      <c r="P1134" s="47" t="n"/>
      <c r="Q1134" s="47" t="n"/>
      <c r="R1134" s="47" t="n"/>
      <c r="V1134" s="45" t="n"/>
    </row>
    <row r="1135" ht="14.25" customHeight="1" s="142">
      <c r="C1135" s="45" t="n"/>
      <c r="D1135" s="45" t="n"/>
      <c r="E1135" s="45" t="n"/>
      <c r="F1135" s="45" t="n"/>
      <c r="G1135" s="45" t="n"/>
      <c r="H1135" s="45" t="n"/>
      <c r="I1135" s="45" t="n"/>
      <c r="J1135" s="45" t="n"/>
      <c r="K1135" s="45" t="n"/>
      <c r="L1135" s="45" t="n"/>
      <c r="N1135" s="46" t="n"/>
      <c r="P1135" s="47" t="n"/>
      <c r="Q1135" s="47" t="n"/>
      <c r="R1135" s="47" t="n"/>
      <c r="V1135" s="45" t="n"/>
    </row>
    <row r="1136" ht="14.25" customHeight="1" s="142">
      <c r="C1136" s="45" t="n"/>
      <c r="D1136" s="45" t="n"/>
      <c r="E1136" s="45" t="n"/>
      <c r="F1136" s="45" t="n"/>
      <c r="G1136" s="45" t="n"/>
      <c r="H1136" s="45" t="n"/>
      <c r="I1136" s="45" t="n"/>
      <c r="J1136" s="45" t="n"/>
      <c r="K1136" s="45" t="n"/>
      <c r="L1136" s="45" t="n"/>
      <c r="N1136" s="46" t="n"/>
      <c r="P1136" s="47" t="n"/>
      <c r="Q1136" s="47" t="n"/>
      <c r="R1136" s="47" t="n"/>
      <c r="V1136" s="45" t="n"/>
    </row>
    <row r="1137" ht="14.25" customHeight="1" s="142">
      <c r="C1137" s="45" t="n"/>
      <c r="D1137" s="45" t="n"/>
      <c r="E1137" s="45" t="n"/>
      <c r="F1137" s="45" t="n"/>
      <c r="G1137" s="45" t="n"/>
      <c r="H1137" s="45" t="n"/>
      <c r="I1137" s="45" t="n"/>
      <c r="J1137" s="45" t="n"/>
      <c r="K1137" s="45" t="n"/>
      <c r="L1137" s="45" t="n"/>
      <c r="N1137" s="46" t="n"/>
      <c r="P1137" s="47" t="n"/>
      <c r="Q1137" s="47" t="n"/>
      <c r="R1137" s="47" t="n"/>
      <c r="V1137" s="45" t="n"/>
    </row>
    <row r="1138" ht="14.25" customHeight="1" s="142">
      <c r="C1138" s="45" t="n"/>
      <c r="D1138" s="45" t="n"/>
      <c r="E1138" s="45" t="n"/>
      <c r="F1138" s="45" t="n"/>
      <c r="G1138" s="45" t="n"/>
      <c r="H1138" s="45" t="n"/>
      <c r="I1138" s="45" t="n"/>
      <c r="J1138" s="45" t="n"/>
      <c r="K1138" s="45" t="n"/>
      <c r="L1138" s="45" t="n"/>
      <c r="N1138" s="46" t="n"/>
      <c r="P1138" s="47" t="n"/>
      <c r="Q1138" s="47" t="n"/>
      <c r="R1138" s="47" t="n"/>
      <c r="V1138" s="45" t="n"/>
    </row>
    <row r="1139" ht="14.25" customHeight="1" s="142">
      <c r="C1139" s="45" t="n"/>
      <c r="D1139" s="45" t="n"/>
      <c r="E1139" s="45" t="n"/>
      <c r="F1139" s="45" t="n"/>
      <c r="G1139" s="45" t="n"/>
      <c r="H1139" s="45" t="n"/>
      <c r="I1139" s="45" t="n"/>
      <c r="J1139" s="45" t="n"/>
      <c r="K1139" s="45" t="n"/>
      <c r="L1139" s="45" t="n"/>
      <c r="N1139" s="46" t="n"/>
      <c r="P1139" s="47" t="n"/>
      <c r="Q1139" s="47" t="n"/>
      <c r="R1139" s="47" t="n"/>
      <c r="V1139" s="45" t="n"/>
    </row>
    <row r="1140" ht="14.25" customHeight="1" s="142">
      <c r="C1140" s="45" t="n"/>
      <c r="D1140" s="45" t="n"/>
      <c r="E1140" s="45" t="n"/>
      <c r="F1140" s="45" t="n"/>
      <c r="G1140" s="45" t="n"/>
      <c r="H1140" s="45" t="n"/>
      <c r="I1140" s="45" t="n"/>
      <c r="J1140" s="45" t="n"/>
      <c r="K1140" s="45" t="n"/>
      <c r="L1140" s="45" t="n"/>
      <c r="N1140" s="46" t="n"/>
      <c r="P1140" s="47" t="n"/>
      <c r="Q1140" s="47" t="n"/>
      <c r="R1140" s="47" t="n"/>
      <c r="V1140" s="45" t="n"/>
    </row>
    <row r="1141" ht="14.25" customHeight="1" s="142">
      <c r="C1141" s="45" t="n"/>
      <c r="D1141" s="45" t="n"/>
      <c r="E1141" s="45" t="n"/>
      <c r="F1141" s="45" t="n"/>
      <c r="G1141" s="45" t="n"/>
      <c r="H1141" s="45" t="n"/>
      <c r="I1141" s="45" t="n"/>
      <c r="J1141" s="45" t="n"/>
      <c r="K1141" s="45" t="n"/>
      <c r="L1141" s="45" t="n"/>
      <c r="N1141" s="46" t="n"/>
      <c r="P1141" s="47" t="n"/>
      <c r="Q1141" s="47" t="n"/>
      <c r="R1141" s="47" t="n"/>
      <c r="V1141" s="45" t="n"/>
    </row>
    <row r="1142" ht="14.25" customHeight="1" s="142">
      <c r="C1142" s="45" t="n"/>
      <c r="D1142" s="45" t="n"/>
      <c r="E1142" s="45" t="n"/>
      <c r="F1142" s="45" t="n"/>
      <c r="G1142" s="45" t="n"/>
      <c r="H1142" s="45" t="n"/>
      <c r="I1142" s="45" t="n"/>
      <c r="J1142" s="45" t="n"/>
      <c r="K1142" s="45" t="n"/>
      <c r="L1142" s="45" t="n"/>
      <c r="N1142" s="46" t="n"/>
      <c r="P1142" s="47" t="n"/>
      <c r="Q1142" s="47" t="n"/>
      <c r="R1142" s="47" t="n"/>
      <c r="V1142" s="45" t="n"/>
    </row>
    <row r="1143" ht="14.25" customHeight="1" s="142">
      <c r="C1143" s="45" t="n"/>
      <c r="D1143" s="45" t="n"/>
      <c r="E1143" s="45" t="n"/>
      <c r="F1143" s="45" t="n"/>
      <c r="G1143" s="45" t="n"/>
      <c r="H1143" s="45" t="n"/>
      <c r="I1143" s="45" t="n"/>
      <c r="J1143" s="45" t="n"/>
      <c r="K1143" s="45" t="n"/>
      <c r="L1143" s="45" t="n"/>
      <c r="N1143" s="46" t="n"/>
      <c r="P1143" s="47" t="n"/>
      <c r="Q1143" s="47" t="n"/>
      <c r="R1143" s="47" t="n"/>
      <c r="V1143" s="45" t="n"/>
    </row>
    <row r="1144" ht="14.25" customHeight="1" s="142">
      <c r="C1144" s="45" t="n"/>
      <c r="D1144" s="45" t="n"/>
      <c r="E1144" s="45" t="n"/>
      <c r="F1144" s="45" t="n"/>
      <c r="G1144" s="45" t="n"/>
      <c r="H1144" s="45" t="n"/>
      <c r="I1144" s="45" t="n"/>
      <c r="J1144" s="45" t="n"/>
      <c r="K1144" s="45" t="n"/>
      <c r="L1144" s="45" t="n"/>
      <c r="N1144" s="46" t="n"/>
      <c r="P1144" s="47" t="n"/>
      <c r="Q1144" s="47" t="n"/>
      <c r="R1144" s="47" t="n"/>
      <c r="V1144" s="45" t="n"/>
    </row>
    <row r="1145" ht="14.25" customHeight="1" s="142">
      <c r="C1145" s="45" t="n"/>
      <c r="D1145" s="45" t="n"/>
      <c r="E1145" s="45" t="n"/>
      <c r="F1145" s="45" t="n"/>
      <c r="G1145" s="45" t="n"/>
      <c r="H1145" s="45" t="n"/>
      <c r="I1145" s="45" t="n"/>
      <c r="J1145" s="45" t="n"/>
      <c r="K1145" s="45" t="n"/>
      <c r="L1145" s="45" t="n"/>
      <c r="N1145" s="46" t="n"/>
      <c r="P1145" s="47" t="n"/>
      <c r="Q1145" s="47" t="n"/>
      <c r="R1145" s="47" t="n"/>
      <c r="V1145" s="45" t="n"/>
    </row>
    <row r="1146" ht="14.25" customHeight="1" s="142">
      <c r="C1146" s="45" t="n"/>
      <c r="D1146" s="45" t="n"/>
      <c r="E1146" s="45" t="n"/>
      <c r="F1146" s="45" t="n"/>
      <c r="G1146" s="45" t="n"/>
      <c r="H1146" s="45" t="n"/>
      <c r="I1146" s="45" t="n"/>
      <c r="J1146" s="45" t="n"/>
      <c r="K1146" s="45" t="n"/>
      <c r="L1146" s="45" t="n"/>
      <c r="N1146" s="46" t="n"/>
      <c r="P1146" s="47" t="n"/>
      <c r="Q1146" s="47" t="n"/>
      <c r="R1146" s="47" t="n"/>
      <c r="V1146" s="45" t="n"/>
    </row>
    <row r="1147" ht="14.25" customHeight="1" s="142">
      <c r="C1147" s="45" t="n"/>
      <c r="D1147" s="45" t="n"/>
      <c r="E1147" s="45" t="n"/>
      <c r="F1147" s="45" t="n"/>
      <c r="G1147" s="45" t="n"/>
      <c r="H1147" s="45" t="n"/>
      <c r="I1147" s="45" t="n"/>
      <c r="J1147" s="45" t="n"/>
      <c r="K1147" s="45" t="n"/>
      <c r="L1147" s="45" t="n"/>
      <c r="N1147" s="46" t="n"/>
      <c r="P1147" s="47" t="n"/>
      <c r="Q1147" s="47" t="n"/>
      <c r="R1147" s="47" t="n"/>
      <c r="V1147" s="45" t="n"/>
    </row>
    <row r="1148" ht="14.25" customHeight="1" s="142">
      <c r="C1148" s="45" t="n"/>
      <c r="D1148" s="45" t="n"/>
      <c r="E1148" s="45" t="n"/>
      <c r="F1148" s="45" t="n"/>
      <c r="G1148" s="45" t="n"/>
      <c r="H1148" s="45" t="n"/>
      <c r="I1148" s="45" t="n"/>
      <c r="J1148" s="45" t="n"/>
      <c r="K1148" s="45" t="n"/>
      <c r="L1148" s="45" t="n"/>
      <c r="N1148" s="46" t="n"/>
      <c r="P1148" s="47" t="n"/>
      <c r="Q1148" s="47" t="n"/>
      <c r="R1148" s="47" t="n"/>
      <c r="V1148" s="45" t="n"/>
    </row>
    <row r="1149" ht="14.25" customHeight="1" s="142">
      <c r="C1149" s="45" t="n"/>
      <c r="D1149" s="45" t="n"/>
      <c r="E1149" s="45" t="n"/>
      <c r="F1149" s="45" t="n"/>
      <c r="G1149" s="45" t="n"/>
      <c r="H1149" s="45" t="n"/>
      <c r="I1149" s="45" t="n"/>
      <c r="J1149" s="45" t="n"/>
      <c r="K1149" s="45" t="n"/>
      <c r="L1149" s="45" t="n"/>
      <c r="N1149" s="46" t="n"/>
      <c r="P1149" s="47" t="n"/>
      <c r="Q1149" s="47" t="n"/>
      <c r="R1149" s="47" t="n"/>
      <c r="V1149" s="45" t="n"/>
    </row>
    <row r="1150" ht="14.25" customHeight="1" s="142">
      <c r="C1150" s="45" t="n"/>
      <c r="D1150" s="45" t="n"/>
      <c r="E1150" s="45" t="n"/>
      <c r="F1150" s="45" t="n"/>
      <c r="G1150" s="45" t="n"/>
      <c r="H1150" s="45" t="n"/>
      <c r="I1150" s="45" t="n"/>
      <c r="J1150" s="45" t="n"/>
      <c r="K1150" s="45" t="n"/>
      <c r="L1150" s="45" t="n"/>
      <c r="N1150" s="46" t="n"/>
      <c r="P1150" s="47" t="n"/>
      <c r="Q1150" s="47" t="n"/>
      <c r="R1150" s="47" t="n"/>
      <c r="V1150" s="45" t="n"/>
    </row>
    <row r="1151" ht="14.25" customHeight="1" s="142">
      <c r="C1151" s="45" t="n"/>
      <c r="D1151" s="45" t="n"/>
      <c r="E1151" s="45" t="n"/>
      <c r="F1151" s="45" t="n"/>
      <c r="G1151" s="45" t="n"/>
      <c r="H1151" s="45" t="n"/>
      <c r="I1151" s="45" t="n"/>
      <c r="J1151" s="45" t="n"/>
      <c r="K1151" s="45" t="n"/>
      <c r="L1151" s="45" t="n"/>
      <c r="N1151" s="46" t="n"/>
      <c r="P1151" s="47" t="n"/>
      <c r="Q1151" s="47" t="n"/>
      <c r="R1151" s="47" t="n"/>
      <c r="V1151" s="45" t="n"/>
    </row>
    <row r="1152" ht="14.25" customHeight="1" s="142">
      <c r="C1152" s="45" t="n"/>
      <c r="D1152" s="45" t="n"/>
      <c r="E1152" s="45" t="n"/>
      <c r="F1152" s="45" t="n"/>
      <c r="G1152" s="45" t="n"/>
      <c r="H1152" s="45" t="n"/>
      <c r="I1152" s="45" t="n"/>
      <c r="J1152" s="45" t="n"/>
      <c r="K1152" s="45" t="n"/>
      <c r="L1152" s="45" t="n"/>
      <c r="N1152" s="46" t="n"/>
      <c r="P1152" s="47" t="n"/>
      <c r="Q1152" s="47" t="n"/>
      <c r="R1152" s="47" t="n"/>
      <c r="V1152" s="45" t="n"/>
    </row>
    <row r="1153" ht="14.25" customHeight="1" s="142">
      <c r="C1153" s="45" t="n"/>
      <c r="D1153" s="45" t="n"/>
      <c r="E1153" s="45" t="n"/>
      <c r="F1153" s="45" t="n"/>
      <c r="G1153" s="45" t="n"/>
      <c r="H1153" s="45" t="n"/>
      <c r="I1153" s="45" t="n"/>
      <c r="J1153" s="45" t="n"/>
      <c r="K1153" s="45" t="n"/>
      <c r="L1153" s="45" t="n"/>
      <c r="N1153" s="46" t="n"/>
      <c r="P1153" s="47" t="n"/>
      <c r="Q1153" s="47" t="n"/>
      <c r="R1153" s="47" t="n"/>
      <c r="V1153" s="45" t="n"/>
    </row>
    <row r="1154" ht="14.25" customHeight="1" s="142">
      <c r="C1154" s="45" t="n"/>
      <c r="D1154" s="45" t="n"/>
      <c r="E1154" s="45" t="n"/>
      <c r="F1154" s="45" t="n"/>
      <c r="G1154" s="45" t="n"/>
      <c r="H1154" s="45" t="n"/>
      <c r="I1154" s="45" t="n"/>
      <c r="J1154" s="45" t="n"/>
      <c r="K1154" s="45" t="n"/>
      <c r="L1154" s="45" t="n"/>
      <c r="N1154" s="46" t="n"/>
      <c r="P1154" s="47" t="n"/>
      <c r="Q1154" s="47" t="n"/>
      <c r="R1154" s="47" t="n"/>
      <c r="V1154" s="45" t="n"/>
    </row>
    <row r="1155" ht="14.25" customHeight="1" s="142">
      <c r="C1155" s="45" t="n"/>
      <c r="D1155" s="45" t="n"/>
      <c r="E1155" s="45" t="n"/>
      <c r="F1155" s="45" t="n"/>
      <c r="G1155" s="45" t="n"/>
      <c r="H1155" s="45" t="n"/>
      <c r="I1155" s="45" t="n"/>
      <c r="J1155" s="45" t="n"/>
      <c r="K1155" s="45" t="n"/>
      <c r="L1155" s="45" t="n"/>
      <c r="N1155" s="46" t="n"/>
      <c r="P1155" s="47" t="n"/>
      <c r="Q1155" s="47" t="n"/>
      <c r="R1155" s="47" t="n"/>
      <c r="V1155" s="45" t="n"/>
    </row>
    <row r="1156" ht="14.25" customHeight="1" s="142">
      <c r="C1156" s="45" t="n"/>
      <c r="D1156" s="45" t="n"/>
      <c r="E1156" s="45" t="n"/>
      <c r="F1156" s="45" t="n"/>
      <c r="G1156" s="45" t="n"/>
      <c r="H1156" s="45" t="n"/>
      <c r="I1156" s="45" t="n"/>
      <c r="J1156" s="45" t="n"/>
      <c r="K1156" s="45" t="n"/>
      <c r="L1156" s="45" t="n"/>
      <c r="N1156" s="46" t="n"/>
      <c r="P1156" s="47" t="n"/>
      <c r="Q1156" s="47" t="n"/>
      <c r="R1156" s="47" t="n"/>
      <c r="V1156" s="45" t="n"/>
    </row>
    <row r="1157" ht="14.25" customHeight="1" s="142">
      <c r="C1157" s="45" t="n"/>
      <c r="D1157" s="45" t="n"/>
      <c r="E1157" s="45" t="n"/>
      <c r="F1157" s="45" t="n"/>
      <c r="G1157" s="45" t="n"/>
      <c r="H1157" s="45" t="n"/>
      <c r="I1157" s="45" t="n"/>
      <c r="J1157" s="45" t="n"/>
      <c r="K1157" s="45" t="n"/>
      <c r="L1157" s="45" t="n"/>
      <c r="N1157" s="46" t="n"/>
      <c r="P1157" s="47" t="n"/>
      <c r="Q1157" s="47" t="n"/>
      <c r="R1157" s="47" t="n"/>
      <c r="V1157" s="45" t="n"/>
    </row>
    <row r="1158" ht="14.25" customHeight="1" s="142">
      <c r="C1158" s="45" t="n"/>
      <c r="D1158" s="45" t="n"/>
      <c r="E1158" s="45" t="n"/>
      <c r="F1158" s="45" t="n"/>
      <c r="G1158" s="45" t="n"/>
      <c r="H1158" s="45" t="n"/>
      <c r="I1158" s="45" t="n"/>
      <c r="J1158" s="45" t="n"/>
      <c r="K1158" s="45" t="n"/>
      <c r="L1158" s="45" t="n"/>
      <c r="N1158" s="46" t="n"/>
      <c r="P1158" s="47" t="n"/>
      <c r="Q1158" s="47" t="n"/>
      <c r="R1158" s="47" t="n"/>
      <c r="V1158" s="45" t="n"/>
    </row>
    <row r="1159" ht="14.25" customHeight="1" s="142">
      <c r="C1159" s="45" t="n"/>
      <c r="D1159" s="45" t="n"/>
      <c r="E1159" s="45" t="n"/>
      <c r="F1159" s="45" t="n"/>
      <c r="G1159" s="45" t="n"/>
      <c r="H1159" s="45" t="n"/>
      <c r="I1159" s="45" t="n"/>
      <c r="J1159" s="45" t="n"/>
      <c r="K1159" s="45" t="n"/>
      <c r="L1159" s="45" t="n"/>
      <c r="N1159" s="46" t="n"/>
      <c r="P1159" s="47" t="n"/>
      <c r="Q1159" s="47" t="n"/>
      <c r="R1159" s="47" t="n"/>
      <c r="V1159" s="45" t="n"/>
    </row>
    <row r="1160" ht="14.25" customHeight="1" s="142">
      <c r="C1160" s="45" t="n"/>
      <c r="D1160" s="45" t="n"/>
      <c r="E1160" s="45" t="n"/>
      <c r="F1160" s="45" t="n"/>
      <c r="G1160" s="45" t="n"/>
      <c r="H1160" s="45" t="n"/>
      <c r="I1160" s="45" t="n"/>
      <c r="J1160" s="45" t="n"/>
      <c r="K1160" s="45" t="n"/>
      <c r="L1160" s="45" t="n"/>
      <c r="N1160" s="46" t="n"/>
      <c r="P1160" s="47" t="n"/>
      <c r="Q1160" s="47" t="n"/>
      <c r="R1160" s="47" t="n"/>
      <c r="V1160" s="45" t="n"/>
    </row>
    <row r="1161" ht="14.25" customHeight="1" s="142">
      <c r="C1161" s="45" t="n"/>
      <c r="D1161" s="45" t="n"/>
      <c r="E1161" s="45" t="n"/>
      <c r="F1161" s="45" t="n"/>
      <c r="G1161" s="45" t="n"/>
      <c r="H1161" s="45" t="n"/>
      <c r="I1161" s="45" t="n"/>
      <c r="J1161" s="45" t="n"/>
      <c r="K1161" s="45" t="n"/>
      <c r="L1161" s="45" t="n"/>
      <c r="N1161" s="46" t="n"/>
      <c r="P1161" s="47" t="n"/>
      <c r="Q1161" s="47" t="n"/>
      <c r="R1161" s="47" t="n"/>
      <c r="V1161" s="45" t="n"/>
    </row>
    <row r="1162" ht="14.25" customHeight="1" s="142">
      <c r="C1162" s="45" t="n"/>
      <c r="D1162" s="45" t="n"/>
      <c r="E1162" s="45" t="n"/>
      <c r="F1162" s="45" t="n"/>
      <c r="G1162" s="45" t="n"/>
      <c r="H1162" s="45" t="n"/>
      <c r="I1162" s="45" t="n"/>
      <c r="J1162" s="45" t="n"/>
      <c r="K1162" s="45" t="n"/>
      <c r="L1162" s="45" t="n"/>
      <c r="N1162" s="46" t="n"/>
      <c r="P1162" s="47" t="n"/>
      <c r="Q1162" s="47" t="n"/>
      <c r="R1162" s="47" t="n"/>
      <c r="V1162" s="45" t="n"/>
    </row>
    <row r="1163" ht="14.25" customHeight="1" s="142">
      <c r="C1163" s="45" t="n"/>
      <c r="D1163" s="45" t="n"/>
      <c r="E1163" s="45" t="n"/>
      <c r="F1163" s="45" t="n"/>
      <c r="G1163" s="45" t="n"/>
      <c r="H1163" s="45" t="n"/>
      <c r="I1163" s="45" t="n"/>
      <c r="J1163" s="45" t="n"/>
      <c r="K1163" s="45" t="n"/>
      <c r="L1163" s="45" t="n"/>
      <c r="N1163" s="46" t="n"/>
      <c r="P1163" s="47" t="n"/>
      <c r="Q1163" s="47" t="n"/>
      <c r="R1163" s="47" t="n"/>
      <c r="V1163" s="45" t="n"/>
    </row>
    <row r="1164" ht="14.25" customHeight="1" s="142">
      <c r="C1164" s="45" t="n"/>
      <c r="D1164" s="45" t="n"/>
      <c r="E1164" s="45" t="n"/>
      <c r="F1164" s="45" t="n"/>
      <c r="G1164" s="45" t="n"/>
      <c r="H1164" s="45" t="n"/>
      <c r="I1164" s="45" t="n"/>
      <c r="J1164" s="45" t="n"/>
      <c r="K1164" s="45" t="n"/>
      <c r="L1164" s="45" t="n"/>
      <c r="N1164" s="46" t="n"/>
      <c r="P1164" s="47" t="n"/>
      <c r="Q1164" s="47" t="n"/>
      <c r="R1164" s="47" t="n"/>
      <c r="V1164" s="45" t="n"/>
    </row>
    <row r="1165" ht="14.25" customHeight="1" s="142">
      <c r="C1165" s="45" t="n"/>
      <c r="D1165" s="45" t="n"/>
      <c r="E1165" s="45" t="n"/>
      <c r="F1165" s="45" t="n"/>
      <c r="G1165" s="45" t="n"/>
      <c r="H1165" s="45" t="n"/>
      <c r="I1165" s="45" t="n"/>
      <c r="J1165" s="45" t="n"/>
      <c r="K1165" s="45" t="n"/>
      <c r="L1165" s="45" t="n"/>
      <c r="N1165" s="46" t="n"/>
      <c r="P1165" s="47" t="n"/>
      <c r="Q1165" s="47" t="n"/>
      <c r="R1165" s="47" t="n"/>
      <c r="V1165" s="45" t="n"/>
    </row>
    <row r="1166" ht="14.25" customHeight="1" s="142">
      <c r="C1166" s="45" t="n"/>
      <c r="D1166" s="45" t="n"/>
      <c r="E1166" s="45" t="n"/>
      <c r="F1166" s="45" t="n"/>
      <c r="G1166" s="45" t="n"/>
      <c r="H1166" s="45" t="n"/>
      <c r="I1166" s="45" t="n"/>
      <c r="J1166" s="45" t="n"/>
      <c r="K1166" s="45" t="n"/>
      <c r="L1166" s="45" t="n"/>
      <c r="N1166" s="46" t="n"/>
      <c r="P1166" s="47" t="n"/>
      <c r="Q1166" s="47" t="n"/>
      <c r="R1166" s="47" t="n"/>
      <c r="V1166" s="45" t="n"/>
    </row>
    <row r="1167" ht="14.25" customHeight="1" s="142">
      <c r="C1167" s="45" t="n"/>
      <c r="D1167" s="45" t="n"/>
      <c r="E1167" s="45" t="n"/>
      <c r="F1167" s="45" t="n"/>
      <c r="G1167" s="45" t="n"/>
      <c r="H1167" s="45" t="n"/>
      <c r="I1167" s="45" t="n"/>
      <c r="J1167" s="45" t="n"/>
      <c r="K1167" s="45" t="n"/>
      <c r="L1167" s="45" t="n"/>
      <c r="N1167" s="46" t="n"/>
      <c r="P1167" s="47" t="n"/>
      <c r="Q1167" s="47" t="n"/>
      <c r="R1167" s="47" t="n"/>
      <c r="V1167" s="45" t="n"/>
    </row>
    <row r="1168" ht="14.25" customHeight="1" s="142">
      <c r="C1168" s="45" t="n"/>
      <c r="D1168" s="45" t="n"/>
      <c r="E1168" s="45" t="n"/>
      <c r="F1168" s="45" t="n"/>
      <c r="G1168" s="45" t="n"/>
      <c r="H1168" s="45" t="n"/>
      <c r="I1168" s="45" t="n"/>
      <c r="J1168" s="45" t="n"/>
      <c r="K1168" s="45" t="n"/>
      <c r="L1168" s="45" t="n"/>
      <c r="N1168" s="46" t="n"/>
      <c r="P1168" s="47" t="n"/>
      <c r="Q1168" s="47" t="n"/>
      <c r="R1168" s="47" t="n"/>
      <c r="V1168" s="45" t="n"/>
    </row>
    <row r="1169" ht="14.25" customHeight="1" s="142">
      <c r="C1169" s="45" t="n"/>
      <c r="D1169" s="45" t="n"/>
      <c r="E1169" s="45" t="n"/>
      <c r="F1169" s="45" t="n"/>
      <c r="G1169" s="45" t="n"/>
      <c r="H1169" s="45" t="n"/>
      <c r="I1169" s="45" t="n"/>
      <c r="J1169" s="45" t="n"/>
      <c r="K1169" s="45" t="n"/>
      <c r="L1169" s="45" t="n"/>
      <c r="N1169" s="46" t="n"/>
      <c r="P1169" s="47" t="n"/>
      <c r="Q1169" s="47" t="n"/>
      <c r="R1169" s="47" t="n"/>
      <c r="V1169" s="45" t="n"/>
    </row>
    <row r="1170" ht="14.25" customHeight="1" s="142">
      <c r="C1170" s="45" t="n"/>
      <c r="D1170" s="45" t="n"/>
      <c r="E1170" s="45" t="n"/>
      <c r="F1170" s="45" t="n"/>
      <c r="G1170" s="45" t="n"/>
      <c r="H1170" s="45" t="n"/>
      <c r="I1170" s="45" t="n"/>
      <c r="J1170" s="45" t="n"/>
      <c r="K1170" s="45" t="n"/>
      <c r="L1170" s="45" t="n"/>
      <c r="N1170" s="46" t="n"/>
      <c r="P1170" s="47" t="n"/>
      <c r="Q1170" s="47" t="n"/>
      <c r="R1170" s="47" t="n"/>
      <c r="V1170" s="45" t="n"/>
    </row>
    <row r="1171" ht="14.25" customHeight="1" s="142">
      <c r="C1171" s="45" t="n"/>
      <c r="D1171" s="45" t="n"/>
      <c r="E1171" s="45" t="n"/>
      <c r="F1171" s="45" t="n"/>
      <c r="G1171" s="45" t="n"/>
      <c r="H1171" s="45" t="n"/>
      <c r="I1171" s="45" t="n"/>
      <c r="J1171" s="45" t="n"/>
      <c r="K1171" s="45" t="n"/>
      <c r="L1171" s="45" t="n"/>
      <c r="N1171" s="46" t="n"/>
      <c r="P1171" s="47" t="n"/>
      <c r="Q1171" s="47" t="n"/>
      <c r="R1171" s="47" t="n"/>
      <c r="V1171" s="45" t="n"/>
    </row>
  </sheetData>
  <mergeCells count="294">
    <mergeCell ref="Z177:AD177"/>
    <mergeCell ref="Z148:AD148"/>
    <mergeCell ref="Z105:AD105"/>
    <mergeCell ref="Z192:AD192"/>
    <mergeCell ref="Z275:AD275"/>
    <mergeCell ref="Z228:AD228"/>
    <mergeCell ref="Z284:AD284"/>
    <mergeCell ref="Z222:AD222"/>
    <mergeCell ref="Z54:AD54"/>
    <mergeCell ref="Z145:AD145"/>
    <mergeCell ref="Z120:AD120"/>
    <mergeCell ref="Z27:AD27"/>
    <mergeCell ref="Z197:AD197"/>
    <mergeCell ref="Z154:AD154"/>
    <mergeCell ref="Z41:AD41"/>
    <mergeCell ref="Z212:AD212"/>
    <mergeCell ref="Z163:AD163"/>
    <mergeCell ref="Z277:AD277"/>
    <mergeCell ref="Z286:AD286"/>
    <mergeCell ref="Z91:AD91"/>
    <mergeCell ref="Z25:AD25"/>
    <mergeCell ref="Z267:AD267"/>
    <mergeCell ref="Z174:AD174"/>
    <mergeCell ref="Z214:AD214"/>
    <mergeCell ref="Z156:AD156"/>
    <mergeCell ref="Z183:AD183"/>
    <mergeCell ref="Z43:AD43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187:AD187"/>
    <mergeCell ref="Z69:AD69"/>
    <mergeCell ref="Z196:AD196"/>
    <mergeCell ref="Z280:AD280"/>
    <mergeCell ref="Z152:AD152"/>
    <mergeCell ref="Z103:AD103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26:AD26"/>
    <mergeCell ref="Z268:AD268"/>
    <mergeCell ref="Z97:AD97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58:AD58"/>
    <mergeCell ref="Z285:AD285"/>
    <mergeCell ref="Z18:AD18"/>
    <mergeCell ref="Z294:AD294"/>
    <mergeCell ref="Z195:AD195"/>
    <mergeCell ref="Z8:AD8"/>
    <mergeCell ref="Z64:AD64"/>
    <mergeCell ref="Z204:AD204"/>
    <mergeCell ref="Z33:AD33"/>
    <mergeCell ref="Z244:AD244"/>
    <mergeCell ref="Z73:AD73"/>
    <mergeCell ref="Z213:AD213"/>
    <mergeCell ref="Z269:AD269"/>
    <mergeCell ref="Z278:AD278"/>
    <mergeCell ref="Z82:AD82"/>
    <mergeCell ref="Z231:AD231"/>
    <mergeCell ref="Z51:AD51"/>
    <mergeCell ref="Z42:AD42"/>
    <mergeCell ref="Z176:AD176"/>
    <mergeCell ref="Z114:AD114"/>
    <mergeCell ref="Z259:AD259"/>
    <mergeCell ref="Z170:AD170"/>
    <mergeCell ref="Z293:AD293"/>
    <mergeCell ref="Z206:AD206"/>
    <mergeCell ref="Z35:AD35"/>
    <mergeCell ref="Z215:AD215"/>
    <mergeCell ref="Z138:AD138"/>
    <mergeCell ref="Z107:AD107"/>
    <mergeCell ref="Z190:AD190"/>
    <mergeCell ref="Z34:AD34"/>
    <mergeCell ref="Z261:AD261"/>
    <mergeCell ref="Z172:AD172"/>
    <mergeCell ref="Z199:AD199"/>
    <mergeCell ref="Z143:AD143"/>
    <mergeCell ref="Z99:AD99"/>
    <mergeCell ref="Z28:AD28"/>
    <mergeCell ref="Z19:AD19"/>
    <mergeCell ref="Z279:AD279"/>
    <mergeCell ref="Z9:AD9"/>
    <mergeCell ref="Z207:AD207"/>
    <mergeCell ref="Z149:AD149"/>
    <mergeCell ref="Z36:AD36"/>
    <mergeCell ref="Z232:AD232"/>
    <mergeCell ref="Z45:AD45"/>
    <mergeCell ref="Z101:AD101"/>
    <mergeCell ref="Z30:AD30"/>
    <mergeCell ref="Z124:AD124"/>
    <mergeCell ref="Z281:AD281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112:AD112"/>
    <mergeCell ref="Z282:AD282"/>
    <mergeCell ref="Z164:AD164"/>
    <mergeCell ref="Z235:AD235"/>
    <mergeCell ref="Z109:AD109"/>
    <mergeCell ref="Z180:AD180"/>
    <mergeCell ref="Z47:AD47"/>
    <mergeCell ref="Z96:AD96"/>
    <mergeCell ref="Z56:AD56"/>
    <mergeCell ref="Z167:AD167"/>
    <mergeCell ref="Z272:AD272"/>
    <mergeCell ref="Z127:AD127"/>
    <mergeCell ref="Z219:AD219"/>
    <mergeCell ref="Z210:AD210"/>
    <mergeCell ref="Z161:AD161"/>
    <mergeCell ref="Z200:AD200"/>
    <mergeCell ref="Z111:AD111"/>
    <mergeCell ref="Z209:AD209"/>
    <mergeCell ref="Z38:AD38"/>
    <mergeCell ref="Z147:AD147"/>
    <mergeCell ref="Z203:AD203"/>
    <mergeCell ref="Z98:AD98"/>
    <mergeCell ref="Z274:AD274"/>
    <mergeCell ref="Z181:AD181"/>
    <mergeCell ref="Z166:AD166"/>
    <mergeCell ref="Z79:AD79"/>
    <mergeCell ref="Z48:AD48"/>
    <mergeCell ref="Z88:AD88"/>
    <mergeCell ref="Z153:AD153"/>
    <mergeCell ref="Z63:AD63"/>
    <mergeCell ref="Z10:AD10"/>
    <mergeCell ref="Z137:AD137"/>
    <mergeCell ref="Z24:AD24"/>
    <mergeCell ref="Z90:AD90"/>
    <mergeCell ref="Z146:AD146"/>
    <mergeCell ref="Z260:AD260"/>
    <mergeCell ref="Z217:AD217"/>
    <mergeCell ref="Z173:AD173"/>
    <mergeCell ref="Z65:AD65"/>
    <mergeCell ref="Z276:AD276"/>
    <mergeCell ref="Z245:AD245"/>
    <mergeCell ref="Z74:AD74"/>
    <mergeCell ref="Z250:AD250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37:AD37"/>
    <mergeCell ref="Z273:AD273"/>
    <mergeCell ref="Z102:AD102"/>
    <mergeCell ref="Z12:AD12"/>
    <mergeCell ref="Z254:AD254"/>
    <mergeCell ref="Z165:AD165"/>
    <mergeCell ref="Z52:AD52"/>
    <mergeCell ref="Z248:AD248"/>
    <mergeCell ref="Z263:AD263"/>
    <mergeCell ref="Z92:AD92"/>
    <mergeCell ref="Z39:AD39"/>
    <mergeCell ref="Z297:AD297"/>
    <mergeCell ref="Z21:AD21"/>
    <mergeCell ref="Z122:AD122"/>
    <mergeCell ref="Z247:AD247"/>
    <mergeCell ref="Z185:AD185"/>
    <mergeCell ref="Z142:AD142"/>
    <mergeCell ref="Z29:AD29"/>
    <mergeCell ref="Z14:AD14"/>
    <mergeCell ref="Z194:AD194"/>
    <mergeCell ref="Z23:AD23"/>
    <mergeCell ref="Z265:AD265"/>
    <mergeCell ref="Z94:AD94"/>
    <mergeCell ref="Z234:AD234"/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</mergeCells>
  <dataValidations count="2">
    <dataValidation sqref="M46:M76 M79:M85 M88:M94 M164:M228" showDropDown="0" showInputMessage="0" showErrorMessage="1" allowBlank="1" type="list">
      <formula1>"magic,phycial,shield,heal,mp"</formula1>
      <formula2>0</formula2>
    </dataValidation>
    <dataValidation sqref="M3:M10 M13:M43 M97:M162 M231:M269 M272:M302" showDropDown="0" showInputMessage="0" showErrorMessage="1" allowBlank="1" type="list">
      <formula1>"magic,phycial,shield,heal"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2.75"/>
  <cols>
    <col width="22.140625" customWidth="1" style="142" min="2" max="2"/>
    <col width="52.28515625" customWidth="1" style="142" min="3" max="3"/>
    <col width="14.5703125" customWidth="1" style="142" min="18" max="18"/>
    <col width="14.28515625" customWidth="1" style="142" min="21" max="21"/>
    <col width="20.7109375" customWidth="1" style="142" min="27" max="27"/>
    <col width="20" customWidth="1" style="142" min="28" max="28"/>
    <col width="15.42578125" customWidth="1" style="142" min="31" max="31"/>
  </cols>
  <sheetData>
    <row r="1" ht="14.25" customHeight="1" s="142">
      <c r="A1" s="40" t="inlineStr">
        <is>
          <t>buff_id</t>
        </is>
      </c>
      <c r="B1" s="40" t="inlineStr">
        <is>
          <t>buff名稱</t>
        </is>
      </c>
      <c r="C1" s="40" t="inlineStr">
        <is>
          <t>buff_info</t>
        </is>
      </c>
      <c r="D1" s="40" t="inlineStr">
        <is>
          <t>#備註用</t>
        </is>
      </c>
      <c r="E1" s="40" t="inlineStr">
        <is>
          <t>buff_exchange</t>
        </is>
      </c>
      <c r="F1" s="40" t="inlineStr">
        <is>
          <t>tag</t>
        </is>
      </c>
      <c r="G1" s="40" t="inlineStr">
        <is>
          <t>element</t>
        </is>
      </c>
      <c r="H1" s="40" t="inlineStr">
        <is>
          <t>ATK</t>
        </is>
      </c>
      <c r="I1" s="40" t="inlineStr">
        <is>
          <t>MATK</t>
        </is>
      </c>
      <c r="J1" s="40" t="inlineStr">
        <is>
          <t>DEF</t>
        </is>
      </c>
      <c r="K1" s="40" t="inlineStr">
        <is>
          <t>MDEF</t>
        </is>
      </c>
      <c r="L1" s="40" t="inlineStr">
        <is>
          <t>CRI</t>
        </is>
      </c>
      <c r="M1" s="40" t="inlineStr">
        <is>
          <t>MP</t>
        </is>
      </c>
      <c r="N1" s="40" t="inlineStr">
        <is>
          <t>cri_resist</t>
        </is>
      </c>
      <c r="O1" s="40" t="inlineStr">
        <is>
          <t>AGI</t>
        </is>
      </c>
      <c r="P1" s="40" t="inlineStr">
        <is>
          <t>damage_reflect</t>
        </is>
      </c>
      <c r="Q1" s="40" t="inlineStr">
        <is>
          <t>cri_damage</t>
        </is>
      </c>
      <c r="R1" s="40" t="inlineStr">
        <is>
          <t>cri_damage_resist</t>
        </is>
      </c>
      <c r="S1" s="40" t="inlineStr">
        <is>
          <t>skill_rate</t>
        </is>
      </c>
      <c r="T1" s="40" t="inlineStr">
        <is>
          <t>skill_resist</t>
        </is>
      </c>
      <c r="U1" s="40" t="inlineStr">
        <is>
          <t>damage_increase</t>
        </is>
      </c>
      <c r="V1" s="40" t="inlineStr">
        <is>
          <t>damage_reduce</t>
        </is>
      </c>
      <c r="W1" s="40" t="inlineStr">
        <is>
          <t>reflashAble</t>
        </is>
      </c>
      <c r="X1" s="40" t="inlineStr">
        <is>
          <t>max_stack</t>
        </is>
      </c>
      <c r="Y1" s="48" t="inlineStr">
        <is>
          <t>持續回合數</t>
        </is>
      </c>
      <c r="Z1" s="40" t="inlineStr">
        <is>
          <t>effective_turn</t>
        </is>
      </c>
      <c r="AA1" s="40" t="inlineStr">
        <is>
          <t>effective_currenthp_higher</t>
        </is>
      </c>
      <c r="AB1" s="40" t="inlineStr">
        <is>
          <t>effective_currenthp_lower</t>
        </is>
      </c>
      <c r="AC1" s="40" t="inlineStr">
        <is>
          <t>invisible</t>
        </is>
      </c>
      <c r="AD1" s="40" t="inlineStr">
        <is>
          <t>set_info</t>
        </is>
      </c>
      <c r="AE1" s="141" t="inlineStr">
        <is>
          <t>set_effective_count</t>
        </is>
      </c>
    </row>
    <row r="2" ht="14.25" customHeight="1" s="142">
      <c r="A2" s="135" t="n">
        <v>1001</v>
      </c>
      <c r="B2" s="8" t="inlineStr">
        <is>
          <t>攻擊上升</t>
        </is>
      </c>
      <c r="C2" s="52">
        <f>"每層提升5%攻擊，可堆疊，最多"&amp;X2&amp;"層，持續"&amp;Y2&amp;"回合"</f>
        <v/>
      </c>
      <c r="D2" s="135" t="inlineStr">
        <is>
          <t>buff</t>
        </is>
      </c>
      <c r="E2" s="63" t="n"/>
      <c r="F2" s="63" t="n"/>
      <c r="G2" s="63" t="n"/>
      <c r="H2" s="63" t="n">
        <v>0.05</v>
      </c>
      <c r="I2" s="135" t="n"/>
      <c r="J2" s="135" t="n"/>
      <c r="K2" s="135" t="n"/>
      <c r="L2" s="135" t="n"/>
      <c r="M2" s="135" t="n"/>
      <c r="N2" s="135" t="n"/>
      <c r="O2" s="135" t="n"/>
      <c r="P2" s="135" t="n"/>
      <c r="Q2" s="135" t="n"/>
      <c r="R2" s="135" t="n"/>
      <c r="S2" s="135" t="n"/>
      <c r="T2" s="135" t="n"/>
      <c r="U2" s="135" t="n"/>
      <c r="V2" s="135" t="n"/>
      <c r="W2" s="135">
        <f>TRUE()</f>
        <v/>
      </c>
      <c r="X2" s="135" t="n">
        <v>5</v>
      </c>
      <c r="Y2" s="135" t="n">
        <v>3</v>
      </c>
      <c r="Z2" s="141" t="n"/>
      <c r="AA2" s="141" t="n"/>
      <c r="AB2" s="141" t="n"/>
      <c r="AC2" s="141" t="n"/>
      <c r="AD2" s="135" t="n"/>
      <c r="AE2" s="141" t="n"/>
    </row>
    <row r="3" ht="14.25" customHeight="1" s="142">
      <c r="A3" s="135" t="n">
        <v>1002</v>
      </c>
      <c r="B3" s="8" t="inlineStr">
        <is>
          <t>防禦上升</t>
        </is>
      </c>
      <c r="C3" s="52">
        <f>"每層提升5%防禦，可堆疊，最多"&amp;X3&amp;"層，持續"&amp;Y3&amp;"回合"</f>
        <v/>
      </c>
      <c r="D3" s="135" t="inlineStr">
        <is>
          <t>buff</t>
        </is>
      </c>
      <c r="E3" s="135" t="n"/>
      <c r="F3" s="135" t="n"/>
      <c r="G3" s="135" t="n"/>
      <c r="H3" s="135" t="n"/>
      <c r="I3" s="135" t="n"/>
      <c r="J3" s="63" t="n">
        <v>0.05</v>
      </c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>
        <f>TRUE()</f>
        <v/>
      </c>
      <c r="X3" s="135" t="n">
        <v>5</v>
      </c>
      <c r="Y3" s="135" t="n">
        <v>3</v>
      </c>
      <c r="Z3" s="141" t="n"/>
      <c r="AA3" s="141" t="n"/>
      <c r="AB3" s="141" t="n"/>
      <c r="AC3" s="141" t="n"/>
      <c r="AD3" s="135" t="n"/>
      <c r="AE3" s="141" t="n"/>
    </row>
    <row r="4" ht="14.25" customHeight="1" s="142">
      <c r="A4" s="135" t="n">
        <v>1003</v>
      </c>
      <c r="B4" s="8" t="inlineStr">
        <is>
          <t>魔攻上升</t>
        </is>
      </c>
      <c r="C4" s="52">
        <f>"每層提升5%魔攻，可堆疊，最多"&amp;X4&amp;"層，持續"&amp;Y4&amp;"回合"</f>
        <v/>
      </c>
      <c r="D4" s="135" t="inlineStr">
        <is>
          <t>buff</t>
        </is>
      </c>
      <c r="E4" s="135" t="n"/>
      <c r="F4" s="135" t="n"/>
      <c r="G4" s="135" t="n"/>
      <c r="H4" s="135" t="n"/>
      <c r="I4" s="63" t="n">
        <v>0.05</v>
      </c>
      <c r="J4" s="135" t="n"/>
      <c r="K4" s="135" t="n"/>
      <c r="L4" s="135" t="n"/>
      <c r="M4" s="135" t="n"/>
      <c r="N4" s="135" t="n"/>
      <c r="O4" s="135" t="n"/>
      <c r="P4" s="135" t="n"/>
      <c r="Q4" s="135" t="n"/>
      <c r="R4" s="135" t="n"/>
      <c r="S4" s="135" t="n"/>
      <c r="T4" s="135" t="n"/>
      <c r="U4" s="135" t="n"/>
      <c r="V4" s="135" t="n"/>
      <c r="W4" s="135">
        <f>TRUE()</f>
        <v/>
      </c>
      <c r="X4" s="135" t="n">
        <v>5</v>
      </c>
      <c r="Y4" s="135" t="n">
        <v>3</v>
      </c>
      <c r="Z4" s="141" t="n"/>
      <c r="AA4" s="141" t="n"/>
      <c r="AB4" s="141" t="n"/>
      <c r="AC4" s="141" t="n"/>
      <c r="AD4" s="135" t="n"/>
      <c r="AE4" s="141" t="n"/>
    </row>
    <row r="5" ht="14.25" customHeight="1" s="142">
      <c r="A5" s="135" t="n">
        <v>1004</v>
      </c>
      <c r="B5" s="8" t="inlineStr">
        <is>
          <t>魔防上升</t>
        </is>
      </c>
      <c r="C5" s="52">
        <f>"每層提升5%魔防，可堆疊，最多"&amp;X5&amp;"層，持續"&amp;Y5&amp;"回合"</f>
        <v/>
      </c>
      <c r="D5" s="135" t="inlineStr">
        <is>
          <t>buff</t>
        </is>
      </c>
      <c r="E5" s="135" t="n"/>
      <c r="F5" s="135" t="n"/>
      <c r="G5" s="135" t="n"/>
      <c r="H5" s="135" t="n"/>
      <c r="I5" s="135" t="n"/>
      <c r="J5" s="135" t="n"/>
      <c r="K5" s="63" t="n">
        <v>0.05</v>
      </c>
      <c r="L5" s="135" t="n"/>
      <c r="M5" s="135" t="n"/>
      <c r="N5" s="135" t="n"/>
      <c r="O5" s="135" t="n"/>
      <c r="P5" s="135" t="n"/>
      <c r="Q5" s="135" t="n"/>
      <c r="R5" s="135" t="n"/>
      <c r="S5" s="135" t="n"/>
      <c r="T5" s="135" t="n"/>
      <c r="U5" s="135" t="n"/>
      <c r="V5" s="135" t="n"/>
      <c r="W5" s="135">
        <f>TRUE()</f>
        <v/>
      </c>
      <c r="X5" s="135" t="n">
        <v>5</v>
      </c>
      <c r="Y5" s="135" t="n">
        <v>3</v>
      </c>
      <c r="Z5" s="141" t="n"/>
      <c r="AA5" s="141" t="n"/>
      <c r="AB5" s="141" t="n"/>
      <c r="AC5" s="141" t="n"/>
      <c r="AD5" s="135" t="n"/>
      <c r="AE5" s="141" t="n"/>
    </row>
    <row r="6" ht="14.25" customHeight="1" s="142">
      <c r="A6" s="135" t="n">
        <v>1005</v>
      </c>
      <c r="B6" s="8" t="inlineStr">
        <is>
          <t>爆擊上升</t>
        </is>
      </c>
      <c r="C6" s="52">
        <f>"每層提升5%爆擊率，可堆疊，最多"&amp;X6&amp;"層，持續"&amp;Y6&amp;"回合"</f>
        <v/>
      </c>
      <c r="D6" s="135" t="inlineStr">
        <is>
          <t>buff</t>
        </is>
      </c>
      <c r="E6" s="135" t="n"/>
      <c r="F6" s="135" t="n"/>
      <c r="G6" s="135" t="n"/>
      <c r="H6" s="135" t="n"/>
      <c r="I6" s="135" t="n"/>
      <c r="J6" s="135" t="n"/>
      <c r="K6" s="135" t="n"/>
      <c r="L6" s="63" t="n">
        <v>0.05</v>
      </c>
      <c r="M6" s="135" t="n"/>
      <c r="N6" s="135" t="n"/>
      <c r="O6" s="135" t="n"/>
      <c r="P6" s="135" t="n"/>
      <c r="Q6" s="135" t="n"/>
      <c r="R6" s="135" t="n"/>
      <c r="S6" s="135" t="n"/>
      <c r="T6" s="135" t="n"/>
      <c r="U6" s="135" t="n"/>
      <c r="V6" s="135" t="n"/>
      <c r="W6" s="135">
        <f>TRUE()</f>
        <v/>
      </c>
      <c r="X6" s="135" t="n">
        <v>5</v>
      </c>
      <c r="Y6" s="135" t="n">
        <v>3</v>
      </c>
      <c r="Z6" s="141" t="n"/>
      <c r="AA6" s="141" t="n"/>
      <c r="AB6" s="141" t="n"/>
      <c r="AC6" s="141" t="n"/>
      <c r="AD6" s="135" t="n"/>
      <c r="AE6" s="141" t="n"/>
    </row>
    <row r="7" ht="14.25" customHeight="1" s="142">
      <c r="A7" s="135" t="n">
        <v>1006</v>
      </c>
      <c r="B7" s="8" t="inlineStr">
        <is>
          <t>爆傷上升</t>
        </is>
      </c>
      <c r="C7" s="52">
        <f>"每層提升5%爆擊傷害，可堆疊，最多"&amp;X7&amp;"層，持續"&amp;Y7&amp;"回合"</f>
        <v/>
      </c>
      <c r="D7" s="135" t="inlineStr">
        <is>
          <t>buff</t>
        </is>
      </c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63" t="n">
        <v>0.05</v>
      </c>
      <c r="R7" s="141" t="n"/>
      <c r="S7" s="141" t="n"/>
      <c r="T7" s="141" t="n"/>
      <c r="U7" s="141" t="n"/>
      <c r="V7" s="135" t="n"/>
      <c r="W7" s="135">
        <f>TRUE()</f>
        <v/>
      </c>
      <c r="X7" s="135" t="n">
        <v>5</v>
      </c>
      <c r="Y7" s="135" t="n">
        <v>3</v>
      </c>
      <c r="Z7" s="141" t="n"/>
      <c r="AA7" s="141" t="n"/>
      <c r="AB7" s="141" t="n"/>
      <c r="AC7" s="141" t="n"/>
      <c r="AD7" s="135" t="n"/>
      <c r="AE7" s="141" t="n"/>
    </row>
    <row r="8" ht="14.25" customHeight="1" s="142">
      <c r="A8" s="135" t="n">
        <v>1007</v>
      </c>
      <c r="B8" s="8" t="inlineStr">
        <is>
          <t>技能傷害上升</t>
        </is>
      </c>
      <c r="C8" s="52">
        <f>"每層提升5%技能傷害，可堆疊，最多"&amp;X8&amp;"層，持續"&amp;Y8&amp;"回合"</f>
        <v/>
      </c>
      <c r="D8" s="135" t="inlineStr">
        <is>
          <t>buff</t>
        </is>
      </c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63" t="n">
        <v>0.05</v>
      </c>
      <c r="T8" s="141" t="n"/>
      <c r="U8" s="141" t="n"/>
      <c r="V8" s="135" t="n"/>
      <c r="W8" s="135">
        <f>TRUE()</f>
        <v/>
      </c>
      <c r="X8" s="135" t="n">
        <v>5</v>
      </c>
      <c r="Y8" s="135" t="n">
        <v>3</v>
      </c>
      <c r="Z8" s="141" t="n"/>
      <c r="AA8" s="141" t="n"/>
      <c r="AB8" s="141" t="n"/>
      <c r="AC8" s="141" t="n"/>
      <c r="AD8" s="135" t="n"/>
      <c r="AE8" s="141" t="n"/>
    </row>
    <row r="9" ht="14.25" customHeight="1" s="142">
      <c r="A9" s="135" t="n">
        <v>1008</v>
      </c>
      <c r="B9" s="8" t="inlineStr">
        <is>
          <t>爆擊抗性上升</t>
        </is>
      </c>
      <c r="C9" s="52">
        <f>"每層提升5%爆擊抗性，可堆疊，最多"&amp;X9&amp;"層，持續"&amp;Y9&amp;"回合"</f>
        <v/>
      </c>
      <c r="D9" s="135" t="inlineStr">
        <is>
          <t>buff</t>
        </is>
      </c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63" t="n">
        <v>0.05</v>
      </c>
      <c r="O9" s="141" t="n"/>
      <c r="P9" s="141" t="n"/>
      <c r="Q9" s="141" t="n"/>
      <c r="R9" s="141" t="n"/>
      <c r="S9" s="141" t="n"/>
      <c r="T9" s="141" t="n"/>
      <c r="U9" s="141" t="n"/>
      <c r="V9" s="135" t="n"/>
      <c r="W9" s="135">
        <f>TRUE()</f>
        <v/>
      </c>
      <c r="X9" s="135" t="n">
        <v>5</v>
      </c>
      <c r="Y9" s="135" t="n">
        <v>3</v>
      </c>
      <c r="Z9" s="141" t="n"/>
      <c r="AA9" s="141" t="n"/>
      <c r="AB9" s="141" t="n"/>
      <c r="AC9" s="141" t="n"/>
      <c r="AD9" s="135" t="n"/>
      <c r="AE9" s="141" t="n"/>
    </row>
    <row r="10" ht="14.25" customHeight="1" s="142">
      <c r="A10" s="135" t="n">
        <v>1009</v>
      </c>
      <c r="B10" s="8" t="inlineStr">
        <is>
          <t>爆傷抗性上升</t>
        </is>
      </c>
      <c r="C10" s="52">
        <f>"每層提升5%爆傷抗性，可堆疊，最多"&amp;X10&amp;"層，持續"&amp;Y10&amp;"回合"</f>
        <v/>
      </c>
      <c r="D10" s="135" t="inlineStr">
        <is>
          <t>buff</t>
        </is>
      </c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63" t="n">
        <v>0.05</v>
      </c>
      <c r="S10" s="141" t="n"/>
      <c r="T10" s="141" t="n"/>
      <c r="U10" s="141" t="n"/>
      <c r="V10" s="135" t="n"/>
      <c r="W10" s="135">
        <f>TRUE()</f>
        <v/>
      </c>
      <c r="X10" s="135" t="n">
        <v>5</v>
      </c>
      <c r="Y10" s="135" t="n">
        <v>3</v>
      </c>
      <c r="Z10" s="141" t="n"/>
      <c r="AA10" s="141" t="n"/>
      <c r="AB10" s="141" t="n"/>
      <c r="AC10" s="141" t="n"/>
      <c r="AD10" s="135" t="n"/>
      <c r="AE10" s="141" t="n"/>
    </row>
    <row r="11" ht="14.25" customHeight="1" s="142">
      <c r="A11" s="135" t="n">
        <v>1010</v>
      </c>
      <c r="B11" s="8" t="inlineStr">
        <is>
          <t>技能抵抗上升</t>
        </is>
      </c>
      <c r="C11" s="52">
        <f>"每層提升5%技能倍率抗性，可堆疊，最多"&amp;X11&amp;"層，持續"&amp;Y11&amp;"回合"</f>
        <v/>
      </c>
      <c r="D11" s="135" t="inlineStr">
        <is>
          <t>buff</t>
        </is>
      </c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63" t="n">
        <v>0.05</v>
      </c>
      <c r="U11" s="141" t="n"/>
      <c r="V11" s="135" t="n"/>
      <c r="W11" s="135">
        <f>TRUE()</f>
        <v/>
      </c>
      <c r="X11" s="135" t="n">
        <v>5</v>
      </c>
      <c r="Y11" s="135" t="n">
        <v>3</v>
      </c>
      <c r="Z11" s="141" t="n"/>
      <c r="AA11" s="141" t="n"/>
      <c r="AB11" s="141" t="n"/>
      <c r="AC11" s="141" t="n"/>
      <c r="AD11" s="135" t="n"/>
      <c r="AE11" s="141" t="n"/>
    </row>
    <row r="12" ht="14.25" customHeight="1" s="142">
      <c r="A12" s="135" t="n">
        <v>1011</v>
      </c>
      <c r="B12" s="8" t="inlineStr">
        <is>
          <t>增加造成傷害</t>
        </is>
      </c>
      <c r="C12" s="52">
        <f>"每層提升3%造成傷害，可堆疊，最多"&amp;X12&amp;"層，持續"&amp;Y12&amp;"回合"</f>
        <v/>
      </c>
      <c r="D12" s="135" t="inlineStr">
        <is>
          <t>buff</t>
        </is>
      </c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141" t="n"/>
      <c r="U12" s="63" t="n">
        <v>0.03</v>
      </c>
      <c r="V12" s="135" t="n"/>
      <c r="W12" s="135">
        <f>TRUE()</f>
        <v/>
      </c>
      <c r="X12" s="135" t="n">
        <v>5</v>
      </c>
      <c r="Y12" s="135" t="n">
        <v>3</v>
      </c>
      <c r="Z12" s="141" t="n"/>
      <c r="AA12" s="141" t="n"/>
      <c r="AB12" s="141" t="n"/>
      <c r="AC12" s="141" t="n"/>
      <c r="AD12" s="135" t="n"/>
      <c r="AE12" s="141" t="n"/>
    </row>
    <row r="13" ht="14.25" customHeight="1" s="142">
      <c r="A13" s="135" t="n">
        <v>1012</v>
      </c>
      <c r="B13" s="8" t="inlineStr">
        <is>
          <t>減少受到傷害</t>
        </is>
      </c>
      <c r="C13" s="52">
        <f>"每層提升3%減少受到傷害，可堆疊，最多"&amp;X13&amp;"層，持續"&amp;Y13&amp;"回合"</f>
        <v/>
      </c>
      <c r="D13" s="135" t="inlineStr">
        <is>
          <t>buff</t>
        </is>
      </c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141" t="n"/>
      <c r="U13" s="141" t="n"/>
      <c r="V13" s="63" t="n">
        <v>0.03</v>
      </c>
      <c r="W13" s="135">
        <f>TRUE()</f>
        <v/>
      </c>
      <c r="X13" s="135" t="n">
        <v>5</v>
      </c>
      <c r="Y13" s="135" t="n">
        <v>3</v>
      </c>
      <c r="Z13" s="141" t="n"/>
      <c r="AA13" s="141" t="n"/>
      <c r="AB13" s="141" t="n"/>
      <c r="AC13" s="141" t="n"/>
      <c r="AD13" s="135" t="n"/>
      <c r="AE13" s="141" t="n"/>
    </row>
    <row r="14" ht="14.25" customHeight="1" s="142">
      <c r="A14" s="45" t="n"/>
      <c r="B14" s="45" t="n"/>
      <c r="V14" s="45" t="n"/>
      <c r="Y14" s="45" t="n"/>
    </row>
    <row r="15" ht="14.25" customHeight="1" s="142">
      <c r="A15" s="45" t="n"/>
      <c r="B15" s="45" t="n"/>
      <c r="V15" s="45" t="n"/>
      <c r="Y15" s="45" t="n"/>
    </row>
    <row r="16" ht="14.25" customHeight="1" s="142">
      <c r="A16" s="40" t="inlineStr">
        <is>
          <t>buff_id</t>
        </is>
      </c>
      <c r="B16" s="40" t="inlineStr">
        <is>
          <t>buff名稱</t>
        </is>
      </c>
      <c r="C16" s="40" t="inlineStr">
        <is>
          <t>buff_info</t>
        </is>
      </c>
      <c r="D16" s="40" t="inlineStr">
        <is>
          <t>#備註用</t>
        </is>
      </c>
      <c r="E16" s="40" t="inlineStr">
        <is>
          <t>buff_exchange</t>
        </is>
      </c>
      <c r="F16" s="40" t="inlineStr">
        <is>
          <t>tag</t>
        </is>
      </c>
      <c r="G16" s="40" t="inlineStr">
        <is>
          <t>element</t>
        </is>
      </c>
      <c r="H16" s="40" t="inlineStr">
        <is>
          <t>ATK</t>
        </is>
      </c>
      <c r="I16" s="40" t="inlineStr">
        <is>
          <t>MATK</t>
        </is>
      </c>
      <c r="J16" s="40" t="inlineStr">
        <is>
          <t>DEF</t>
        </is>
      </c>
      <c r="K16" s="40" t="inlineStr">
        <is>
          <t>MDEF</t>
        </is>
      </c>
      <c r="L16" s="40" t="inlineStr">
        <is>
          <t>CRI</t>
        </is>
      </c>
      <c r="M16" s="40" t="inlineStr">
        <is>
          <t>MP</t>
        </is>
      </c>
      <c r="N16" s="40" t="inlineStr">
        <is>
          <t>cri_resist</t>
        </is>
      </c>
      <c r="O16" s="40" t="inlineStr">
        <is>
          <t>AGI</t>
        </is>
      </c>
      <c r="P16" s="40" t="inlineStr">
        <is>
          <t>damage_reflect</t>
        </is>
      </c>
      <c r="Q16" s="40" t="inlineStr">
        <is>
          <t>cri_damage</t>
        </is>
      </c>
      <c r="R16" s="40" t="inlineStr">
        <is>
          <t>cri_damage_resist</t>
        </is>
      </c>
      <c r="S16" s="40" t="inlineStr">
        <is>
          <t>skill_rate</t>
        </is>
      </c>
      <c r="T16" s="40" t="inlineStr">
        <is>
          <t>skill_resist</t>
        </is>
      </c>
      <c r="U16" s="40" t="inlineStr">
        <is>
          <t>damage_increase</t>
        </is>
      </c>
      <c r="V16" s="40" t="inlineStr">
        <is>
          <t>damage_reduce</t>
        </is>
      </c>
      <c r="W16" s="40" t="inlineStr">
        <is>
          <t>reflashAble</t>
        </is>
      </c>
      <c r="X16" s="40" t="inlineStr">
        <is>
          <t>max_stack</t>
        </is>
      </c>
      <c r="Y16" s="48" t="inlineStr">
        <is>
          <t>持續回合數</t>
        </is>
      </c>
      <c r="Z16" s="40" t="inlineStr">
        <is>
          <t>effective_turn</t>
        </is>
      </c>
      <c r="AA16" s="40" t="inlineStr">
        <is>
          <t>effective_currenthp_higher</t>
        </is>
      </c>
      <c r="AB16" s="40" t="inlineStr">
        <is>
          <t>effective_currenthp_lower</t>
        </is>
      </c>
      <c r="AC16" s="40" t="inlineStr">
        <is>
          <t>invisible</t>
        </is>
      </c>
      <c r="AD16" s="40" t="inlineStr">
        <is>
          <t>set_info</t>
        </is>
      </c>
      <c r="AE16" s="141" t="inlineStr">
        <is>
          <t>set_effective_count</t>
        </is>
      </c>
    </row>
    <row r="17" ht="14.25" customHeight="1" s="142">
      <c r="A17" s="135" t="n">
        <v>2001</v>
      </c>
      <c r="B17" s="8" t="inlineStr">
        <is>
          <t>攻擊下降</t>
        </is>
      </c>
      <c r="C17" s="52">
        <f>"每層降低5%攻擊，可堆疊，最多"&amp;X17&amp;"層，持續"&amp;Y17&amp;"回合"</f>
        <v/>
      </c>
      <c r="D17" s="135" t="inlineStr">
        <is>
          <t>debuff</t>
        </is>
      </c>
      <c r="E17" s="63" t="n"/>
      <c r="F17" s="63" t="n"/>
      <c r="G17" s="63" t="n"/>
      <c r="H17" s="63" t="n">
        <v>-0.05</v>
      </c>
      <c r="I17" s="135" t="n"/>
      <c r="J17" s="135" t="n"/>
      <c r="K17" s="135" t="n"/>
      <c r="L17" s="135" t="n"/>
      <c r="M17" s="135" t="n"/>
      <c r="N17" s="135" t="n"/>
      <c r="O17" s="135" t="n"/>
      <c r="P17" s="135" t="n"/>
      <c r="Q17" s="135" t="n"/>
      <c r="R17" s="135" t="n"/>
      <c r="S17" s="135" t="n"/>
      <c r="T17" s="135" t="n"/>
      <c r="U17" s="135" t="n"/>
      <c r="V17" s="135" t="n"/>
      <c r="W17" s="135">
        <f>TRUE()</f>
        <v/>
      </c>
      <c r="X17" s="135" t="n">
        <v>5</v>
      </c>
      <c r="Y17" s="135" t="n">
        <v>3</v>
      </c>
      <c r="Z17" s="141" t="n"/>
      <c r="AA17" s="141" t="n"/>
      <c r="AB17" s="141" t="n"/>
      <c r="AC17" s="141" t="n"/>
      <c r="AD17" s="135" t="n"/>
      <c r="AE17" s="141" t="n"/>
    </row>
    <row r="18" ht="14.25" customHeight="1" s="142">
      <c r="A18" s="135" t="n">
        <v>2002</v>
      </c>
      <c r="B18" s="8" t="inlineStr">
        <is>
          <t>防禦下降</t>
        </is>
      </c>
      <c r="C18" s="52">
        <f>"每層降低5%防禦，可堆疊，最多"&amp;X18&amp;"層，持續"&amp;Y18&amp;"回合"</f>
        <v/>
      </c>
      <c r="D18" s="135" t="inlineStr">
        <is>
          <t>debuff</t>
        </is>
      </c>
      <c r="E18" s="135" t="n"/>
      <c r="F18" s="135" t="n"/>
      <c r="G18" s="135" t="n"/>
      <c r="H18" s="135" t="n"/>
      <c r="I18" s="135" t="n"/>
      <c r="J18" s="63" t="n">
        <v>-0.05</v>
      </c>
      <c r="K18" s="135" t="n"/>
      <c r="L18" s="135" t="n"/>
      <c r="M18" s="135" t="n"/>
      <c r="N18" s="135" t="n"/>
      <c r="O18" s="135" t="n"/>
      <c r="P18" s="135" t="n"/>
      <c r="Q18" s="135" t="n"/>
      <c r="R18" s="135" t="n"/>
      <c r="S18" s="135" t="n"/>
      <c r="T18" s="135" t="n"/>
      <c r="U18" s="135" t="n"/>
      <c r="V18" s="135" t="n"/>
      <c r="W18" s="135">
        <f>TRUE()</f>
        <v/>
      </c>
      <c r="X18" s="135" t="n">
        <v>5</v>
      </c>
      <c r="Y18" s="135" t="n">
        <v>3</v>
      </c>
      <c r="Z18" s="141" t="n"/>
      <c r="AA18" s="141" t="n"/>
      <c r="AB18" s="141" t="n"/>
      <c r="AC18" s="141" t="n"/>
      <c r="AD18" s="135" t="n"/>
      <c r="AE18" s="141" t="n"/>
    </row>
    <row r="19" ht="14.25" customHeight="1" s="142">
      <c r="A19" s="135" t="n">
        <v>2003</v>
      </c>
      <c r="B19" s="8" t="inlineStr">
        <is>
          <t>魔攻下降</t>
        </is>
      </c>
      <c r="C19" s="52">
        <f>"每層降低5%魔攻，可堆疊，最多"&amp;X19&amp;"層，持續"&amp;Y19&amp;"回合"</f>
        <v/>
      </c>
      <c r="D19" s="135" t="inlineStr">
        <is>
          <t>debuff</t>
        </is>
      </c>
      <c r="E19" s="135" t="n"/>
      <c r="F19" s="135" t="n"/>
      <c r="G19" s="135" t="n"/>
      <c r="H19" s="135" t="n"/>
      <c r="I19" s="63" t="n">
        <v>-0.05</v>
      </c>
      <c r="J19" s="135" t="n"/>
      <c r="K19" s="135" t="n"/>
      <c r="L19" s="135" t="n"/>
      <c r="M19" s="135" t="n"/>
      <c r="N19" s="135" t="n"/>
      <c r="O19" s="135" t="n"/>
      <c r="P19" s="135" t="n"/>
      <c r="Q19" s="135" t="n"/>
      <c r="R19" s="135" t="n"/>
      <c r="S19" s="135" t="n"/>
      <c r="T19" s="135" t="n"/>
      <c r="U19" s="135" t="n"/>
      <c r="V19" s="135" t="n"/>
      <c r="W19" s="135">
        <f>TRUE()</f>
        <v/>
      </c>
      <c r="X19" s="135" t="n">
        <v>5</v>
      </c>
      <c r="Y19" s="135" t="n">
        <v>3</v>
      </c>
      <c r="Z19" s="141" t="n"/>
      <c r="AA19" s="141" t="n"/>
      <c r="AB19" s="141" t="n"/>
      <c r="AC19" s="141" t="n"/>
      <c r="AD19" s="135" t="n"/>
      <c r="AE19" s="141" t="n"/>
    </row>
    <row r="20" ht="14.25" customHeight="1" s="142">
      <c r="A20" s="135" t="n">
        <v>2004</v>
      </c>
      <c r="B20" s="8" t="inlineStr">
        <is>
          <t>魔防下降</t>
        </is>
      </c>
      <c r="C20" s="52">
        <f>"每層降低5%魔防，可堆疊，最多"&amp;X20&amp;"層，持續"&amp;Y20&amp;"回合"</f>
        <v/>
      </c>
      <c r="D20" s="135" t="inlineStr">
        <is>
          <t>debuff</t>
        </is>
      </c>
      <c r="E20" s="135" t="n"/>
      <c r="F20" s="135" t="n"/>
      <c r="G20" s="135" t="n"/>
      <c r="H20" s="135" t="n"/>
      <c r="I20" s="135" t="n"/>
      <c r="J20" s="135" t="n"/>
      <c r="K20" s="63" t="n">
        <v>-0.05</v>
      </c>
      <c r="L20" s="135" t="n"/>
      <c r="M20" s="135" t="n"/>
      <c r="N20" s="135" t="n"/>
      <c r="O20" s="135" t="n"/>
      <c r="P20" s="135" t="n"/>
      <c r="Q20" s="135" t="n"/>
      <c r="R20" s="135" t="n"/>
      <c r="S20" s="135" t="n"/>
      <c r="T20" s="135" t="n"/>
      <c r="U20" s="135" t="n"/>
      <c r="V20" s="135" t="n"/>
      <c r="W20" s="135">
        <f>TRUE()</f>
        <v/>
      </c>
      <c r="X20" s="135" t="n">
        <v>5</v>
      </c>
      <c r="Y20" s="135" t="n">
        <v>3</v>
      </c>
      <c r="Z20" s="141" t="n"/>
      <c r="AA20" s="141" t="n"/>
      <c r="AB20" s="141" t="n"/>
      <c r="AC20" s="141" t="n"/>
      <c r="AD20" s="135" t="n"/>
      <c r="AE20" s="141" t="n"/>
    </row>
    <row r="21" ht="14.25" customHeight="1" s="142">
      <c r="A21" s="135" t="n">
        <v>2005</v>
      </c>
      <c r="B21" s="8" t="inlineStr">
        <is>
          <t>爆擊下降</t>
        </is>
      </c>
      <c r="C21" s="52">
        <f>"每層降低5%爆擊率，可堆疊，最多"&amp;X21&amp;"層，持續"&amp;Y21&amp;"回合"</f>
        <v/>
      </c>
      <c r="D21" s="135" t="inlineStr">
        <is>
          <t>debuff</t>
        </is>
      </c>
      <c r="E21" s="135" t="n"/>
      <c r="F21" s="135" t="n"/>
      <c r="G21" s="135" t="n"/>
      <c r="H21" s="135" t="n"/>
      <c r="I21" s="135" t="n"/>
      <c r="J21" s="135" t="n"/>
      <c r="K21" s="135" t="n"/>
      <c r="L21" s="63" t="n">
        <v>-0.05</v>
      </c>
      <c r="M21" s="135" t="n"/>
      <c r="N21" s="135" t="n"/>
      <c r="O21" s="135" t="n"/>
      <c r="P21" s="135" t="n"/>
      <c r="Q21" s="135" t="n"/>
      <c r="R21" s="135" t="n"/>
      <c r="S21" s="135" t="n"/>
      <c r="T21" s="135" t="n"/>
      <c r="U21" s="135" t="n"/>
      <c r="V21" s="135" t="n"/>
      <c r="W21" s="135">
        <f>TRUE()</f>
        <v/>
      </c>
      <c r="X21" s="135" t="n">
        <v>5</v>
      </c>
      <c r="Y21" s="135" t="n">
        <v>3</v>
      </c>
      <c r="Z21" s="141" t="n"/>
      <c r="AA21" s="141" t="n"/>
      <c r="AB21" s="141" t="n"/>
      <c r="AC21" s="141" t="n"/>
      <c r="AD21" s="135" t="n"/>
      <c r="AE21" s="141" t="n"/>
    </row>
    <row r="22" ht="14.25" customHeight="1" s="142">
      <c r="A22" s="135" t="n">
        <v>2006</v>
      </c>
      <c r="B22" s="8" t="inlineStr">
        <is>
          <t>爆傷下降</t>
        </is>
      </c>
      <c r="C22" s="52">
        <f>"每層降低5%爆擊傷害，可堆疊，最多"&amp;X22&amp;"層，持續"&amp;Y22&amp;"回合"</f>
        <v/>
      </c>
      <c r="D22" s="135" t="inlineStr">
        <is>
          <t>debuff</t>
        </is>
      </c>
      <c r="E22" s="135" t="n"/>
      <c r="F22" s="135" t="n"/>
      <c r="G22" s="135" t="n"/>
      <c r="H22" s="135" t="n"/>
      <c r="I22" s="135" t="n"/>
      <c r="J22" s="135" t="n"/>
      <c r="K22" s="135" t="n"/>
      <c r="L22" s="135" t="n"/>
      <c r="M22" s="141" t="n"/>
      <c r="N22" s="141" t="n"/>
      <c r="O22" s="141" t="n"/>
      <c r="P22" s="141" t="n"/>
      <c r="Q22" s="63" t="n">
        <v>-0.05</v>
      </c>
      <c r="R22" s="141" t="n"/>
      <c r="S22" s="141" t="n"/>
      <c r="T22" s="141" t="n"/>
      <c r="U22" s="141" t="n"/>
      <c r="V22" s="135" t="n"/>
      <c r="W22" s="135">
        <f>TRUE()</f>
        <v/>
      </c>
      <c r="X22" s="135" t="n">
        <v>5</v>
      </c>
      <c r="Y22" s="135" t="n">
        <v>3</v>
      </c>
      <c r="Z22" s="141" t="n"/>
      <c r="AA22" s="141" t="n"/>
      <c r="AB22" s="141" t="n"/>
      <c r="AC22" s="141" t="n"/>
      <c r="AD22" s="135" t="n"/>
      <c r="AE22" s="141" t="n"/>
    </row>
    <row r="23" ht="14.25" customHeight="1" s="142">
      <c r="A23" s="135" t="n">
        <v>2007</v>
      </c>
      <c r="B23" s="8" t="inlineStr">
        <is>
          <t>技能傷害下降</t>
        </is>
      </c>
      <c r="C23" s="52">
        <f>"每層降低5%技能傷害，可堆疊，最多"&amp;X23&amp;"層，持續"&amp;Y23&amp;"回合"</f>
        <v/>
      </c>
      <c r="D23" s="135" t="inlineStr">
        <is>
          <t>debuff</t>
        </is>
      </c>
      <c r="E23" s="135" t="n"/>
      <c r="F23" s="135" t="n"/>
      <c r="G23" s="135" t="n"/>
      <c r="H23" s="135" t="n"/>
      <c r="I23" s="135" t="n"/>
      <c r="J23" s="135" t="n"/>
      <c r="K23" s="135" t="n"/>
      <c r="L23" s="135" t="n"/>
      <c r="M23" s="141" t="n"/>
      <c r="N23" s="141" t="n"/>
      <c r="O23" s="141" t="n"/>
      <c r="P23" s="141" t="n"/>
      <c r="Q23" s="141" t="n"/>
      <c r="R23" s="141" t="n"/>
      <c r="S23" s="63" t="n">
        <v>-0.05</v>
      </c>
      <c r="T23" s="141" t="n"/>
      <c r="U23" s="141" t="n"/>
      <c r="V23" s="135" t="n"/>
      <c r="W23" s="135">
        <f>TRUE()</f>
        <v/>
      </c>
      <c r="X23" s="135" t="n">
        <v>5</v>
      </c>
      <c r="Y23" s="135" t="n">
        <v>3</v>
      </c>
      <c r="Z23" s="141" t="n"/>
      <c r="AA23" s="141" t="n"/>
      <c r="AB23" s="141" t="n"/>
      <c r="AC23" s="141" t="n"/>
      <c r="AD23" s="135" t="n"/>
      <c r="AE23" s="141" t="n"/>
    </row>
    <row r="24" ht="14.25" customHeight="1" s="142">
      <c r="A24" s="135" t="n">
        <v>2008</v>
      </c>
      <c r="B24" s="8" t="inlineStr">
        <is>
          <t>爆擊抗性下降</t>
        </is>
      </c>
      <c r="C24" s="52">
        <f>"每層降低5%爆擊抗性，可堆疊，最多"&amp;X24&amp;"層，持續"&amp;Y24&amp;"回合"</f>
        <v/>
      </c>
      <c r="D24" s="135" t="inlineStr">
        <is>
          <t>debuff</t>
        </is>
      </c>
      <c r="E24" s="135" t="n"/>
      <c r="F24" s="135" t="n"/>
      <c r="G24" s="135" t="n"/>
      <c r="H24" s="135" t="n"/>
      <c r="I24" s="135" t="n"/>
      <c r="J24" s="135" t="n"/>
      <c r="K24" s="135" t="n"/>
      <c r="L24" s="135" t="n"/>
      <c r="M24" s="141" t="n"/>
      <c r="N24" s="63" t="n">
        <v>-0.05</v>
      </c>
      <c r="O24" s="141" t="n"/>
      <c r="P24" s="141" t="n"/>
      <c r="Q24" s="141" t="n"/>
      <c r="R24" s="141" t="n"/>
      <c r="S24" s="141" t="n"/>
      <c r="T24" s="141" t="n"/>
      <c r="U24" s="141" t="n"/>
      <c r="V24" s="135" t="n"/>
      <c r="W24" s="135">
        <f>TRUE()</f>
        <v/>
      </c>
      <c r="X24" s="135" t="n">
        <v>5</v>
      </c>
      <c r="Y24" s="135" t="n">
        <v>3</v>
      </c>
      <c r="Z24" s="141" t="n"/>
      <c r="AA24" s="141" t="n"/>
      <c r="AB24" s="141" t="n"/>
      <c r="AC24" s="141" t="n"/>
      <c r="AD24" s="135" t="n"/>
      <c r="AE24" s="141" t="n"/>
    </row>
    <row r="25" ht="14.25" customHeight="1" s="142">
      <c r="A25" s="135" t="n">
        <v>2009</v>
      </c>
      <c r="B25" s="8" t="inlineStr">
        <is>
          <t>爆傷抗性下降</t>
        </is>
      </c>
      <c r="C25" s="52">
        <f>"每層降低5%爆傷抗性，可堆疊，最多"&amp;X25&amp;"層，持續"&amp;Y25&amp;"回合"</f>
        <v/>
      </c>
      <c r="D25" s="135" t="inlineStr">
        <is>
          <t>debuff</t>
        </is>
      </c>
      <c r="E25" s="135" t="n"/>
      <c r="F25" s="135" t="n"/>
      <c r="G25" s="135" t="n"/>
      <c r="H25" s="135" t="n"/>
      <c r="I25" s="135" t="n"/>
      <c r="J25" s="135" t="n"/>
      <c r="K25" s="135" t="n"/>
      <c r="L25" s="135" t="n"/>
      <c r="M25" s="141" t="n"/>
      <c r="N25" s="141" t="n"/>
      <c r="O25" s="141" t="n"/>
      <c r="P25" s="141" t="n"/>
      <c r="Q25" s="141" t="n"/>
      <c r="R25" s="63" t="n">
        <v>-0.05</v>
      </c>
      <c r="S25" s="141" t="n"/>
      <c r="T25" s="141" t="n"/>
      <c r="U25" s="141" t="n"/>
      <c r="V25" s="135" t="n"/>
      <c r="W25" s="135">
        <f>TRUE()</f>
        <v/>
      </c>
      <c r="X25" s="135" t="n">
        <v>5</v>
      </c>
      <c r="Y25" s="135" t="n">
        <v>3</v>
      </c>
      <c r="Z25" s="141" t="n"/>
      <c r="AA25" s="141" t="n"/>
      <c r="AB25" s="141" t="n"/>
      <c r="AC25" s="141" t="n"/>
      <c r="AD25" s="135" t="n"/>
      <c r="AE25" s="141" t="n"/>
    </row>
    <row r="26" ht="14.25" customHeight="1" s="142">
      <c r="A26" s="135" t="n">
        <v>2010</v>
      </c>
      <c r="B26" s="8" t="inlineStr">
        <is>
          <t>技能抵抗下降</t>
        </is>
      </c>
      <c r="C26" s="52">
        <f>"每層降低5%技能傷害，可堆疊，最多"&amp;X26&amp;"層，持續"&amp;Y26&amp;"回合"</f>
        <v/>
      </c>
      <c r="D26" s="135" t="inlineStr">
        <is>
          <t>debuff</t>
        </is>
      </c>
      <c r="E26" s="135" t="n"/>
      <c r="F26" s="135" t="n"/>
      <c r="G26" s="135" t="n"/>
      <c r="H26" s="135" t="n"/>
      <c r="I26" s="135" t="n"/>
      <c r="J26" s="135" t="n"/>
      <c r="K26" s="135" t="n"/>
      <c r="L26" s="135" t="n"/>
      <c r="M26" s="141" t="n"/>
      <c r="N26" s="141" t="n"/>
      <c r="O26" s="141" t="n"/>
      <c r="P26" s="141" t="n"/>
      <c r="Q26" s="141" t="n"/>
      <c r="R26" s="141" t="n"/>
      <c r="S26" s="141" t="n"/>
      <c r="T26" s="63" t="n">
        <v>-0.05</v>
      </c>
      <c r="U26" s="141" t="n"/>
      <c r="V26" s="135" t="n"/>
      <c r="W26" s="135">
        <f>TRUE()</f>
        <v/>
      </c>
      <c r="X26" s="135" t="n">
        <v>5</v>
      </c>
      <c r="Y26" s="135" t="n">
        <v>3</v>
      </c>
      <c r="Z26" s="141" t="n"/>
      <c r="AA26" s="141" t="n"/>
      <c r="AB26" s="141" t="n"/>
      <c r="AC26" s="141" t="n"/>
      <c r="AD26" s="135" t="n"/>
      <c r="AE26" s="141" t="n"/>
    </row>
    <row r="27" ht="14.25" customHeight="1" s="142">
      <c r="A27" s="135" t="n">
        <v>2011</v>
      </c>
      <c r="B27" s="8" t="inlineStr">
        <is>
          <t>減少造成傷害</t>
        </is>
      </c>
      <c r="C27" s="52">
        <f>"每層降低3%造成傷害，可堆疊，最多"&amp;X27&amp;"層，持續"&amp;Y27&amp;"回合"</f>
        <v/>
      </c>
      <c r="D27" s="135" t="inlineStr">
        <is>
          <t>debuff</t>
        </is>
      </c>
      <c r="E27" s="135" t="n"/>
      <c r="F27" s="135" t="n"/>
      <c r="G27" s="135" t="n"/>
      <c r="H27" s="135" t="n"/>
      <c r="I27" s="135" t="n"/>
      <c r="J27" s="135" t="n"/>
      <c r="K27" s="135" t="n"/>
      <c r="L27" s="135" t="n"/>
      <c r="M27" s="141" t="n"/>
      <c r="N27" s="141" t="n"/>
      <c r="O27" s="141" t="n"/>
      <c r="P27" s="141" t="n"/>
      <c r="Q27" s="141" t="n"/>
      <c r="R27" s="141" t="n"/>
      <c r="S27" s="141" t="n"/>
      <c r="T27" s="141" t="n"/>
      <c r="U27" s="63" t="n">
        <v>-0.03</v>
      </c>
      <c r="V27" s="135" t="n"/>
      <c r="W27" s="135">
        <f>TRUE()</f>
        <v/>
      </c>
      <c r="X27" s="135" t="n">
        <v>5</v>
      </c>
      <c r="Y27" s="135" t="n">
        <v>3</v>
      </c>
      <c r="Z27" s="141" t="n"/>
      <c r="AA27" s="141" t="n"/>
      <c r="AB27" s="141" t="n"/>
      <c r="AC27" s="141" t="n"/>
      <c r="AD27" s="135" t="n"/>
      <c r="AE27" s="141" t="n"/>
    </row>
    <row r="28" ht="14.25" customHeight="1" s="142">
      <c r="A28" s="135" t="n">
        <v>2012</v>
      </c>
      <c r="B28" s="8" t="inlineStr">
        <is>
          <t>增加受到傷害</t>
        </is>
      </c>
      <c r="C28" s="52">
        <f>"每層增加3%受到傷害，可堆疊，最多"&amp;X28&amp;"層，持續"&amp;Y28&amp;"回合"</f>
        <v/>
      </c>
      <c r="D28" s="135" t="inlineStr">
        <is>
          <t>debuff</t>
        </is>
      </c>
      <c r="E28" s="135" t="n"/>
      <c r="F28" s="135" t="n"/>
      <c r="G28" s="135" t="n"/>
      <c r="H28" s="135" t="n"/>
      <c r="I28" s="135" t="n"/>
      <c r="J28" s="135" t="n"/>
      <c r="K28" s="135" t="n"/>
      <c r="L28" s="135" t="n"/>
      <c r="M28" s="141" t="n"/>
      <c r="N28" s="141" t="n"/>
      <c r="O28" s="141" t="n"/>
      <c r="P28" s="141" t="n"/>
      <c r="Q28" s="141" t="n"/>
      <c r="R28" s="141" t="n"/>
      <c r="S28" s="141" t="n"/>
      <c r="T28" s="141" t="n"/>
      <c r="U28" s="141" t="n"/>
      <c r="V28" s="63" t="n">
        <v>-0.03</v>
      </c>
      <c r="W28" s="135">
        <f>TRUE()</f>
        <v/>
      </c>
      <c r="X28" s="135" t="n">
        <v>5</v>
      </c>
      <c r="Y28" s="135" t="n">
        <v>3</v>
      </c>
      <c r="Z28" s="141" t="n"/>
      <c r="AA28" s="141" t="n"/>
      <c r="AB28" s="141" t="n"/>
      <c r="AC28" s="141" t="n"/>
      <c r="AD28" s="135" t="n"/>
      <c r="AE28" s="141" t="n"/>
    </row>
    <row r="29" ht="14.25" customHeight="1" s="142">
      <c r="A29" s="45" t="n"/>
      <c r="B29" s="45" t="n"/>
      <c r="C29" s="47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64" t="n"/>
      <c r="M29" s="45" t="n"/>
      <c r="N29" s="45" t="n"/>
      <c r="O29" s="45" t="n"/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AD29" s="45" t="n"/>
    </row>
    <row r="30" ht="14.25" customHeight="1" s="142">
      <c r="A30" s="40" t="inlineStr">
        <is>
          <t>buff_id</t>
        </is>
      </c>
      <c r="B30" s="40" t="inlineStr">
        <is>
          <t>buff名稱</t>
        </is>
      </c>
      <c r="C30" s="40" t="inlineStr">
        <is>
          <t>buff_info</t>
        </is>
      </c>
      <c r="D30" s="40" t="inlineStr">
        <is>
          <t>#備註用</t>
        </is>
      </c>
      <c r="E30" s="40" t="inlineStr">
        <is>
          <t>buff_exchange</t>
        </is>
      </c>
      <c r="F30" s="40" t="inlineStr">
        <is>
          <t>tag</t>
        </is>
      </c>
      <c r="G30" s="40" t="inlineStr">
        <is>
          <t>element</t>
        </is>
      </c>
      <c r="H30" s="40" t="inlineStr">
        <is>
          <t>ATK</t>
        </is>
      </c>
      <c r="I30" s="40" t="inlineStr">
        <is>
          <t>MATK</t>
        </is>
      </c>
      <c r="J30" s="40" t="inlineStr">
        <is>
          <t>DEF</t>
        </is>
      </c>
      <c r="K30" s="40" t="inlineStr">
        <is>
          <t>MDEF</t>
        </is>
      </c>
      <c r="L30" s="40" t="inlineStr">
        <is>
          <t>CRI</t>
        </is>
      </c>
      <c r="M30" s="40" t="inlineStr">
        <is>
          <t>MP</t>
        </is>
      </c>
      <c r="N30" s="40" t="inlineStr">
        <is>
          <t>cri_resist</t>
        </is>
      </c>
      <c r="O30" s="40" t="inlineStr">
        <is>
          <t>AGI</t>
        </is>
      </c>
      <c r="P30" s="40" t="inlineStr">
        <is>
          <t>damage_reflect</t>
        </is>
      </c>
      <c r="Q30" s="40" t="inlineStr">
        <is>
          <t>cri_damage</t>
        </is>
      </c>
      <c r="R30" s="40" t="inlineStr">
        <is>
          <t>cri_damage_resist</t>
        </is>
      </c>
      <c r="S30" s="40" t="inlineStr">
        <is>
          <t>skill_rate</t>
        </is>
      </c>
      <c r="T30" s="40" t="inlineStr">
        <is>
          <t>skill_resist</t>
        </is>
      </c>
      <c r="U30" s="40" t="inlineStr">
        <is>
          <t>damage_increase</t>
        </is>
      </c>
      <c r="V30" s="40" t="inlineStr">
        <is>
          <t>damage_reduce</t>
        </is>
      </c>
      <c r="W30" s="40" t="inlineStr">
        <is>
          <t>reflashAble</t>
        </is>
      </c>
      <c r="X30" s="40" t="inlineStr">
        <is>
          <t>max_stack</t>
        </is>
      </c>
      <c r="Y30" s="48" t="inlineStr">
        <is>
          <t>持續回合數</t>
        </is>
      </c>
      <c r="Z30" s="40" t="inlineStr">
        <is>
          <t>effective_turn</t>
        </is>
      </c>
      <c r="AA30" s="40" t="inlineStr">
        <is>
          <t>effective_currenthp_higher</t>
        </is>
      </c>
      <c r="AB30" s="40" t="inlineStr">
        <is>
          <t>effective_currenthp_lower</t>
        </is>
      </c>
      <c r="AC30" s="40" t="inlineStr">
        <is>
          <t>invisible</t>
        </is>
      </c>
      <c r="AD30" s="40" t="inlineStr">
        <is>
          <t>set_info</t>
        </is>
      </c>
      <c r="AE30" s="141" t="inlineStr">
        <is>
          <t>set_effective_count</t>
        </is>
      </c>
    </row>
    <row r="31" ht="14.25" customHeight="1" s="142">
      <c r="A31" s="135" t="n">
        <v>1996</v>
      </c>
      <c r="B31" s="8" t="inlineStr">
        <is>
          <t>傷害分擔</t>
        </is>
      </c>
      <c r="C31" s="52">
        <f>"將所有受到的傷害50%改由發起護衛者承擔"&amp;"持續"&amp;Y31&amp;"回合"</f>
        <v/>
      </c>
      <c r="D31" s="135" t="inlineStr">
        <is>
          <t>buff</t>
        </is>
      </c>
      <c r="E31" s="135" t="n"/>
      <c r="F31" s="135" t="n"/>
      <c r="G31" s="135" t="n"/>
      <c r="H31" s="135" t="n"/>
      <c r="I31" s="135" t="n"/>
      <c r="J31" s="135" t="n"/>
      <c r="K31" s="135" t="n"/>
      <c r="L31" s="135" t="n"/>
      <c r="M31" s="135" t="n"/>
      <c r="N31" s="135" t="n"/>
      <c r="O31" s="135" t="n"/>
      <c r="P31" s="135" t="n"/>
      <c r="Q31" s="135" t="n"/>
      <c r="R31" s="135" t="n"/>
      <c r="S31" s="135" t="n"/>
      <c r="T31" s="135" t="n"/>
      <c r="U31" s="135" t="n"/>
      <c r="V31" s="135" t="n"/>
      <c r="W31" s="135">
        <f>FALSE()</f>
        <v/>
      </c>
      <c r="X31" s="135" t="n">
        <v>1</v>
      </c>
      <c r="Y31" s="135" t="n">
        <v>2</v>
      </c>
      <c r="Z31" s="141" t="n"/>
      <c r="AA31" s="141" t="n"/>
      <c r="AB31" s="141" t="n"/>
      <c r="AC31" s="141" t="n"/>
      <c r="AD31" s="135" t="n"/>
      <c r="AE31" s="141" t="n"/>
    </row>
    <row r="32" ht="14.25" customHeight="1" s="142">
      <c r="A32" s="135" t="n">
        <v>1997</v>
      </c>
      <c r="B32" s="8" t="inlineStr">
        <is>
          <t>傷害反彈</t>
        </is>
      </c>
      <c r="C32" s="52">
        <f>"減少15%受到的傷害，並將受到傷害反射至攻擊者，"&amp;"持續"&amp;Y32&amp;"回合"</f>
        <v/>
      </c>
      <c r="D32" s="135" t="inlineStr">
        <is>
          <t>buff</t>
        </is>
      </c>
      <c r="E32" s="135" t="n"/>
      <c r="F32" s="135" t="n"/>
      <c r="G32" s="135" t="n"/>
      <c r="H32" s="135" t="n"/>
      <c r="I32" s="135" t="n"/>
      <c r="J32" s="135" t="n"/>
      <c r="K32" s="135" t="n"/>
      <c r="L32" s="135" t="n"/>
      <c r="M32" s="135" t="n"/>
      <c r="N32" s="135" t="n"/>
      <c r="O32" s="135" t="n"/>
      <c r="P32" s="135" t="n">
        <v>0.15</v>
      </c>
      <c r="Q32" s="135" t="n"/>
      <c r="R32" s="135" t="n"/>
      <c r="S32" s="135" t="n"/>
      <c r="T32" s="135" t="n"/>
      <c r="U32" s="135" t="n"/>
      <c r="V32" s="135" t="n"/>
      <c r="W32" s="135">
        <f>FALSE()</f>
        <v/>
      </c>
      <c r="X32" s="135" t="n">
        <v>1</v>
      </c>
      <c r="Y32" s="135" t="n">
        <v>2</v>
      </c>
      <c r="Z32" s="141" t="n"/>
      <c r="AA32" s="141" t="n"/>
      <c r="AB32" s="141" t="n"/>
      <c r="AC32" s="141" t="n"/>
      <c r="AD32" s="135" t="n"/>
      <c r="AE32" s="141" t="n"/>
    </row>
    <row r="33" ht="14.25" customHeight="1" s="142">
      <c r="A33" s="135" t="n">
        <v>1998</v>
      </c>
      <c r="B33" s="8" t="inlineStr">
        <is>
          <t>受護衛效果</t>
        </is>
      </c>
      <c r="C33" s="52">
        <f>"將所有受到的傷害改由發起護衛者承擔，"&amp;"持續"&amp;Y33&amp;"回合"</f>
        <v/>
      </c>
      <c r="D33" s="135" t="inlineStr">
        <is>
          <t>buff</t>
        </is>
      </c>
      <c r="E33" s="135" t="n"/>
      <c r="F33" s="135" t="n"/>
      <c r="G33" s="135" t="n"/>
      <c r="H33" s="135" t="n"/>
      <c r="I33" s="135" t="n"/>
      <c r="J33" s="135" t="n"/>
      <c r="K33" s="135" t="n"/>
      <c r="L33" s="135" t="n"/>
      <c r="M33" s="135" t="n"/>
      <c r="N33" s="135" t="n"/>
      <c r="O33" s="135" t="n"/>
      <c r="P33" s="135" t="n"/>
      <c r="Q33" s="135" t="n"/>
      <c r="R33" s="135" t="n"/>
      <c r="S33" s="135" t="n"/>
      <c r="T33" s="135" t="n"/>
      <c r="U33" s="135" t="n"/>
      <c r="V33" s="135" t="n"/>
      <c r="W33" s="135">
        <f>FALSE()</f>
        <v/>
      </c>
      <c r="X33" s="135" t="n">
        <v>1</v>
      </c>
      <c r="Y33" s="135" t="n">
        <v>1</v>
      </c>
      <c r="Z33" s="141" t="n"/>
      <c r="AA33" s="141" t="n"/>
      <c r="AB33" s="141" t="n"/>
      <c r="AC33" s="141" t="n"/>
      <c r="AD33" s="135" t="n"/>
      <c r="AE33" s="141" t="n"/>
    </row>
    <row r="34" ht="14.25" customHeight="1" s="142">
      <c r="A34" s="135" t="n">
        <v>1999</v>
      </c>
      <c r="B34" s="8" t="inlineStr">
        <is>
          <t>護盾</t>
        </is>
      </c>
      <c r="C34" s="52">
        <f>"優先抵擋傷害的護盾HP，"&amp;"持續"&amp;Y34&amp;"回合"</f>
        <v/>
      </c>
      <c r="D34" s="135" t="inlineStr">
        <is>
          <t>buff</t>
        </is>
      </c>
      <c r="E34" s="135" t="n"/>
      <c r="F34" s="135" t="n"/>
      <c r="G34" s="135" t="n"/>
      <c r="H34" s="135" t="n"/>
      <c r="I34" s="135" t="n"/>
      <c r="J34" s="135" t="n"/>
      <c r="K34" s="135" t="n"/>
      <c r="L34" s="135" t="n"/>
      <c r="M34" s="135" t="n"/>
      <c r="N34" s="135" t="n"/>
      <c r="O34" s="135" t="n"/>
      <c r="P34" s="135" t="n"/>
      <c r="Q34" s="135" t="n"/>
      <c r="R34" s="135" t="n"/>
      <c r="S34" s="135" t="n"/>
      <c r="T34" s="135" t="n"/>
      <c r="U34" s="135" t="n"/>
      <c r="V34" s="135" t="n"/>
      <c r="W34" s="135">
        <f>FALSE()</f>
        <v/>
      </c>
      <c r="X34" s="135" t="n">
        <v>1</v>
      </c>
      <c r="Y34" s="135" t="n">
        <v>3</v>
      </c>
      <c r="Z34" s="141" t="n"/>
      <c r="AA34" s="141" t="n"/>
      <c r="AB34" s="141" t="n"/>
      <c r="AC34" s="141" t="n"/>
      <c r="AD34" s="135" t="n"/>
      <c r="AE34" s="141" t="n"/>
    </row>
    <row r="35" ht="14.25" customHeight="1" s="142">
      <c r="A35" s="45" t="n"/>
      <c r="B35" s="45" t="n"/>
      <c r="V35" s="45" t="n"/>
      <c r="Y35" s="45" t="n"/>
    </row>
    <row r="36" ht="14.25" customHeight="1" s="142">
      <c r="A36" s="40" t="inlineStr">
        <is>
          <t>buff_id</t>
        </is>
      </c>
      <c r="B36" s="40" t="inlineStr">
        <is>
          <t>buff名稱</t>
        </is>
      </c>
      <c r="C36" s="40" t="inlineStr">
        <is>
          <t>buff_info</t>
        </is>
      </c>
      <c r="D36" s="40" t="inlineStr">
        <is>
          <t>#備註用</t>
        </is>
      </c>
      <c r="E36" s="40" t="inlineStr">
        <is>
          <t>buff_exchange</t>
        </is>
      </c>
      <c r="F36" s="40" t="inlineStr">
        <is>
          <t>tag</t>
        </is>
      </c>
      <c r="G36" s="40" t="inlineStr">
        <is>
          <t>element</t>
        </is>
      </c>
      <c r="H36" s="40" t="inlineStr">
        <is>
          <t>ATK</t>
        </is>
      </c>
      <c r="I36" s="40" t="inlineStr">
        <is>
          <t>MATK</t>
        </is>
      </c>
      <c r="J36" s="40" t="inlineStr">
        <is>
          <t>DEF</t>
        </is>
      </c>
      <c r="K36" s="40" t="inlineStr">
        <is>
          <t>MDEF</t>
        </is>
      </c>
      <c r="L36" s="40" t="inlineStr">
        <is>
          <t>CRI</t>
        </is>
      </c>
      <c r="M36" s="40" t="inlineStr">
        <is>
          <t>MP</t>
        </is>
      </c>
      <c r="N36" s="40" t="inlineStr">
        <is>
          <t>cri_resist</t>
        </is>
      </c>
      <c r="O36" s="40" t="inlineStr">
        <is>
          <t>AGI</t>
        </is>
      </c>
      <c r="P36" s="40" t="inlineStr">
        <is>
          <t>damage_reflect</t>
        </is>
      </c>
      <c r="Q36" s="40" t="inlineStr">
        <is>
          <t>cri_damage</t>
        </is>
      </c>
      <c r="R36" s="40" t="inlineStr">
        <is>
          <t>cri_damage_resist</t>
        </is>
      </c>
      <c r="S36" s="40" t="inlineStr">
        <is>
          <t>skill_rate</t>
        </is>
      </c>
      <c r="T36" s="40" t="inlineStr">
        <is>
          <t>skill_resist</t>
        </is>
      </c>
      <c r="U36" s="40" t="inlineStr">
        <is>
          <t>damage_increase</t>
        </is>
      </c>
      <c r="V36" s="40" t="inlineStr">
        <is>
          <t>damage_reduce</t>
        </is>
      </c>
      <c r="W36" s="40" t="inlineStr">
        <is>
          <t>reflashAble</t>
        </is>
      </c>
      <c r="X36" s="40" t="inlineStr">
        <is>
          <t>max_stack</t>
        </is>
      </c>
      <c r="Y36" s="48" t="inlineStr">
        <is>
          <t>持續回合數</t>
        </is>
      </c>
      <c r="Z36" s="40" t="inlineStr">
        <is>
          <t>effective_turn</t>
        </is>
      </c>
      <c r="AA36" s="40" t="inlineStr">
        <is>
          <t>effective_currenthp_higher</t>
        </is>
      </c>
      <c r="AB36" s="40" t="inlineStr">
        <is>
          <t>effective_currenthp_lower</t>
        </is>
      </c>
      <c r="AC36" s="40" t="inlineStr">
        <is>
          <t>invisible</t>
        </is>
      </c>
      <c r="AD36" s="40" t="inlineStr">
        <is>
          <t>set_info</t>
        </is>
      </c>
      <c r="AE36" s="141" t="inlineStr">
        <is>
          <t>set_effective_count</t>
        </is>
      </c>
    </row>
    <row r="37" ht="14.25" customHeight="1" s="142">
      <c r="A37" s="135" t="n">
        <v>3001</v>
      </c>
      <c r="B37" s="8" t="inlineStr">
        <is>
          <t>持續恢復</t>
        </is>
      </c>
      <c r="C37" s="52">
        <f>"每回合恢復40%施術者魔法攻擊的HP恢復，"&amp;"持續"&amp;Y37&amp;"回合"</f>
        <v/>
      </c>
      <c r="D37" s="135" t="inlineStr">
        <is>
          <t>buff</t>
        </is>
      </c>
      <c r="E37" s="135" t="n"/>
      <c r="F37" s="135" t="n"/>
      <c r="G37" s="135" t="n"/>
      <c r="H37" s="135" t="n"/>
      <c r="I37" s="135" t="n">
        <v>0.4</v>
      </c>
      <c r="J37" s="135" t="n"/>
      <c r="K37" s="135" t="n"/>
      <c r="L37" s="135" t="n"/>
      <c r="M37" s="135" t="n"/>
      <c r="N37" s="135" t="n"/>
      <c r="O37" s="135" t="n"/>
      <c r="P37" s="135" t="n"/>
      <c r="Q37" s="135" t="n"/>
      <c r="R37" s="135" t="n"/>
      <c r="S37" s="135" t="n"/>
      <c r="T37" s="135" t="n"/>
      <c r="U37" s="135" t="n"/>
      <c r="V37" s="135" t="n"/>
      <c r="W37" s="135">
        <f>FALSE()</f>
        <v/>
      </c>
      <c r="X37" s="135" t="n">
        <v>1</v>
      </c>
      <c r="Y37" s="135" t="n">
        <v>3</v>
      </c>
      <c r="Z37" s="141" t="n"/>
      <c r="AA37" s="141" t="n"/>
      <c r="AB37" s="141" t="n"/>
      <c r="AC37" s="141" t="n"/>
      <c r="AD37" s="135" t="n"/>
      <c r="AE37" s="141" t="n"/>
    </row>
    <row r="38" ht="14.25" customHeight="1" s="142">
      <c r="A38" s="135" t="n">
        <v>3002</v>
      </c>
      <c r="B38" s="8" t="inlineStr">
        <is>
          <t>持續回魔</t>
        </is>
      </c>
      <c r="C38" s="52">
        <f>"每回合恢復2%施術者魔法攻擊力的MP恢復，"&amp;"持續"&amp;Y38&amp;"回合"</f>
        <v/>
      </c>
      <c r="D38" s="135" t="inlineStr">
        <is>
          <t>buff</t>
        </is>
      </c>
      <c r="E38" s="135" t="n"/>
      <c r="F38" s="135" t="n"/>
      <c r="G38" s="135" t="n"/>
      <c r="H38" s="135" t="n"/>
      <c r="I38" s="135" t="n">
        <v>0.02</v>
      </c>
      <c r="J38" s="135" t="n"/>
      <c r="K38" s="135" t="n"/>
      <c r="L38" s="135" t="n"/>
      <c r="M38" s="135" t="n"/>
      <c r="N38" s="135" t="n"/>
      <c r="O38" s="135" t="n"/>
      <c r="P38" s="135" t="n"/>
      <c r="Q38" s="135" t="n"/>
      <c r="R38" s="135" t="n"/>
      <c r="S38" s="135" t="n"/>
      <c r="T38" s="135" t="n"/>
      <c r="U38" s="135" t="n"/>
      <c r="V38" s="135" t="n"/>
      <c r="W38" s="135">
        <f>FALSE()</f>
        <v/>
      </c>
      <c r="X38" s="135" t="n">
        <v>1</v>
      </c>
      <c r="Y38" s="135" t="n">
        <v>2</v>
      </c>
      <c r="Z38" s="141" t="n"/>
      <c r="AA38" s="141" t="n"/>
      <c r="AB38" s="141" t="n"/>
      <c r="AC38" s="141" t="n"/>
      <c r="AD38" s="135" t="n"/>
      <c r="AE38" s="141" t="n"/>
    </row>
    <row r="39" ht="14.25" customHeight="1" s="142">
      <c r="A39" s="135" t="n">
        <v>3003</v>
      </c>
      <c r="B39" s="8" t="inlineStr">
        <is>
          <t>行動加快</t>
        </is>
      </c>
      <c r="C39" s="52">
        <f>"回合結束時立即增加10%行動值，"&amp;"持續"&amp;Y39&amp;"回合"</f>
        <v/>
      </c>
      <c r="D39" s="135" t="inlineStr">
        <is>
          <t>buff</t>
        </is>
      </c>
      <c r="E39" s="135" t="n"/>
      <c r="F39" s="135" t="n"/>
      <c r="G39" s="135" t="n"/>
      <c r="H39" s="135" t="n"/>
      <c r="I39" s="135" t="n"/>
      <c r="J39" s="135" t="n"/>
      <c r="K39" s="135" t="n"/>
      <c r="L39" s="135" t="n"/>
      <c r="M39" s="135" t="n"/>
      <c r="N39" s="135" t="n"/>
      <c r="O39" s="135" t="n">
        <v>0.1</v>
      </c>
      <c r="P39" s="135" t="n"/>
      <c r="Q39" s="135" t="n"/>
      <c r="R39" s="135" t="n"/>
      <c r="S39" s="135" t="n"/>
      <c r="T39" s="135" t="n"/>
      <c r="U39" s="135" t="n"/>
      <c r="V39" s="135" t="n"/>
      <c r="W39" s="135">
        <f>FALSE()</f>
        <v/>
      </c>
      <c r="X39" s="135" t="n">
        <v>1</v>
      </c>
      <c r="Y39" s="135" t="n">
        <v>2</v>
      </c>
      <c r="Z39" s="141" t="n"/>
      <c r="AA39" s="141" t="n"/>
      <c r="AB39" s="141" t="n"/>
      <c r="AC39" s="141" t="n"/>
      <c r="AD39" s="135" t="n"/>
      <c r="AE39" s="141" t="n"/>
    </row>
    <row r="40" ht="14.25" customHeight="1" s="142">
      <c r="A40" s="135" t="n">
        <v>3004</v>
      </c>
      <c r="B40" s="8" t="inlineStr">
        <is>
          <t>聖護</t>
        </is>
      </c>
      <c r="C40" s="137" t="inlineStr">
        <is>
          <t>減少受到傷害20%</t>
        </is>
      </c>
      <c r="D40" s="135" t="inlineStr">
        <is>
          <t>buff</t>
        </is>
      </c>
      <c r="E40" s="141" t="n"/>
      <c r="F40" s="141" t="n"/>
      <c r="G40" s="141" t="n"/>
      <c r="H40" s="141" t="n"/>
      <c r="I40" s="141" t="n"/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  <c r="S40" s="141" t="n"/>
      <c r="T40" s="141" t="n"/>
      <c r="U40" s="141" t="n"/>
      <c r="V40" s="135" t="n">
        <v>0.2</v>
      </c>
      <c r="W40" s="135">
        <f>FALSE()</f>
        <v/>
      </c>
      <c r="X40" s="135" t="n">
        <v>1</v>
      </c>
      <c r="Y40" s="135" t="n">
        <v>2</v>
      </c>
      <c r="Z40" s="141" t="n"/>
      <c r="AA40" s="141" t="n"/>
      <c r="AB40" s="141" t="n"/>
      <c r="AC40" s="141" t="n"/>
      <c r="AD40" s="135" t="n"/>
      <c r="AE40" s="141" t="n"/>
    </row>
    <row r="41" ht="14.25" customHeight="1" s="142">
      <c r="A41" s="135" t="n">
        <v>3005</v>
      </c>
      <c r="B41" s="8" t="inlineStr">
        <is>
          <t>潰防</t>
        </is>
      </c>
      <c r="C41" s="137" t="inlineStr">
        <is>
          <t>降低30%物理防禦</t>
        </is>
      </c>
      <c r="D41" s="135" t="inlineStr">
        <is>
          <t>buff</t>
        </is>
      </c>
      <c r="E41" s="141" t="n"/>
      <c r="F41" s="141" t="n"/>
      <c r="G41" s="141" t="n"/>
      <c r="H41" s="141" t="n"/>
      <c r="I41" s="141" t="n"/>
      <c r="J41" s="141" t="n">
        <v>-0.3</v>
      </c>
      <c r="K41" s="141" t="n"/>
      <c r="L41" s="141" t="n"/>
      <c r="M41" s="141" t="n"/>
      <c r="N41" s="141" t="n"/>
      <c r="O41" s="141" t="n"/>
      <c r="P41" s="141" t="n"/>
      <c r="Q41" s="141" t="n"/>
      <c r="R41" s="141" t="n"/>
      <c r="S41" s="141" t="n"/>
      <c r="T41" s="141" t="n"/>
      <c r="U41" s="141" t="n"/>
      <c r="V41" s="135" t="n"/>
      <c r="W41" s="135">
        <f>FALSE()</f>
        <v/>
      </c>
      <c r="X41" s="135" t="n">
        <v>1</v>
      </c>
      <c r="Y41" s="135" t="n">
        <v>2</v>
      </c>
      <c r="Z41" s="141" t="n"/>
      <c r="AA41" s="141" t="n"/>
      <c r="AB41" s="141" t="n"/>
      <c r="AC41" s="141" t="n"/>
      <c r="AD41" s="135" t="n"/>
      <c r="AE41" s="141" t="n"/>
    </row>
    <row r="42" ht="14.25" customHeight="1" s="142">
      <c r="A42" s="135" t="n">
        <v>3006</v>
      </c>
      <c r="B42" s="8" t="inlineStr">
        <is>
          <t>潰魔</t>
        </is>
      </c>
      <c r="C42" s="137" t="inlineStr">
        <is>
          <t>降低30%魔防防禦</t>
        </is>
      </c>
      <c r="D42" s="135" t="inlineStr">
        <is>
          <t>buff</t>
        </is>
      </c>
      <c r="E42" s="141" t="n"/>
      <c r="F42" s="141" t="n"/>
      <c r="G42" s="141" t="n"/>
      <c r="H42" s="141" t="n"/>
      <c r="I42" s="141" t="n"/>
      <c r="J42" s="141" t="n"/>
      <c r="K42" s="141" t="n">
        <v>-0.3</v>
      </c>
      <c r="L42" s="141" t="n"/>
      <c r="M42" s="141" t="n"/>
      <c r="N42" s="141" t="n"/>
      <c r="O42" s="141" t="n"/>
      <c r="P42" s="141" t="n"/>
      <c r="Q42" s="141" t="n"/>
      <c r="R42" s="141" t="n"/>
      <c r="S42" s="141" t="n"/>
      <c r="T42" s="141" t="n"/>
      <c r="U42" s="141" t="n"/>
      <c r="V42" s="135" t="n"/>
      <c r="W42" s="135">
        <f>FALSE()</f>
        <v/>
      </c>
      <c r="X42" s="135" t="n">
        <v>1</v>
      </c>
      <c r="Y42" s="135" t="n">
        <v>2</v>
      </c>
      <c r="Z42" s="141" t="n"/>
      <c r="AA42" s="141" t="n"/>
      <c r="AB42" s="141" t="n"/>
      <c r="AC42" s="141" t="n"/>
      <c r="AD42" s="135" t="n"/>
      <c r="AE42" s="141" t="n"/>
    </row>
    <row r="43" ht="14.25" customHeight="1" s="142">
      <c r="A43" s="135" t="n">
        <v>3007</v>
      </c>
      <c r="B43" s="8" t="inlineStr">
        <is>
          <t>鬼人</t>
        </is>
      </c>
      <c r="C43" s="137" t="inlineStr">
        <is>
          <t>爆擊率增加30%</t>
        </is>
      </c>
      <c r="D43" s="135" t="inlineStr">
        <is>
          <t>buff</t>
        </is>
      </c>
      <c r="E43" s="141" t="n"/>
      <c r="F43" s="141" t="n"/>
      <c r="G43" s="141" t="n"/>
      <c r="H43" s="141" t="n"/>
      <c r="I43" s="141" t="n"/>
      <c r="J43" s="141" t="n"/>
      <c r="K43" s="141" t="n"/>
      <c r="L43" s="141" t="n">
        <v>0.3</v>
      </c>
      <c r="M43" s="141" t="n"/>
      <c r="N43" s="141" t="n"/>
      <c r="O43" s="141" t="n"/>
      <c r="P43" s="141" t="n"/>
      <c r="Q43" s="141" t="n"/>
      <c r="R43" s="141" t="n"/>
      <c r="S43" s="141" t="n"/>
      <c r="T43" s="141" t="n"/>
      <c r="U43" s="141" t="n"/>
      <c r="V43" s="135" t="n"/>
      <c r="W43" s="135">
        <f>FALSE()</f>
        <v/>
      </c>
      <c r="X43" s="135" t="n">
        <v>1</v>
      </c>
      <c r="Y43" s="135" t="n">
        <v>2</v>
      </c>
      <c r="Z43" s="141" t="n"/>
      <c r="AA43" s="141" t="n"/>
      <c r="AB43" s="141" t="n"/>
      <c r="AC43" s="141" t="n"/>
      <c r="AD43" s="135" t="n"/>
      <c r="AE43" s="141" t="n"/>
    </row>
    <row r="44" ht="14.25" customHeight="1" s="142">
      <c r="A44" s="135" t="n">
        <v>3008</v>
      </c>
      <c r="B44" s="8" t="inlineStr">
        <is>
          <t>炎帝</t>
        </is>
      </c>
      <c r="C44" s="137" t="inlineStr">
        <is>
          <t>魔攻+30%</t>
        </is>
      </c>
      <c r="D44" s="135" t="inlineStr">
        <is>
          <t>buff</t>
        </is>
      </c>
      <c r="E44" s="141" t="n"/>
      <c r="F44" s="141" t="n"/>
      <c r="G44" s="141" t="n"/>
      <c r="H44" s="141" t="n"/>
      <c r="I44" s="141" t="n">
        <v>0.3</v>
      </c>
      <c r="J44" s="141" t="n"/>
      <c r="K44" s="141" t="n"/>
      <c r="L44" s="141" t="n"/>
      <c r="M44" s="141" t="n"/>
      <c r="N44" s="141" t="n"/>
      <c r="O44" s="141" t="n"/>
      <c r="P44" s="141" t="n"/>
      <c r="Q44" s="141" t="n"/>
      <c r="R44" s="141" t="n"/>
      <c r="S44" s="141" t="n"/>
      <c r="T44" s="141" t="n"/>
      <c r="U44" s="141" t="n"/>
      <c r="V44" s="135" t="n"/>
      <c r="W44" s="135">
        <f>FALSE()</f>
        <v/>
      </c>
      <c r="X44" s="135" t="n">
        <v>1</v>
      </c>
      <c r="Y44" s="135" t="n">
        <v>2</v>
      </c>
      <c r="Z44" s="141" t="n"/>
      <c r="AA44" s="141" t="n"/>
      <c r="AB44" s="141" t="n"/>
      <c r="AC44" s="141" t="n"/>
      <c r="AD44" s="135" t="n"/>
      <c r="AE44" s="141" t="n"/>
    </row>
    <row r="45" ht="14.25" customHeight="1" s="142">
      <c r="A45" s="135" t="n">
        <v>3009</v>
      </c>
      <c r="B45" s="8" t="inlineStr">
        <is>
          <t>極•炎帝</t>
        </is>
      </c>
      <c r="C45" s="137" t="inlineStr">
        <is>
          <t>魔攻+50%，技能傷害+10%)</t>
        </is>
      </c>
      <c r="D45" s="135" t="inlineStr">
        <is>
          <t>buff</t>
        </is>
      </c>
      <c r="E45" s="141" t="n"/>
      <c r="F45" s="141" t="n"/>
      <c r="G45" s="141" t="n"/>
      <c r="H45" s="141" t="n"/>
      <c r="I45" s="141" t="n">
        <v>0.5</v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  <c r="S45" s="141" t="n">
        <v>0.1</v>
      </c>
      <c r="T45" s="141" t="n"/>
      <c r="U45" s="141" t="n"/>
      <c r="V45" s="135" t="n"/>
      <c r="W45" s="135">
        <f>FALSE()</f>
        <v/>
      </c>
      <c r="X45" s="135" t="n">
        <v>1</v>
      </c>
      <c r="Y45" s="135" t="n">
        <v>2</v>
      </c>
      <c r="Z45" s="141" t="n"/>
      <c r="AA45" s="141" t="n"/>
      <c r="AB45" s="141" t="n"/>
      <c r="AC45" s="141" t="n"/>
      <c r="AD45" s="135" t="n"/>
      <c r="AE45" s="141" t="n"/>
    </row>
    <row r="46" ht="14.25" customHeight="1" s="142">
      <c r="A46" s="135" t="n">
        <v>3010</v>
      </c>
      <c r="B46" s="8" t="inlineStr">
        <is>
          <t>妖刀</t>
        </is>
      </c>
      <c r="C46" s="137" t="inlineStr">
        <is>
          <t>爆擊率+50%</t>
        </is>
      </c>
      <c r="D46" s="135" t="inlineStr">
        <is>
          <t>buff</t>
        </is>
      </c>
      <c r="E46" s="141" t="n"/>
      <c r="F46" s="141" t="n"/>
      <c r="G46" s="141" t="n"/>
      <c r="H46" s="141" t="n"/>
      <c r="I46" s="141" t="n"/>
      <c r="J46" s="141" t="n"/>
      <c r="K46" s="141" t="n"/>
      <c r="L46" s="141" t="n">
        <v>0.5</v>
      </c>
      <c r="M46" s="141" t="n"/>
      <c r="N46" s="141" t="n"/>
      <c r="O46" s="141" t="n"/>
      <c r="P46" s="141" t="n"/>
      <c r="Q46" s="141" t="n"/>
      <c r="R46" s="141" t="n"/>
      <c r="S46" s="141" t="n"/>
      <c r="T46" s="141" t="n"/>
      <c r="U46" s="141" t="n"/>
      <c r="V46" s="135" t="n"/>
      <c r="W46" s="135">
        <f>FALSE()</f>
        <v/>
      </c>
      <c r="X46" s="135" t="n">
        <v>1</v>
      </c>
      <c r="Y46" s="135" t="n">
        <v>2</v>
      </c>
      <c r="Z46" s="141" t="n"/>
      <c r="AA46" s="141" t="n"/>
      <c r="AB46" s="141" t="n"/>
      <c r="AC46" s="141" t="n"/>
      <c r="AD46" s="135" t="n"/>
      <c r="AE46" s="141" t="n"/>
    </row>
    <row r="47" ht="14.25" customHeight="1" s="142">
      <c r="A47" s="135" t="n">
        <v>3011</v>
      </c>
      <c r="B47" s="8" t="inlineStr">
        <is>
          <t>妖刀●滅</t>
        </is>
      </c>
      <c r="C47" s="137" t="inlineStr">
        <is>
          <t>爆擊傷害+50%</t>
        </is>
      </c>
      <c r="D47" s="135" t="inlineStr">
        <is>
          <t>buff</t>
        </is>
      </c>
      <c r="E47" s="141" t="n"/>
      <c r="F47" s="141" t="n"/>
      <c r="G47" s="141" t="n"/>
      <c r="H47" s="141" t="n"/>
      <c r="I47" s="141" t="n"/>
      <c r="J47" s="141" t="n"/>
      <c r="K47" s="141" t="n"/>
      <c r="L47" s="141" t="n"/>
      <c r="M47" s="141" t="n"/>
      <c r="N47" s="141" t="n"/>
      <c r="O47" s="141" t="n"/>
      <c r="P47" s="141" t="n"/>
      <c r="Q47" s="141" t="n">
        <v>0.5</v>
      </c>
      <c r="R47" s="141" t="n"/>
      <c r="S47" s="141" t="n"/>
      <c r="T47" s="141" t="n"/>
      <c r="U47" s="141" t="n"/>
      <c r="V47" s="135" t="n"/>
      <c r="W47" s="135">
        <f>FALSE()</f>
        <v/>
      </c>
      <c r="X47" s="135" t="n">
        <v>1</v>
      </c>
      <c r="Y47" s="135" t="n">
        <v>2</v>
      </c>
      <c r="Z47" s="141" t="n"/>
      <c r="AA47" s="141" t="n"/>
      <c r="AB47" s="141" t="n"/>
      <c r="AC47" s="141" t="n"/>
      <c r="AD47" s="135" t="n"/>
      <c r="AE47" s="141" t="n"/>
    </row>
    <row r="48" ht="14.25" customHeight="1" s="142">
      <c r="A48" s="135" t="n">
        <v>3012</v>
      </c>
      <c r="B48" s="8" t="inlineStr">
        <is>
          <t>極意鬼人</t>
        </is>
      </c>
      <c r="C48" s="137" t="inlineStr">
        <is>
          <t>爆擊+30%，爆擊傷害+40%</t>
        </is>
      </c>
      <c r="D48" s="135" t="inlineStr">
        <is>
          <t>buff</t>
        </is>
      </c>
      <c r="E48" s="141" t="n"/>
      <c r="F48" s="141" t="n"/>
      <c r="G48" s="141" t="n"/>
      <c r="H48" s="141" t="n"/>
      <c r="I48" s="141" t="n"/>
      <c r="J48" s="141" t="n"/>
      <c r="K48" s="141" t="n"/>
      <c r="L48" s="141" t="n">
        <v>0.3</v>
      </c>
      <c r="M48" s="141" t="n"/>
      <c r="N48" s="141" t="n"/>
      <c r="O48" s="141" t="n"/>
      <c r="P48" s="141" t="n"/>
      <c r="Q48" s="141" t="n">
        <v>0.4</v>
      </c>
      <c r="R48" s="141" t="n"/>
      <c r="S48" s="141" t="n"/>
      <c r="T48" s="141" t="n"/>
      <c r="U48" s="141" t="n"/>
      <c r="V48" s="135" t="n"/>
      <c r="W48" s="135">
        <f>FALSE()</f>
        <v/>
      </c>
      <c r="X48" s="135" t="n">
        <v>1</v>
      </c>
      <c r="Y48" s="135" t="n">
        <v>2</v>
      </c>
      <c r="Z48" s="141" t="n"/>
      <c r="AA48" s="141" t="n"/>
      <c r="AB48" s="141" t="n"/>
      <c r="AC48" s="141" t="n"/>
      <c r="AD48" s="135" t="n"/>
      <c r="AE48" s="141" t="n"/>
    </row>
    <row r="49" ht="14.25" customHeight="1" s="142">
      <c r="A49" s="135" t="n">
        <v>3013</v>
      </c>
      <c r="B49" s="8" t="inlineStr">
        <is>
          <t>真言</t>
        </is>
      </c>
      <c r="C49" s="137" t="inlineStr">
        <is>
          <t>魔攻、物攻50%、1回</t>
        </is>
      </c>
      <c r="D49" s="135" t="inlineStr">
        <is>
          <t>buff</t>
        </is>
      </c>
      <c r="E49" s="141" t="n"/>
      <c r="F49" s="141" t="n"/>
      <c r="G49" s="141" t="n"/>
      <c r="H49" s="141" t="n">
        <v>0.5</v>
      </c>
      <c r="I49" s="141" t="n">
        <v>0.5</v>
      </c>
      <c r="J49" s="141" t="n"/>
      <c r="K49" s="141" t="n"/>
      <c r="L49" s="141" t="n"/>
      <c r="M49" s="141" t="n"/>
      <c r="N49" s="141" t="n"/>
      <c r="O49" s="141" t="n"/>
      <c r="P49" s="141" t="n"/>
      <c r="Q49" s="141" t="n"/>
      <c r="R49" s="141" t="n"/>
      <c r="S49" s="141" t="n"/>
      <c r="T49" s="141" t="n"/>
      <c r="U49" s="141" t="n"/>
      <c r="V49" s="135" t="n"/>
      <c r="W49" s="135">
        <f>FALSE()</f>
        <v/>
      </c>
      <c r="X49" s="135" t="n">
        <v>1</v>
      </c>
      <c r="Y49" s="135" t="n">
        <v>1</v>
      </c>
      <c r="Z49" s="141" t="n"/>
      <c r="AA49" s="141" t="n"/>
      <c r="AB49" s="141" t="n"/>
      <c r="AC49" s="141" t="n"/>
      <c r="AD49" s="135" t="n"/>
      <c r="AE49" s="141" t="n"/>
    </row>
    <row r="50" ht="14.25" customHeight="1" s="142">
      <c r="A50" s="135" t="n">
        <v>3014</v>
      </c>
      <c r="B50" s="8" t="inlineStr">
        <is>
          <t>真理</t>
        </is>
      </c>
      <c r="C50" s="137" t="inlineStr">
        <is>
          <t>技能傷害10%、2回</t>
        </is>
      </c>
      <c r="D50" s="135" t="inlineStr">
        <is>
          <t>buff</t>
        </is>
      </c>
      <c r="E50" s="141" t="n"/>
      <c r="F50" s="141" t="n"/>
      <c r="G50" s="141" t="n"/>
      <c r="H50" s="141" t="n"/>
      <c r="I50" s="141" t="n"/>
      <c r="J50" s="141" t="n"/>
      <c r="K50" s="141" t="n"/>
      <c r="L50" s="141" t="n">
        <v>0.1</v>
      </c>
      <c r="M50" s="141" t="n"/>
      <c r="N50" s="141" t="n"/>
      <c r="O50" s="141" t="n"/>
      <c r="P50" s="141" t="n"/>
      <c r="Q50" s="141" t="n"/>
      <c r="R50" s="141" t="n"/>
      <c r="S50" s="141" t="n"/>
      <c r="T50" s="141" t="n"/>
      <c r="U50" s="141" t="n"/>
      <c r="V50" s="135" t="n"/>
      <c r="W50" s="135">
        <f>FALSE()</f>
        <v/>
      </c>
      <c r="X50" s="135" t="n">
        <v>1</v>
      </c>
      <c r="Y50" s="135" t="n">
        <v>2</v>
      </c>
      <c r="Z50" s="141" t="n"/>
      <c r="AA50" s="141" t="n"/>
      <c r="AB50" s="141" t="n"/>
      <c r="AC50" s="141" t="n"/>
      <c r="AD50" s="135" t="n"/>
      <c r="AE50" s="141" t="n"/>
    </row>
    <row r="51" ht="14.25" customHeight="1" s="142">
      <c r="A51" s="135" t="n">
        <v>3015</v>
      </c>
      <c r="B51" s="8" t="inlineStr">
        <is>
          <t>聖光</t>
        </is>
      </c>
      <c r="C51" s="137" t="inlineStr">
        <is>
          <t>技能傷害抵抗50%、1回</t>
        </is>
      </c>
      <c r="D51" s="135" t="inlineStr">
        <is>
          <t>buff</t>
        </is>
      </c>
      <c r="E51" s="141" t="n"/>
      <c r="F51" s="141" t="n"/>
      <c r="G51" s="141" t="n"/>
      <c r="H51" s="141" t="n"/>
      <c r="I51" s="141" t="n"/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  <c r="S51" s="141" t="n"/>
      <c r="T51" s="141" t="n">
        <v>-0.5</v>
      </c>
      <c r="U51" s="141" t="n"/>
      <c r="V51" s="135" t="n"/>
      <c r="W51" s="135">
        <f>FALSE()</f>
        <v/>
      </c>
      <c r="X51" s="135" t="n">
        <v>1</v>
      </c>
      <c r="Y51" s="135" t="n">
        <v>1</v>
      </c>
      <c r="Z51" s="141" t="n"/>
      <c r="AA51" s="141" t="n"/>
      <c r="AB51" s="141" t="n"/>
      <c r="AC51" s="141" t="n"/>
      <c r="AD51" s="135" t="n"/>
      <c r="AE51" s="141" t="n"/>
    </row>
    <row r="52" ht="14.25" customHeight="1" s="142">
      <c r="A52" s="135" t="n">
        <v>3016</v>
      </c>
      <c r="B52" s="8" t="inlineStr">
        <is>
          <t>聖斬效果</t>
        </is>
      </c>
      <c r="C52" s="137" t="inlineStr">
        <is>
          <t>爆擊率+100%、1回</t>
        </is>
      </c>
      <c r="D52" s="135" t="inlineStr">
        <is>
          <t>buff</t>
        </is>
      </c>
      <c r="E52" s="141" t="n"/>
      <c r="F52" s="141" t="n"/>
      <c r="G52" s="141" t="n"/>
      <c r="H52" s="141" t="n"/>
      <c r="I52" s="141" t="n"/>
      <c r="J52" s="141" t="n"/>
      <c r="K52" s="141" t="n"/>
      <c r="L52" s="141" t="n">
        <v>1</v>
      </c>
      <c r="M52" s="141" t="n"/>
      <c r="N52" s="141" t="n"/>
      <c r="O52" s="141" t="n"/>
      <c r="P52" s="141" t="n"/>
      <c r="Q52" s="141" t="n"/>
      <c r="R52" s="141" t="n"/>
      <c r="S52" s="141" t="n"/>
      <c r="T52" s="141" t="n"/>
      <c r="U52" s="141" t="n"/>
      <c r="V52" s="135" t="n"/>
      <c r="W52" s="135">
        <f>FALSE()</f>
        <v/>
      </c>
      <c r="X52" s="135" t="n">
        <v>1</v>
      </c>
      <c r="Y52" s="135" t="n">
        <v>1</v>
      </c>
      <c r="Z52" s="141" t="n"/>
      <c r="AA52" s="141" t="n"/>
      <c r="AB52" s="141" t="n"/>
      <c r="AC52" s="141" t="n"/>
      <c r="AD52" s="135" t="n"/>
      <c r="AE52" s="141" t="n"/>
    </row>
    <row r="53" ht="14.25" customHeight="1" s="142">
      <c r="A53" s="135" t="n">
        <v>3017</v>
      </c>
      <c r="B53" s="8" t="inlineStr">
        <is>
          <t>不屈</t>
        </is>
      </c>
      <c r="C53" s="137" t="inlineStr">
        <is>
          <t>減少受到傷害10%，爆擊傷害抵抗50% 2回</t>
        </is>
      </c>
      <c r="D53" s="135" t="inlineStr">
        <is>
          <t>buff</t>
        </is>
      </c>
      <c r="E53" s="141" t="n"/>
      <c r="F53" s="141" t="n"/>
      <c r="G53" s="141" t="n"/>
      <c r="H53" s="141" t="n"/>
      <c r="I53" s="141" t="n"/>
      <c r="J53" s="141" t="n"/>
      <c r="K53" s="141" t="n"/>
      <c r="L53" s="141" t="n"/>
      <c r="M53" s="141" t="n"/>
      <c r="N53" s="141" t="n"/>
      <c r="O53" s="141" t="n"/>
      <c r="P53" s="141" t="n"/>
      <c r="Q53" s="141" t="n"/>
      <c r="R53" s="141" t="n">
        <v>0.5</v>
      </c>
      <c r="S53" s="141" t="n"/>
      <c r="T53" s="141" t="n"/>
      <c r="U53" s="141" t="n"/>
      <c r="V53" s="135" t="n">
        <v>0.1</v>
      </c>
      <c r="W53" s="135">
        <f>FALSE()</f>
        <v/>
      </c>
      <c r="X53" s="135" t="n">
        <v>1</v>
      </c>
      <c r="Y53" s="135" t="n">
        <v>2</v>
      </c>
      <c r="Z53" s="141" t="n"/>
      <c r="AA53" s="141" t="n"/>
      <c r="AB53" s="141" t="n"/>
      <c r="AC53" s="141" t="n"/>
      <c r="AD53" s="135" t="n"/>
      <c r="AE53" s="141" t="n"/>
    </row>
    <row r="54" ht="14.25" customHeight="1" s="142">
      <c r="A54" s="135" t="n">
        <v>3018</v>
      </c>
      <c r="B54" s="8" t="inlineStr">
        <is>
          <t>逆轉</t>
        </is>
      </c>
      <c r="C54" s="137" t="inlineStr">
        <is>
          <t>攻擊與魔攻+80%；持續5回</t>
        </is>
      </c>
      <c r="D54" s="135" t="inlineStr">
        <is>
          <t>buff</t>
        </is>
      </c>
      <c r="E54" s="141" t="n"/>
      <c r="F54" s="141" t="n"/>
      <c r="G54" s="141" t="n"/>
      <c r="H54" s="141" t="n">
        <v>0.8</v>
      </c>
      <c r="I54" s="141" t="n">
        <v>0.8</v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  <c r="S54" s="141" t="n"/>
      <c r="T54" s="141" t="n"/>
      <c r="U54" s="141" t="n"/>
      <c r="V54" s="135" t="n"/>
      <c r="W54" s="135">
        <f>FALSE()</f>
        <v/>
      </c>
      <c r="X54" s="135" t="n">
        <v>1</v>
      </c>
      <c r="Y54" s="135" t="n">
        <v>5</v>
      </c>
      <c r="Z54" s="141" t="n"/>
      <c r="AA54" s="141" t="n"/>
      <c r="AB54" s="141" t="n"/>
      <c r="AC54" s="141" t="n"/>
      <c r="AD54" s="135" t="n"/>
      <c r="AE54" s="141" t="n"/>
    </row>
    <row r="55" ht="16.5" customHeight="1" s="142">
      <c r="A55" s="135" t="n">
        <v>3019</v>
      </c>
      <c r="B55" s="8" t="inlineStr">
        <is>
          <t>奇襲</t>
        </is>
      </c>
      <c r="C55" s="137" t="inlineStr">
        <is>
          <t>爆擊率+100%；持續3回</t>
        </is>
      </c>
      <c r="D55" s="135" t="inlineStr">
        <is>
          <t>buff</t>
        </is>
      </c>
      <c r="E55" s="141" t="n"/>
      <c r="F55" s="141" t="n"/>
      <c r="G55" s="141" t="n"/>
      <c r="H55" s="141" t="n"/>
      <c r="I55" s="141" t="n"/>
      <c r="J55" s="141" t="n"/>
      <c r="K55" s="141" t="n"/>
      <c r="L55" s="141" t="n">
        <v>1</v>
      </c>
      <c r="M55" s="141" t="n"/>
      <c r="N55" s="141" t="n"/>
      <c r="O55" s="141" t="n"/>
      <c r="P55" s="141" t="n"/>
      <c r="Q55" s="141" t="n"/>
      <c r="R55" s="141" t="n"/>
      <c r="S55" s="141" t="n"/>
      <c r="T55" s="141" t="n"/>
      <c r="U55" s="141" t="n"/>
      <c r="V55" s="135" t="n"/>
      <c r="W55" s="135">
        <f>FALSE()</f>
        <v/>
      </c>
      <c r="X55" s="135" t="n">
        <v>1</v>
      </c>
      <c r="Y55" s="135" t="n">
        <v>3</v>
      </c>
      <c r="Z55" s="135" t="n"/>
      <c r="AA55" s="135" t="n"/>
      <c r="AB55" s="135" t="n"/>
      <c r="AC55" s="135" t="n"/>
      <c r="AD55" s="135" t="n"/>
      <c r="AE55" s="135" t="n"/>
    </row>
    <row r="56" ht="14.25" customHeight="1" s="142">
      <c r="A56" s="135" t="n">
        <v>3020</v>
      </c>
      <c r="B56" s="8" t="inlineStr">
        <is>
          <t>人劍合一</t>
        </is>
      </c>
      <c r="C56" s="141" t="inlineStr">
        <is>
          <t>#名刀附加攻擊+30%、爆擊率+20%，爆擊傷害+50%；持續3回</t>
        </is>
      </c>
      <c r="D56" s="135" t="inlineStr">
        <is>
          <t>buff</t>
        </is>
      </c>
      <c r="E56" s="141" t="n"/>
      <c r="F56" s="141" t="n">
        <v>56</v>
      </c>
      <c r="G56" s="141" t="n"/>
      <c r="H56" s="141" t="n">
        <v>0.3</v>
      </c>
      <c r="I56" s="141" t="n"/>
      <c r="J56" s="141" t="n"/>
      <c r="K56" s="141" t="n"/>
      <c r="L56" s="141" t="n">
        <v>0.2</v>
      </c>
      <c r="M56" s="141" t="n"/>
      <c r="N56" s="141" t="n"/>
      <c r="O56" s="141" t="n"/>
      <c r="P56" s="141" t="n"/>
      <c r="Q56" s="141" t="n">
        <v>0.5</v>
      </c>
      <c r="R56" s="141" t="n"/>
      <c r="S56" s="141" t="n"/>
      <c r="T56" s="141" t="n"/>
      <c r="U56" s="141" t="n"/>
      <c r="V56" s="135" t="n"/>
      <c r="W56" s="135">
        <f>FALSE()</f>
        <v/>
      </c>
      <c r="X56" s="135" t="n">
        <v>1</v>
      </c>
      <c r="Y56" s="135" t="n">
        <v>3</v>
      </c>
      <c r="Z56" s="135" t="n"/>
      <c r="AA56" s="135" t="n"/>
      <c r="AB56" s="135" t="n"/>
      <c r="AC56" s="135" t="n"/>
      <c r="AD56" s="135" t="n"/>
      <c r="AE56" s="135" t="n"/>
    </row>
    <row r="57" ht="14.25" customHeight="1" s="142">
      <c r="A57" s="45" t="n"/>
      <c r="B57" s="45" t="n"/>
      <c r="V57" s="45" t="n"/>
    </row>
    <row r="58" ht="14.25" customHeight="1" s="142">
      <c r="A58" s="40" t="inlineStr">
        <is>
          <t>buff_id</t>
        </is>
      </c>
      <c r="B58" s="40" t="inlineStr">
        <is>
          <t>buff名稱</t>
        </is>
      </c>
      <c r="C58" s="40" t="inlineStr">
        <is>
          <t>buff_info</t>
        </is>
      </c>
      <c r="D58" s="40" t="inlineStr">
        <is>
          <t>#備註用</t>
        </is>
      </c>
      <c r="E58" s="40" t="inlineStr">
        <is>
          <t>buff_exchange</t>
        </is>
      </c>
      <c r="F58" s="40" t="inlineStr">
        <is>
          <t>tag</t>
        </is>
      </c>
      <c r="G58" s="40" t="inlineStr">
        <is>
          <t>element</t>
        </is>
      </c>
      <c r="H58" s="40" t="inlineStr">
        <is>
          <t>ATK</t>
        </is>
      </c>
      <c r="I58" s="40" t="inlineStr">
        <is>
          <t>MATK</t>
        </is>
      </c>
      <c r="J58" s="40" t="inlineStr">
        <is>
          <t>DEF</t>
        </is>
      </c>
      <c r="K58" s="40" t="inlineStr">
        <is>
          <t>MDEF</t>
        </is>
      </c>
      <c r="L58" s="40" t="inlineStr">
        <is>
          <t>CRI</t>
        </is>
      </c>
      <c r="M58" s="40" t="inlineStr">
        <is>
          <t>MP</t>
        </is>
      </c>
      <c r="N58" s="40" t="inlineStr">
        <is>
          <t>cri_resist</t>
        </is>
      </c>
      <c r="O58" s="40" t="inlineStr">
        <is>
          <t>AGI</t>
        </is>
      </c>
      <c r="P58" s="40" t="inlineStr">
        <is>
          <t>damage_reflect</t>
        </is>
      </c>
      <c r="Q58" s="40" t="inlineStr">
        <is>
          <t>cri_damage</t>
        </is>
      </c>
      <c r="R58" s="40" t="inlineStr">
        <is>
          <t>cri_damage_resist</t>
        </is>
      </c>
      <c r="S58" s="40" t="inlineStr">
        <is>
          <t>skill_rate</t>
        </is>
      </c>
      <c r="T58" s="40" t="inlineStr">
        <is>
          <t>skill_resist</t>
        </is>
      </c>
      <c r="U58" s="40" t="inlineStr">
        <is>
          <t>damage_increase</t>
        </is>
      </c>
      <c r="V58" s="40" t="inlineStr">
        <is>
          <t>damage_reduce</t>
        </is>
      </c>
      <c r="W58" s="40" t="inlineStr">
        <is>
          <t>reflashAble</t>
        </is>
      </c>
      <c r="X58" s="40" t="inlineStr">
        <is>
          <t>max_stack</t>
        </is>
      </c>
      <c r="Y58" s="48" t="inlineStr">
        <is>
          <t>持續回合數</t>
        </is>
      </c>
      <c r="Z58" s="40" t="inlineStr">
        <is>
          <t>effective_turn</t>
        </is>
      </c>
      <c r="AA58" s="40" t="inlineStr">
        <is>
          <t>effective_currenthp_higher</t>
        </is>
      </c>
      <c r="AB58" s="40" t="inlineStr">
        <is>
          <t>effective_currenthp_lower</t>
        </is>
      </c>
      <c r="AC58" s="40" t="inlineStr">
        <is>
          <t>invisible</t>
        </is>
      </c>
      <c r="AD58" s="40" t="inlineStr">
        <is>
          <t>set_info</t>
        </is>
      </c>
      <c r="AE58" s="141" t="inlineStr">
        <is>
          <t>set_effective_count</t>
        </is>
      </c>
    </row>
    <row r="59" ht="14.25" customHeight="1" s="142">
      <c r="A59" s="135" t="n">
        <v>4001</v>
      </c>
      <c r="B59" s="8" t="inlineStr">
        <is>
          <t>灼傷</t>
        </is>
      </c>
      <c r="C59" s="52">
        <f>"每層於每回合給予施術者5%魔法攻擊的傷害，"&amp;"最多"&amp;X59&amp;"層，"&amp;"持續"&amp;Y59&amp;"回合"</f>
        <v/>
      </c>
      <c r="D59" s="135" t="inlineStr">
        <is>
          <t>debuff</t>
        </is>
      </c>
      <c r="E59" s="135" t="n"/>
      <c r="F59" s="135" t="n"/>
      <c r="G59" s="135" t="n"/>
      <c r="H59" s="135" t="n"/>
      <c r="I59" s="135" t="n">
        <v>-0.05</v>
      </c>
      <c r="J59" s="135" t="n"/>
      <c r="K59" s="135" t="n"/>
      <c r="L59" s="135" t="n"/>
      <c r="M59" s="135" t="n"/>
      <c r="N59" s="135" t="n"/>
      <c r="O59" s="135" t="n"/>
      <c r="P59" s="135" t="n"/>
      <c r="Q59" s="135" t="n"/>
      <c r="R59" s="135" t="n"/>
      <c r="S59" s="135" t="n"/>
      <c r="T59" s="135" t="n"/>
      <c r="U59" s="135" t="n"/>
      <c r="V59" s="135" t="n"/>
      <c r="W59" s="135">
        <f>TRUE()</f>
        <v/>
      </c>
      <c r="X59" s="135" t="n">
        <v>20</v>
      </c>
      <c r="Y59" s="135" t="n">
        <v>3</v>
      </c>
      <c r="Z59" s="141" t="n"/>
      <c r="AA59" s="141" t="n"/>
      <c r="AB59" s="141" t="n"/>
      <c r="AC59" s="141" t="n"/>
      <c r="AD59" s="135" t="n"/>
      <c r="AE59" s="141" t="n"/>
    </row>
    <row r="60" ht="14.25" customHeight="1" s="142">
      <c r="A60" s="135" t="n">
        <v>4002</v>
      </c>
      <c r="B60" s="8" t="inlineStr">
        <is>
          <t>凍傷</t>
        </is>
      </c>
      <c r="C60" s="52">
        <f>"每層於每回合給予施術者5%魔法攻擊的傷害，"&amp;"最多"&amp;X60&amp;"層，"&amp;"持續"&amp;Y60&amp;"回合"</f>
        <v/>
      </c>
      <c r="D60" s="135" t="inlineStr">
        <is>
          <t>debuff</t>
        </is>
      </c>
      <c r="E60" s="135" t="n"/>
      <c r="F60" s="135" t="n"/>
      <c r="G60" s="135" t="n"/>
      <c r="H60" s="135" t="n"/>
      <c r="I60" s="135" t="n">
        <v>-0.1</v>
      </c>
      <c r="J60" s="135" t="n"/>
      <c r="K60" s="135" t="n"/>
      <c r="L60" s="135" t="n"/>
      <c r="M60" s="135" t="n"/>
      <c r="N60" s="135" t="n"/>
      <c r="O60" s="135" t="n"/>
      <c r="P60" s="135" t="n"/>
      <c r="Q60" s="135" t="n"/>
      <c r="R60" s="135" t="n"/>
      <c r="S60" s="135" t="n"/>
      <c r="T60" s="135" t="n"/>
      <c r="U60" s="135" t="n"/>
      <c r="V60" s="135" t="n"/>
      <c r="W60" s="135">
        <f>TRUE()</f>
        <v/>
      </c>
      <c r="X60" s="135" t="n">
        <v>10</v>
      </c>
      <c r="Y60" s="135" t="n">
        <v>2</v>
      </c>
      <c r="Z60" s="141" t="n"/>
      <c r="AA60" s="141" t="n"/>
      <c r="AB60" s="141" t="n"/>
      <c r="AC60" s="141" t="n"/>
      <c r="AD60" s="135" t="n"/>
      <c r="AE60" s="141" t="n"/>
    </row>
    <row r="61" ht="14.25" customHeight="1" s="142">
      <c r="A61" s="135" t="n">
        <v>4003</v>
      </c>
      <c r="B61" s="8" t="inlineStr">
        <is>
          <t>裂傷</t>
        </is>
      </c>
      <c r="C61" s="52">
        <f>"每層於每回合給予施術者5%魔法攻擊的傷害，"&amp;"最多"&amp;X61&amp;"層，"&amp;"持續"&amp;Y61&amp;"回合"</f>
        <v/>
      </c>
      <c r="D61" s="135" t="inlineStr">
        <is>
          <t>debuff</t>
        </is>
      </c>
      <c r="E61" s="135" t="n"/>
      <c r="F61" s="135" t="n"/>
      <c r="G61" s="135" t="n"/>
      <c r="H61" s="135" t="n">
        <v>-0.1</v>
      </c>
      <c r="I61" s="135" t="n"/>
      <c r="J61" s="135" t="n"/>
      <c r="K61" s="135" t="n"/>
      <c r="L61" s="135" t="n"/>
      <c r="M61" s="135" t="n"/>
      <c r="N61" s="135" t="n"/>
      <c r="O61" s="135" t="n"/>
      <c r="P61" s="135" t="n"/>
      <c r="Q61" s="135" t="n"/>
      <c r="R61" s="135" t="n"/>
      <c r="S61" s="135" t="n"/>
      <c r="T61" s="135" t="n"/>
      <c r="U61" s="135" t="n"/>
      <c r="V61" s="135" t="n"/>
      <c r="W61" s="135">
        <f>TRUE()</f>
        <v/>
      </c>
      <c r="X61" s="135" t="n">
        <v>10</v>
      </c>
      <c r="Y61" s="135" t="n">
        <v>2</v>
      </c>
      <c r="Z61" s="141" t="n"/>
      <c r="AA61" s="141" t="n"/>
      <c r="AB61" s="141" t="n"/>
      <c r="AC61" s="141" t="n"/>
      <c r="AD61" s="135" t="n"/>
      <c r="AE61" s="141" t="n"/>
    </row>
    <row r="62" ht="14.25" customHeight="1" s="142">
      <c r="A62" s="135" t="n">
        <v>4004</v>
      </c>
      <c r="B62" s="8" t="inlineStr">
        <is>
          <t>中毒</t>
        </is>
      </c>
      <c r="C62" s="52">
        <f>"每層於每回合給予施術者5%魔法攻擊的傷害，"&amp;"最多"&amp;X62&amp;"層，"&amp;"持續"&amp;Y62&amp;"回合"</f>
        <v/>
      </c>
      <c r="D62" s="135" t="inlineStr">
        <is>
          <t>debuff</t>
        </is>
      </c>
      <c r="E62" s="135" t="n"/>
      <c r="F62" s="135" t="n"/>
      <c r="G62" s="135" t="n"/>
      <c r="H62" s="135" t="n">
        <v>-0.05</v>
      </c>
      <c r="I62" s="135" t="n"/>
      <c r="J62" s="135" t="n"/>
      <c r="K62" s="135" t="n"/>
      <c r="L62" s="135" t="n"/>
      <c r="M62" s="135" t="n"/>
      <c r="N62" s="135" t="n"/>
      <c r="O62" s="135" t="n"/>
      <c r="P62" s="135" t="n"/>
      <c r="Q62" s="135" t="n"/>
      <c r="R62" s="135" t="n"/>
      <c r="S62" s="135" t="n"/>
      <c r="T62" s="135" t="n"/>
      <c r="U62" s="135" t="n"/>
      <c r="V62" s="135" t="n"/>
      <c r="W62" s="135">
        <f>TRUE()</f>
        <v/>
      </c>
      <c r="X62" s="135" t="n">
        <v>20</v>
      </c>
      <c r="Y62" s="135" t="n">
        <v>3</v>
      </c>
      <c r="Z62" s="141" t="n"/>
      <c r="AA62" s="141" t="n"/>
      <c r="AB62" s="141" t="n"/>
      <c r="AC62" s="141" t="n"/>
      <c r="AD62" s="135" t="n"/>
      <c r="AE62" s="141" t="n"/>
    </row>
    <row r="63" ht="14.25" customHeight="1" s="142">
      <c r="A63" s="135" t="n">
        <v>4005</v>
      </c>
      <c r="B63" s="8" t="inlineStr">
        <is>
          <t>治療反轉</t>
        </is>
      </c>
      <c r="C63" s="143" t="inlineStr">
        <is>
          <t>受到治療時轉為傷害</t>
        </is>
      </c>
      <c r="D63" s="135" t="inlineStr">
        <is>
          <t>debuff</t>
        </is>
      </c>
      <c r="E63" s="135" t="n"/>
      <c r="F63" s="135" t="n"/>
      <c r="G63" s="135" t="n"/>
      <c r="H63" s="135" t="n">
        <v>-0.05</v>
      </c>
      <c r="I63" s="135" t="n"/>
      <c r="J63" s="135" t="n"/>
      <c r="K63" s="135" t="n"/>
      <c r="L63" s="135" t="n"/>
      <c r="M63" s="135" t="n"/>
      <c r="N63" s="135" t="n"/>
      <c r="O63" s="135" t="n"/>
      <c r="P63" s="135" t="n"/>
      <c r="Q63" s="135" t="n"/>
      <c r="R63" s="135" t="n"/>
      <c r="S63" s="135" t="n"/>
      <c r="T63" s="135" t="n"/>
      <c r="U63" s="135" t="n"/>
      <c r="V63" s="135" t="n"/>
      <c r="W63" s="135">
        <f>TRUE()</f>
        <v/>
      </c>
      <c r="X63" s="135" t="n">
        <v>20</v>
      </c>
      <c r="Y63" s="135" t="n">
        <v>3</v>
      </c>
      <c r="Z63" s="141" t="n"/>
      <c r="AA63" s="141" t="n"/>
      <c r="AB63" s="141" t="n"/>
      <c r="AC63" s="141" t="n"/>
      <c r="AD63" s="135" t="n"/>
      <c r="AE63" s="141" t="n"/>
    </row>
    <row r="64" ht="14.25" customHeight="1" s="142">
      <c r="A64" s="45" t="n"/>
      <c r="B64" s="45" t="n"/>
      <c r="V64" s="45" t="n"/>
    </row>
    <row r="65" ht="14.25" customHeight="1" s="142">
      <c r="A65" s="40" t="inlineStr">
        <is>
          <t>buff_id</t>
        </is>
      </c>
      <c r="B65" s="40" t="inlineStr">
        <is>
          <t>buff名稱</t>
        </is>
      </c>
      <c r="C65" s="40" t="inlineStr">
        <is>
          <t>buff_info</t>
        </is>
      </c>
      <c r="D65" s="40" t="inlineStr">
        <is>
          <t>#備註用</t>
        </is>
      </c>
      <c r="E65" s="40" t="inlineStr">
        <is>
          <t>buff_exchange</t>
        </is>
      </c>
      <c r="F65" s="40" t="inlineStr">
        <is>
          <t>tag</t>
        </is>
      </c>
      <c r="G65" s="40" t="inlineStr">
        <is>
          <t>element</t>
        </is>
      </c>
      <c r="H65" s="40" t="inlineStr">
        <is>
          <t>ATK</t>
        </is>
      </c>
      <c r="I65" s="40" t="inlineStr">
        <is>
          <t>MATK</t>
        </is>
      </c>
      <c r="J65" s="40" t="inlineStr">
        <is>
          <t>DEF</t>
        </is>
      </c>
      <c r="K65" s="40" t="inlineStr">
        <is>
          <t>MDEF</t>
        </is>
      </c>
      <c r="L65" s="40" t="inlineStr">
        <is>
          <t>CRI</t>
        </is>
      </c>
      <c r="M65" s="40" t="inlineStr">
        <is>
          <t>MP</t>
        </is>
      </c>
      <c r="N65" s="40" t="inlineStr">
        <is>
          <t>cri_resist</t>
        </is>
      </c>
      <c r="O65" s="40" t="inlineStr">
        <is>
          <t>AGI</t>
        </is>
      </c>
      <c r="P65" s="40" t="inlineStr">
        <is>
          <t>damage_reflect</t>
        </is>
      </c>
      <c r="Q65" s="40" t="inlineStr">
        <is>
          <t>cri_damage</t>
        </is>
      </c>
      <c r="R65" s="40" t="inlineStr">
        <is>
          <t>cri_damage_resist</t>
        </is>
      </c>
      <c r="S65" s="40" t="inlineStr">
        <is>
          <t>skill_rate</t>
        </is>
      </c>
      <c r="T65" s="40" t="inlineStr">
        <is>
          <t>skill_resist</t>
        </is>
      </c>
      <c r="U65" s="40" t="inlineStr">
        <is>
          <t>damage_increase</t>
        </is>
      </c>
      <c r="V65" s="40" t="inlineStr">
        <is>
          <t>damage_reduce</t>
        </is>
      </c>
      <c r="W65" s="40" t="inlineStr">
        <is>
          <t>reflashAble</t>
        </is>
      </c>
      <c r="X65" s="40" t="inlineStr">
        <is>
          <t>max_stack</t>
        </is>
      </c>
      <c r="Y65" s="48" t="inlineStr">
        <is>
          <t>持續回合數</t>
        </is>
      </c>
      <c r="Z65" s="40" t="inlineStr">
        <is>
          <t>effective_turn</t>
        </is>
      </c>
      <c r="AA65" s="40" t="inlineStr">
        <is>
          <t>effective_currenthp_higher</t>
        </is>
      </c>
      <c r="AB65" s="40" t="inlineStr">
        <is>
          <t>effective_currenthp_lower</t>
        </is>
      </c>
      <c r="AC65" s="40" t="inlineStr">
        <is>
          <t>invisible</t>
        </is>
      </c>
      <c r="AD65" s="40" t="inlineStr">
        <is>
          <t>set_info</t>
        </is>
      </c>
      <c r="AE65" s="141" t="inlineStr">
        <is>
          <t>set_effective_count</t>
        </is>
      </c>
    </row>
    <row r="66" ht="14.25" customHeight="1" s="142">
      <c r="A66" s="135" t="n">
        <v>5001</v>
      </c>
      <c r="B66" s="8" t="inlineStr">
        <is>
          <t>麻痺</t>
        </is>
      </c>
      <c r="C66" s="52" t="inlineStr">
        <is>
          <t>1回合無法行動</t>
        </is>
      </c>
      <c r="D66" s="135" t="inlineStr">
        <is>
          <t>debuff</t>
        </is>
      </c>
      <c r="E66" s="141" t="n"/>
      <c r="F66" s="141" t="n"/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141" t="n"/>
      <c r="Q66" s="135" t="n"/>
      <c r="R66" s="135" t="n"/>
      <c r="S66" s="135" t="n"/>
      <c r="T66" s="135" t="n"/>
      <c r="U66" s="135" t="n"/>
      <c r="V66" s="135" t="n"/>
      <c r="W66" s="135">
        <f>FALSE()</f>
        <v/>
      </c>
      <c r="X66" s="135" t="n">
        <v>1</v>
      </c>
      <c r="Y66" s="135" t="n">
        <v>1</v>
      </c>
      <c r="Z66" s="141" t="n"/>
      <c r="AA66" s="141" t="n"/>
      <c r="AB66" s="141" t="n"/>
      <c r="AC66" s="141" t="n"/>
      <c r="AD66" s="135" t="n"/>
      <c r="AE66" s="141" t="n"/>
    </row>
    <row r="67" ht="14.25" customHeight="1" s="142">
      <c r="A67" s="135" t="n">
        <v>5002</v>
      </c>
      <c r="B67" s="8" t="inlineStr">
        <is>
          <t>暈眩</t>
        </is>
      </c>
      <c r="C67" s="52" t="inlineStr">
        <is>
          <t>1回合無法行動</t>
        </is>
      </c>
      <c r="D67" s="135" t="inlineStr">
        <is>
          <t>debuff</t>
        </is>
      </c>
      <c r="E67" s="141" t="n"/>
      <c r="F67" s="141" t="n"/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141" t="n"/>
      <c r="Q67" s="135" t="n"/>
      <c r="R67" s="135" t="n"/>
      <c r="S67" s="135" t="n"/>
      <c r="T67" s="135" t="n"/>
      <c r="U67" s="135" t="n"/>
      <c r="V67" s="135" t="n"/>
      <c r="W67" s="135">
        <f>FALSE()</f>
        <v/>
      </c>
      <c r="X67" s="135" t="n">
        <v>1</v>
      </c>
      <c r="Y67" s="135" t="n">
        <v>1</v>
      </c>
      <c r="Z67" s="141" t="n"/>
      <c r="AA67" s="141" t="n"/>
      <c r="AB67" s="141" t="n"/>
      <c r="AC67" s="141" t="n"/>
      <c r="AD67" s="135" t="n"/>
      <c r="AE67" s="141" t="n"/>
    </row>
    <row r="68" ht="14.25" customHeight="1" s="142">
      <c r="A68" s="135" t="n">
        <v>5003</v>
      </c>
      <c r="B68" s="8" t="inlineStr">
        <is>
          <t>冰凍</t>
        </is>
      </c>
      <c r="C68" s="52" t="inlineStr">
        <is>
          <t>1回合無法行動</t>
        </is>
      </c>
      <c r="D68" s="135" t="inlineStr">
        <is>
          <t>debuff</t>
        </is>
      </c>
      <c r="E68" s="141" t="n"/>
      <c r="F68" s="141" t="n"/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141" t="n"/>
      <c r="Q68" s="135" t="n"/>
      <c r="R68" s="135" t="n"/>
      <c r="S68" s="135" t="n"/>
      <c r="T68" s="135" t="n"/>
      <c r="U68" s="135" t="n"/>
      <c r="V68" s="135" t="n"/>
      <c r="W68" s="135">
        <f>FALSE()</f>
        <v/>
      </c>
      <c r="X68" s="135" t="n">
        <v>1</v>
      </c>
      <c r="Y68" s="135" t="n">
        <v>1</v>
      </c>
      <c r="Z68" s="141" t="n"/>
      <c r="AA68" s="141" t="n"/>
      <c r="AB68" s="141" t="n"/>
      <c r="AC68" s="141" t="n"/>
      <c r="AD68" s="135" t="n"/>
      <c r="AE68" s="141" t="n"/>
    </row>
    <row r="69" ht="14.25" customHeight="1" s="142">
      <c r="A69" s="135" t="n">
        <v>5004</v>
      </c>
      <c r="B69" s="8" t="inlineStr">
        <is>
          <t>停止</t>
        </is>
      </c>
      <c r="C69" s="52" t="inlineStr">
        <is>
          <t>1回合無法行動</t>
        </is>
      </c>
      <c r="D69" s="135" t="inlineStr">
        <is>
          <t>debuff</t>
        </is>
      </c>
      <c r="E69" s="141" t="n"/>
      <c r="F69" s="141" t="n"/>
      <c r="G69" s="141" t="n"/>
      <c r="H69" s="141" t="n"/>
      <c r="I69" s="141" t="n"/>
      <c r="J69" s="141" t="n"/>
      <c r="K69" s="141" t="n"/>
      <c r="L69" s="141" t="n"/>
      <c r="M69" s="135" t="n"/>
      <c r="N69" s="141" t="n"/>
      <c r="O69" s="141" t="n"/>
      <c r="P69" s="141" t="n"/>
      <c r="Q69" s="135" t="n"/>
      <c r="R69" s="135" t="n"/>
      <c r="S69" s="135" t="n"/>
      <c r="T69" s="135" t="n"/>
      <c r="U69" s="135" t="n"/>
      <c r="V69" s="135" t="n"/>
      <c r="W69" s="135">
        <f>FALSE()</f>
        <v/>
      </c>
      <c r="X69" s="135" t="n">
        <v>1</v>
      </c>
      <c r="Y69" s="135" t="n">
        <v>1</v>
      </c>
      <c r="Z69" s="141" t="n"/>
      <c r="AA69" s="141" t="n"/>
      <c r="AB69" s="141" t="n"/>
      <c r="AC69" s="141" t="n"/>
      <c r="AD69" s="135" t="n"/>
      <c r="AE69" s="141" t="n"/>
    </row>
    <row r="70" ht="14.25" customHeight="1" s="142">
      <c r="A70" s="135" t="n">
        <v>5005</v>
      </c>
      <c r="B70" s="8" t="inlineStr">
        <is>
          <t>凝聚</t>
        </is>
      </c>
      <c r="C70" s="52" t="inlineStr">
        <is>
          <t>1回合無法行動；下回合獲得爆散狀態</t>
        </is>
      </c>
      <c r="D70" s="135" t="inlineStr">
        <is>
          <t>buff</t>
        </is>
      </c>
      <c r="E70" s="141" t="n">
        <v>5006</v>
      </c>
      <c r="F70" s="141" t="n"/>
      <c r="G70" s="141" t="n"/>
      <c r="H70" s="141" t="n"/>
      <c r="I70" s="141" t="n"/>
      <c r="J70" s="141" t="n"/>
      <c r="K70" s="141" t="n"/>
      <c r="L70" s="141" t="n"/>
      <c r="M70" s="141" t="n"/>
      <c r="N70" s="141" t="n"/>
      <c r="O70" s="141" t="n"/>
      <c r="P70" s="141" t="n"/>
      <c r="Q70" s="135" t="n"/>
      <c r="R70" s="135" t="n"/>
      <c r="S70" s="135" t="n"/>
      <c r="T70" s="135" t="n"/>
      <c r="U70" s="135" t="n"/>
      <c r="V70" s="135" t="n"/>
      <c r="W70" s="135">
        <f>FALSE()</f>
        <v/>
      </c>
      <c r="X70" s="135" t="n">
        <v>1</v>
      </c>
      <c r="Y70" s="135" t="n">
        <v>1</v>
      </c>
      <c r="Z70" s="141" t="n"/>
      <c r="AA70" s="141" t="n"/>
      <c r="AB70" s="141" t="n"/>
      <c r="AC70" s="141" t="n"/>
      <c r="AD70" s="135" t="n"/>
      <c r="AE70" s="141" t="n"/>
    </row>
    <row r="71" ht="14.25" customHeight="1" s="142">
      <c r="A71" s="135" t="n">
        <v>5006</v>
      </c>
      <c r="B71" s="8" t="inlineStr">
        <is>
          <t>爆散</t>
        </is>
      </c>
      <c r="C71" s="137" t="inlineStr">
        <is>
          <t>最終傷害造成250%</t>
        </is>
      </c>
      <c r="D71" s="135" t="inlineStr">
        <is>
          <t>buff</t>
        </is>
      </c>
      <c r="E71" s="141" t="n"/>
      <c r="F71" s="141" t="n"/>
      <c r="G71" s="141" t="n"/>
      <c r="H71" s="141" t="n"/>
      <c r="I71" s="141" t="n"/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  <c r="S71" s="141" t="n"/>
      <c r="T71" s="141" t="n"/>
      <c r="U71" s="141" t="n"/>
      <c r="V71" s="135" t="n"/>
      <c r="W71" s="135">
        <f>FALSE()</f>
        <v/>
      </c>
      <c r="X71" s="135" t="n">
        <v>1</v>
      </c>
      <c r="Y71" s="135" t="n">
        <v>1</v>
      </c>
      <c r="Z71" s="141" t="n"/>
      <c r="AA71" s="141" t="n"/>
      <c r="AB71" s="141" t="n"/>
      <c r="AC71" s="141" t="n"/>
      <c r="AD71" s="135" t="n"/>
      <c r="AE71" s="141" t="n"/>
    </row>
    <row r="72" ht="14.25" customHeight="1" s="142">
      <c r="A72" s="45" t="n"/>
      <c r="B72" s="45" t="n"/>
      <c r="V72" s="45" t="n"/>
    </row>
    <row r="73" ht="14.25" customHeight="1" s="142">
      <c r="A73" s="40" t="inlineStr">
        <is>
          <t>buff_id</t>
        </is>
      </c>
      <c r="B73" s="40" t="inlineStr">
        <is>
          <t>buff名稱</t>
        </is>
      </c>
      <c r="C73" s="40" t="inlineStr">
        <is>
          <t>buff_info</t>
        </is>
      </c>
      <c r="D73" s="40" t="inlineStr">
        <is>
          <t>#備註用</t>
        </is>
      </c>
      <c r="E73" s="40" t="inlineStr">
        <is>
          <t>buff_exchange</t>
        </is>
      </c>
      <c r="F73" s="40" t="inlineStr">
        <is>
          <t>tag</t>
        </is>
      </c>
      <c r="G73" s="40" t="inlineStr">
        <is>
          <t>element</t>
        </is>
      </c>
      <c r="H73" s="40" t="inlineStr">
        <is>
          <t>ATK</t>
        </is>
      </c>
      <c r="I73" s="40" t="inlineStr">
        <is>
          <t>MATK</t>
        </is>
      </c>
      <c r="J73" s="40" t="inlineStr">
        <is>
          <t>DEF</t>
        </is>
      </c>
      <c r="K73" s="40" t="inlineStr">
        <is>
          <t>MDEF</t>
        </is>
      </c>
      <c r="L73" s="40" t="inlineStr">
        <is>
          <t>CRI</t>
        </is>
      </c>
      <c r="M73" s="40" t="inlineStr">
        <is>
          <t>MP</t>
        </is>
      </c>
      <c r="N73" s="40" t="inlineStr">
        <is>
          <t>cri_resist</t>
        </is>
      </c>
      <c r="O73" s="40" t="inlineStr">
        <is>
          <t>AGI</t>
        </is>
      </c>
      <c r="P73" s="40" t="inlineStr">
        <is>
          <t>damage_reflect</t>
        </is>
      </c>
      <c r="Q73" s="40" t="inlineStr">
        <is>
          <t>cri_damage</t>
        </is>
      </c>
      <c r="R73" s="40" t="inlineStr">
        <is>
          <t>cri_damage_resist</t>
        </is>
      </c>
      <c r="S73" s="40" t="inlineStr">
        <is>
          <t>skill_rate</t>
        </is>
      </c>
      <c r="T73" s="40" t="inlineStr">
        <is>
          <t>skill_resist</t>
        </is>
      </c>
      <c r="U73" s="40" t="inlineStr">
        <is>
          <t>damage_increase</t>
        </is>
      </c>
      <c r="V73" s="40" t="inlineStr">
        <is>
          <t>damage_reduce</t>
        </is>
      </c>
      <c r="W73" s="40" t="inlineStr">
        <is>
          <t>reflashAble</t>
        </is>
      </c>
      <c r="X73" s="40" t="inlineStr">
        <is>
          <t>max_stack</t>
        </is>
      </c>
      <c r="Y73" s="48" t="inlineStr">
        <is>
          <t>持續回合數</t>
        </is>
      </c>
      <c r="Z73" s="40" t="inlineStr">
        <is>
          <t>effective_turn</t>
        </is>
      </c>
      <c r="AA73" s="40" t="inlineStr">
        <is>
          <t>effective_currenthp_higher</t>
        </is>
      </c>
      <c r="AB73" s="40" t="inlineStr">
        <is>
          <t>effective_currenthp_lower</t>
        </is>
      </c>
      <c r="AC73" s="40" t="inlineStr">
        <is>
          <t>invisible</t>
        </is>
      </c>
      <c r="AD73" s="40" t="inlineStr">
        <is>
          <t>set_info</t>
        </is>
      </c>
      <c r="AE73" s="141" t="inlineStr">
        <is>
          <t>set_effective_count</t>
        </is>
      </c>
    </row>
    <row r="74" ht="14.25" customHeight="1" s="142">
      <c r="A74" s="135" t="n">
        <v>6001</v>
      </c>
      <c r="B74" s="8" t="inlineStr">
        <is>
          <t>殲滅套裝x2</t>
        </is>
      </c>
      <c r="C74" s="137" t="inlineStr">
        <is>
          <t>兩件攻擊力+10% / 魔攻+10%，三件爆擊率+15%，六件敏捷+5%</t>
        </is>
      </c>
      <c r="D74" s="141" t="n"/>
      <c r="E74" s="141" t="n"/>
      <c r="F74" s="141" t="n"/>
      <c r="G74" s="141" t="n"/>
      <c r="H74" s="141" t="n">
        <v>0.1</v>
      </c>
      <c r="I74" s="141" t="n">
        <v>0.1</v>
      </c>
      <c r="J74" s="141" t="n"/>
      <c r="K74" s="141" t="n"/>
      <c r="L74" s="141" t="n">
        <v>0.15</v>
      </c>
      <c r="M74" s="135" t="n"/>
      <c r="N74" s="141" t="n"/>
      <c r="O74" s="141" t="n"/>
      <c r="P74" s="141" t="n"/>
      <c r="Q74" s="141" t="n"/>
      <c r="R74" s="141" t="n"/>
      <c r="S74" s="141" t="n"/>
      <c r="T74" s="141" t="n"/>
      <c r="U74" s="141" t="n"/>
      <c r="V74" s="135" t="n"/>
      <c r="W74" s="135">
        <f>FALSE()</f>
        <v/>
      </c>
      <c r="X74" s="135" t="n">
        <v>1</v>
      </c>
      <c r="Y74" s="135" t="n">
        <v>9999</v>
      </c>
      <c r="Z74" s="135" t="n"/>
      <c r="AA74" s="135" t="n"/>
      <c r="AB74" s="135" t="n"/>
      <c r="AC74" s="135" t="n">
        <v>1</v>
      </c>
      <c r="AD74" s="8" t="inlineStr">
        <is>
          <t>殲滅的</t>
        </is>
      </c>
      <c r="AE74" s="141" t="n">
        <v>2</v>
      </c>
    </row>
    <row r="75" ht="14.25" customHeight="1" s="142">
      <c r="A75" s="135" t="n">
        <v>6001</v>
      </c>
      <c r="B75" s="8" t="inlineStr">
        <is>
          <t>殲滅套裝x3</t>
        </is>
      </c>
      <c r="C75" s="137" t="inlineStr">
        <is>
          <t>兩件攻擊力+10% / 魔攻+10%，三件爆擊率+15%，六件敏捷+5%</t>
        </is>
      </c>
      <c r="D75" s="141" t="n"/>
      <c r="E75" s="141" t="n"/>
      <c r="F75" s="141" t="n"/>
      <c r="G75" s="141" t="n"/>
      <c r="H75" s="141" t="n">
        <v>0.1</v>
      </c>
      <c r="I75" s="141" t="n">
        <v>0.1</v>
      </c>
      <c r="J75" s="141" t="n"/>
      <c r="K75" s="141" t="n"/>
      <c r="L75" s="141" t="n">
        <v>0.15</v>
      </c>
      <c r="M75" s="141" t="n"/>
      <c r="N75" s="141" t="n"/>
      <c r="O75" s="141" t="n"/>
      <c r="P75" s="141" t="n"/>
      <c r="Q75" s="141" t="n"/>
      <c r="R75" s="141" t="n"/>
      <c r="S75" s="141" t="n"/>
      <c r="T75" s="141" t="n"/>
      <c r="U75" s="141" t="n"/>
      <c r="V75" s="135" t="n"/>
      <c r="W75" s="135">
        <f>FALSE()</f>
        <v/>
      </c>
      <c r="X75" s="135" t="n">
        <v>1</v>
      </c>
      <c r="Y75" s="135" t="n">
        <v>9999</v>
      </c>
      <c r="Z75" s="135" t="n"/>
      <c r="AA75" s="135" t="n"/>
      <c r="AB75" s="135" t="n"/>
      <c r="AC75" s="135" t="n">
        <v>1</v>
      </c>
      <c r="AD75" s="8" t="inlineStr">
        <is>
          <t>殲滅的</t>
        </is>
      </c>
      <c r="AE75" s="141" t="n">
        <v>3</v>
      </c>
    </row>
    <row r="76" ht="14.25" customHeight="1" s="142">
      <c r="A76" s="135" t="n">
        <v>6001</v>
      </c>
      <c r="B76" s="8" t="inlineStr">
        <is>
          <t>殲滅套裝x6</t>
        </is>
      </c>
      <c r="C76" s="137" t="inlineStr">
        <is>
          <t>兩件攻擊力+10% / 魔攻+10%，三件爆擊率+15%，六件敏捷+5%</t>
        </is>
      </c>
      <c r="D76" s="141" t="n"/>
      <c r="E76" s="141" t="n"/>
      <c r="F76" s="141" t="n"/>
      <c r="G76" s="141" t="n"/>
      <c r="H76" s="141" t="n">
        <v>0.1</v>
      </c>
      <c r="I76" s="141" t="n">
        <v>0.1</v>
      </c>
      <c r="J76" s="141" t="n"/>
      <c r="K76" s="141" t="n"/>
      <c r="L76" s="141" t="n"/>
      <c r="M76" s="141" t="n"/>
      <c r="N76" s="141" t="n"/>
      <c r="O76" s="141" t="n">
        <v>0.05</v>
      </c>
      <c r="P76" s="141" t="n"/>
      <c r="Q76" s="141" t="n"/>
      <c r="R76" s="141" t="n"/>
      <c r="S76" s="141" t="n"/>
      <c r="T76" s="141" t="n"/>
      <c r="U76" s="141" t="n"/>
      <c r="V76" s="135" t="n"/>
      <c r="W76" s="135">
        <f>FALSE()</f>
        <v/>
      </c>
      <c r="X76" s="135" t="n">
        <v>1</v>
      </c>
      <c r="Y76" s="135" t="n">
        <v>9999</v>
      </c>
      <c r="Z76" s="135" t="n"/>
      <c r="AA76" s="135" t="n"/>
      <c r="AB76" s="135" t="n"/>
      <c r="AC76" s="135" t="n">
        <v>1</v>
      </c>
      <c r="AD76" s="8" t="inlineStr">
        <is>
          <t>殲滅的</t>
        </is>
      </c>
      <c r="AE76" s="141" t="n">
        <v>6</v>
      </c>
    </row>
    <row r="77" ht="14.25" customHeight="1" s="142">
      <c r="A77" s="135" t="n">
        <v>6002</v>
      </c>
      <c r="B77" s="8" t="inlineStr">
        <is>
          <t>戰士套裝X2</t>
        </is>
      </c>
      <c r="C77" s="137" t="inlineStr">
        <is>
          <t>兩件防禦+15% ，三件攻擊+20%，六件技能傷害+10%</t>
        </is>
      </c>
      <c r="D77" s="52" t="n"/>
      <c r="E77" s="52" t="n"/>
      <c r="F77" s="52" t="n"/>
      <c r="G77" s="141" t="n"/>
      <c r="H77" s="141" t="n"/>
      <c r="I77" s="141" t="n"/>
      <c r="J77" s="141" t="n">
        <v>0.15</v>
      </c>
      <c r="K77" s="141" t="n"/>
      <c r="L77" s="141" t="n"/>
      <c r="M77" s="135" t="n"/>
      <c r="N77" s="141" t="n"/>
      <c r="O77" s="141" t="n"/>
      <c r="P77" s="141" t="n"/>
      <c r="Q77" s="141" t="n"/>
      <c r="R77" s="141" t="n"/>
      <c r="S77" s="141" t="n"/>
      <c r="T77" s="141" t="n"/>
      <c r="U77" s="141" t="n"/>
      <c r="V77" s="135" t="n"/>
      <c r="W77" s="135">
        <f>FALSE()</f>
        <v/>
      </c>
      <c r="X77" s="135" t="n">
        <v>1</v>
      </c>
      <c r="Y77" s="135" t="n">
        <v>9999</v>
      </c>
      <c r="Z77" s="135" t="n"/>
      <c r="AA77" s="135" t="n"/>
      <c r="AB77" s="135" t="n"/>
      <c r="AC77" s="135" t="n">
        <v>1</v>
      </c>
      <c r="AD77" s="8" t="inlineStr">
        <is>
          <t>戰士的</t>
        </is>
      </c>
      <c r="AE77" s="141" t="n">
        <v>2</v>
      </c>
    </row>
    <row r="78" ht="14.25" customHeight="1" s="142">
      <c r="A78" s="135" t="n">
        <v>6002</v>
      </c>
      <c r="B78" s="8" t="inlineStr">
        <is>
          <t>戰士套裝X3</t>
        </is>
      </c>
      <c r="C78" s="137" t="inlineStr">
        <is>
          <t>兩件防禦+15% ，三件攻擊+20%，六件技能傷害+10%</t>
        </is>
      </c>
      <c r="D78" s="52" t="n"/>
      <c r="E78" s="52" t="n"/>
      <c r="F78" s="52" t="n"/>
      <c r="G78" s="141" t="n"/>
      <c r="H78" s="141" t="n">
        <v>0.2</v>
      </c>
      <c r="I78" s="141" t="n"/>
      <c r="J78" s="141" t="n">
        <v>0.15</v>
      </c>
      <c r="K78" s="141" t="n"/>
      <c r="L78" s="141" t="n"/>
      <c r="M78" s="141" t="n"/>
      <c r="N78" s="141" t="n"/>
      <c r="O78" s="141" t="n"/>
      <c r="P78" s="141" t="n"/>
      <c r="Q78" s="141" t="n"/>
      <c r="R78" s="141" t="n"/>
      <c r="S78" s="141" t="n"/>
      <c r="T78" s="141" t="n"/>
      <c r="U78" s="141" t="n"/>
      <c r="V78" s="135" t="n"/>
      <c r="W78" s="135">
        <f>FALSE()</f>
        <v/>
      </c>
      <c r="X78" s="135" t="n">
        <v>1</v>
      </c>
      <c r="Y78" s="135" t="n">
        <v>9999</v>
      </c>
      <c r="Z78" s="135" t="n"/>
      <c r="AA78" s="135" t="n"/>
      <c r="AB78" s="135" t="n"/>
      <c r="AC78" s="135" t="n">
        <v>1</v>
      </c>
      <c r="AD78" s="8" t="inlineStr">
        <is>
          <t>戰士的</t>
        </is>
      </c>
      <c r="AE78" s="141" t="n">
        <v>3</v>
      </c>
    </row>
    <row r="79" ht="14.25" customHeight="1" s="142">
      <c r="A79" s="135" t="n">
        <v>6002</v>
      </c>
      <c r="B79" s="8" t="inlineStr">
        <is>
          <t>戰士套裝X6</t>
        </is>
      </c>
      <c r="C79" s="137" t="inlineStr">
        <is>
          <t>兩件防禦+15% ，三件攻擊+20%，六件技能傷害+10%</t>
        </is>
      </c>
      <c r="D79" s="52" t="n"/>
      <c r="E79" s="52" t="n"/>
      <c r="F79" s="52" t="n"/>
      <c r="G79" s="141" t="n"/>
      <c r="H79" s="141" t="n">
        <v>0.2</v>
      </c>
      <c r="I79" s="141" t="n"/>
      <c r="J79" s="141" t="n">
        <v>0.15</v>
      </c>
      <c r="K79" s="141" t="n"/>
      <c r="L79" s="141" t="n"/>
      <c r="M79" s="141" t="n"/>
      <c r="N79" s="141" t="n"/>
      <c r="O79" s="141" t="n"/>
      <c r="P79" s="141" t="n"/>
      <c r="Q79" s="141" t="n"/>
      <c r="R79" s="141" t="n"/>
      <c r="S79" s="141" t="n">
        <v>0.1</v>
      </c>
      <c r="T79" s="141" t="n"/>
      <c r="U79" s="141" t="n"/>
      <c r="V79" s="135" t="n"/>
      <c r="W79" s="135">
        <f>FALSE()</f>
        <v/>
      </c>
      <c r="X79" s="135" t="n">
        <v>1</v>
      </c>
      <c r="Y79" s="135" t="n">
        <v>9999</v>
      </c>
      <c r="Z79" s="135" t="n"/>
      <c r="AA79" s="135" t="n"/>
      <c r="AB79" s="135" t="n"/>
      <c r="AC79" s="135" t="n">
        <v>1</v>
      </c>
      <c r="AD79" s="8" t="inlineStr">
        <is>
          <t>戰士的</t>
        </is>
      </c>
      <c r="AE79" s="141" t="n">
        <v>6</v>
      </c>
    </row>
    <row r="80" ht="14.25" customHeight="1" s="142">
      <c r="A80" s="135" t="n">
        <v>6003</v>
      </c>
      <c r="B80" s="8" t="inlineStr">
        <is>
          <t>尖刺套裝X2</t>
        </is>
      </c>
      <c r="C80" s="137" t="inlineStr">
        <is>
          <t>兩件防禦+20% ，三件魔防+20%，傷害反射+15%</t>
        </is>
      </c>
      <c r="D80" s="52" t="n"/>
      <c r="E80" s="52" t="n"/>
      <c r="F80" s="52" t="n"/>
      <c r="G80" s="141" t="n"/>
      <c r="H80" s="141" t="n"/>
      <c r="I80" s="141" t="n"/>
      <c r="J80" s="141" t="n">
        <v>0.2</v>
      </c>
      <c r="K80" s="141" t="n"/>
      <c r="L80" s="141" t="n"/>
      <c r="M80" s="141" t="n"/>
      <c r="N80" s="141" t="n"/>
      <c r="O80" s="141" t="n"/>
      <c r="P80" s="141" t="n"/>
      <c r="Q80" s="141" t="n"/>
      <c r="R80" s="141" t="n"/>
      <c r="S80" s="141" t="n"/>
      <c r="T80" s="141" t="n"/>
      <c r="U80" s="141" t="n"/>
      <c r="V80" s="135" t="n"/>
      <c r="W80" s="135">
        <f>FALSE()</f>
        <v/>
      </c>
      <c r="X80" s="135" t="n">
        <v>1</v>
      </c>
      <c r="Y80" s="135" t="n">
        <v>9999</v>
      </c>
      <c r="Z80" s="135" t="n"/>
      <c r="AA80" s="135" t="n"/>
      <c r="AB80" s="135" t="n"/>
      <c r="AC80" s="135" t="n">
        <v>1</v>
      </c>
      <c r="AD80" s="8" t="inlineStr">
        <is>
          <t>尖刺的</t>
        </is>
      </c>
      <c r="AE80" s="141" t="n">
        <v>2</v>
      </c>
    </row>
    <row r="81" ht="14.25" customHeight="1" s="142">
      <c r="A81" s="135" t="n">
        <v>6003</v>
      </c>
      <c r="B81" s="8" t="inlineStr">
        <is>
          <t>尖刺套裝X3</t>
        </is>
      </c>
      <c r="C81" s="137" t="inlineStr">
        <is>
          <t>兩件防禦+20% ，三件魔防+20%，傷害反射+15%</t>
        </is>
      </c>
      <c r="D81" s="52" t="n"/>
      <c r="E81" s="52" t="n"/>
      <c r="F81" s="52" t="n"/>
      <c r="G81" s="141" t="n"/>
      <c r="H81" s="141" t="n"/>
      <c r="I81" s="141" t="n"/>
      <c r="J81" s="141" t="n">
        <v>0.2</v>
      </c>
      <c r="K81" s="141" t="n">
        <v>0.2</v>
      </c>
      <c r="L81" s="141" t="n"/>
      <c r="M81" s="141" t="n"/>
      <c r="N81" s="141" t="n"/>
      <c r="O81" s="141" t="n"/>
      <c r="P81" s="141" t="n"/>
      <c r="Q81" s="141" t="n"/>
      <c r="R81" s="141" t="n"/>
      <c r="S81" s="141" t="n"/>
      <c r="T81" s="141" t="n"/>
      <c r="U81" s="141" t="n"/>
      <c r="V81" s="135" t="n"/>
      <c r="W81" s="135">
        <f>FALSE()</f>
        <v/>
      </c>
      <c r="X81" s="135" t="n">
        <v>1</v>
      </c>
      <c r="Y81" s="135" t="n">
        <v>9999</v>
      </c>
      <c r="Z81" s="135" t="n"/>
      <c r="AA81" s="135" t="n"/>
      <c r="AB81" s="135" t="n"/>
      <c r="AC81" s="135" t="n">
        <v>1</v>
      </c>
      <c r="AD81" s="8" t="inlineStr">
        <is>
          <t>尖刺的</t>
        </is>
      </c>
      <c r="AE81" s="141" t="n">
        <v>3</v>
      </c>
    </row>
    <row r="82" ht="14.25" customHeight="1" s="142">
      <c r="A82" s="135" t="n">
        <v>6003</v>
      </c>
      <c r="B82" s="8" t="inlineStr">
        <is>
          <t>尖刺套裝X6</t>
        </is>
      </c>
      <c r="C82" s="137" t="inlineStr">
        <is>
          <t>兩件防禦+20% ，三件魔防+20%，傷害反射+15%</t>
        </is>
      </c>
      <c r="D82" s="52" t="n"/>
      <c r="E82" s="52" t="n"/>
      <c r="F82" s="52" t="n"/>
      <c r="G82" s="141" t="n"/>
      <c r="H82" s="141" t="n"/>
      <c r="I82" s="141" t="n"/>
      <c r="J82" s="141" t="n">
        <v>0.2</v>
      </c>
      <c r="K82" s="141" t="n">
        <v>0.2</v>
      </c>
      <c r="L82" s="141" t="n"/>
      <c r="M82" s="141" t="n"/>
      <c r="N82" s="141" t="n"/>
      <c r="O82" s="141" t="n"/>
      <c r="P82" s="141" t="n">
        <v>0.15</v>
      </c>
      <c r="Q82" s="141" t="n"/>
      <c r="R82" s="141" t="n"/>
      <c r="S82" s="141" t="n"/>
      <c r="T82" s="141" t="n"/>
      <c r="U82" s="141" t="n"/>
      <c r="V82" s="135" t="n"/>
      <c r="W82" s="135">
        <f>FALSE()</f>
        <v/>
      </c>
      <c r="X82" s="135" t="n">
        <v>1</v>
      </c>
      <c r="Y82" s="135" t="n">
        <v>9999</v>
      </c>
      <c r="Z82" s="135" t="n"/>
      <c r="AA82" s="135" t="n"/>
      <c r="AB82" s="135" t="n"/>
      <c r="AC82" s="135" t="n">
        <v>1</v>
      </c>
      <c r="AD82" s="8" t="inlineStr">
        <is>
          <t>尖刺的</t>
        </is>
      </c>
      <c r="AE82" s="141" t="n">
        <v>6</v>
      </c>
    </row>
    <row r="83" ht="14.25" customHeight="1" s="142">
      <c r="A83" s="135" t="n">
        <v>6004</v>
      </c>
      <c r="B83" s="8" t="inlineStr">
        <is>
          <t>魔導套裝X2</t>
        </is>
      </c>
      <c r="C83" s="137" t="inlineStr">
        <is>
          <t>兩件魔防+15% ，三件魔攻+20%，六件技能傷害+10%</t>
        </is>
      </c>
      <c r="D83" s="52" t="n"/>
      <c r="E83" s="52" t="n"/>
      <c r="F83" s="52" t="n"/>
      <c r="G83" s="141" t="n"/>
      <c r="H83" s="141" t="n"/>
      <c r="I83" s="141" t="n"/>
      <c r="J83" s="141" t="n"/>
      <c r="K83" s="141" t="n">
        <v>0.15</v>
      </c>
      <c r="L83" s="141" t="n"/>
      <c r="M83" s="141" t="n"/>
      <c r="N83" s="141" t="n"/>
      <c r="O83" s="141" t="n"/>
      <c r="P83" s="141" t="n"/>
      <c r="Q83" s="141" t="n"/>
      <c r="R83" s="141" t="n"/>
      <c r="S83" s="141" t="n"/>
      <c r="T83" s="141" t="n"/>
      <c r="U83" s="141" t="n"/>
      <c r="V83" s="135" t="n"/>
      <c r="W83" s="135">
        <f>FALSE()</f>
        <v/>
      </c>
      <c r="X83" s="135" t="n">
        <v>1</v>
      </c>
      <c r="Y83" s="135" t="n">
        <v>9999</v>
      </c>
      <c r="Z83" s="135" t="n"/>
      <c r="AA83" s="135" t="n"/>
      <c r="AB83" s="135" t="n"/>
      <c r="AC83" s="135" t="n">
        <v>1</v>
      </c>
      <c r="AD83" s="8" t="inlineStr">
        <is>
          <t>魔導的</t>
        </is>
      </c>
      <c r="AE83" s="141" t="n">
        <v>2</v>
      </c>
    </row>
    <row r="84" ht="14.25" customHeight="1" s="142">
      <c r="A84" s="135" t="n">
        <v>6004</v>
      </c>
      <c r="B84" s="8" t="inlineStr">
        <is>
          <t>魔導套裝X3</t>
        </is>
      </c>
      <c r="C84" s="137" t="inlineStr">
        <is>
          <t>兩件魔防+15% ，三件魔攻+20%，六件技能傷害+10%</t>
        </is>
      </c>
      <c r="D84" s="52" t="n"/>
      <c r="E84" s="52" t="n"/>
      <c r="F84" s="52" t="n"/>
      <c r="G84" s="141" t="n"/>
      <c r="H84" s="141" t="n"/>
      <c r="I84" s="141" t="n">
        <v>0.2</v>
      </c>
      <c r="J84" s="141" t="n"/>
      <c r="K84" s="141" t="n">
        <v>0.15</v>
      </c>
      <c r="L84" s="141" t="n"/>
      <c r="M84" s="141" t="n"/>
      <c r="N84" s="141" t="n"/>
      <c r="O84" s="141" t="n"/>
      <c r="P84" s="141" t="n"/>
      <c r="Q84" s="141" t="n"/>
      <c r="R84" s="141" t="n"/>
      <c r="S84" s="141" t="n"/>
      <c r="T84" s="141" t="n"/>
      <c r="U84" s="141" t="n"/>
      <c r="V84" s="135" t="n"/>
      <c r="W84" s="135">
        <f>FALSE()</f>
        <v/>
      </c>
      <c r="X84" s="135" t="n">
        <v>1</v>
      </c>
      <c r="Y84" s="135" t="n">
        <v>9999</v>
      </c>
      <c r="Z84" s="135" t="n"/>
      <c r="AA84" s="135" t="n"/>
      <c r="AB84" s="135" t="n"/>
      <c r="AC84" s="135" t="n">
        <v>1</v>
      </c>
      <c r="AD84" s="8" t="inlineStr">
        <is>
          <t>魔導的</t>
        </is>
      </c>
      <c r="AE84" s="141" t="n">
        <v>3</v>
      </c>
    </row>
    <row r="85" ht="14.25" customHeight="1" s="142">
      <c r="A85" s="135" t="n">
        <v>6004</v>
      </c>
      <c r="B85" s="8" t="inlineStr">
        <is>
          <t>魔導套裝X6</t>
        </is>
      </c>
      <c r="C85" s="137" t="inlineStr">
        <is>
          <t>兩件魔防+15% ，三件魔攻+20%，六件技能傷害+10%</t>
        </is>
      </c>
      <c r="D85" s="52" t="n"/>
      <c r="E85" s="52" t="n"/>
      <c r="F85" s="52" t="n"/>
      <c r="G85" s="141" t="n"/>
      <c r="H85" s="141" t="n"/>
      <c r="I85" s="141" t="n">
        <v>0.2</v>
      </c>
      <c r="J85" s="141" t="n"/>
      <c r="K85" s="141" t="n">
        <v>0.15</v>
      </c>
      <c r="L85" s="141" t="n"/>
      <c r="M85" s="141" t="n"/>
      <c r="N85" s="141" t="n"/>
      <c r="O85" s="141" t="n"/>
      <c r="P85" s="141" t="n"/>
      <c r="Q85" s="141" t="n"/>
      <c r="R85" s="141" t="n"/>
      <c r="S85" s="141" t="n">
        <v>0.1</v>
      </c>
      <c r="T85" s="141" t="n"/>
      <c r="U85" s="141" t="n"/>
      <c r="V85" s="135" t="n"/>
      <c r="W85" s="135">
        <f>FALSE()</f>
        <v/>
      </c>
      <c r="X85" s="135" t="n">
        <v>1</v>
      </c>
      <c r="Y85" s="135" t="n">
        <v>9999</v>
      </c>
      <c r="Z85" s="135" t="n"/>
      <c r="AA85" s="135" t="n"/>
      <c r="AB85" s="135" t="n"/>
      <c r="AC85" s="135" t="n">
        <v>1</v>
      </c>
      <c r="AD85" s="8" t="inlineStr">
        <is>
          <t>魔導的</t>
        </is>
      </c>
      <c r="AE85" s="141" t="n">
        <v>6</v>
      </c>
    </row>
    <row r="86" ht="14.25" customHeight="1" s="142">
      <c r="A86" s="135" t="n">
        <v>6005</v>
      </c>
      <c r="B86" s="8" t="inlineStr">
        <is>
          <t>致命套裝X2</t>
        </is>
      </c>
      <c r="C86" s="143" t="inlineStr">
        <is>
          <t xml:space="preserve"> 兩件爆擊機率+10%,，三件技能傷害+8%，六件爆擊爆傷+30%)</t>
        </is>
      </c>
      <c r="D86" s="52" t="n"/>
      <c r="E86" s="52" t="n"/>
      <c r="F86" s="52" t="n"/>
      <c r="G86" s="141" t="n"/>
      <c r="H86" s="141" t="n"/>
      <c r="I86" s="141" t="n"/>
      <c r="J86" s="141" t="n"/>
      <c r="K86" s="141" t="n"/>
      <c r="L86" s="141" t="n">
        <v>0.1</v>
      </c>
      <c r="M86" s="141" t="n"/>
      <c r="N86" s="141" t="n"/>
      <c r="O86" s="141" t="n"/>
      <c r="P86" s="141" t="n"/>
      <c r="Q86" s="141" t="n"/>
      <c r="R86" s="141" t="n"/>
      <c r="S86" s="141" t="n"/>
      <c r="T86" s="141" t="n"/>
      <c r="U86" s="141" t="n"/>
      <c r="V86" s="135" t="n"/>
      <c r="W86" s="135">
        <f>FALSE()</f>
        <v/>
      </c>
      <c r="X86" s="135" t="n">
        <v>1</v>
      </c>
      <c r="Y86" s="135" t="n">
        <v>9999</v>
      </c>
      <c r="Z86" s="135" t="n"/>
      <c r="AA86" s="135" t="n"/>
      <c r="AB86" s="135" t="n"/>
      <c r="AC86" s="135" t="n">
        <v>1</v>
      </c>
      <c r="AD86" s="8" t="inlineStr">
        <is>
          <t>致命的</t>
        </is>
      </c>
      <c r="AE86" s="141" t="n">
        <v>2</v>
      </c>
    </row>
    <row r="87" ht="14.25" customHeight="1" s="142">
      <c r="A87" s="135" t="n">
        <v>6005</v>
      </c>
      <c r="B87" s="8" t="inlineStr">
        <is>
          <t>致命套裝X3</t>
        </is>
      </c>
      <c r="C87" s="143" t="inlineStr">
        <is>
          <t xml:space="preserve"> 兩件爆擊機率+10%,，三件技能傷害+8%，六件爆擊爆傷+30%)</t>
        </is>
      </c>
      <c r="D87" s="52" t="n"/>
      <c r="E87" s="52" t="n"/>
      <c r="F87" s="52" t="n"/>
      <c r="G87" s="141" t="n"/>
      <c r="H87" s="141" t="n"/>
      <c r="I87" s="141" t="n"/>
      <c r="J87" s="141" t="n"/>
      <c r="K87" s="141" t="n"/>
      <c r="L87" s="141" t="n">
        <v>0.1</v>
      </c>
      <c r="M87" s="141" t="n"/>
      <c r="N87" s="141" t="n"/>
      <c r="O87" s="141" t="n"/>
      <c r="P87" s="141" t="n"/>
      <c r="Q87" s="141" t="n"/>
      <c r="R87" s="141" t="n"/>
      <c r="S87" s="141" t="n">
        <v>0.08</v>
      </c>
      <c r="T87" s="141" t="n"/>
      <c r="U87" s="141" t="n"/>
      <c r="V87" s="135" t="n"/>
      <c r="W87" s="135">
        <f>FALSE()</f>
        <v/>
      </c>
      <c r="X87" s="135" t="n">
        <v>1</v>
      </c>
      <c r="Y87" s="135" t="n">
        <v>9999</v>
      </c>
      <c r="Z87" s="135" t="n"/>
      <c r="AA87" s="135" t="n"/>
      <c r="AB87" s="135" t="n"/>
      <c r="AC87" s="135" t="n">
        <v>1</v>
      </c>
      <c r="AD87" s="8" t="inlineStr">
        <is>
          <t>致命的</t>
        </is>
      </c>
      <c r="AE87" s="141" t="n">
        <v>3</v>
      </c>
    </row>
    <row r="88" ht="14.25" customHeight="1" s="142">
      <c r="A88" s="135" t="n">
        <v>6005</v>
      </c>
      <c r="B88" s="8" t="inlineStr">
        <is>
          <t>致命套裝X6</t>
        </is>
      </c>
      <c r="C88" s="143" t="inlineStr">
        <is>
          <t xml:space="preserve"> 兩件爆擊機率+10%,，三件技能傷害+8%，六件爆擊爆傷+30%)</t>
        </is>
      </c>
      <c r="D88" s="52" t="n"/>
      <c r="E88" s="52" t="n"/>
      <c r="F88" s="52" t="n"/>
      <c r="G88" s="141" t="n"/>
      <c r="H88" s="141" t="n"/>
      <c r="I88" s="141" t="n"/>
      <c r="J88" s="141" t="n"/>
      <c r="K88" s="141" t="n"/>
      <c r="L88" s="141" t="n">
        <v>0.1</v>
      </c>
      <c r="M88" s="141" t="n"/>
      <c r="N88" s="141" t="n"/>
      <c r="O88" s="141" t="n"/>
      <c r="P88" s="141" t="n"/>
      <c r="Q88" s="141" t="n">
        <v>0.3</v>
      </c>
      <c r="R88" s="141" t="n"/>
      <c r="S88" s="141" t="n">
        <v>0.08</v>
      </c>
      <c r="T88" s="141" t="n"/>
      <c r="U88" s="141" t="n"/>
      <c r="V88" s="135" t="n"/>
      <c r="W88" s="135">
        <f>FALSE()</f>
        <v/>
      </c>
      <c r="X88" s="135" t="n">
        <v>1</v>
      </c>
      <c r="Y88" s="135" t="n">
        <v>9999</v>
      </c>
      <c r="Z88" s="135" t="n"/>
      <c r="AA88" s="135" t="n"/>
      <c r="AB88" s="135" t="n"/>
      <c r="AC88" s="135" t="n">
        <v>1</v>
      </c>
      <c r="AD88" s="8" t="inlineStr">
        <is>
          <t>致命的</t>
        </is>
      </c>
      <c r="AE88" s="141" t="n">
        <v>6</v>
      </c>
    </row>
    <row r="89" ht="14.25" customHeight="1" s="142">
      <c r="A89" s="135" t="n">
        <v>6006</v>
      </c>
      <c r="B89" s="8" t="inlineStr">
        <is>
          <t>抵抗套裝X2</t>
        </is>
      </c>
      <c r="C89" s="143" t="inlineStr">
        <is>
          <t>受到傷害減少+10%,，三件爆擊抗性+20%，六件爆擊傷害抗性+45%)</t>
        </is>
      </c>
      <c r="D89" s="52" t="n"/>
      <c r="E89" s="52" t="n"/>
      <c r="F89" s="52" t="n"/>
      <c r="G89" s="141" t="n"/>
      <c r="H89" s="141" t="n"/>
      <c r="I89" s="141" t="n"/>
      <c r="J89" s="141" t="n"/>
      <c r="K89" s="141" t="n"/>
      <c r="L89" s="141" t="n"/>
      <c r="M89" s="141" t="n"/>
      <c r="N89" s="141" t="n"/>
      <c r="O89" s="141" t="n"/>
      <c r="P89" s="141" t="n"/>
      <c r="Q89" s="141" t="n"/>
      <c r="R89" s="141" t="n"/>
      <c r="S89" s="141" t="n"/>
      <c r="T89" s="141" t="n"/>
      <c r="U89" s="141" t="n"/>
      <c r="V89" s="135" t="n">
        <v>0.1</v>
      </c>
      <c r="W89" s="135">
        <f>FALSE()</f>
        <v/>
      </c>
      <c r="X89" s="135" t="n">
        <v>1</v>
      </c>
      <c r="Y89" s="135" t="n">
        <v>9999</v>
      </c>
      <c r="Z89" s="135" t="n"/>
      <c r="AA89" s="135" t="n"/>
      <c r="AB89" s="135" t="n"/>
      <c r="AC89" s="135" t="n">
        <v>1</v>
      </c>
      <c r="AD89" s="8" t="inlineStr">
        <is>
          <t>抵抗的</t>
        </is>
      </c>
      <c r="AE89" s="141" t="n">
        <v>2</v>
      </c>
    </row>
    <row r="90" ht="14.25" customHeight="1" s="142">
      <c r="A90" s="135" t="n">
        <v>6006</v>
      </c>
      <c r="B90" s="8" t="inlineStr">
        <is>
          <t>抵抗套裝X3</t>
        </is>
      </c>
      <c r="C90" s="143" t="inlineStr">
        <is>
          <t>受到傷害減少+10%,，三件爆擊抗性+20%，六件爆擊傷害抗性+45%)</t>
        </is>
      </c>
      <c r="D90" s="52" t="n"/>
      <c r="E90" s="52" t="n"/>
      <c r="F90" s="52" t="n"/>
      <c r="G90" s="141" t="n"/>
      <c r="H90" s="141" t="n"/>
      <c r="I90" s="141" t="n"/>
      <c r="J90" s="141" t="n"/>
      <c r="K90" s="141" t="n"/>
      <c r="L90" s="141" t="n"/>
      <c r="M90" s="141" t="n"/>
      <c r="N90" s="141" t="n">
        <v>0.2</v>
      </c>
      <c r="O90" s="141" t="n"/>
      <c r="P90" s="141" t="n"/>
      <c r="Q90" s="141" t="n"/>
      <c r="R90" s="141" t="n"/>
      <c r="S90" s="141" t="n"/>
      <c r="T90" s="141" t="n"/>
      <c r="U90" s="141" t="n"/>
      <c r="V90" s="135" t="n">
        <v>0.1</v>
      </c>
      <c r="W90" s="135">
        <f>FALSE()</f>
        <v/>
      </c>
      <c r="X90" s="135" t="n">
        <v>1</v>
      </c>
      <c r="Y90" s="135" t="n">
        <v>9999</v>
      </c>
      <c r="Z90" s="135" t="n"/>
      <c r="AA90" s="135" t="n"/>
      <c r="AB90" s="135" t="n"/>
      <c r="AC90" s="135" t="n">
        <v>1</v>
      </c>
      <c r="AD90" s="8" t="inlineStr">
        <is>
          <t>抵抗的</t>
        </is>
      </c>
      <c r="AE90" s="141" t="n">
        <v>3</v>
      </c>
    </row>
    <row r="91" ht="14.25" customHeight="1" s="142">
      <c r="A91" s="135" t="n">
        <v>6006</v>
      </c>
      <c r="B91" s="8" t="inlineStr">
        <is>
          <t>抵抗套裝X6</t>
        </is>
      </c>
      <c r="C91" s="143" t="inlineStr">
        <is>
          <t>受到傷害減少+10%,，三件爆擊抗性+20%，六件爆擊傷害抗性+45%)</t>
        </is>
      </c>
      <c r="D91" s="52" t="n"/>
      <c r="E91" s="52" t="n"/>
      <c r="F91" s="52" t="n"/>
      <c r="G91" s="141" t="n"/>
      <c r="H91" s="141" t="n"/>
      <c r="I91" s="141" t="n"/>
      <c r="J91" s="141" t="n"/>
      <c r="K91" s="141" t="n"/>
      <c r="L91" s="141" t="n"/>
      <c r="M91" s="141" t="n"/>
      <c r="N91" s="141" t="n">
        <v>0.2</v>
      </c>
      <c r="O91" s="141" t="n"/>
      <c r="P91" s="141" t="n"/>
      <c r="Q91" s="141" t="n"/>
      <c r="R91" s="141" t="n">
        <v>0.45</v>
      </c>
      <c r="S91" s="141" t="n"/>
      <c r="T91" s="141" t="n"/>
      <c r="U91" s="141" t="n"/>
      <c r="V91" s="135" t="n">
        <v>0.1</v>
      </c>
      <c r="W91" s="135">
        <f>FALSE()</f>
        <v/>
      </c>
      <c r="X91" s="135" t="n">
        <v>1</v>
      </c>
      <c r="Y91" s="135" t="n">
        <v>9999</v>
      </c>
      <c r="Z91" s="135" t="n"/>
      <c r="AA91" s="135" t="n"/>
      <c r="AB91" s="135" t="n"/>
      <c r="AC91" s="135" t="n">
        <v>1</v>
      </c>
      <c r="AD91" s="8" t="inlineStr">
        <is>
          <t>抵抗的</t>
        </is>
      </c>
      <c r="AE91" s="141" t="n">
        <v>6</v>
      </c>
    </row>
    <row r="92" ht="14.25" customHeight="1" s="142">
      <c r="A92" s="135" t="n">
        <v>6007</v>
      </c>
      <c r="B92" s="8" t="inlineStr">
        <is>
          <t>逆轉套裝X6</t>
        </is>
      </c>
      <c r="C92" s="137" t="inlineStr">
        <is>
          <t>六件戰鬥第5回合後獲得逆轉效果(攻擊力/魔攻+80%持續5回合)</t>
        </is>
      </c>
      <c r="D92" s="135" t="n">
        <v>3018</v>
      </c>
      <c r="E92" s="52" t="n"/>
      <c r="F92" s="52" t="n"/>
      <c r="G92" s="141" t="n"/>
      <c r="H92" s="141" t="n">
        <v>0.8</v>
      </c>
      <c r="I92" s="141" t="n">
        <v>0.8</v>
      </c>
      <c r="J92" s="141" t="n"/>
      <c r="K92" s="141" t="n"/>
      <c r="L92" s="141" t="n"/>
      <c r="M92" s="141" t="n"/>
      <c r="N92" s="141" t="n"/>
      <c r="O92" s="141" t="n"/>
      <c r="P92" s="141" t="n"/>
      <c r="Q92" s="141" t="n"/>
      <c r="R92" s="141" t="n"/>
      <c r="S92" s="141" t="n"/>
      <c r="T92" s="141" t="n"/>
      <c r="U92" s="141" t="n"/>
      <c r="V92" s="135" t="n"/>
      <c r="W92" s="135">
        <f>FALSE()</f>
        <v/>
      </c>
      <c r="X92" s="135" t="n">
        <v>1</v>
      </c>
      <c r="Y92" s="135" t="n">
        <v>5</v>
      </c>
      <c r="Z92" s="135" t="n"/>
      <c r="AA92" s="135" t="n"/>
      <c r="AB92" s="135" t="n"/>
      <c r="AC92" s="135" t="n"/>
      <c r="AD92" s="8" t="inlineStr">
        <is>
          <t>逆襲的</t>
        </is>
      </c>
      <c r="AE92" s="141" t="n">
        <v>6</v>
      </c>
    </row>
    <row r="93" ht="14.25" customHeight="1" s="142">
      <c r="A93" s="135" t="n">
        <v>6008</v>
      </c>
      <c r="B93" s="8" t="inlineStr">
        <is>
          <t>奇襲套裝X6</t>
        </is>
      </c>
      <c r="C93" s="137" t="inlineStr">
        <is>
          <t>六件戰鬥第2回合後獲得奇襲效果(爆擊率+100%持續3回合)</t>
        </is>
      </c>
      <c r="D93" s="135" t="n">
        <v>3019</v>
      </c>
      <c r="E93" s="52" t="n"/>
      <c r="F93" s="52" t="n"/>
      <c r="G93" s="141" t="n"/>
      <c r="H93" s="141" t="n"/>
      <c r="I93" s="141" t="n"/>
      <c r="J93" s="141" t="n"/>
      <c r="K93" s="141" t="n"/>
      <c r="L93" s="141" t="n">
        <v>1</v>
      </c>
      <c r="M93" s="141" t="n"/>
      <c r="N93" s="141" t="n"/>
      <c r="O93" s="141" t="n"/>
      <c r="P93" s="141" t="n"/>
      <c r="Q93" s="141" t="n"/>
      <c r="R93" s="141" t="n"/>
      <c r="S93" s="141" t="n"/>
      <c r="T93" s="141" t="n"/>
      <c r="U93" s="141" t="n"/>
      <c r="V93" s="135" t="n"/>
      <c r="W93" s="135">
        <f>FALSE()</f>
        <v/>
      </c>
      <c r="X93" s="135" t="n">
        <v>1</v>
      </c>
      <c r="Y93" s="135" t="n">
        <v>3</v>
      </c>
      <c r="Z93" s="135" t="n"/>
      <c r="AA93" s="135" t="n"/>
      <c r="AB93" s="135" t="n"/>
      <c r="AC93" s="135" t="n"/>
      <c r="AD93" s="8" t="inlineStr">
        <is>
          <t>奇襲的</t>
        </is>
      </c>
      <c r="AE93" s="141" t="n">
        <v>6</v>
      </c>
    </row>
    <row r="94" ht="14.25" customHeight="1" s="142">
      <c r="A94" s="135" t="n">
        <v>6009</v>
      </c>
      <c r="B94" s="8" t="inlineStr">
        <is>
          <t>炙熱套裝X3</t>
        </is>
      </c>
      <c r="C94" s="143" t="inlineStr">
        <is>
          <t>僅對火屬性生效，三件攻擊魔攻+20%，六件爆擊率+5% / 敏捷+10%</t>
        </is>
      </c>
      <c r="D94" s="52" t="n"/>
      <c r="E94" s="52" t="n"/>
      <c r="F94" s="52" t="n"/>
      <c r="G94" s="141" t="n">
        <v>2</v>
      </c>
      <c r="H94" s="141" t="n">
        <v>0.2</v>
      </c>
      <c r="I94" s="141" t="n">
        <v>0.2</v>
      </c>
      <c r="J94" s="141" t="n"/>
      <c r="K94" s="141" t="n"/>
      <c r="L94" s="141" t="n"/>
      <c r="M94" s="141" t="n"/>
      <c r="N94" s="141" t="n"/>
      <c r="O94" s="141" t="n"/>
      <c r="P94" s="141" t="n"/>
      <c r="Q94" s="141" t="n"/>
      <c r="R94" s="141" t="n"/>
      <c r="S94" s="141" t="n"/>
      <c r="T94" s="141" t="n"/>
      <c r="U94" s="141" t="n"/>
      <c r="V94" s="135" t="n"/>
      <c r="W94" s="135">
        <f>FALSE()</f>
        <v/>
      </c>
      <c r="X94" s="135" t="n">
        <v>1</v>
      </c>
      <c r="Y94" s="135" t="n">
        <v>9999</v>
      </c>
      <c r="Z94" s="135" t="n"/>
      <c r="AA94" s="135" t="n"/>
      <c r="AB94" s="135" t="n"/>
      <c r="AC94" s="135" t="n">
        <v>1</v>
      </c>
      <c r="AD94" s="8" t="inlineStr">
        <is>
          <t>炙熱的</t>
        </is>
      </c>
      <c r="AE94" s="141" t="n">
        <v>3</v>
      </c>
    </row>
    <row r="95" ht="14.25" customHeight="1" s="142">
      <c r="A95" s="135" t="n">
        <v>6009</v>
      </c>
      <c r="B95" s="8" t="inlineStr">
        <is>
          <t>炙熱套裝X6</t>
        </is>
      </c>
      <c r="C95" s="143" t="inlineStr">
        <is>
          <t>僅對火屬性生效，三件攻擊魔攻+20%，六件爆擊率+5% / 敏捷+10%</t>
        </is>
      </c>
      <c r="D95" s="52" t="n"/>
      <c r="E95" s="52" t="n"/>
      <c r="F95" s="52" t="n"/>
      <c r="G95" s="141" t="n">
        <v>2</v>
      </c>
      <c r="H95" s="141" t="n">
        <v>0.2</v>
      </c>
      <c r="I95" s="141" t="n">
        <v>0.2</v>
      </c>
      <c r="J95" s="141" t="n"/>
      <c r="K95" s="141" t="n"/>
      <c r="L95" s="141" t="n">
        <v>0.05</v>
      </c>
      <c r="M95" s="141" t="n"/>
      <c r="N95" s="141" t="n"/>
      <c r="O95" s="141" t="n">
        <v>0.1</v>
      </c>
      <c r="P95" s="141" t="n"/>
      <c r="Q95" s="141" t="n"/>
      <c r="R95" s="141" t="n"/>
      <c r="S95" s="141" t="n"/>
      <c r="T95" s="141" t="n"/>
      <c r="U95" s="141" t="n"/>
      <c r="V95" s="135" t="n"/>
      <c r="W95" s="135">
        <f>FALSE()</f>
        <v/>
      </c>
      <c r="X95" s="135" t="n">
        <v>1</v>
      </c>
      <c r="Y95" s="135" t="n">
        <v>9999</v>
      </c>
      <c r="Z95" s="135" t="n"/>
      <c r="AA95" s="135" t="n"/>
      <c r="AB95" s="135" t="n"/>
      <c r="AC95" s="135" t="n">
        <v>1</v>
      </c>
      <c r="AD95" s="8" t="inlineStr">
        <is>
          <t>炙熱的</t>
        </is>
      </c>
      <c r="AE95" s="141" t="n">
        <v>6</v>
      </c>
    </row>
    <row r="96" ht="14.25" customHeight="1" s="142">
      <c r="A96" s="135" t="n">
        <v>6010</v>
      </c>
      <c r="B96" s="8" t="inlineStr">
        <is>
          <t>水紋套裝X3</t>
        </is>
      </c>
      <c r="C96" s="143" t="inlineStr">
        <is>
          <t>僅對水屬性生效，三件攻擊魔攻+20%，六件爆擊率+5% / 敏捷+10%</t>
        </is>
      </c>
      <c r="D96" s="52" t="n"/>
      <c r="E96" s="52" t="n"/>
      <c r="F96" s="52" t="n"/>
      <c r="G96" s="141" t="n">
        <v>1</v>
      </c>
      <c r="H96" s="141" t="n">
        <v>0.2</v>
      </c>
      <c r="I96" s="141" t="n">
        <v>0.2</v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  <c r="S96" s="141" t="n"/>
      <c r="T96" s="141" t="n"/>
      <c r="U96" s="141" t="n"/>
      <c r="V96" s="135" t="n"/>
      <c r="W96" s="135">
        <f>FALSE()</f>
        <v/>
      </c>
      <c r="X96" s="135" t="n">
        <v>1</v>
      </c>
      <c r="Y96" s="135" t="n">
        <v>9999</v>
      </c>
      <c r="Z96" s="135" t="n"/>
      <c r="AA96" s="135" t="n"/>
      <c r="AB96" s="135" t="n"/>
      <c r="AC96" s="135" t="n">
        <v>1</v>
      </c>
      <c r="AD96" s="8" t="inlineStr">
        <is>
          <t>水紋的</t>
        </is>
      </c>
      <c r="AE96" s="141" t="n">
        <v>3</v>
      </c>
    </row>
    <row r="97" ht="14.25" customHeight="1" s="142">
      <c r="A97" s="135" t="n">
        <v>6010</v>
      </c>
      <c r="B97" s="8" t="inlineStr">
        <is>
          <t>水紋套裝X6</t>
        </is>
      </c>
      <c r="C97" s="143" t="inlineStr">
        <is>
          <t>僅對水屬性生效，三件攻擊魔攻+20%，六件爆擊率+5% / 敏捷+10%</t>
        </is>
      </c>
      <c r="D97" s="52" t="n"/>
      <c r="E97" s="52" t="n"/>
      <c r="F97" s="52" t="n"/>
      <c r="G97" s="141" t="n">
        <v>1</v>
      </c>
      <c r="H97" s="141" t="n">
        <v>0.2</v>
      </c>
      <c r="I97" s="141" t="n">
        <v>0.2</v>
      </c>
      <c r="J97" s="141" t="n"/>
      <c r="K97" s="141" t="n"/>
      <c r="L97" s="141" t="n">
        <v>0.05</v>
      </c>
      <c r="M97" s="141" t="n"/>
      <c r="N97" s="141" t="n"/>
      <c r="O97" s="141" t="n">
        <v>0.1</v>
      </c>
      <c r="P97" s="141" t="n"/>
      <c r="Q97" s="141" t="n"/>
      <c r="R97" s="141" t="n"/>
      <c r="S97" s="141" t="n"/>
      <c r="T97" s="141" t="n"/>
      <c r="U97" s="141" t="n"/>
      <c r="V97" s="135" t="n"/>
      <c r="W97" s="135">
        <f>FALSE()</f>
        <v/>
      </c>
      <c r="X97" s="135" t="n">
        <v>1</v>
      </c>
      <c r="Y97" s="135" t="n">
        <v>9999</v>
      </c>
      <c r="Z97" s="135" t="n"/>
      <c r="AA97" s="135" t="n"/>
      <c r="AB97" s="135" t="n"/>
      <c r="AC97" s="135" t="n">
        <v>1</v>
      </c>
      <c r="AD97" s="8" t="inlineStr">
        <is>
          <t>水紋的</t>
        </is>
      </c>
      <c r="AE97" s="141" t="n">
        <v>6</v>
      </c>
    </row>
    <row r="98" ht="14.25" customHeight="1" s="142">
      <c r="A98" s="135" t="n">
        <v>6011</v>
      </c>
      <c r="B98" s="8" t="inlineStr">
        <is>
          <t>木訥套裝X3</t>
        </is>
      </c>
      <c r="C98" s="143" t="inlineStr">
        <is>
          <t>僅對木屬性生效，三件攻擊魔攻+20%，六件爆擊率+5% / 敏捷+10%</t>
        </is>
      </c>
      <c r="D98" s="52" t="n"/>
      <c r="E98" s="52" t="n"/>
      <c r="F98" s="52" t="n"/>
      <c r="G98" s="141" t="n">
        <v>3</v>
      </c>
      <c r="H98" s="141" t="n">
        <v>0.2</v>
      </c>
      <c r="I98" s="141" t="n">
        <v>0.2</v>
      </c>
      <c r="J98" s="141" t="n"/>
      <c r="K98" s="141" t="n"/>
      <c r="L98" s="141" t="n"/>
      <c r="M98" s="141" t="n"/>
      <c r="N98" s="141" t="n"/>
      <c r="O98" s="141" t="n"/>
      <c r="P98" s="141" t="n"/>
      <c r="Q98" s="141" t="n"/>
      <c r="R98" s="141" t="n"/>
      <c r="S98" s="141" t="n"/>
      <c r="T98" s="141" t="n"/>
      <c r="U98" s="141" t="n"/>
      <c r="V98" s="135" t="n"/>
      <c r="W98" s="135">
        <f>FALSE()</f>
        <v/>
      </c>
      <c r="X98" s="135" t="n">
        <v>1</v>
      </c>
      <c r="Y98" s="135" t="n">
        <v>9999</v>
      </c>
      <c r="Z98" s="135" t="n"/>
      <c r="AA98" s="135" t="n"/>
      <c r="AB98" s="135" t="n"/>
      <c r="AC98" s="135" t="n">
        <v>1</v>
      </c>
      <c r="AD98" s="8" t="inlineStr">
        <is>
          <t>木訥的</t>
        </is>
      </c>
      <c r="AE98" s="141" t="n">
        <v>3</v>
      </c>
    </row>
    <row r="99" ht="14.25" customHeight="1" s="142">
      <c r="A99" s="135" t="n">
        <v>6011</v>
      </c>
      <c r="B99" s="8" t="inlineStr">
        <is>
          <t>木訥套裝X6</t>
        </is>
      </c>
      <c r="C99" s="143" t="inlineStr">
        <is>
          <t>僅對木屬性生效，三件攻擊魔攻+20%，六件爆擊率+5% / 敏捷+10%</t>
        </is>
      </c>
      <c r="D99" s="52" t="n"/>
      <c r="E99" s="52" t="n"/>
      <c r="F99" s="52" t="n"/>
      <c r="G99" s="141" t="n">
        <v>3</v>
      </c>
      <c r="H99" s="141" t="n">
        <v>0.2</v>
      </c>
      <c r="I99" s="141" t="n">
        <v>0.2</v>
      </c>
      <c r="J99" s="141" t="n"/>
      <c r="K99" s="141" t="n"/>
      <c r="L99" s="141" t="n">
        <v>0.05</v>
      </c>
      <c r="M99" s="141" t="n"/>
      <c r="N99" s="141" t="n"/>
      <c r="O99" s="141" t="n">
        <v>0.1</v>
      </c>
      <c r="P99" s="141" t="n"/>
      <c r="Q99" s="141" t="n"/>
      <c r="R99" s="141" t="n"/>
      <c r="S99" s="141" t="n"/>
      <c r="T99" s="141" t="n"/>
      <c r="U99" s="141" t="n"/>
      <c r="V99" s="135" t="n"/>
      <c r="W99" s="135">
        <f>FALSE()</f>
        <v/>
      </c>
      <c r="X99" s="135" t="n">
        <v>1</v>
      </c>
      <c r="Y99" s="135" t="n">
        <v>9999</v>
      </c>
      <c r="Z99" s="135" t="n"/>
      <c r="AA99" s="135" t="n"/>
      <c r="AB99" s="135" t="n"/>
      <c r="AC99" s="135" t="n">
        <v>1</v>
      </c>
      <c r="AD99" s="8" t="inlineStr">
        <is>
          <t>木訥的</t>
        </is>
      </c>
      <c r="AE99" s="141" t="n">
        <v>6</v>
      </c>
    </row>
    <row r="100" ht="14.25" customHeight="1" s="142">
      <c r="A100" s="45" t="n"/>
      <c r="D100" s="47" t="n"/>
      <c r="E100" s="47" t="n"/>
      <c r="F100" s="47" t="n"/>
      <c r="R100" s="7" t="n"/>
      <c r="U100" s="7" t="n"/>
      <c r="V100" s="45" t="n"/>
      <c r="W100" s="45" t="n"/>
      <c r="X100" s="45" t="n"/>
      <c r="Y100" s="45" t="n"/>
      <c r="Z100" s="45" t="n"/>
      <c r="AA100" s="45" t="n"/>
      <c r="AB100" s="45" t="n"/>
      <c r="AC100" s="45" t="n"/>
      <c r="AD100" s="47" t="n"/>
      <c r="AE100" s="7" t="n"/>
    </row>
    <row r="101" ht="14.25" customHeight="1" s="142">
      <c r="A101" s="45" t="n"/>
      <c r="D101" s="47" t="n"/>
      <c r="E101" s="47" t="n"/>
      <c r="F101" s="47" t="n"/>
      <c r="R101" s="7" t="n"/>
      <c r="U101" s="7" t="n"/>
      <c r="V101" s="45" t="n"/>
      <c r="W101" s="45" t="n"/>
      <c r="X101" s="45" t="n"/>
      <c r="Y101" s="45" t="n"/>
      <c r="Z101" s="45" t="n"/>
      <c r="AA101" s="45" t="n"/>
      <c r="AB101" s="45" t="n"/>
      <c r="AC101" s="45" t="n"/>
      <c r="AD101" s="47" t="n"/>
      <c r="AE101" s="7" t="n"/>
    </row>
    <row r="102" ht="14.25" customHeight="1" s="142">
      <c r="A102" s="45" t="n"/>
      <c r="D102" s="47" t="n"/>
      <c r="E102" s="47" t="n"/>
      <c r="F102" s="47" t="n"/>
      <c r="R102" s="7" t="n"/>
      <c r="U102" s="7" t="n"/>
      <c r="V102" s="45" t="n"/>
      <c r="W102" s="45" t="n"/>
      <c r="X102" s="45" t="n"/>
      <c r="Y102" s="45" t="n"/>
      <c r="Z102" s="45" t="n"/>
      <c r="AA102" s="45" t="n"/>
      <c r="AB102" s="45" t="n"/>
      <c r="AC102" s="45" t="n"/>
      <c r="AD102" s="47" t="n"/>
      <c r="AE102" s="7" t="n"/>
    </row>
    <row r="103" ht="14.25" customHeight="1" s="142">
      <c r="A103" s="45" t="n"/>
      <c r="D103" s="47" t="n"/>
      <c r="E103" s="47" t="n"/>
      <c r="F103" s="47" t="n"/>
      <c r="R103" s="7" t="n"/>
      <c r="U103" s="7" t="n"/>
      <c r="V103" s="45" t="n"/>
      <c r="W103" s="45" t="n"/>
      <c r="X103" s="45" t="n"/>
      <c r="Y103" s="45" t="n"/>
      <c r="Z103" s="45" t="n"/>
      <c r="AA103" s="45" t="n"/>
      <c r="AB103" s="45" t="n"/>
      <c r="AC103" s="45" t="n"/>
      <c r="AD103" s="47" t="n"/>
      <c r="AE103" s="7" t="n"/>
    </row>
    <row r="104" ht="14.25" customHeight="1" s="142">
      <c r="A104" s="45" t="n"/>
      <c r="D104" s="47" t="n"/>
      <c r="E104" s="47" t="n"/>
      <c r="F104" s="47" t="n"/>
      <c r="R104" s="7" t="n"/>
      <c r="U104" s="7" t="n"/>
      <c r="V104" s="45" t="n"/>
      <c r="W104" s="45" t="n"/>
      <c r="X104" s="45" t="n"/>
      <c r="Y104" s="45" t="n"/>
      <c r="Z104" s="45" t="n"/>
      <c r="AA104" s="45" t="n"/>
      <c r="AB104" s="45" t="n"/>
      <c r="AC104" s="45" t="n"/>
      <c r="AD104" s="47" t="n"/>
      <c r="AE104" s="7" t="n"/>
    </row>
    <row r="105" ht="14.25" customHeight="1" s="142">
      <c r="A105" s="45" t="n"/>
      <c r="D105" s="47" t="n"/>
      <c r="E105" s="47" t="n"/>
      <c r="F105" s="47" t="n"/>
      <c r="R105" s="7" t="n"/>
      <c r="U105" s="7" t="n"/>
      <c r="V105" s="45" t="n"/>
      <c r="W105" s="45" t="n"/>
      <c r="X105" s="45" t="n"/>
      <c r="Y105" s="45" t="n"/>
      <c r="Z105" s="45" t="n"/>
      <c r="AA105" s="45" t="n"/>
      <c r="AB105" s="45" t="n"/>
      <c r="AC105" s="45" t="n"/>
      <c r="AD105" s="47" t="n"/>
      <c r="AE105" s="7" t="n"/>
    </row>
    <row r="106" ht="14.25" customHeight="1" s="142">
      <c r="A106" s="45" t="n"/>
      <c r="D106" s="45" t="n"/>
      <c r="E106" s="45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45" t="n"/>
      <c r="V106" s="45" t="n"/>
      <c r="W106" s="45" t="n"/>
      <c r="X106" s="45" t="n"/>
      <c r="Y106" s="45" t="n"/>
      <c r="Z106" s="45" t="n"/>
      <c r="AA106" s="45" t="n"/>
      <c r="AB106" s="45" t="n"/>
      <c r="AC106" s="45" t="n"/>
      <c r="AD106" s="45" t="n"/>
      <c r="AE106" s="45" t="n"/>
    </row>
    <row r="107" ht="14.25" customHeight="1" s="142">
      <c r="A107" s="40" t="inlineStr">
        <is>
          <t>buff_id</t>
        </is>
      </c>
      <c r="B107" s="40" t="inlineStr">
        <is>
          <t>buff名稱</t>
        </is>
      </c>
      <c r="C107" s="40" t="inlineStr">
        <is>
          <t>buff_info</t>
        </is>
      </c>
      <c r="D107" s="40" t="inlineStr">
        <is>
          <t>#備註用</t>
        </is>
      </c>
      <c r="E107" s="40" t="inlineStr">
        <is>
          <t>buff_exchange</t>
        </is>
      </c>
      <c r="F107" s="40" t="inlineStr">
        <is>
          <t>tag</t>
        </is>
      </c>
      <c r="G107" s="40" t="inlineStr">
        <is>
          <t>element</t>
        </is>
      </c>
      <c r="H107" s="40" t="inlineStr">
        <is>
          <t>ATK</t>
        </is>
      </c>
      <c r="I107" s="40" t="inlineStr">
        <is>
          <t>MATK</t>
        </is>
      </c>
      <c r="J107" s="40" t="inlineStr">
        <is>
          <t>DEF</t>
        </is>
      </c>
      <c r="K107" s="40" t="inlineStr">
        <is>
          <t>MDEF</t>
        </is>
      </c>
      <c r="L107" s="40" t="inlineStr">
        <is>
          <t>CRI</t>
        </is>
      </c>
      <c r="M107" s="40" t="inlineStr">
        <is>
          <t>MP</t>
        </is>
      </c>
      <c r="N107" s="40" t="inlineStr">
        <is>
          <t>cri_resist</t>
        </is>
      </c>
      <c r="O107" s="40" t="inlineStr">
        <is>
          <t>AGI</t>
        </is>
      </c>
      <c r="P107" s="40" t="inlineStr">
        <is>
          <t>damage_reflect</t>
        </is>
      </c>
      <c r="Q107" s="40" t="inlineStr">
        <is>
          <t>cri_damage</t>
        </is>
      </c>
      <c r="R107" s="40" t="inlineStr">
        <is>
          <t>cri_damage_resist</t>
        </is>
      </c>
      <c r="S107" s="40" t="inlineStr">
        <is>
          <t>skill_rate</t>
        </is>
      </c>
      <c r="T107" s="40" t="inlineStr">
        <is>
          <t>skill_resist</t>
        </is>
      </c>
      <c r="U107" s="40" t="inlineStr">
        <is>
          <t>damage_increase</t>
        </is>
      </c>
      <c r="V107" s="40" t="inlineStr">
        <is>
          <t>damage_reduce</t>
        </is>
      </c>
      <c r="W107" s="40" t="inlineStr">
        <is>
          <t>reflashAble</t>
        </is>
      </c>
      <c r="X107" s="40" t="inlineStr">
        <is>
          <t>max_stack</t>
        </is>
      </c>
      <c r="Y107" s="48" t="inlineStr">
        <is>
          <t>持續回合數</t>
        </is>
      </c>
      <c r="Z107" s="40" t="n"/>
      <c r="AA107" s="40" t="n"/>
      <c r="AB107" s="40" t="n"/>
      <c r="AC107" s="40" t="inlineStr">
        <is>
          <t>invisible</t>
        </is>
      </c>
      <c r="AD107" s="40" t="inlineStr">
        <is>
          <t>set_info</t>
        </is>
      </c>
      <c r="AE107" s="141" t="inlineStr">
        <is>
          <t>set_effective_count</t>
        </is>
      </c>
    </row>
    <row r="108" ht="14.25" customHeight="1" s="142">
      <c r="A108" s="135" t="n">
        <v>7001</v>
      </c>
      <c r="B108" s="8" t="inlineStr">
        <is>
          <t>火焰寶石LV.1</t>
        </is>
      </c>
      <c r="C108" s="141">
        <f>"戰鬥開始時裝備者的攻擊增加"&amp;H108*100&amp;"%"</f>
        <v/>
      </c>
      <c r="D108" s="141" t="n"/>
      <c r="E108" s="141" t="n"/>
      <c r="F108" s="141" t="n"/>
      <c r="G108" s="141" t="n"/>
      <c r="H108" s="141" t="n">
        <v>0.02</v>
      </c>
      <c r="I108" s="141" t="n"/>
      <c r="J108" s="141" t="n"/>
      <c r="K108" s="141" t="n"/>
      <c r="L108" s="141" t="n"/>
      <c r="M108" s="141" t="n"/>
      <c r="N108" s="141" t="n"/>
      <c r="O108" s="141" t="n"/>
      <c r="P108" s="141" t="n"/>
      <c r="Q108" s="135" t="n"/>
      <c r="R108" s="135" t="n"/>
      <c r="S108" s="135" t="n"/>
      <c r="T108" s="135" t="n"/>
      <c r="U108" s="135" t="n"/>
      <c r="V108" s="135" t="n"/>
      <c r="W108" s="135">
        <f>FALSE()</f>
        <v/>
      </c>
      <c r="X108" s="135" t="n">
        <v>1</v>
      </c>
      <c r="Y108" s="135" t="n">
        <v>9999</v>
      </c>
      <c r="Z108" s="135" t="n"/>
      <c r="AA108" s="135" t="n"/>
      <c r="AB108" s="135" t="n"/>
      <c r="AC108" s="135" t="n">
        <v>1</v>
      </c>
      <c r="AD108" s="141" t="n"/>
      <c r="AE108" s="141" t="n"/>
    </row>
    <row r="109" ht="14.25" customHeight="1" s="142">
      <c r="A109" s="135" t="n">
        <v>7002</v>
      </c>
      <c r="B109" s="8" t="inlineStr">
        <is>
          <t>火焰寶石LV.2</t>
        </is>
      </c>
      <c r="C109" s="141">
        <f>"戰鬥開始時裝備者的攻擊增加"&amp;H109*100&amp;"%"</f>
        <v/>
      </c>
      <c r="D109" s="141" t="n"/>
      <c r="E109" s="141" t="n"/>
      <c r="F109" s="141" t="n"/>
      <c r="G109" s="141" t="n"/>
      <c r="H109" s="141">
        <f>H108+0.01</f>
        <v/>
      </c>
      <c r="I109" s="141" t="n"/>
      <c r="J109" s="141" t="n"/>
      <c r="K109" s="141" t="n"/>
      <c r="L109" s="141" t="n"/>
      <c r="M109" s="141" t="n"/>
      <c r="N109" s="141" t="n"/>
      <c r="O109" s="141" t="n"/>
      <c r="P109" s="141" t="n"/>
      <c r="Q109" s="135" t="n"/>
      <c r="R109" s="135" t="n"/>
      <c r="S109" s="135" t="n"/>
      <c r="T109" s="135" t="n"/>
      <c r="U109" s="135" t="n"/>
      <c r="V109" s="135" t="n"/>
      <c r="W109" s="135">
        <f>FALSE()</f>
        <v/>
      </c>
      <c r="X109" s="135" t="n">
        <v>1</v>
      </c>
      <c r="Y109" s="135" t="n">
        <v>9999</v>
      </c>
      <c r="Z109" s="135" t="n"/>
      <c r="AA109" s="135" t="n"/>
      <c r="AB109" s="135" t="n"/>
      <c r="AC109" s="135" t="n">
        <v>1</v>
      </c>
      <c r="AD109" s="141" t="n"/>
      <c r="AE109" s="141" t="n"/>
    </row>
    <row r="110" ht="14.25" customHeight="1" s="142">
      <c r="A110" s="135" t="n">
        <v>7003</v>
      </c>
      <c r="B110" s="8" t="inlineStr">
        <is>
          <t>火焰寶石LV.3</t>
        </is>
      </c>
      <c r="C110" s="141">
        <f>"戰鬥開始時裝備者的攻擊增加"&amp;H110*100&amp;"%"</f>
        <v/>
      </c>
      <c r="D110" s="141" t="n"/>
      <c r="E110" s="141" t="n"/>
      <c r="F110" s="141" t="n"/>
      <c r="G110" s="141" t="n"/>
      <c r="H110" s="141">
        <f>H109+0.01</f>
        <v/>
      </c>
      <c r="I110" s="141" t="n"/>
      <c r="J110" s="141" t="n"/>
      <c r="K110" s="141" t="n"/>
      <c r="L110" s="141" t="n"/>
      <c r="M110" s="141" t="n"/>
      <c r="N110" s="141" t="n"/>
      <c r="O110" s="141" t="n"/>
      <c r="P110" s="141" t="n"/>
      <c r="Q110" s="135" t="n"/>
      <c r="R110" s="135" t="n"/>
      <c r="S110" s="135" t="n"/>
      <c r="T110" s="135" t="n"/>
      <c r="U110" s="135" t="n"/>
      <c r="V110" s="135" t="n"/>
      <c r="W110" s="135">
        <f>FALSE()</f>
        <v/>
      </c>
      <c r="X110" s="135" t="n">
        <v>1</v>
      </c>
      <c r="Y110" s="135" t="n">
        <v>9999</v>
      </c>
      <c r="Z110" s="135" t="n"/>
      <c r="AA110" s="135" t="n"/>
      <c r="AB110" s="135" t="n"/>
      <c r="AC110" s="135" t="n">
        <v>1</v>
      </c>
      <c r="AD110" s="141" t="n"/>
      <c r="AE110" s="141" t="n"/>
    </row>
    <row r="111" ht="14.25" customHeight="1" s="142">
      <c r="A111" s="135" t="n">
        <v>7004</v>
      </c>
      <c r="B111" s="8" t="inlineStr">
        <is>
          <t>火焰寶石LV.4</t>
        </is>
      </c>
      <c r="C111" s="141">
        <f>"戰鬥開始時裝備者的攻擊增加"&amp;H111*100&amp;"%"</f>
        <v/>
      </c>
      <c r="D111" s="141" t="n"/>
      <c r="E111" s="141" t="n"/>
      <c r="F111" s="141" t="n"/>
      <c r="G111" s="141" t="n"/>
      <c r="H111" s="141">
        <f>H110+0.01</f>
        <v/>
      </c>
      <c r="I111" s="141" t="n"/>
      <c r="J111" s="141" t="n"/>
      <c r="K111" s="141" t="n"/>
      <c r="L111" s="141" t="n"/>
      <c r="M111" s="141" t="n"/>
      <c r="N111" s="141" t="n"/>
      <c r="O111" s="141" t="n"/>
      <c r="P111" s="141" t="n"/>
      <c r="Q111" s="135" t="n"/>
      <c r="R111" s="135" t="n"/>
      <c r="S111" s="135" t="n"/>
      <c r="T111" s="135" t="n"/>
      <c r="U111" s="135" t="n"/>
      <c r="V111" s="135" t="n"/>
      <c r="W111" s="135">
        <f>FALSE()</f>
        <v/>
      </c>
      <c r="X111" s="135" t="n">
        <v>1</v>
      </c>
      <c r="Y111" s="135" t="n">
        <v>9999</v>
      </c>
      <c r="Z111" s="135" t="n"/>
      <c r="AA111" s="135" t="n"/>
      <c r="AB111" s="135" t="n"/>
      <c r="AC111" s="135" t="n">
        <v>1</v>
      </c>
      <c r="AD111" s="141" t="n"/>
      <c r="AE111" s="141" t="n"/>
    </row>
    <row r="112" ht="14.25" customHeight="1" s="142">
      <c r="A112" s="135" t="n">
        <v>7005</v>
      </c>
      <c r="B112" s="8" t="inlineStr">
        <is>
          <t>火焰寶石LV.5</t>
        </is>
      </c>
      <c r="C112" s="141">
        <f>"戰鬥開始時裝備者的攻擊增加"&amp;H112*100&amp;"%"</f>
        <v/>
      </c>
      <c r="D112" s="141" t="n"/>
      <c r="E112" s="141" t="n"/>
      <c r="F112" s="141" t="n"/>
      <c r="G112" s="141" t="n"/>
      <c r="H112" s="141">
        <f>H111+0.01</f>
        <v/>
      </c>
      <c r="I112" s="141" t="n"/>
      <c r="J112" s="141" t="n"/>
      <c r="K112" s="141" t="n"/>
      <c r="L112" s="141" t="n"/>
      <c r="M112" s="141" t="n"/>
      <c r="N112" s="141" t="n"/>
      <c r="O112" s="141" t="n"/>
      <c r="P112" s="141" t="n"/>
      <c r="Q112" s="135" t="n"/>
      <c r="R112" s="135" t="n"/>
      <c r="S112" s="135" t="n"/>
      <c r="T112" s="135" t="n"/>
      <c r="U112" s="135" t="n"/>
      <c r="V112" s="135" t="n"/>
      <c r="W112" s="135">
        <f>FALSE()</f>
        <v/>
      </c>
      <c r="X112" s="135" t="n">
        <v>1</v>
      </c>
      <c r="Y112" s="135" t="n">
        <v>9999</v>
      </c>
      <c r="Z112" s="135" t="n"/>
      <c r="AA112" s="135" t="n"/>
      <c r="AB112" s="135" t="n"/>
      <c r="AC112" s="135" t="n">
        <v>1</v>
      </c>
      <c r="AD112" s="141" t="n"/>
      <c r="AE112" s="141" t="n"/>
    </row>
    <row r="113" ht="14.25" customHeight="1" s="142">
      <c r="A113" s="135" t="n">
        <v>7006</v>
      </c>
      <c r="B113" s="8" t="inlineStr">
        <is>
          <t>火焰寶石LV.6</t>
        </is>
      </c>
      <c r="C113" s="141">
        <f>"戰鬥開始時裝備者的攻擊增加"&amp;H113*100&amp;"%"</f>
        <v/>
      </c>
      <c r="D113" s="141" t="n"/>
      <c r="E113" s="141" t="n"/>
      <c r="F113" s="141" t="n"/>
      <c r="G113" s="141" t="n"/>
      <c r="H113" s="141">
        <f>H112+0.01</f>
        <v/>
      </c>
      <c r="I113" s="141" t="n"/>
      <c r="J113" s="141" t="n"/>
      <c r="K113" s="141" t="n"/>
      <c r="L113" s="141" t="n"/>
      <c r="M113" s="141" t="n"/>
      <c r="N113" s="141" t="n"/>
      <c r="O113" s="141" t="n"/>
      <c r="P113" s="141" t="n"/>
      <c r="Q113" s="135" t="n"/>
      <c r="R113" s="135" t="n"/>
      <c r="S113" s="135" t="n"/>
      <c r="T113" s="135" t="n"/>
      <c r="U113" s="135" t="n"/>
      <c r="V113" s="135" t="n"/>
      <c r="W113" s="135">
        <f>FALSE()</f>
        <v/>
      </c>
      <c r="X113" s="135" t="n">
        <v>1</v>
      </c>
      <c r="Y113" s="135" t="n">
        <v>9999</v>
      </c>
      <c r="Z113" s="135" t="n"/>
      <c r="AA113" s="135" t="n"/>
      <c r="AB113" s="135" t="n"/>
      <c r="AC113" s="135" t="n">
        <v>1</v>
      </c>
      <c r="AD113" s="141" t="n"/>
      <c r="AE113" s="141" t="n"/>
    </row>
    <row r="114" ht="14.25" customHeight="1" s="142">
      <c r="A114" s="135" t="n">
        <v>7007</v>
      </c>
      <c r="B114" s="8" t="inlineStr">
        <is>
          <t>火焰寶石LV.7</t>
        </is>
      </c>
      <c r="C114" s="141">
        <f>"戰鬥開始時裝備者的攻擊增加"&amp;H114*100&amp;"%"</f>
        <v/>
      </c>
      <c r="D114" s="141" t="n"/>
      <c r="E114" s="141" t="n"/>
      <c r="F114" s="141" t="n"/>
      <c r="G114" s="141" t="n"/>
      <c r="H114" s="141">
        <f>H113+0.02</f>
        <v/>
      </c>
      <c r="I114" s="141" t="n"/>
      <c r="J114" s="141" t="n"/>
      <c r="K114" s="141" t="n"/>
      <c r="L114" s="141" t="n"/>
      <c r="M114" s="141" t="n"/>
      <c r="N114" s="141" t="n"/>
      <c r="O114" s="141" t="n"/>
      <c r="P114" s="141" t="n"/>
      <c r="Q114" s="135" t="n"/>
      <c r="R114" s="135" t="n"/>
      <c r="S114" s="135" t="n"/>
      <c r="T114" s="135" t="n"/>
      <c r="U114" s="135" t="n"/>
      <c r="V114" s="135" t="n"/>
      <c r="W114" s="135">
        <f>FALSE()</f>
        <v/>
      </c>
      <c r="X114" s="135" t="n">
        <v>1</v>
      </c>
      <c r="Y114" s="135" t="n">
        <v>9999</v>
      </c>
      <c r="Z114" s="135" t="n"/>
      <c r="AA114" s="135" t="n"/>
      <c r="AB114" s="135" t="n"/>
      <c r="AC114" s="135" t="n">
        <v>1</v>
      </c>
      <c r="AD114" s="141" t="n"/>
      <c r="AE114" s="141" t="n"/>
    </row>
    <row r="115" ht="14.25" customHeight="1" s="142">
      <c r="A115" s="135" t="n">
        <v>7008</v>
      </c>
      <c r="B115" s="8" t="inlineStr">
        <is>
          <t>火焰寶石LV.8</t>
        </is>
      </c>
      <c r="C115" s="141">
        <f>"戰鬥開始時裝備者的攻擊增加"&amp;H115*100&amp;"%"</f>
        <v/>
      </c>
      <c r="D115" s="141" t="n"/>
      <c r="E115" s="141" t="n"/>
      <c r="F115" s="141" t="n"/>
      <c r="G115" s="141" t="n"/>
      <c r="H115" s="141">
        <f>H114+0.02</f>
        <v/>
      </c>
      <c r="I115" s="141" t="n"/>
      <c r="J115" s="141" t="n"/>
      <c r="K115" s="141" t="n"/>
      <c r="L115" s="141" t="n"/>
      <c r="M115" s="141" t="n"/>
      <c r="N115" s="141" t="n"/>
      <c r="O115" s="141" t="n"/>
      <c r="P115" s="141" t="n"/>
      <c r="Q115" s="135" t="n"/>
      <c r="R115" s="135" t="n"/>
      <c r="S115" s="135" t="n"/>
      <c r="T115" s="135" t="n"/>
      <c r="U115" s="135" t="n"/>
      <c r="V115" s="135" t="n"/>
      <c r="W115" s="135">
        <f>FALSE()</f>
        <v/>
      </c>
      <c r="X115" s="135" t="n">
        <v>1</v>
      </c>
      <c r="Y115" s="135" t="n">
        <v>9999</v>
      </c>
      <c r="Z115" s="135" t="n"/>
      <c r="AA115" s="135" t="n"/>
      <c r="AB115" s="135" t="n"/>
      <c r="AC115" s="135" t="n">
        <v>1</v>
      </c>
      <c r="AD115" s="141" t="n"/>
      <c r="AE115" s="141" t="n"/>
    </row>
    <row r="116" ht="14.25" customHeight="1" s="142">
      <c r="A116" s="135" t="n">
        <v>7009</v>
      </c>
      <c r="B116" s="8" t="inlineStr">
        <is>
          <t>火焰寶石LV.9</t>
        </is>
      </c>
      <c r="C116" s="141">
        <f>"戰鬥開始時裝備者的攻擊增加"&amp;H116*100&amp;"%"</f>
        <v/>
      </c>
      <c r="D116" s="141" t="n"/>
      <c r="E116" s="141" t="n"/>
      <c r="F116" s="141" t="n"/>
      <c r="G116" s="141" t="n"/>
      <c r="H116" s="141">
        <f>H115+0.02</f>
        <v/>
      </c>
      <c r="I116" s="141" t="n"/>
      <c r="J116" s="141" t="n"/>
      <c r="K116" s="141" t="n"/>
      <c r="L116" s="141" t="n"/>
      <c r="M116" s="141" t="n"/>
      <c r="N116" s="141" t="n"/>
      <c r="O116" s="141" t="n"/>
      <c r="P116" s="141" t="n"/>
      <c r="Q116" s="135" t="n"/>
      <c r="R116" s="135" t="n"/>
      <c r="S116" s="135" t="n"/>
      <c r="T116" s="135" t="n"/>
      <c r="U116" s="135" t="n"/>
      <c r="V116" s="135" t="n"/>
      <c r="W116" s="135">
        <f>FALSE()</f>
        <v/>
      </c>
      <c r="X116" s="135" t="n">
        <v>1</v>
      </c>
      <c r="Y116" s="135" t="n">
        <v>9999</v>
      </c>
      <c r="Z116" s="135" t="n"/>
      <c r="AA116" s="135" t="n"/>
      <c r="AB116" s="135" t="n"/>
      <c r="AC116" s="135" t="n">
        <v>1</v>
      </c>
      <c r="AD116" s="141" t="n"/>
      <c r="AE116" s="141" t="n"/>
    </row>
    <row r="117" ht="14.25" customHeight="1" s="142">
      <c r="A117" s="135" t="n">
        <v>7010</v>
      </c>
      <c r="B117" s="8" t="inlineStr">
        <is>
          <t>火焰寶石LV.10</t>
        </is>
      </c>
      <c r="C117" s="141">
        <f>"戰鬥開始時裝備者的攻擊增加"&amp;H117*100&amp;"%"</f>
        <v/>
      </c>
      <c r="D117" s="141" t="n"/>
      <c r="E117" s="141" t="n"/>
      <c r="F117" s="141" t="n"/>
      <c r="G117" s="141" t="n"/>
      <c r="H117" s="141">
        <f>H116+0.02</f>
        <v/>
      </c>
      <c r="I117" s="141" t="n"/>
      <c r="J117" s="141" t="n"/>
      <c r="K117" s="141" t="n"/>
      <c r="L117" s="141" t="n"/>
      <c r="M117" s="141" t="n"/>
      <c r="N117" s="141" t="n"/>
      <c r="O117" s="141" t="n"/>
      <c r="P117" s="141" t="n"/>
      <c r="Q117" s="135" t="n"/>
      <c r="R117" s="135" t="n"/>
      <c r="S117" s="135" t="n"/>
      <c r="T117" s="135" t="n"/>
      <c r="U117" s="135" t="n"/>
      <c r="V117" s="135" t="n"/>
      <c r="W117" s="135">
        <f>FALSE()</f>
        <v/>
      </c>
      <c r="X117" s="135" t="n">
        <v>1</v>
      </c>
      <c r="Y117" s="135" t="n">
        <v>9999</v>
      </c>
      <c r="Z117" s="135" t="n"/>
      <c r="AA117" s="135" t="n"/>
      <c r="AB117" s="135" t="n"/>
      <c r="AC117" s="135" t="n">
        <v>1</v>
      </c>
      <c r="AD117" s="141" t="n"/>
      <c r="AE117" s="141" t="n"/>
    </row>
    <row r="118" ht="14.25" customHeight="1" s="142">
      <c r="A118" s="135" t="n">
        <v>7011</v>
      </c>
      <c r="B118" s="8" t="inlineStr">
        <is>
          <t>綠光寶石LV.1</t>
        </is>
      </c>
      <c r="C118" s="141">
        <f>"戰鬥開始時裝備者的魔攻增加"&amp;I118*100&amp;"%"</f>
        <v/>
      </c>
      <c r="D118" s="141" t="n"/>
      <c r="E118" s="141" t="n"/>
      <c r="F118" s="141" t="n"/>
      <c r="G118" s="141" t="n"/>
      <c r="H118" s="141" t="n"/>
      <c r="I118" s="141" t="n">
        <v>0.02</v>
      </c>
      <c r="J118" s="141" t="n"/>
      <c r="K118" s="141" t="n"/>
      <c r="L118" s="141" t="n"/>
      <c r="M118" s="141" t="n"/>
      <c r="N118" s="141" t="n"/>
      <c r="O118" s="141" t="n"/>
      <c r="P118" s="141" t="n"/>
      <c r="Q118" s="135" t="n"/>
      <c r="R118" s="135" t="n"/>
      <c r="S118" s="135" t="n"/>
      <c r="T118" s="135" t="n"/>
      <c r="U118" s="135" t="n"/>
      <c r="V118" s="135" t="n"/>
      <c r="W118" s="135">
        <f>FALSE()</f>
        <v/>
      </c>
      <c r="X118" s="135" t="n">
        <v>1</v>
      </c>
      <c r="Y118" s="135" t="n">
        <v>9999</v>
      </c>
      <c r="Z118" s="135" t="n"/>
      <c r="AA118" s="135" t="n"/>
      <c r="AB118" s="135" t="n"/>
      <c r="AC118" s="135" t="n">
        <v>1</v>
      </c>
      <c r="AD118" s="141" t="n"/>
      <c r="AE118" s="141" t="n"/>
    </row>
    <row r="119" ht="14.25" customHeight="1" s="142">
      <c r="A119" s="135" t="n">
        <v>7012</v>
      </c>
      <c r="B119" s="8" t="inlineStr">
        <is>
          <t>綠光寶石LV.2</t>
        </is>
      </c>
      <c r="C119" s="141">
        <f>"戰鬥開始時裝備者的魔攻增加"&amp;I119*100&amp;"%"</f>
        <v/>
      </c>
      <c r="D119" s="141" t="n"/>
      <c r="E119" s="141" t="n"/>
      <c r="F119" s="141" t="n"/>
      <c r="G119" s="141" t="n"/>
      <c r="H119" s="141" t="n"/>
      <c r="I119" s="141">
        <f>I118+0.01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35" t="n"/>
      <c r="R119" s="135" t="n"/>
      <c r="S119" s="135" t="n"/>
      <c r="T119" s="135" t="n"/>
      <c r="U119" s="135" t="n"/>
      <c r="V119" s="135" t="n"/>
      <c r="W119" s="135">
        <f>FALSE()</f>
        <v/>
      </c>
      <c r="X119" s="135" t="n">
        <v>1</v>
      </c>
      <c r="Y119" s="135" t="n">
        <v>9999</v>
      </c>
      <c r="Z119" s="135" t="n"/>
      <c r="AA119" s="135" t="n"/>
      <c r="AB119" s="135" t="n"/>
      <c r="AC119" s="135" t="n">
        <v>1</v>
      </c>
      <c r="AD119" s="141" t="n"/>
      <c r="AE119" s="141" t="n"/>
    </row>
    <row r="120" ht="14.25" customHeight="1" s="142">
      <c r="A120" s="135" t="n">
        <v>7013</v>
      </c>
      <c r="B120" s="8" t="inlineStr">
        <is>
          <t>綠光寶石LV.3</t>
        </is>
      </c>
      <c r="C120" s="141">
        <f>"戰鬥開始時裝備者的魔攻增加"&amp;I120*100&amp;"%"</f>
        <v/>
      </c>
      <c r="D120" s="141" t="n"/>
      <c r="E120" s="141" t="n"/>
      <c r="F120" s="141" t="n"/>
      <c r="G120" s="141" t="n"/>
      <c r="H120" s="141" t="n"/>
      <c r="I120" s="141">
        <f>I119+0.01</f>
        <v/>
      </c>
      <c r="J120" s="141" t="n"/>
      <c r="K120" s="141" t="n"/>
      <c r="L120" s="141" t="n"/>
      <c r="M120" s="141" t="n"/>
      <c r="N120" s="141" t="n"/>
      <c r="O120" s="141" t="n"/>
      <c r="P120" s="141" t="n"/>
      <c r="Q120" s="135" t="n"/>
      <c r="R120" s="135" t="n"/>
      <c r="S120" s="135" t="n"/>
      <c r="T120" s="135" t="n"/>
      <c r="U120" s="135" t="n"/>
      <c r="V120" s="135" t="n"/>
      <c r="W120" s="135">
        <f>FALSE()</f>
        <v/>
      </c>
      <c r="X120" s="135" t="n">
        <v>1</v>
      </c>
      <c r="Y120" s="135" t="n">
        <v>9999</v>
      </c>
      <c r="Z120" s="135" t="n"/>
      <c r="AA120" s="135" t="n"/>
      <c r="AB120" s="135" t="n"/>
      <c r="AC120" s="135" t="n">
        <v>1</v>
      </c>
      <c r="AD120" s="141" t="n"/>
      <c r="AE120" s="141" t="n"/>
    </row>
    <row r="121" ht="14.25" customHeight="1" s="142">
      <c r="A121" s="135" t="n">
        <v>7014</v>
      </c>
      <c r="B121" s="8" t="inlineStr">
        <is>
          <t>綠光寶石LV.4</t>
        </is>
      </c>
      <c r="C121" s="141">
        <f>"戰鬥開始時裝備者的魔攻增加"&amp;I121*100&amp;"%"</f>
        <v/>
      </c>
      <c r="D121" s="141" t="n"/>
      <c r="E121" s="141" t="n"/>
      <c r="F121" s="141" t="n"/>
      <c r="G121" s="141" t="n"/>
      <c r="H121" s="141" t="n"/>
      <c r="I121" s="141">
        <f>I120+0.01</f>
        <v/>
      </c>
      <c r="J121" s="141" t="n"/>
      <c r="K121" s="141" t="n"/>
      <c r="L121" s="141" t="n"/>
      <c r="M121" s="141" t="n"/>
      <c r="N121" s="141" t="n"/>
      <c r="O121" s="141" t="n"/>
      <c r="P121" s="141" t="n"/>
      <c r="Q121" s="135" t="n"/>
      <c r="R121" s="135" t="n"/>
      <c r="S121" s="135" t="n"/>
      <c r="T121" s="135" t="n"/>
      <c r="U121" s="135" t="n"/>
      <c r="V121" s="135" t="n"/>
      <c r="W121" s="135">
        <f>FALSE()</f>
        <v/>
      </c>
      <c r="X121" s="135" t="n">
        <v>1</v>
      </c>
      <c r="Y121" s="135" t="n">
        <v>9999</v>
      </c>
      <c r="Z121" s="135" t="n"/>
      <c r="AA121" s="135" t="n"/>
      <c r="AB121" s="135" t="n"/>
      <c r="AC121" s="135" t="n">
        <v>1</v>
      </c>
      <c r="AD121" s="141" t="n"/>
      <c r="AE121" s="141" t="n"/>
    </row>
    <row r="122" ht="14.25" customHeight="1" s="142">
      <c r="A122" s="135" t="n">
        <v>7015</v>
      </c>
      <c r="B122" s="8" t="inlineStr">
        <is>
          <t>綠光寶石LV.5</t>
        </is>
      </c>
      <c r="C122" s="141">
        <f>"戰鬥開始時裝備者的魔攻增加"&amp;I122*100&amp;"%"</f>
        <v/>
      </c>
      <c r="D122" s="141" t="n"/>
      <c r="E122" s="141" t="n"/>
      <c r="F122" s="141" t="n"/>
      <c r="G122" s="141" t="n"/>
      <c r="H122" s="141" t="n"/>
      <c r="I122" s="141">
        <f>I121+0.01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35" t="n"/>
      <c r="R122" s="135" t="n"/>
      <c r="S122" s="135" t="n"/>
      <c r="T122" s="135" t="n"/>
      <c r="U122" s="135" t="n"/>
      <c r="V122" s="135" t="n"/>
      <c r="W122" s="135">
        <f>FALSE()</f>
        <v/>
      </c>
      <c r="X122" s="135" t="n">
        <v>1</v>
      </c>
      <c r="Y122" s="135" t="n">
        <v>9999</v>
      </c>
      <c r="Z122" s="135" t="n"/>
      <c r="AA122" s="135" t="n"/>
      <c r="AB122" s="135" t="n"/>
      <c r="AC122" s="135" t="n">
        <v>1</v>
      </c>
      <c r="AD122" s="141" t="n"/>
      <c r="AE122" s="141" t="n"/>
    </row>
    <row r="123" ht="14.25" customHeight="1" s="142">
      <c r="A123" s="135" t="n">
        <v>7016</v>
      </c>
      <c r="B123" s="8" t="inlineStr">
        <is>
          <t>綠光寶石LV.6</t>
        </is>
      </c>
      <c r="C123" s="141">
        <f>"戰鬥開始時裝備者的魔攻增加"&amp;I123*100&amp;"%"</f>
        <v/>
      </c>
      <c r="D123" s="141" t="n"/>
      <c r="E123" s="141" t="n"/>
      <c r="F123" s="141" t="n"/>
      <c r="G123" s="141" t="n"/>
      <c r="H123" s="141" t="n"/>
      <c r="I123" s="141">
        <f>I122+0.01</f>
        <v/>
      </c>
      <c r="J123" s="141" t="n"/>
      <c r="K123" s="141" t="n"/>
      <c r="L123" s="141" t="n"/>
      <c r="M123" s="141" t="n"/>
      <c r="N123" s="141" t="n"/>
      <c r="O123" s="141" t="n"/>
      <c r="P123" s="141" t="n"/>
      <c r="Q123" s="135" t="n"/>
      <c r="R123" s="135" t="n"/>
      <c r="S123" s="135" t="n"/>
      <c r="T123" s="135" t="n"/>
      <c r="U123" s="135" t="n"/>
      <c r="V123" s="135" t="n"/>
      <c r="W123" s="135">
        <f>FALSE()</f>
        <v/>
      </c>
      <c r="X123" s="135" t="n">
        <v>1</v>
      </c>
      <c r="Y123" s="135" t="n">
        <v>9999</v>
      </c>
      <c r="Z123" s="135" t="n"/>
      <c r="AA123" s="135" t="n"/>
      <c r="AB123" s="135" t="n"/>
      <c r="AC123" s="135" t="n">
        <v>1</v>
      </c>
      <c r="AD123" s="141" t="n"/>
      <c r="AE123" s="141" t="n"/>
    </row>
    <row r="124" ht="14.25" customHeight="1" s="142">
      <c r="A124" s="135" t="n">
        <v>7017</v>
      </c>
      <c r="B124" s="8" t="inlineStr">
        <is>
          <t>綠光寶石LV.7</t>
        </is>
      </c>
      <c r="C124" s="141">
        <f>"戰鬥開始時裝備者的魔攻增加"&amp;I124*100&amp;"%"</f>
        <v/>
      </c>
      <c r="D124" s="141" t="n"/>
      <c r="E124" s="141" t="n"/>
      <c r="F124" s="141" t="n"/>
      <c r="G124" s="141" t="n"/>
      <c r="H124" s="141" t="n"/>
      <c r="I124" s="141">
        <f>I123+0.02</f>
        <v/>
      </c>
      <c r="J124" s="141" t="n"/>
      <c r="K124" s="141" t="n"/>
      <c r="L124" s="141" t="n"/>
      <c r="M124" s="141" t="n"/>
      <c r="N124" s="141" t="n"/>
      <c r="O124" s="141" t="n"/>
      <c r="P124" s="141" t="n"/>
      <c r="Q124" s="135" t="n"/>
      <c r="R124" s="135" t="n"/>
      <c r="S124" s="135" t="n"/>
      <c r="T124" s="135" t="n"/>
      <c r="U124" s="135" t="n"/>
      <c r="V124" s="135" t="n"/>
      <c r="W124" s="135">
        <f>FALSE()</f>
        <v/>
      </c>
      <c r="X124" s="135" t="n">
        <v>1</v>
      </c>
      <c r="Y124" s="135" t="n">
        <v>9999</v>
      </c>
      <c r="Z124" s="135" t="n"/>
      <c r="AA124" s="135" t="n"/>
      <c r="AB124" s="135" t="n"/>
      <c r="AC124" s="135" t="n">
        <v>1</v>
      </c>
      <c r="AD124" s="141" t="n"/>
      <c r="AE124" s="141" t="n"/>
    </row>
    <row r="125" ht="14.25" customHeight="1" s="142">
      <c r="A125" s="135" t="n">
        <v>7018</v>
      </c>
      <c r="B125" s="8" t="inlineStr">
        <is>
          <t>綠光寶石LV.8</t>
        </is>
      </c>
      <c r="C125" s="141">
        <f>"戰鬥開始時裝備者的魔攻增加"&amp;I125*100&amp;"%"</f>
        <v/>
      </c>
      <c r="D125" s="141" t="n"/>
      <c r="E125" s="141" t="n"/>
      <c r="F125" s="141" t="n"/>
      <c r="G125" s="141" t="n"/>
      <c r="H125" s="141" t="n"/>
      <c r="I125" s="141">
        <f>I124+0.02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35" t="n"/>
      <c r="R125" s="135" t="n"/>
      <c r="S125" s="135" t="n"/>
      <c r="T125" s="135" t="n"/>
      <c r="U125" s="135" t="n"/>
      <c r="V125" s="135" t="n"/>
      <c r="W125" s="135">
        <f>FALSE()</f>
        <v/>
      </c>
      <c r="X125" s="135" t="n">
        <v>1</v>
      </c>
      <c r="Y125" s="135" t="n">
        <v>9999</v>
      </c>
      <c r="Z125" s="135" t="n"/>
      <c r="AA125" s="135" t="n"/>
      <c r="AB125" s="135" t="n"/>
      <c r="AC125" s="135" t="n">
        <v>1</v>
      </c>
      <c r="AD125" s="141" t="n"/>
      <c r="AE125" s="141" t="n"/>
    </row>
    <row r="126" ht="14.25" customHeight="1" s="142">
      <c r="A126" s="135" t="n">
        <v>7019</v>
      </c>
      <c r="B126" s="8" t="inlineStr">
        <is>
          <t>綠光寶石LV.9</t>
        </is>
      </c>
      <c r="C126" s="141">
        <f>"戰鬥開始時裝備者的魔攻增加"&amp;I126*100&amp;"%"</f>
        <v/>
      </c>
      <c r="D126" s="141" t="n"/>
      <c r="E126" s="141" t="n"/>
      <c r="F126" s="141" t="n"/>
      <c r="G126" s="141" t="n"/>
      <c r="H126" s="141" t="n"/>
      <c r="I126" s="141">
        <f>I125+0.02</f>
        <v/>
      </c>
      <c r="J126" s="141" t="n"/>
      <c r="K126" s="141" t="n"/>
      <c r="L126" s="141" t="n"/>
      <c r="M126" s="141" t="n"/>
      <c r="N126" s="141" t="n"/>
      <c r="O126" s="141" t="n"/>
      <c r="P126" s="141" t="n"/>
      <c r="Q126" s="135" t="n"/>
      <c r="R126" s="135" t="n"/>
      <c r="S126" s="135" t="n"/>
      <c r="T126" s="135" t="n"/>
      <c r="U126" s="135" t="n"/>
      <c r="V126" s="135" t="n"/>
      <c r="W126" s="135">
        <f>FALSE()</f>
        <v/>
      </c>
      <c r="X126" s="135" t="n">
        <v>1</v>
      </c>
      <c r="Y126" s="135" t="n">
        <v>9999</v>
      </c>
      <c r="Z126" s="135" t="n"/>
      <c r="AA126" s="135" t="n"/>
      <c r="AB126" s="135" t="n"/>
      <c r="AC126" s="135" t="n">
        <v>1</v>
      </c>
      <c r="AD126" s="141" t="n"/>
      <c r="AE126" s="141" t="n"/>
    </row>
    <row r="127" ht="14.25" customHeight="1" s="142">
      <c r="A127" s="135" t="n">
        <v>7020</v>
      </c>
      <c r="B127" s="8" t="inlineStr">
        <is>
          <t>綠光寶石LV.10</t>
        </is>
      </c>
      <c r="C127" s="141">
        <f>"戰鬥開始時裝備者的魔攻增加"&amp;I127*100&amp;"%"</f>
        <v/>
      </c>
      <c r="D127" s="141" t="n"/>
      <c r="E127" s="141" t="n"/>
      <c r="F127" s="141" t="n"/>
      <c r="G127" s="141" t="n"/>
      <c r="H127" s="141" t="n"/>
      <c r="I127" s="141">
        <f>I126+0.02</f>
        <v/>
      </c>
      <c r="J127" s="141" t="n"/>
      <c r="K127" s="141" t="n"/>
      <c r="L127" s="141" t="n"/>
      <c r="M127" s="141" t="n"/>
      <c r="N127" s="141" t="n"/>
      <c r="O127" s="141" t="n"/>
      <c r="P127" s="141" t="n"/>
      <c r="Q127" s="135" t="n"/>
      <c r="R127" s="135" t="n"/>
      <c r="S127" s="135" t="n"/>
      <c r="T127" s="135" t="n"/>
      <c r="U127" s="135" t="n"/>
      <c r="V127" s="135" t="n"/>
      <c r="W127" s="135">
        <f>FALSE()</f>
        <v/>
      </c>
      <c r="X127" s="135" t="n">
        <v>1</v>
      </c>
      <c r="Y127" s="135" t="n">
        <v>9999</v>
      </c>
      <c r="Z127" s="135" t="n"/>
      <c r="AA127" s="135" t="n"/>
      <c r="AB127" s="135" t="n"/>
      <c r="AC127" s="135" t="n">
        <v>1</v>
      </c>
      <c r="AD127" s="141" t="n"/>
      <c r="AE127" s="141" t="n"/>
    </row>
    <row r="128" ht="14.25" customHeight="1" s="142">
      <c r="A128" s="135" t="n">
        <v>7021</v>
      </c>
      <c r="B128" s="8" t="inlineStr">
        <is>
          <t>琉璃寶石LV.1</t>
        </is>
      </c>
      <c r="C128" s="141">
        <f>"戰鬥開始時裝備者的魔防增加"&amp;K128*100&amp;"%"</f>
        <v/>
      </c>
      <c r="D128" s="141" t="n"/>
      <c r="E128" s="141" t="n"/>
      <c r="F128" s="141" t="n"/>
      <c r="G128" s="141" t="n"/>
      <c r="H128" s="141" t="n"/>
      <c r="I128" s="141" t="n"/>
      <c r="J128" s="141" t="n"/>
      <c r="K128" s="141" t="n">
        <v>0.02</v>
      </c>
      <c r="L128" s="141" t="n"/>
      <c r="M128" s="141" t="n"/>
      <c r="N128" s="141" t="n"/>
      <c r="O128" s="141" t="n"/>
      <c r="P128" s="141" t="n"/>
      <c r="Q128" s="135" t="n"/>
      <c r="R128" s="135" t="n"/>
      <c r="S128" s="135" t="n"/>
      <c r="T128" s="135" t="n"/>
      <c r="U128" s="135" t="n"/>
      <c r="V128" s="135" t="n"/>
      <c r="W128" s="135">
        <f>FALSE()</f>
        <v/>
      </c>
      <c r="X128" s="135" t="n">
        <v>1</v>
      </c>
      <c r="Y128" s="135" t="n">
        <v>9999</v>
      </c>
      <c r="Z128" s="135" t="n"/>
      <c r="AA128" s="135" t="n"/>
      <c r="AB128" s="135" t="n"/>
      <c r="AC128" s="135" t="n">
        <v>1</v>
      </c>
      <c r="AD128" s="141" t="n"/>
      <c r="AE128" s="141" t="n"/>
    </row>
    <row r="129" ht="14.25" customHeight="1" s="142">
      <c r="A129" s="135" t="n">
        <v>7022</v>
      </c>
      <c r="B129" s="8" t="inlineStr">
        <is>
          <t>琉璃寶石LV.2</t>
        </is>
      </c>
      <c r="C129" s="141">
        <f>"戰鬥開始時裝備者的魔防增加"&amp;K129*100&amp;"%"</f>
        <v/>
      </c>
      <c r="D129" s="141" t="n"/>
      <c r="E129" s="141" t="n"/>
      <c r="F129" s="141" t="n"/>
      <c r="G129" s="141" t="n"/>
      <c r="H129" s="141" t="n"/>
      <c r="I129" s="141" t="n"/>
      <c r="J129" s="141" t="n"/>
      <c r="K129" s="141">
        <f>K128+0.01</f>
        <v/>
      </c>
      <c r="L129" s="141" t="n"/>
      <c r="M129" s="141" t="n"/>
      <c r="N129" s="141" t="n"/>
      <c r="O129" s="141" t="n"/>
      <c r="P129" s="141" t="n"/>
      <c r="Q129" s="135" t="n"/>
      <c r="R129" s="135" t="n"/>
      <c r="S129" s="135" t="n"/>
      <c r="T129" s="135" t="n"/>
      <c r="U129" s="135" t="n"/>
      <c r="V129" s="135" t="n"/>
      <c r="W129" s="135">
        <f>FALSE()</f>
        <v/>
      </c>
      <c r="X129" s="135" t="n">
        <v>1</v>
      </c>
      <c r="Y129" s="135" t="n">
        <v>9999</v>
      </c>
      <c r="Z129" s="135" t="n"/>
      <c r="AA129" s="135" t="n"/>
      <c r="AB129" s="135" t="n"/>
      <c r="AC129" s="135" t="n">
        <v>1</v>
      </c>
      <c r="AD129" s="141" t="n"/>
      <c r="AE129" s="141" t="n"/>
    </row>
    <row r="130" ht="14.25" customHeight="1" s="142">
      <c r="A130" s="135" t="n">
        <v>7023</v>
      </c>
      <c r="B130" s="8" t="inlineStr">
        <is>
          <t>琉璃寶石LV.3</t>
        </is>
      </c>
      <c r="C130" s="141">
        <f>"戰鬥開始時裝備者的魔防增加"&amp;K130*100&amp;"%"</f>
        <v/>
      </c>
      <c r="D130" s="141" t="n"/>
      <c r="E130" s="141" t="n"/>
      <c r="F130" s="141" t="n"/>
      <c r="G130" s="141" t="n"/>
      <c r="H130" s="141" t="n"/>
      <c r="I130" s="141" t="n"/>
      <c r="J130" s="141" t="n"/>
      <c r="K130" s="141">
        <f>K129+0.01</f>
        <v/>
      </c>
      <c r="L130" s="141" t="n"/>
      <c r="M130" s="141" t="n"/>
      <c r="N130" s="141" t="n"/>
      <c r="O130" s="141" t="n"/>
      <c r="P130" s="141" t="n"/>
      <c r="Q130" s="135" t="n"/>
      <c r="R130" s="135" t="n"/>
      <c r="S130" s="135" t="n"/>
      <c r="T130" s="135" t="n"/>
      <c r="U130" s="135" t="n"/>
      <c r="V130" s="135" t="n"/>
      <c r="W130" s="135">
        <f>FALSE()</f>
        <v/>
      </c>
      <c r="X130" s="135" t="n">
        <v>1</v>
      </c>
      <c r="Y130" s="135" t="n">
        <v>9999</v>
      </c>
      <c r="Z130" s="135" t="n"/>
      <c r="AA130" s="135" t="n"/>
      <c r="AB130" s="135" t="n"/>
      <c r="AC130" s="135" t="n">
        <v>1</v>
      </c>
      <c r="AD130" s="141" t="n"/>
      <c r="AE130" s="141" t="n"/>
    </row>
    <row r="131" ht="14.25" customHeight="1" s="142">
      <c r="A131" s="135" t="n">
        <v>7024</v>
      </c>
      <c r="B131" s="8" t="inlineStr">
        <is>
          <t>琉璃寶石LV.4</t>
        </is>
      </c>
      <c r="C131" s="141">
        <f>"戰鬥開始時裝備者的魔防增加"&amp;K131*100&amp;"%"</f>
        <v/>
      </c>
      <c r="D131" s="141" t="n"/>
      <c r="E131" s="141" t="n"/>
      <c r="F131" s="141" t="n"/>
      <c r="G131" s="141" t="n"/>
      <c r="H131" s="141" t="n"/>
      <c r="I131" s="141" t="n"/>
      <c r="J131" s="141" t="n"/>
      <c r="K131" s="141">
        <f>K130+0.01</f>
        <v/>
      </c>
      <c r="L131" s="141" t="n"/>
      <c r="M131" s="141" t="n"/>
      <c r="N131" s="141" t="n"/>
      <c r="O131" s="141" t="n"/>
      <c r="P131" s="141" t="n"/>
      <c r="Q131" s="135" t="n"/>
      <c r="R131" s="135" t="n"/>
      <c r="S131" s="135" t="n"/>
      <c r="T131" s="135" t="n"/>
      <c r="U131" s="135" t="n"/>
      <c r="V131" s="135" t="n"/>
      <c r="W131" s="135">
        <f>FALSE()</f>
        <v/>
      </c>
      <c r="X131" s="135" t="n">
        <v>1</v>
      </c>
      <c r="Y131" s="135" t="n">
        <v>9999</v>
      </c>
      <c r="Z131" s="135" t="n"/>
      <c r="AA131" s="135" t="n"/>
      <c r="AB131" s="135" t="n"/>
      <c r="AC131" s="135" t="n">
        <v>1</v>
      </c>
      <c r="AD131" s="141" t="n"/>
      <c r="AE131" s="141" t="n"/>
    </row>
    <row r="132" ht="14.25" customHeight="1" s="142">
      <c r="A132" s="135" t="n">
        <v>7025</v>
      </c>
      <c r="B132" s="8" t="inlineStr">
        <is>
          <t>琉璃寶石LV.5</t>
        </is>
      </c>
      <c r="C132" s="141">
        <f>"戰鬥開始時裝備者的魔防增加"&amp;K132*100&amp;"%"</f>
        <v/>
      </c>
      <c r="D132" s="141" t="n"/>
      <c r="E132" s="141" t="n"/>
      <c r="F132" s="141" t="n"/>
      <c r="G132" s="141" t="n"/>
      <c r="H132" s="141" t="n"/>
      <c r="I132" s="141" t="n"/>
      <c r="J132" s="141" t="n"/>
      <c r="K132" s="141">
        <f>K131+0.01</f>
        <v/>
      </c>
      <c r="L132" s="141" t="n"/>
      <c r="M132" s="141" t="n"/>
      <c r="N132" s="141" t="n"/>
      <c r="O132" s="141" t="n"/>
      <c r="P132" s="141" t="n"/>
      <c r="Q132" s="135" t="n"/>
      <c r="R132" s="135" t="n"/>
      <c r="S132" s="135" t="n"/>
      <c r="T132" s="135" t="n"/>
      <c r="U132" s="135" t="n"/>
      <c r="V132" s="135" t="n"/>
      <c r="W132" s="135">
        <f>FALSE()</f>
        <v/>
      </c>
      <c r="X132" s="135" t="n">
        <v>1</v>
      </c>
      <c r="Y132" s="135" t="n">
        <v>9999</v>
      </c>
      <c r="Z132" s="135" t="n"/>
      <c r="AA132" s="135" t="n"/>
      <c r="AB132" s="135" t="n"/>
      <c r="AC132" s="135" t="n">
        <v>1</v>
      </c>
      <c r="AD132" s="141" t="n"/>
      <c r="AE132" s="141" t="n"/>
    </row>
    <row r="133" ht="14.25" customHeight="1" s="142">
      <c r="A133" s="135" t="n">
        <v>7026</v>
      </c>
      <c r="B133" s="8" t="inlineStr">
        <is>
          <t>琉璃寶石LV.6</t>
        </is>
      </c>
      <c r="C133" s="141">
        <f>"戰鬥開始時裝備者的魔防增加"&amp;K133*100&amp;"%"</f>
        <v/>
      </c>
      <c r="D133" s="141" t="n"/>
      <c r="E133" s="141" t="n"/>
      <c r="F133" s="141" t="n"/>
      <c r="G133" s="141" t="n"/>
      <c r="H133" s="141" t="n"/>
      <c r="I133" s="141" t="n"/>
      <c r="J133" s="141" t="n"/>
      <c r="K133" s="141">
        <f>K132+0.01</f>
        <v/>
      </c>
      <c r="L133" s="141" t="n"/>
      <c r="M133" s="141" t="n"/>
      <c r="N133" s="141" t="n"/>
      <c r="O133" s="141" t="n"/>
      <c r="P133" s="141" t="n"/>
      <c r="Q133" s="135" t="n"/>
      <c r="R133" s="135" t="n"/>
      <c r="S133" s="135" t="n"/>
      <c r="T133" s="135" t="n"/>
      <c r="U133" s="135" t="n"/>
      <c r="V133" s="135" t="n"/>
      <c r="W133" s="135">
        <f>FALSE()</f>
        <v/>
      </c>
      <c r="X133" s="135" t="n">
        <v>1</v>
      </c>
      <c r="Y133" s="135" t="n">
        <v>9999</v>
      </c>
      <c r="Z133" s="135" t="n"/>
      <c r="AA133" s="135" t="n"/>
      <c r="AB133" s="135" t="n"/>
      <c r="AC133" s="135" t="n">
        <v>1</v>
      </c>
      <c r="AD133" s="141" t="n"/>
      <c r="AE133" s="141" t="n"/>
    </row>
    <row r="134" ht="14.25" customHeight="1" s="142">
      <c r="A134" s="135" t="n">
        <v>7027</v>
      </c>
      <c r="B134" s="8" t="inlineStr">
        <is>
          <t>琉璃寶石LV.7</t>
        </is>
      </c>
      <c r="C134" s="141">
        <f>"戰鬥開始時裝備者的魔防增加"&amp;K134*100&amp;"%"</f>
        <v/>
      </c>
      <c r="D134" s="141" t="n"/>
      <c r="E134" s="141" t="n"/>
      <c r="F134" s="141" t="n"/>
      <c r="G134" s="141" t="n"/>
      <c r="H134" s="141" t="n"/>
      <c r="I134" s="141" t="n"/>
      <c r="J134" s="141" t="n"/>
      <c r="K134" s="141">
        <f>K133+0.02</f>
        <v/>
      </c>
      <c r="L134" s="141" t="n"/>
      <c r="M134" s="141" t="n"/>
      <c r="N134" s="141" t="n"/>
      <c r="O134" s="141" t="n"/>
      <c r="P134" s="141" t="n"/>
      <c r="Q134" s="135" t="n"/>
      <c r="R134" s="135" t="n"/>
      <c r="S134" s="135" t="n"/>
      <c r="T134" s="135" t="n"/>
      <c r="U134" s="135" t="n"/>
      <c r="V134" s="135" t="n"/>
      <c r="W134" s="135">
        <f>FALSE()</f>
        <v/>
      </c>
      <c r="X134" s="135" t="n">
        <v>1</v>
      </c>
      <c r="Y134" s="135" t="n">
        <v>9999</v>
      </c>
      <c r="Z134" s="135" t="n"/>
      <c r="AA134" s="135" t="n"/>
      <c r="AB134" s="135" t="n"/>
      <c r="AC134" s="135" t="n">
        <v>1</v>
      </c>
      <c r="AD134" s="141" t="n"/>
      <c r="AE134" s="141" t="n"/>
    </row>
    <row r="135" ht="14.25" customHeight="1" s="142">
      <c r="A135" s="135" t="n">
        <v>7028</v>
      </c>
      <c r="B135" s="8" t="inlineStr">
        <is>
          <t>琉璃寶石LV.8</t>
        </is>
      </c>
      <c r="C135" s="141">
        <f>"戰鬥開始時裝備者的魔防增加"&amp;K135*100&amp;"%"</f>
        <v/>
      </c>
      <c r="D135" s="141" t="n"/>
      <c r="E135" s="141" t="n"/>
      <c r="F135" s="141" t="n"/>
      <c r="G135" s="141" t="n"/>
      <c r="H135" s="141" t="n"/>
      <c r="I135" s="141" t="n"/>
      <c r="J135" s="141" t="n"/>
      <c r="K135" s="141">
        <f>K134+0.02</f>
        <v/>
      </c>
      <c r="L135" s="141" t="n"/>
      <c r="M135" s="141" t="n"/>
      <c r="N135" s="141" t="n"/>
      <c r="O135" s="141" t="n"/>
      <c r="P135" s="141" t="n"/>
      <c r="Q135" s="135" t="n"/>
      <c r="R135" s="135" t="n"/>
      <c r="S135" s="135" t="n"/>
      <c r="T135" s="135" t="n"/>
      <c r="U135" s="135" t="n"/>
      <c r="V135" s="135" t="n"/>
      <c r="W135" s="135">
        <f>FALSE()</f>
        <v/>
      </c>
      <c r="X135" s="135" t="n">
        <v>1</v>
      </c>
      <c r="Y135" s="135" t="n">
        <v>9999</v>
      </c>
      <c r="Z135" s="135" t="n"/>
      <c r="AA135" s="135" t="n"/>
      <c r="AB135" s="135" t="n"/>
      <c r="AC135" s="135" t="n">
        <v>1</v>
      </c>
      <c r="AD135" s="141" t="n"/>
      <c r="AE135" s="141" t="n"/>
    </row>
    <row r="136" ht="14.25" customHeight="1" s="142">
      <c r="A136" s="135" t="n">
        <v>7029</v>
      </c>
      <c r="B136" s="8" t="inlineStr">
        <is>
          <t>琉璃寶石LV.9</t>
        </is>
      </c>
      <c r="C136" s="141">
        <f>"戰鬥開始時裝備者的魔防增加"&amp;K136*100&amp;"%"</f>
        <v/>
      </c>
      <c r="D136" s="141" t="n"/>
      <c r="E136" s="141" t="n"/>
      <c r="F136" s="141" t="n"/>
      <c r="G136" s="141" t="n"/>
      <c r="H136" s="141" t="n"/>
      <c r="I136" s="141" t="n"/>
      <c r="J136" s="141" t="n"/>
      <c r="K136" s="141">
        <f>K135+0.02</f>
        <v/>
      </c>
      <c r="L136" s="141" t="n"/>
      <c r="M136" s="141" t="n"/>
      <c r="N136" s="141" t="n"/>
      <c r="O136" s="141" t="n"/>
      <c r="P136" s="141" t="n"/>
      <c r="Q136" s="135" t="n"/>
      <c r="R136" s="135" t="n"/>
      <c r="S136" s="135" t="n"/>
      <c r="T136" s="135" t="n"/>
      <c r="U136" s="135" t="n"/>
      <c r="V136" s="135" t="n"/>
      <c r="W136" s="135">
        <f>FALSE()</f>
        <v/>
      </c>
      <c r="X136" s="135" t="n">
        <v>1</v>
      </c>
      <c r="Y136" s="135" t="n">
        <v>9999</v>
      </c>
      <c r="Z136" s="135" t="n"/>
      <c r="AA136" s="135" t="n"/>
      <c r="AB136" s="135" t="n"/>
      <c r="AC136" s="135" t="n">
        <v>1</v>
      </c>
      <c r="AD136" s="141" t="n"/>
      <c r="AE136" s="141" t="n"/>
    </row>
    <row r="137" ht="14.25" customHeight="1" s="142">
      <c r="A137" s="135" t="n">
        <v>7030</v>
      </c>
      <c r="B137" s="8" t="inlineStr">
        <is>
          <t>琉璃寶石LV.10</t>
        </is>
      </c>
      <c r="C137" s="141">
        <f>"戰鬥開始時裝備者的魔防增加"&amp;K137*100&amp;"%"</f>
        <v/>
      </c>
      <c r="D137" s="141" t="n"/>
      <c r="E137" s="141" t="n"/>
      <c r="F137" s="141" t="n"/>
      <c r="G137" s="141" t="n"/>
      <c r="H137" s="141" t="n"/>
      <c r="I137" s="141" t="n"/>
      <c r="J137" s="141" t="n"/>
      <c r="K137" s="141">
        <f>K136+0.02</f>
        <v/>
      </c>
      <c r="L137" s="141" t="n"/>
      <c r="M137" s="141" t="n"/>
      <c r="N137" s="141" t="n"/>
      <c r="O137" s="141" t="n"/>
      <c r="P137" s="141" t="n"/>
      <c r="Q137" s="135" t="n"/>
      <c r="R137" s="135" t="n"/>
      <c r="S137" s="135" t="n"/>
      <c r="T137" s="135" t="n"/>
      <c r="U137" s="135" t="n"/>
      <c r="V137" s="135" t="n"/>
      <c r="W137" s="135">
        <f>FALSE()</f>
        <v/>
      </c>
      <c r="X137" s="135" t="n">
        <v>1</v>
      </c>
      <c r="Y137" s="135" t="n">
        <v>9999</v>
      </c>
      <c r="Z137" s="135" t="n"/>
      <c r="AA137" s="135" t="n"/>
      <c r="AB137" s="135" t="n"/>
      <c r="AC137" s="135" t="n">
        <v>1</v>
      </c>
      <c r="AD137" s="141" t="n"/>
      <c r="AE137" s="141" t="n"/>
    </row>
    <row r="138" ht="14.25" customHeight="1" s="142">
      <c r="A138" s="135" t="n">
        <v>7031</v>
      </c>
      <c r="B138" s="8" t="inlineStr">
        <is>
          <t>星空寶石LV.1</t>
        </is>
      </c>
      <c r="C138" s="141">
        <f>"戰鬥開始時裝備者的物防增加"&amp;J138*100&amp;"%"</f>
        <v/>
      </c>
      <c r="D138" s="141" t="n"/>
      <c r="E138" s="141" t="n"/>
      <c r="F138" s="141" t="n"/>
      <c r="G138" s="141" t="n"/>
      <c r="H138" s="141" t="n"/>
      <c r="I138" s="141" t="n"/>
      <c r="J138" s="141" t="n">
        <v>0.02</v>
      </c>
      <c r="K138" s="141" t="n"/>
      <c r="L138" s="141" t="n"/>
      <c r="M138" s="141" t="n"/>
      <c r="N138" s="141" t="n"/>
      <c r="O138" s="141" t="n"/>
      <c r="P138" s="141" t="n"/>
      <c r="Q138" s="135" t="n"/>
      <c r="R138" s="135" t="n"/>
      <c r="S138" s="135" t="n"/>
      <c r="T138" s="135" t="n"/>
      <c r="U138" s="135" t="n"/>
      <c r="V138" s="135" t="n"/>
      <c r="W138" s="135">
        <f>FALSE()</f>
        <v/>
      </c>
      <c r="X138" s="135" t="n">
        <v>1</v>
      </c>
      <c r="Y138" s="135" t="n">
        <v>9999</v>
      </c>
      <c r="Z138" s="135" t="n"/>
      <c r="AA138" s="135" t="n"/>
      <c r="AB138" s="135" t="n"/>
      <c r="AC138" s="135" t="n">
        <v>1</v>
      </c>
      <c r="AD138" s="141" t="n"/>
      <c r="AE138" s="141" t="n"/>
    </row>
    <row r="139" ht="14.25" customHeight="1" s="142">
      <c r="A139" s="135" t="n">
        <v>7032</v>
      </c>
      <c r="B139" s="8" t="inlineStr">
        <is>
          <t>星空寶石LV.2</t>
        </is>
      </c>
      <c r="C139" s="141">
        <f>"戰鬥開始時裝備者的物防增加"&amp;J139*100&amp;"%"</f>
        <v/>
      </c>
      <c r="D139" s="141" t="n"/>
      <c r="E139" s="141" t="n"/>
      <c r="F139" s="141" t="n"/>
      <c r="G139" s="141" t="n"/>
      <c r="H139" s="141" t="n"/>
      <c r="I139" s="141" t="n"/>
      <c r="J139" s="141">
        <f>J138+0.01</f>
        <v/>
      </c>
      <c r="K139" s="141" t="n"/>
      <c r="L139" s="141" t="n"/>
      <c r="M139" s="141" t="n"/>
      <c r="N139" s="141" t="n"/>
      <c r="O139" s="141" t="n"/>
      <c r="P139" s="141" t="n"/>
      <c r="Q139" s="135" t="n"/>
      <c r="R139" s="135" t="n"/>
      <c r="S139" s="135" t="n"/>
      <c r="T139" s="135" t="n"/>
      <c r="U139" s="135" t="n"/>
      <c r="V139" s="135" t="n"/>
      <c r="W139" s="135">
        <f>FALSE()</f>
        <v/>
      </c>
      <c r="X139" s="135" t="n">
        <v>1</v>
      </c>
      <c r="Y139" s="135" t="n">
        <v>9999</v>
      </c>
      <c r="Z139" s="135" t="n"/>
      <c r="AA139" s="135" t="n"/>
      <c r="AB139" s="135" t="n"/>
      <c r="AC139" s="135" t="n">
        <v>1</v>
      </c>
      <c r="AD139" s="141" t="n"/>
      <c r="AE139" s="141" t="n"/>
    </row>
    <row r="140" ht="14.25" customHeight="1" s="142">
      <c r="A140" s="135" t="n">
        <v>7033</v>
      </c>
      <c r="B140" s="8" t="inlineStr">
        <is>
          <t>星空寶石LV.3</t>
        </is>
      </c>
      <c r="C140" s="141">
        <f>"戰鬥開始時裝備者的物防增加"&amp;J140*100&amp;"%"</f>
        <v/>
      </c>
      <c r="D140" s="141" t="n"/>
      <c r="E140" s="141" t="n"/>
      <c r="F140" s="141" t="n"/>
      <c r="G140" s="141" t="n"/>
      <c r="H140" s="141" t="n"/>
      <c r="I140" s="141" t="n"/>
      <c r="J140" s="141">
        <f>J139+0.01</f>
        <v/>
      </c>
      <c r="K140" s="141" t="n"/>
      <c r="L140" s="141" t="n"/>
      <c r="M140" s="141" t="n"/>
      <c r="N140" s="141" t="n"/>
      <c r="O140" s="141" t="n"/>
      <c r="P140" s="141" t="n"/>
      <c r="Q140" s="135" t="n"/>
      <c r="R140" s="135" t="n"/>
      <c r="S140" s="135" t="n"/>
      <c r="T140" s="135" t="n"/>
      <c r="U140" s="135" t="n"/>
      <c r="V140" s="135" t="n"/>
      <c r="W140" s="135">
        <f>FALSE()</f>
        <v/>
      </c>
      <c r="X140" s="135" t="n">
        <v>1</v>
      </c>
      <c r="Y140" s="135" t="n">
        <v>9999</v>
      </c>
      <c r="Z140" s="135" t="n"/>
      <c r="AA140" s="135" t="n"/>
      <c r="AB140" s="135" t="n"/>
      <c r="AC140" s="135" t="n">
        <v>1</v>
      </c>
      <c r="AD140" s="141" t="n"/>
      <c r="AE140" s="141" t="n"/>
    </row>
    <row r="141" ht="14.25" customHeight="1" s="142">
      <c r="A141" s="135" t="n">
        <v>7034</v>
      </c>
      <c r="B141" s="8" t="inlineStr">
        <is>
          <t>星空寶石LV.4</t>
        </is>
      </c>
      <c r="C141" s="141">
        <f>"戰鬥開始時裝備者的物防增加"&amp;J141*100&amp;"%"</f>
        <v/>
      </c>
      <c r="D141" s="141" t="n"/>
      <c r="E141" s="141" t="n"/>
      <c r="F141" s="141" t="n"/>
      <c r="G141" s="141" t="n"/>
      <c r="H141" s="141" t="n"/>
      <c r="I141" s="141" t="n"/>
      <c r="J141" s="141">
        <f>J140+0.01</f>
        <v/>
      </c>
      <c r="K141" s="141" t="n"/>
      <c r="L141" s="141" t="n"/>
      <c r="M141" s="141" t="n"/>
      <c r="N141" s="141" t="n"/>
      <c r="O141" s="141" t="n"/>
      <c r="P141" s="141" t="n"/>
      <c r="Q141" s="135" t="n"/>
      <c r="R141" s="135" t="n"/>
      <c r="S141" s="135" t="n"/>
      <c r="T141" s="135" t="n"/>
      <c r="U141" s="135" t="n"/>
      <c r="V141" s="135" t="n"/>
      <c r="W141" s="135">
        <f>FALSE()</f>
        <v/>
      </c>
      <c r="X141" s="135" t="n">
        <v>1</v>
      </c>
      <c r="Y141" s="135" t="n">
        <v>9999</v>
      </c>
      <c r="Z141" s="135" t="n"/>
      <c r="AA141" s="135" t="n"/>
      <c r="AB141" s="135" t="n"/>
      <c r="AC141" s="135" t="n">
        <v>1</v>
      </c>
      <c r="AD141" s="141" t="n"/>
      <c r="AE141" s="141" t="n"/>
    </row>
    <row r="142" ht="14.25" customHeight="1" s="142">
      <c r="A142" s="135" t="n">
        <v>7035</v>
      </c>
      <c r="B142" s="8" t="inlineStr">
        <is>
          <t>星空寶石LV.5</t>
        </is>
      </c>
      <c r="C142" s="141">
        <f>"戰鬥開始時裝備者的物防增加"&amp;J142*100&amp;"%"</f>
        <v/>
      </c>
      <c r="D142" s="141" t="n"/>
      <c r="E142" s="141" t="n"/>
      <c r="F142" s="141" t="n"/>
      <c r="G142" s="141" t="n"/>
      <c r="H142" s="141" t="n"/>
      <c r="I142" s="141" t="n"/>
      <c r="J142" s="141">
        <f>J141+0.01</f>
        <v/>
      </c>
      <c r="K142" s="141" t="n"/>
      <c r="L142" s="141" t="n"/>
      <c r="M142" s="141" t="n"/>
      <c r="N142" s="141" t="n"/>
      <c r="O142" s="141" t="n"/>
      <c r="P142" s="141" t="n"/>
      <c r="Q142" s="135" t="n"/>
      <c r="R142" s="135" t="n"/>
      <c r="S142" s="135" t="n"/>
      <c r="T142" s="135" t="n"/>
      <c r="U142" s="135" t="n"/>
      <c r="V142" s="135" t="n"/>
      <c r="W142" s="135">
        <f>FALSE()</f>
        <v/>
      </c>
      <c r="X142" s="135" t="n">
        <v>1</v>
      </c>
      <c r="Y142" s="135" t="n">
        <v>9999</v>
      </c>
      <c r="Z142" s="135" t="n"/>
      <c r="AA142" s="135" t="n"/>
      <c r="AB142" s="135" t="n"/>
      <c r="AC142" s="135" t="n">
        <v>1</v>
      </c>
      <c r="AD142" s="141" t="n"/>
      <c r="AE142" s="141" t="n"/>
    </row>
    <row r="143" ht="14.25" customHeight="1" s="142">
      <c r="A143" s="135" t="n">
        <v>7036</v>
      </c>
      <c r="B143" s="8" t="inlineStr">
        <is>
          <t>星空寶石LV.6</t>
        </is>
      </c>
      <c r="C143" s="141">
        <f>"戰鬥開始時裝備者的物防增加"&amp;J143*100&amp;"%"</f>
        <v/>
      </c>
      <c r="D143" s="141" t="n"/>
      <c r="E143" s="141" t="n"/>
      <c r="F143" s="141" t="n"/>
      <c r="G143" s="141" t="n"/>
      <c r="H143" s="141" t="n"/>
      <c r="I143" s="141" t="n"/>
      <c r="J143" s="141">
        <f>J142+0.01</f>
        <v/>
      </c>
      <c r="K143" s="141" t="n"/>
      <c r="L143" s="141" t="n"/>
      <c r="M143" s="141" t="n"/>
      <c r="N143" s="141" t="n"/>
      <c r="O143" s="141" t="n"/>
      <c r="P143" s="141" t="n"/>
      <c r="Q143" s="135" t="n"/>
      <c r="R143" s="135" t="n"/>
      <c r="S143" s="135" t="n"/>
      <c r="T143" s="135" t="n"/>
      <c r="U143" s="135" t="n"/>
      <c r="V143" s="135" t="n"/>
      <c r="W143" s="135">
        <f>FALSE()</f>
        <v/>
      </c>
      <c r="X143" s="135" t="n">
        <v>1</v>
      </c>
      <c r="Y143" s="135" t="n">
        <v>9999</v>
      </c>
      <c r="Z143" s="135" t="n"/>
      <c r="AA143" s="135" t="n"/>
      <c r="AB143" s="135" t="n"/>
      <c r="AC143" s="135" t="n">
        <v>1</v>
      </c>
      <c r="AD143" s="141" t="n"/>
      <c r="AE143" s="141" t="n"/>
    </row>
    <row r="144" ht="14.25" customHeight="1" s="142">
      <c r="A144" s="135" t="n">
        <v>7037</v>
      </c>
      <c r="B144" s="8" t="inlineStr">
        <is>
          <t>星空寶石LV.7</t>
        </is>
      </c>
      <c r="C144" s="141">
        <f>"戰鬥開始時裝備者的物防增加"&amp;J144*100&amp;"%"</f>
        <v/>
      </c>
      <c r="D144" s="141" t="n"/>
      <c r="E144" s="141" t="n"/>
      <c r="F144" s="141" t="n"/>
      <c r="G144" s="141" t="n"/>
      <c r="H144" s="141" t="n"/>
      <c r="I144" s="141" t="n"/>
      <c r="J144" s="141">
        <f>J143+0.02</f>
        <v/>
      </c>
      <c r="K144" s="141" t="n"/>
      <c r="L144" s="141" t="n"/>
      <c r="M144" s="141" t="n"/>
      <c r="N144" s="141" t="n"/>
      <c r="O144" s="141" t="n"/>
      <c r="P144" s="141" t="n"/>
      <c r="Q144" s="135" t="n"/>
      <c r="R144" s="135" t="n"/>
      <c r="S144" s="135" t="n"/>
      <c r="T144" s="135" t="n"/>
      <c r="U144" s="135" t="n"/>
      <c r="V144" s="135" t="n"/>
      <c r="W144" s="135">
        <f>FALSE()</f>
        <v/>
      </c>
      <c r="X144" s="135" t="n">
        <v>1</v>
      </c>
      <c r="Y144" s="135" t="n">
        <v>9999</v>
      </c>
      <c r="Z144" s="135" t="n"/>
      <c r="AA144" s="135" t="n"/>
      <c r="AB144" s="135" t="n"/>
      <c r="AC144" s="135" t="n">
        <v>1</v>
      </c>
      <c r="AD144" s="141" t="n"/>
      <c r="AE144" s="141" t="n"/>
    </row>
    <row r="145" ht="14.25" customHeight="1" s="142">
      <c r="A145" s="135" t="n">
        <v>7038</v>
      </c>
      <c r="B145" s="8" t="inlineStr">
        <is>
          <t>星空寶石LV.8</t>
        </is>
      </c>
      <c r="C145" s="141">
        <f>"戰鬥開始時裝備者的物防增加"&amp;J145*100&amp;"%"</f>
        <v/>
      </c>
      <c r="D145" s="141" t="n"/>
      <c r="E145" s="141" t="n"/>
      <c r="F145" s="141" t="n"/>
      <c r="G145" s="141" t="n"/>
      <c r="H145" s="141" t="n"/>
      <c r="I145" s="141" t="n"/>
      <c r="J145" s="141">
        <f>J144+0.02</f>
        <v/>
      </c>
      <c r="K145" s="141" t="n"/>
      <c r="L145" s="141" t="n"/>
      <c r="M145" s="141" t="n"/>
      <c r="N145" s="141" t="n"/>
      <c r="O145" s="141" t="n"/>
      <c r="P145" s="141" t="n"/>
      <c r="Q145" s="135" t="n"/>
      <c r="R145" s="135" t="n"/>
      <c r="S145" s="135" t="n"/>
      <c r="T145" s="135" t="n"/>
      <c r="U145" s="135" t="n"/>
      <c r="V145" s="135" t="n"/>
      <c r="W145" s="135">
        <f>FALSE()</f>
        <v/>
      </c>
      <c r="X145" s="135" t="n">
        <v>1</v>
      </c>
      <c r="Y145" s="135" t="n">
        <v>9999</v>
      </c>
      <c r="Z145" s="135" t="n"/>
      <c r="AA145" s="135" t="n"/>
      <c r="AB145" s="135" t="n"/>
      <c r="AC145" s="135" t="n">
        <v>1</v>
      </c>
      <c r="AD145" s="141" t="n"/>
      <c r="AE145" s="141" t="n"/>
    </row>
    <row r="146" ht="14.25" customHeight="1" s="142">
      <c r="A146" s="135" t="n">
        <v>7039</v>
      </c>
      <c r="B146" s="8" t="inlineStr">
        <is>
          <t>星空寶石LV.9</t>
        </is>
      </c>
      <c r="C146" s="141">
        <f>"戰鬥開始時裝備者的物防增加"&amp;J146*100&amp;"%"</f>
        <v/>
      </c>
      <c r="D146" s="141" t="n"/>
      <c r="E146" s="141" t="n"/>
      <c r="F146" s="141" t="n"/>
      <c r="G146" s="141" t="n"/>
      <c r="H146" s="141" t="n"/>
      <c r="I146" s="141" t="n"/>
      <c r="J146" s="141">
        <f>J145+0.02</f>
        <v/>
      </c>
      <c r="K146" s="141" t="n"/>
      <c r="L146" s="141" t="n"/>
      <c r="M146" s="141" t="n"/>
      <c r="N146" s="141" t="n"/>
      <c r="O146" s="141" t="n"/>
      <c r="P146" s="141" t="n"/>
      <c r="Q146" s="135" t="n"/>
      <c r="R146" s="135" t="n"/>
      <c r="S146" s="135" t="n"/>
      <c r="T146" s="135" t="n"/>
      <c r="U146" s="135" t="n"/>
      <c r="V146" s="135" t="n"/>
      <c r="W146" s="135">
        <f>FALSE()</f>
        <v/>
      </c>
      <c r="X146" s="135" t="n">
        <v>1</v>
      </c>
      <c r="Y146" s="135" t="n">
        <v>9999</v>
      </c>
      <c r="Z146" s="135" t="n"/>
      <c r="AA146" s="135" t="n"/>
      <c r="AB146" s="135" t="n"/>
      <c r="AC146" s="135" t="n">
        <v>1</v>
      </c>
      <c r="AD146" s="141" t="n"/>
      <c r="AE146" s="141" t="n"/>
    </row>
    <row r="147" ht="14.25" customHeight="1" s="142">
      <c r="A147" s="135" t="n">
        <v>7040</v>
      </c>
      <c r="B147" s="8" t="inlineStr">
        <is>
          <t>星空寶石LV.10</t>
        </is>
      </c>
      <c r="C147" s="141">
        <f>"戰鬥開始時裝備者的物防增加"&amp;J147*100&amp;"%"</f>
        <v/>
      </c>
      <c r="D147" s="141" t="n"/>
      <c r="E147" s="141" t="n"/>
      <c r="F147" s="141" t="n"/>
      <c r="G147" s="141" t="n"/>
      <c r="H147" s="141" t="n"/>
      <c r="I147" s="141" t="n"/>
      <c r="J147" s="141">
        <f>J146+0.02</f>
        <v/>
      </c>
      <c r="K147" s="141" t="n"/>
      <c r="L147" s="141" t="n"/>
      <c r="M147" s="141" t="n"/>
      <c r="N147" s="141" t="n"/>
      <c r="O147" s="141" t="n"/>
      <c r="P147" s="141" t="n"/>
      <c r="Q147" s="135" t="n"/>
      <c r="R147" s="135" t="n"/>
      <c r="S147" s="135" t="n"/>
      <c r="T147" s="135" t="n"/>
      <c r="U147" s="135" t="n"/>
      <c r="V147" s="135" t="n"/>
      <c r="W147" s="135">
        <f>FALSE()</f>
        <v/>
      </c>
      <c r="X147" s="135" t="n">
        <v>1</v>
      </c>
      <c r="Y147" s="135" t="n">
        <v>9999</v>
      </c>
      <c r="Z147" s="135" t="n"/>
      <c r="AA147" s="135" t="n"/>
      <c r="AB147" s="135" t="n"/>
      <c r="AC147" s="135" t="n">
        <v>1</v>
      </c>
      <c r="AD147" s="141" t="n"/>
      <c r="AE147" s="141" t="n"/>
    </row>
    <row r="148" ht="14.25" customHeight="1" s="142">
      <c r="A148" s="135" t="n">
        <v>7041</v>
      </c>
      <c r="B148" s="8" t="inlineStr">
        <is>
          <t>月影彩石LV.1</t>
        </is>
      </c>
      <c r="C148" s="141">
        <f>"戰鬥開始時裝備者的技能傷害增加"&amp;S148*100&amp;"%"</f>
        <v/>
      </c>
      <c r="D148" s="141" t="n"/>
      <c r="E148" s="141" t="n"/>
      <c r="F148" s="141" t="n"/>
      <c r="G148" s="141" t="n"/>
      <c r="H148" s="141" t="n"/>
      <c r="I148" s="141" t="n"/>
      <c r="J148" s="141" t="n"/>
      <c r="K148" s="141" t="n"/>
      <c r="L148" s="141" t="n"/>
      <c r="M148" s="141" t="n"/>
      <c r="N148" s="141" t="n"/>
      <c r="O148" s="141" t="n"/>
      <c r="P148" s="141" t="n"/>
      <c r="Q148" s="135" t="n"/>
      <c r="R148" s="135" t="n"/>
      <c r="S148" s="141" t="n">
        <v>0.05</v>
      </c>
      <c r="T148" s="135" t="n"/>
      <c r="U148" s="135" t="n"/>
      <c r="V148" s="135" t="n"/>
      <c r="W148" s="135">
        <f>FALSE()</f>
        <v/>
      </c>
      <c r="X148" s="135" t="n">
        <v>1</v>
      </c>
      <c r="Y148" s="135" t="n">
        <v>9999</v>
      </c>
      <c r="Z148" s="135" t="n"/>
      <c r="AA148" s="135" t="n"/>
      <c r="AB148" s="135" t="n"/>
      <c r="AC148" s="135" t="n">
        <v>1</v>
      </c>
      <c r="AD148" s="141" t="n"/>
      <c r="AE148" s="141" t="n"/>
    </row>
    <row r="149" ht="14.25" customHeight="1" s="142">
      <c r="A149" s="135" t="n">
        <v>7042</v>
      </c>
      <c r="B149" s="8" t="inlineStr">
        <is>
          <t>月影彩石LV.2</t>
        </is>
      </c>
      <c r="C149" s="141">
        <f>"戰鬥開始時裝備者的技能傷害增加"&amp;S149*100&amp;"%"</f>
        <v/>
      </c>
      <c r="D149" s="141" t="n"/>
      <c r="E149" s="141" t="n"/>
      <c r="F149" s="141" t="n"/>
      <c r="G149" s="141" t="n"/>
      <c r="H149" s="141" t="n"/>
      <c r="I149" s="141" t="n"/>
      <c r="J149" s="141" t="n"/>
      <c r="K149" s="141" t="n"/>
      <c r="L149" s="141" t="n"/>
      <c r="M149" s="141" t="n"/>
      <c r="N149" s="141" t="n"/>
      <c r="O149" s="141" t="n"/>
      <c r="P149" s="141" t="n"/>
      <c r="Q149" s="135" t="n"/>
      <c r="R149" s="135" t="n"/>
      <c r="S149" s="141">
        <f>S148+0.025</f>
        <v/>
      </c>
      <c r="T149" s="135" t="n"/>
      <c r="U149" s="135" t="n"/>
      <c r="V149" s="135" t="n"/>
      <c r="W149" s="135">
        <f>FALSE()</f>
        <v/>
      </c>
      <c r="X149" s="135" t="n">
        <v>1</v>
      </c>
      <c r="Y149" s="135" t="n">
        <v>9999</v>
      </c>
      <c r="Z149" s="135" t="n"/>
      <c r="AA149" s="135" t="n"/>
      <c r="AB149" s="135" t="n"/>
      <c r="AC149" s="135" t="n">
        <v>1</v>
      </c>
      <c r="AD149" s="141" t="n"/>
      <c r="AE149" s="141" t="n"/>
    </row>
    <row r="150" ht="14.25" customHeight="1" s="142">
      <c r="A150" s="135" t="n">
        <v>7043</v>
      </c>
      <c r="B150" s="8" t="inlineStr">
        <is>
          <t>月影彩石LV.3</t>
        </is>
      </c>
      <c r="C150" s="141">
        <f>"戰鬥開始時裝備者的技能傷害增加"&amp;S150*100&amp;"%"</f>
        <v/>
      </c>
      <c r="D150" s="141" t="n"/>
      <c r="E150" s="141" t="n"/>
      <c r="F150" s="141" t="n"/>
      <c r="G150" s="141" t="n"/>
      <c r="H150" s="141" t="n"/>
      <c r="I150" s="141" t="n"/>
      <c r="J150" s="141" t="n"/>
      <c r="K150" s="141" t="n"/>
      <c r="L150" s="141" t="n"/>
      <c r="M150" s="141" t="n"/>
      <c r="N150" s="141" t="n"/>
      <c r="O150" s="141" t="n"/>
      <c r="P150" s="141" t="n"/>
      <c r="Q150" s="135" t="n"/>
      <c r="R150" s="135" t="n"/>
      <c r="S150" s="141">
        <f>S149+0.025</f>
        <v/>
      </c>
      <c r="T150" s="135" t="n"/>
      <c r="U150" s="135" t="n"/>
      <c r="V150" s="135" t="n"/>
      <c r="W150" s="135">
        <f>FALSE()</f>
        <v/>
      </c>
      <c r="X150" s="135" t="n">
        <v>1</v>
      </c>
      <c r="Y150" s="135" t="n">
        <v>9999</v>
      </c>
      <c r="Z150" s="135" t="n"/>
      <c r="AA150" s="135" t="n"/>
      <c r="AB150" s="135" t="n"/>
      <c r="AC150" s="135" t="n">
        <v>1</v>
      </c>
      <c r="AD150" s="141" t="n"/>
      <c r="AE150" s="141" t="n"/>
    </row>
    <row r="151" ht="14.25" customHeight="1" s="142">
      <c r="A151" s="135" t="n">
        <v>7044</v>
      </c>
      <c r="B151" s="8" t="inlineStr">
        <is>
          <t>月影彩石LV.4</t>
        </is>
      </c>
      <c r="C151" s="141">
        <f>"戰鬥開始時裝備者的技能傷害增加"&amp;S151*100&amp;"%"</f>
        <v/>
      </c>
      <c r="D151" s="141" t="n"/>
      <c r="E151" s="141" t="n"/>
      <c r="F151" s="141" t="n"/>
      <c r="G151" s="141" t="n"/>
      <c r="H151" s="141" t="n"/>
      <c r="I151" s="141" t="n"/>
      <c r="J151" s="141" t="n"/>
      <c r="K151" s="141" t="n"/>
      <c r="L151" s="141" t="n"/>
      <c r="M151" s="141" t="n"/>
      <c r="N151" s="141" t="n"/>
      <c r="O151" s="141" t="n"/>
      <c r="P151" s="141" t="n"/>
      <c r="Q151" s="135" t="n"/>
      <c r="R151" s="135" t="n"/>
      <c r="S151" s="141">
        <f>S150+0.025</f>
        <v/>
      </c>
      <c r="T151" s="135" t="n"/>
      <c r="U151" s="135" t="n"/>
      <c r="V151" s="135" t="n"/>
      <c r="W151" s="135">
        <f>FALSE()</f>
        <v/>
      </c>
      <c r="X151" s="135" t="n">
        <v>1</v>
      </c>
      <c r="Y151" s="135" t="n">
        <v>9999</v>
      </c>
      <c r="Z151" s="135" t="n"/>
      <c r="AA151" s="135" t="n"/>
      <c r="AB151" s="135" t="n"/>
      <c r="AC151" s="135" t="n">
        <v>1</v>
      </c>
      <c r="AD151" s="141" t="n"/>
      <c r="AE151" s="141" t="n"/>
    </row>
    <row r="152" ht="14.25" customHeight="1" s="142">
      <c r="A152" s="135" t="n">
        <v>7045</v>
      </c>
      <c r="B152" s="8" t="inlineStr">
        <is>
          <t>月影彩石LV.5</t>
        </is>
      </c>
      <c r="C152" s="141">
        <f>"戰鬥開始時裝備者的技能傷害增加"&amp;S152*100&amp;"%"</f>
        <v/>
      </c>
      <c r="D152" s="141" t="n"/>
      <c r="E152" s="141" t="n"/>
      <c r="F152" s="141" t="n"/>
      <c r="G152" s="141" t="n"/>
      <c r="H152" s="141" t="n"/>
      <c r="I152" s="141" t="n"/>
      <c r="J152" s="141" t="n"/>
      <c r="K152" s="141" t="n"/>
      <c r="L152" s="141" t="n"/>
      <c r="M152" s="141" t="n"/>
      <c r="N152" s="141" t="n"/>
      <c r="O152" s="141" t="n"/>
      <c r="P152" s="141" t="n"/>
      <c r="Q152" s="135" t="n"/>
      <c r="R152" s="135" t="n"/>
      <c r="S152" s="141">
        <f>S151+0.05</f>
        <v/>
      </c>
      <c r="T152" s="135" t="n"/>
      <c r="U152" s="135" t="n"/>
      <c r="V152" s="135" t="n"/>
      <c r="W152" s="135">
        <f>FALSE()</f>
        <v/>
      </c>
      <c r="X152" s="135" t="n">
        <v>1</v>
      </c>
      <c r="Y152" s="135" t="n">
        <v>9999</v>
      </c>
      <c r="Z152" s="135" t="n"/>
      <c r="AA152" s="135" t="n"/>
      <c r="AB152" s="135" t="n"/>
      <c r="AC152" s="135" t="n">
        <v>1</v>
      </c>
      <c r="AD152" s="141" t="n"/>
      <c r="AE152" s="141" t="n"/>
    </row>
    <row r="153" ht="14.25" customHeight="1" s="142">
      <c r="A153" s="135" t="n">
        <v>7046</v>
      </c>
      <c r="B153" s="8" t="inlineStr">
        <is>
          <t>月影彩石LV.6</t>
        </is>
      </c>
      <c r="C153" s="141">
        <f>"戰鬥開始時裝備者的技能傷害增加"&amp;S153*100&amp;"%"</f>
        <v/>
      </c>
      <c r="D153" s="141" t="n"/>
      <c r="E153" s="141" t="n"/>
      <c r="F153" s="141" t="n"/>
      <c r="G153" s="141" t="n"/>
      <c r="H153" s="141" t="n"/>
      <c r="I153" s="141" t="n"/>
      <c r="J153" s="141" t="n"/>
      <c r="K153" s="141" t="n"/>
      <c r="L153" s="141" t="n"/>
      <c r="M153" s="141" t="n"/>
      <c r="N153" s="141" t="n"/>
      <c r="O153" s="141" t="n"/>
      <c r="P153" s="141" t="n"/>
      <c r="Q153" s="135" t="n"/>
      <c r="R153" s="135" t="n"/>
      <c r="S153" s="141">
        <f>S152+0.05</f>
        <v/>
      </c>
      <c r="T153" s="135" t="n"/>
      <c r="U153" s="135" t="n"/>
      <c r="V153" s="135" t="n"/>
      <c r="W153" s="135">
        <f>FALSE()</f>
        <v/>
      </c>
      <c r="X153" s="135" t="n">
        <v>1</v>
      </c>
      <c r="Y153" s="135" t="n">
        <v>9999</v>
      </c>
      <c r="Z153" s="135" t="n"/>
      <c r="AA153" s="135" t="n"/>
      <c r="AB153" s="135" t="n"/>
      <c r="AC153" s="135" t="n">
        <v>1</v>
      </c>
      <c r="AD153" s="141" t="n"/>
      <c r="AE153" s="141" t="n"/>
    </row>
    <row r="154" ht="14.25" customHeight="1" s="142">
      <c r="A154" s="135" t="n">
        <v>7047</v>
      </c>
      <c r="B154" s="8" t="inlineStr">
        <is>
          <t>月影彩石LV.7</t>
        </is>
      </c>
      <c r="C154" s="141">
        <f>"戰鬥開始時裝備者的技能傷害增加"&amp;S154*100&amp;"%"</f>
        <v/>
      </c>
      <c r="D154" s="141" t="n"/>
      <c r="E154" s="141" t="n"/>
      <c r="F154" s="141" t="n"/>
      <c r="G154" s="141" t="n"/>
      <c r="H154" s="141" t="n"/>
      <c r="I154" s="141" t="n"/>
      <c r="J154" s="141" t="n"/>
      <c r="K154" s="141" t="n"/>
      <c r="L154" s="141" t="n"/>
      <c r="M154" s="141" t="n"/>
      <c r="N154" s="141" t="n"/>
      <c r="O154" s="141" t="n"/>
      <c r="P154" s="141" t="n"/>
      <c r="Q154" s="135" t="n"/>
      <c r="R154" s="135" t="n"/>
      <c r="S154" s="141">
        <f>S153+0.05</f>
        <v/>
      </c>
      <c r="T154" s="135" t="n"/>
      <c r="U154" s="135" t="n"/>
      <c r="V154" s="135" t="n"/>
      <c r="W154" s="135">
        <f>FALSE()</f>
        <v/>
      </c>
      <c r="X154" s="135" t="n">
        <v>1</v>
      </c>
      <c r="Y154" s="135" t="n">
        <v>9999</v>
      </c>
      <c r="Z154" s="135" t="n"/>
      <c r="AA154" s="135" t="n"/>
      <c r="AB154" s="135" t="n"/>
      <c r="AC154" s="135" t="n">
        <v>1</v>
      </c>
      <c r="AD154" s="141" t="n"/>
      <c r="AE154" s="141" t="n"/>
    </row>
    <row r="155" ht="14.25" customHeight="1" s="142">
      <c r="A155" s="135" t="n">
        <v>7048</v>
      </c>
      <c r="B155" s="8" t="inlineStr">
        <is>
          <t>月影彩石LV.8</t>
        </is>
      </c>
      <c r="C155" s="141">
        <f>"戰鬥開始時裝備者的技能傷害增加"&amp;S155*100&amp;"%"</f>
        <v/>
      </c>
      <c r="D155" s="141" t="n"/>
      <c r="E155" s="141" t="n"/>
      <c r="F155" s="141" t="n"/>
      <c r="G155" s="141" t="n"/>
      <c r="H155" s="141" t="n"/>
      <c r="I155" s="141" t="n"/>
      <c r="J155" s="141" t="n"/>
      <c r="K155" s="141" t="n"/>
      <c r="L155" s="141" t="n"/>
      <c r="M155" s="141" t="n"/>
      <c r="N155" s="141" t="n"/>
      <c r="O155" s="141" t="n"/>
      <c r="P155" s="141" t="n"/>
      <c r="Q155" s="135" t="n"/>
      <c r="R155" s="135" t="n"/>
      <c r="S155" s="141">
        <f>S154+0.07</f>
        <v/>
      </c>
      <c r="T155" s="135" t="n"/>
      <c r="U155" s="135" t="n"/>
      <c r="V155" s="135" t="n"/>
      <c r="W155" s="135">
        <f>FALSE()</f>
        <v/>
      </c>
      <c r="X155" s="135" t="n">
        <v>1</v>
      </c>
      <c r="Y155" s="135" t="n">
        <v>9999</v>
      </c>
      <c r="Z155" s="135" t="n"/>
      <c r="AA155" s="135" t="n"/>
      <c r="AB155" s="135" t="n"/>
      <c r="AC155" s="135" t="n">
        <v>1</v>
      </c>
      <c r="AD155" s="141" t="n"/>
      <c r="AE155" s="141" t="n"/>
    </row>
    <row r="156" ht="14.25" customHeight="1" s="142">
      <c r="A156" s="135" t="n">
        <v>7049</v>
      </c>
      <c r="B156" s="8" t="inlineStr">
        <is>
          <t>月影彩石LV.9</t>
        </is>
      </c>
      <c r="C156" s="141">
        <f>"戰鬥開始時裝備者的技能傷害增加"&amp;S156*100&amp;"%"</f>
        <v/>
      </c>
      <c r="D156" s="141" t="n"/>
      <c r="E156" s="141" t="n"/>
      <c r="F156" s="141" t="n"/>
      <c r="G156" s="141" t="n"/>
      <c r="H156" s="141" t="n"/>
      <c r="I156" s="141" t="n"/>
      <c r="J156" s="141" t="n"/>
      <c r="K156" s="141" t="n"/>
      <c r="L156" s="141" t="n"/>
      <c r="M156" s="141" t="n"/>
      <c r="N156" s="141" t="n"/>
      <c r="O156" s="141" t="n"/>
      <c r="P156" s="141" t="n"/>
      <c r="Q156" s="135" t="n"/>
      <c r="R156" s="135" t="n"/>
      <c r="S156" s="141">
        <f>S155+0.07</f>
        <v/>
      </c>
      <c r="T156" s="135" t="n"/>
      <c r="U156" s="135" t="n"/>
      <c r="V156" s="135" t="n"/>
      <c r="W156" s="135">
        <f>FALSE()</f>
        <v/>
      </c>
      <c r="X156" s="135" t="n">
        <v>1</v>
      </c>
      <c r="Y156" s="135" t="n">
        <v>9999</v>
      </c>
      <c r="Z156" s="135" t="n"/>
      <c r="AA156" s="135" t="n"/>
      <c r="AB156" s="135" t="n"/>
      <c r="AC156" s="135" t="n">
        <v>1</v>
      </c>
      <c r="AD156" s="141" t="n"/>
      <c r="AE156" s="141" t="n"/>
    </row>
    <row r="157" ht="14.25" customHeight="1" s="142">
      <c r="A157" s="135" t="n">
        <v>7050</v>
      </c>
      <c r="B157" s="8" t="inlineStr">
        <is>
          <t>月影彩石LV.10</t>
        </is>
      </c>
      <c r="C157" s="141">
        <f>"戰鬥開始時裝備者的技能傷害增加"&amp;S157*100&amp;"%"</f>
        <v/>
      </c>
      <c r="D157" s="141" t="n"/>
      <c r="E157" s="141" t="n"/>
      <c r="F157" s="141" t="n"/>
      <c r="G157" s="141" t="n"/>
      <c r="H157" s="141" t="n"/>
      <c r="I157" s="141" t="n"/>
      <c r="J157" s="141" t="n"/>
      <c r="K157" s="141" t="n"/>
      <c r="L157" s="141" t="n"/>
      <c r="M157" s="141" t="n"/>
      <c r="N157" s="141" t="n"/>
      <c r="O157" s="141" t="n"/>
      <c r="P157" s="141" t="n"/>
      <c r="Q157" s="135" t="n"/>
      <c r="R157" s="135" t="n"/>
      <c r="S157" s="141">
        <f>S156+0.07</f>
        <v/>
      </c>
      <c r="T157" s="135" t="n"/>
      <c r="U157" s="135" t="n"/>
      <c r="V157" s="135" t="n"/>
      <c r="W157" s="135">
        <f>FALSE()</f>
        <v/>
      </c>
      <c r="X157" s="135" t="n">
        <v>1</v>
      </c>
      <c r="Y157" s="135" t="n">
        <v>9999</v>
      </c>
      <c r="Z157" s="135" t="n"/>
      <c r="AA157" s="135" t="n"/>
      <c r="AB157" s="135" t="n"/>
      <c r="AC157" s="135" t="n">
        <v>1</v>
      </c>
      <c r="AD157" s="141" t="n"/>
      <c r="AE157" s="141" t="n"/>
    </row>
    <row r="158" ht="14.25" customHeight="1" s="142">
      <c r="A158" s="135" t="n">
        <v>7051</v>
      </c>
      <c r="B158" s="8" t="inlineStr">
        <is>
          <t>幻影彩石LV.1</t>
        </is>
      </c>
      <c r="C158" s="141">
        <f>"戰鬥開始時裝備者的技能傷害抗性增加"&amp;T158*100&amp;"%"</f>
        <v/>
      </c>
      <c r="D158" s="141" t="n"/>
      <c r="E158" s="141" t="n"/>
      <c r="F158" s="141" t="n"/>
      <c r="G158" s="141" t="n"/>
      <c r="H158" s="141" t="n"/>
      <c r="I158" s="141" t="n"/>
      <c r="J158" s="141" t="n"/>
      <c r="K158" s="141" t="n"/>
      <c r="L158" s="141" t="n"/>
      <c r="M158" s="141" t="n"/>
      <c r="N158" s="141" t="n"/>
      <c r="O158" s="141" t="n"/>
      <c r="P158" s="141" t="n"/>
      <c r="Q158" s="135" t="n"/>
      <c r="R158" s="135" t="n"/>
      <c r="S158" s="135" t="n"/>
      <c r="T158" s="141" t="n">
        <v>0.08</v>
      </c>
      <c r="U158" s="135" t="n"/>
      <c r="V158" s="135" t="n"/>
      <c r="W158" s="135">
        <f>FALSE()</f>
        <v/>
      </c>
      <c r="X158" s="135" t="n">
        <v>1</v>
      </c>
      <c r="Y158" s="135" t="n">
        <v>9999</v>
      </c>
      <c r="Z158" s="135" t="n"/>
      <c r="AA158" s="135" t="n"/>
      <c r="AB158" s="135" t="n"/>
      <c r="AC158" s="135" t="n">
        <v>1</v>
      </c>
      <c r="AD158" s="141" t="n"/>
      <c r="AE158" s="141" t="n"/>
    </row>
    <row r="159" ht="14.25" customHeight="1" s="142">
      <c r="A159" s="135" t="n">
        <v>7052</v>
      </c>
      <c r="B159" s="8" t="inlineStr">
        <is>
          <t>幻影彩石LV.2</t>
        </is>
      </c>
      <c r="C159" s="141">
        <f>"戰鬥開始時裝備者的技能傷害抗性增加"&amp;T159*100&amp;"%"</f>
        <v/>
      </c>
      <c r="D159" s="141" t="n"/>
      <c r="E159" s="141" t="n"/>
      <c r="F159" s="141" t="n"/>
      <c r="G159" s="141" t="n"/>
      <c r="H159" s="141" t="n"/>
      <c r="I159" s="141" t="n"/>
      <c r="J159" s="141" t="n"/>
      <c r="K159" s="141" t="n"/>
      <c r="L159" s="141" t="n"/>
      <c r="M159" s="141" t="n"/>
      <c r="N159" s="141" t="n"/>
      <c r="O159" s="141" t="n"/>
      <c r="P159" s="141" t="n"/>
      <c r="Q159" s="135" t="n"/>
      <c r="R159" s="135" t="n"/>
      <c r="S159" s="135" t="n"/>
      <c r="T159" s="141">
        <f>T158+0.03</f>
        <v/>
      </c>
      <c r="U159" s="135" t="n"/>
      <c r="V159" s="135" t="n"/>
      <c r="W159" s="135">
        <f>FALSE()</f>
        <v/>
      </c>
      <c r="X159" s="135" t="n">
        <v>1</v>
      </c>
      <c r="Y159" s="135" t="n">
        <v>9999</v>
      </c>
      <c r="Z159" s="135" t="n"/>
      <c r="AA159" s="135" t="n"/>
      <c r="AB159" s="135" t="n"/>
      <c r="AC159" s="135" t="n">
        <v>1</v>
      </c>
      <c r="AD159" s="141" t="n"/>
      <c r="AE159" s="141" t="n"/>
    </row>
    <row r="160" ht="14.25" customHeight="1" s="142">
      <c r="A160" s="135" t="n">
        <v>7053</v>
      </c>
      <c r="B160" s="8" t="inlineStr">
        <is>
          <t>幻影彩石LV.3</t>
        </is>
      </c>
      <c r="C160" s="141">
        <f>"戰鬥開始時裝備者的技能傷害抗性增加"&amp;T160*100&amp;"%"</f>
        <v/>
      </c>
      <c r="D160" s="141" t="n"/>
      <c r="E160" s="141" t="n"/>
      <c r="F160" s="141" t="n"/>
      <c r="G160" s="141" t="n"/>
      <c r="H160" s="141" t="n"/>
      <c r="I160" s="141" t="n"/>
      <c r="J160" s="141" t="n"/>
      <c r="K160" s="141" t="n"/>
      <c r="L160" s="141" t="n"/>
      <c r="M160" s="141" t="n"/>
      <c r="N160" s="141" t="n"/>
      <c r="O160" s="141" t="n"/>
      <c r="P160" s="141" t="n"/>
      <c r="Q160" s="135" t="n"/>
      <c r="R160" s="135" t="n"/>
      <c r="S160" s="135" t="n"/>
      <c r="T160" s="141">
        <f>T159+0.03</f>
        <v/>
      </c>
      <c r="U160" s="135" t="n"/>
      <c r="V160" s="135" t="n"/>
      <c r="W160" s="135">
        <f>FALSE()</f>
        <v/>
      </c>
      <c r="X160" s="135" t="n">
        <v>1</v>
      </c>
      <c r="Y160" s="135" t="n">
        <v>9999</v>
      </c>
      <c r="Z160" s="135" t="n"/>
      <c r="AA160" s="135" t="n"/>
      <c r="AB160" s="135" t="n"/>
      <c r="AC160" s="135" t="n">
        <v>1</v>
      </c>
      <c r="AD160" s="141" t="n"/>
      <c r="AE160" s="141" t="n"/>
    </row>
    <row r="161" ht="14.25" customHeight="1" s="142">
      <c r="A161" s="135" t="n">
        <v>7054</v>
      </c>
      <c r="B161" s="8" t="inlineStr">
        <is>
          <t>幻影彩石LV.4</t>
        </is>
      </c>
      <c r="C161" s="141">
        <f>"戰鬥開始時裝備者的技能傷害抗性增加"&amp;T161*100&amp;"%"</f>
        <v/>
      </c>
      <c r="D161" s="141" t="n"/>
      <c r="E161" s="141" t="n"/>
      <c r="F161" s="141" t="n"/>
      <c r="G161" s="141" t="n"/>
      <c r="H161" s="141" t="n"/>
      <c r="I161" s="141" t="n"/>
      <c r="J161" s="141" t="n"/>
      <c r="K161" s="141" t="n"/>
      <c r="L161" s="141" t="n"/>
      <c r="M161" s="141" t="n"/>
      <c r="N161" s="141" t="n"/>
      <c r="O161" s="141" t="n"/>
      <c r="P161" s="141" t="n"/>
      <c r="Q161" s="135" t="n"/>
      <c r="R161" s="135" t="n"/>
      <c r="S161" s="135" t="n"/>
      <c r="T161" s="141">
        <f>T160+0.03</f>
        <v/>
      </c>
      <c r="U161" s="135" t="n"/>
      <c r="V161" s="135" t="n"/>
      <c r="W161" s="135">
        <f>FALSE()</f>
        <v/>
      </c>
      <c r="X161" s="135" t="n">
        <v>1</v>
      </c>
      <c r="Y161" s="135" t="n">
        <v>9999</v>
      </c>
      <c r="Z161" s="135" t="n"/>
      <c r="AA161" s="135" t="n"/>
      <c r="AB161" s="135" t="n"/>
      <c r="AC161" s="135" t="n">
        <v>1</v>
      </c>
      <c r="AD161" s="141" t="n"/>
      <c r="AE161" s="141" t="n"/>
    </row>
    <row r="162" ht="14.25" customHeight="1" s="142">
      <c r="A162" s="135" t="n">
        <v>7055</v>
      </c>
      <c r="B162" s="8" t="inlineStr">
        <is>
          <t>幻影彩石LV.5</t>
        </is>
      </c>
      <c r="C162" s="141">
        <f>"戰鬥開始時裝備者的技能傷害抗性增加"&amp;T162*100&amp;"%"</f>
        <v/>
      </c>
      <c r="D162" s="141" t="n"/>
      <c r="E162" s="141" t="n"/>
      <c r="F162" s="141" t="n"/>
      <c r="G162" s="141" t="n"/>
      <c r="H162" s="141" t="n"/>
      <c r="I162" s="141" t="n"/>
      <c r="J162" s="141" t="n"/>
      <c r="K162" s="141" t="n"/>
      <c r="L162" s="141" t="n"/>
      <c r="M162" s="141" t="n"/>
      <c r="N162" s="141" t="n"/>
      <c r="O162" s="141" t="n"/>
      <c r="P162" s="141" t="n"/>
      <c r="Q162" s="135" t="n"/>
      <c r="R162" s="135" t="n"/>
      <c r="S162" s="135" t="n"/>
      <c r="T162" s="141">
        <f>T161+0.03</f>
        <v/>
      </c>
      <c r="U162" s="135" t="n"/>
      <c r="V162" s="135" t="n"/>
      <c r="W162" s="135">
        <f>FALSE()</f>
        <v/>
      </c>
      <c r="X162" s="135" t="n">
        <v>1</v>
      </c>
      <c r="Y162" s="135" t="n">
        <v>9999</v>
      </c>
      <c r="Z162" s="135" t="n"/>
      <c r="AA162" s="135" t="n"/>
      <c r="AB162" s="135" t="n"/>
      <c r="AC162" s="135" t="n">
        <v>1</v>
      </c>
      <c r="AD162" s="141" t="n"/>
      <c r="AE162" s="141" t="n"/>
    </row>
    <row r="163" ht="14.25" customHeight="1" s="142">
      <c r="A163" s="135" t="n">
        <v>7056</v>
      </c>
      <c r="B163" s="8" t="inlineStr">
        <is>
          <t>幻影彩石LV.6</t>
        </is>
      </c>
      <c r="C163" s="141">
        <f>"戰鬥開始時裝備者的技能傷害抗性增加"&amp;T163*100&amp;"%"</f>
        <v/>
      </c>
      <c r="D163" s="141" t="n"/>
      <c r="E163" s="141" t="n"/>
      <c r="F163" s="141" t="n"/>
      <c r="G163" s="141" t="n"/>
      <c r="H163" s="141" t="n"/>
      <c r="I163" s="141" t="n"/>
      <c r="J163" s="141" t="n"/>
      <c r="K163" s="141" t="n"/>
      <c r="L163" s="141" t="n"/>
      <c r="M163" s="141" t="n"/>
      <c r="N163" s="141" t="n"/>
      <c r="O163" s="141" t="n"/>
      <c r="P163" s="141" t="n"/>
      <c r="Q163" s="135" t="n"/>
      <c r="R163" s="135" t="n"/>
      <c r="S163" s="135" t="n"/>
      <c r="T163" s="141">
        <f>T162+0.05</f>
        <v/>
      </c>
      <c r="U163" s="135" t="n"/>
      <c r="V163" s="135" t="n"/>
      <c r="W163" s="135">
        <f>FALSE()</f>
        <v/>
      </c>
      <c r="X163" s="135" t="n">
        <v>1</v>
      </c>
      <c r="Y163" s="135" t="n">
        <v>9999</v>
      </c>
      <c r="Z163" s="135" t="n"/>
      <c r="AA163" s="135" t="n"/>
      <c r="AB163" s="135" t="n"/>
      <c r="AC163" s="135" t="n">
        <v>1</v>
      </c>
      <c r="AD163" s="141" t="n"/>
      <c r="AE163" s="141" t="n"/>
    </row>
    <row r="164" ht="14.25" customHeight="1" s="142">
      <c r="A164" s="135" t="n">
        <v>7057</v>
      </c>
      <c r="B164" s="8" t="inlineStr">
        <is>
          <t>幻影彩石LV.7</t>
        </is>
      </c>
      <c r="C164" s="141">
        <f>"戰鬥開始時裝備者的技能傷害抗性增加"&amp;T164*100&amp;"%"</f>
        <v/>
      </c>
      <c r="D164" s="141" t="n"/>
      <c r="E164" s="141" t="n"/>
      <c r="F164" s="141" t="n"/>
      <c r="G164" s="141" t="n"/>
      <c r="H164" s="141" t="n"/>
      <c r="I164" s="141" t="n"/>
      <c r="J164" s="141" t="n"/>
      <c r="K164" s="141" t="n"/>
      <c r="L164" s="141" t="n"/>
      <c r="M164" s="141" t="n"/>
      <c r="N164" s="141" t="n"/>
      <c r="O164" s="141" t="n"/>
      <c r="P164" s="141" t="n"/>
      <c r="Q164" s="135" t="n"/>
      <c r="R164" s="135" t="n"/>
      <c r="S164" s="135" t="n"/>
      <c r="T164" s="141">
        <f>T163+0.05</f>
        <v/>
      </c>
      <c r="U164" s="135" t="n"/>
      <c r="V164" s="135" t="n"/>
      <c r="W164" s="135">
        <f>FALSE()</f>
        <v/>
      </c>
      <c r="X164" s="135" t="n">
        <v>1</v>
      </c>
      <c r="Y164" s="135" t="n">
        <v>9999</v>
      </c>
      <c r="Z164" s="135" t="n"/>
      <c r="AA164" s="135" t="n"/>
      <c r="AB164" s="135" t="n"/>
      <c r="AC164" s="135" t="n">
        <v>1</v>
      </c>
      <c r="AD164" s="141" t="n"/>
      <c r="AE164" s="141" t="n"/>
    </row>
    <row r="165" ht="14.25" customHeight="1" s="142">
      <c r="A165" s="135" t="n">
        <v>7058</v>
      </c>
      <c r="B165" s="8" t="inlineStr">
        <is>
          <t>幻影彩石LV.8</t>
        </is>
      </c>
      <c r="C165" s="141">
        <f>"戰鬥開始時裝備者的技能傷害抗性增加"&amp;T165*100&amp;"%"</f>
        <v/>
      </c>
      <c r="D165" s="141" t="n"/>
      <c r="E165" s="141" t="n"/>
      <c r="F165" s="141" t="n"/>
      <c r="G165" s="141" t="n"/>
      <c r="H165" s="141" t="n"/>
      <c r="I165" s="141" t="n"/>
      <c r="J165" s="141" t="n"/>
      <c r="K165" s="141" t="n"/>
      <c r="L165" s="141" t="n"/>
      <c r="M165" s="141" t="n"/>
      <c r="N165" s="141" t="n"/>
      <c r="O165" s="141" t="n"/>
      <c r="P165" s="141" t="n"/>
      <c r="Q165" s="135" t="n"/>
      <c r="R165" s="135" t="n"/>
      <c r="S165" s="135" t="n"/>
      <c r="T165" s="141">
        <f>T164+0.07</f>
        <v/>
      </c>
      <c r="U165" s="135" t="n"/>
      <c r="V165" s="135" t="n"/>
      <c r="W165" s="135">
        <f>FALSE()</f>
        <v/>
      </c>
      <c r="X165" s="135" t="n">
        <v>1</v>
      </c>
      <c r="Y165" s="135" t="n">
        <v>9999</v>
      </c>
      <c r="Z165" s="135" t="n"/>
      <c r="AA165" s="135" t="n"/>
      <c r="AB165" s="135" t="n"/>
      <c r="AC165" s="135" t="n">
        <v>1</v>
      </c>
      <c r="AD165" s="141" t="n"/>
      <c r="AE165" s="141" t="n"/>
    </row>
    <row r="166" ht="14.25" customHeight="1" s="142">
      <c r="A166" s="135" t="n">
        <v>7059</v>
      </c>
      <c r="B166" s="8" t="inlineStr">
        <is>
          <t>幻影彩石LV.9</t>
        </is>
      </c>
      <c r="C166" s="141">
        <f>"戰鬥開始時裝備者的技能傷害抗性增加"&amp;T166*100&amp;"%"</f>
        <v/>
      </c>
      <c r="D166" s="141" t="n"/>
      <c r="E166" s="141" t="n"/>
      <c r="F166" s="141" t="n"/>
      <c r="G166" s="141" t="n"/>
      <c r="H166" s="141" t="n"/>
      <c r="I166" s="141" t="n"/>
      <c r="J166" s="141" t="n"/>
      <c r="K166" s="141" t="n"/>
      <c r="L166" s="141" t="n"/>
      <c r="M166" s="141" t="n"/>
      <c r="N166" s="141" t="n"/>
      <c r="O166" s="141" t="n"/>
      <c r="P166" s="141" t="n"/>
      <c r="Q166" s="135" t="n"/>
      <c r="R166" s="135" t="n"/>
      <c r="S166" s="135" t="n"/>
      <c r="T166" s="141">
        <f>T165+0.07</f>
        <v/>
      </c>
      <c r="U166" s="135" t="n"/>
      <c r="V166" s="135" t="n"/>
      <c r="W166" s="135">
        <f>FALSE()</f>
        <v/>
      </c>
      <c r="X166" s="135" t="n">
        <v>1</v>
      </c>
      <c r="Y166" s="135" t="n">
        <v>9999</v>
      </c>
      <c r="Z166" s="135" t="n"/>
      <c r="AA166" s="135" t="n"/>
      <c r="AB166" s="135" t="n"/>
      <c r="AC166" s="135" t="n">
        <v>1</v>
      </c>
      <c r="AD166" s="141" t="n"/>
      <c r="AE166" s="141" t="n"/>
    </row>
    <row r="167" ht="14.25" customHeight="1" s="142">
      <c r="A167" s="135" t="n">
        <v>7060</v>
      </c>
      <c r="B167" s="8" t="inlineStr">
        <is>
          <t>幻影彩石LV.10</t>
        </is>
      </c>
      <c r="C167" s="141">
        <f>"戰鬥開始時裝備者的技能傷害抗性增加"&amp;T167*100&amp;"%"</f>
        <v/>
      </c>
      <c r="D167" s="141" t="n"/>
      <c r="E167" s="141" t="n"/>
      <c r="F167" s="141" t="n"/>
      <c r="G167" s="141" t="n"/>
      <c r="H167" s="141" t="n"/>
      <c r="I167" s="141" t="n"/>
      <c r="J167" s="141" t="n"/>
      <c r="K167" s="141" t="n"/>
      <c r="L167" s="141" t="n"/>
      <c r="M167" s="141" t="n"/>
      <c r="N167" s="141" t="n"/>
      <c r="O167" s="141" t="n"/>
      <c r="P167" s="141" t="n"/>
      <c r="Q167" s="135" t="n"/>
      <c r="R167" s="135" t="n"/>
      <c r="S167" s="135" t="n"/>
      <c r="T167" s="141">
        <f>T166+0.07</f>
        <v/>
      </c>
      <c r="U167" s="135" t="n"/>
      <c r="V167" s="135" t="n"/>
      <c r="W167" s="135">
        <f>FALSE()</f>
        <v/>
      </c>
      <c r="X167" s="135" t="n">
        <v>1</v>
      </c>
      <c r="Y167" s="135" t="n">
        <v>9999</v>
      </c>
      <c r="Z167" s="135" t="n"/>
      <c r="AA167" s="135" t="n"/>
      <c r="AB167" s="135" t="n"/>
      <c r="AC167" s="135" t="n">
        <v>1</v>
      </c>
      <c r="AD167" s="141" t="n"/>
      <c r="AE167" s="141" t="n"/>
    </row>
    <row r="168" ht="14.25" customHeight="1" s="142">
      <c r="A168" s="135" t="n">
        <v>7061</v>
      </c>
      <c r="B168" s="8" t="inlineStr">
        <is>
          <t>紫凝暴晶LV.1</t>
        </is>
      </c>
      <c r="C168" s="141">
        <f>"戰鬥開始時裝備者的爆擊傷害增加"&amp;U168*100&amp;"%"</f>
        <v/>
      </c>
      <c r="D168" s="141" t="n"/>
      <c r="E168" s="141" t="n"/>
      <c r="F168" s="141" t="n"/>
      <c r="G168" s="141" t="n"/>
      <c r="H168" s="141" t="n"/>
      <c r="I168" s="141" t="n"/>
      <c r="J168" s="141" t="n"/>
      <c r="K168" s="141" t="n"/>
      <c r="L168" s="141" t="n"/>
      <c r="M168" s="141" t="n"/>
      <c r="N168" s="141" t="n"/>
      <c r="O168" s="141" t="n"/>
      <c r="P168" s="141" t="n"/>
      <c r="Q168" s="135" t="n"/>
      <c r="R168" s="135" t="n"/>
      <c r="S168" s="135" t="n"/>
      <c r="T168" s="141" t="n"/>
      <c r="U168" s="141" t="n">
        <v>0.05</v>
      </c>
      <c r="V168" s="135" t="n"/>
      <c r="W168" s="135">
        <f>FALSE()</f>
        <v/>
      </c>
      <c r="X168" s="135" t="n">
        <v>1</v>
      </c>
      <c r="Y168" s="135" t="n">
        <v>9999</v>
      </c>
      <c r="Z168" s="135" t="n"/>
      <c r="AA168" s="135" t="n"/>
      <c r="AB168" s="135" t="n"/>
      <c r="AC168" s="135" t="n">
        <v>1</v>
      </c>
      <c r="AD168" s="141" t="n"/>
      <c r="AE168" s="141" t="n"/>
    </row>
    <row r="169" ht="14.25" customHeight="1" s="142">
      <c r="A169" s="135" t="n">
        <v>7062</v>
      </c>
      <c r="B169" s="8" t="inlineStr">
        <is>
          <t>紫凝暴晶LV.2</t>
        </is>
      </c>
      <c r="C169" s="141">
        <f>"戰鬥開始時裝備者的爆擊傷害增加"&amp;U169*100&amp;"%"</f>
        <v/>
      </c>
      <c r="D169" s="141" t="n"/>
      <c r="E169" s="141" t="n"/>
      <c r="F169" s="141" t="n"/>
      <c r="G169" s="141" t="n"/>
      <c r="H169" s="141" t="n"/>
      <c r="I169" s="141" t="n"/>
      <c r="J169" s="141" t="n"/>
      <c r="K169" s="141" t="n"/>
      <c r="L169" s="141" t="n"/>
      <c r="M169" s="141" t="n"/>
      <c r="N169" s="141" t="n"/>
      <c r="O169" s="141" t="n"/>
      <c r="P169" s="141" t="n"/>
      <c r="Q169" s="135" t="n"/>
      <c r="R169" s="135" t="n"/>
      <c r="S169" s="135" t="n"/>
      <c r="T169" s="141" t="n"/>
      <c r="U169" s="141">
        <f>U168+0.025</f>
        <v/>
      </c>
      <c r="V169" s="135" t="n"/>
      <c r="W169" s="135">
        <f>FALSE()</f>
        <v/>
      </c>
      <c r="X169" s="135" t="n">
        <v>1</v>
      </c>
      <c r="Y169" s="135" t="n">
        <v>9999</v>
      </c>
      <c r="Z169" s="135" t="n"/>
      <c r="AA169" s="135" t="n"/>
      <c r="AB169" s="135" t="n"/>
      <c r="AC169" s="135" t="n">
        <v>1</v>
      </c>
      <c r="AD169" s="141" t="n"/>
      <c r="AE169" s="141" t="n"/>
    </row>
    <row r="170" ht="14.25" customHeight="1" s="142">
      <c r="A170" s="135" t="n">
        <v>7063</v>
      </c>
      <c r="B170" s="8" t="inlineStr">
        <is>
          <t>紫凝暴晶LV.3</t>
        </is>
      </c>
      <c r="C170" s="141">
        <f>"戰鬥開始時裝備者的爆擊傷害增加"&amp;U170*100&amp;"%"</f>
        <v/>
      </c>
      <c r="D170" s="141" t="n"/>
      <c r="E170" s="141" t="n"/>
      <c r="F170" s="141" t="n"/>
      <c r="G170" s="141" t="n"/>
      <c r="H170" s="141" t="n"/>
      <c r="I170" s="141" t="n"/>
      <c r="J170" s="141" t="n"/>
      <c r="K170" s="141" t="n"/>
      <c r="L170" s="141" t="n"/>
      <c r="M170" s="141" t="n"/>
      <c r="N170" s="141" t="n"/>
      <c r="O170" s="141" t="n"/>
      <c r="P170" s="141" t="n"/>
      <c r="Q170" s="135" t="n"/>
      <c r="R170" s="135" t="n"/>
      <c r="S170" s="135" t="n"/>
      <c r="T170" s="141" t="n"/>
      <c r="U170" s="141">
        <f>U169+0.025</f>
        <v/>
      </c>
      <c r="V170" s="135" t="n"/>
      <c r="W170" s="135">
        <f>FALSE()</f>
        <v/>
      </c>
      <c r="X170" s="135" t="n">
        <v>1</v>
      </c>
      <c r="Y170" s="135" t="n">
        <v>9999</v>
      </c>
      <c r="Z170" s="135" t="n"/>
      <c r="AA170" s="135" t="n"/>
      <c r="AB170" s="135" t="n"/>
      <c r="AC170" s="135" t="n">
        <v>1</v>
      </c>
      <c r="AD170" s="141" t="n"/>
      <c r="AE170" s="141" t="n"/>
    </row>
    <row r="171" ht="14.25" customHeight="1" s="142">
      <c r="A171" s="135" t="n">
        <v>7064</v>
      </c>
      <c r="B171" s="8" t="inlineStr">
        <is>
          <t>紫凝暴晶LV.4</t>
        </is>
      </c>
      <c r="C171" s="141">
        <f>"戰鬥開始時裝備者的爆擊傷害增加"&amp;U171*100&amp;"%"</f>
        <v/>
      </c>
      <c r="D171" s="141" t="n"/>
      <c r="E171" s="141" t="n"/>
      <c r="F171" s="141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41" t="n"/>
      <c r="P171" s="141" t="n"/>
      <c r="Q171" s="135" t="n"/>
      <c r="R171" s="135" t="n"/>
      <c r="S171" s="135" t="n"/>
      <c r="T171" s="141" t="n"/>
      <c r="U171" s="141">
        <f>U170+0.025</f>
        <v/>
      </c>
      <c r="V171" s="135" t="n"/>
      <c r="W171" s="135">
        <f>FALSE()</f>
        <v/>
      </c>
      <c r="X171" s="135" t="n">
        <v>1</v>
      </c>
      <c r="Y171" s="135" t="n">
        <v>9999</v>
      </c>
      <c r="Z171" s="135" t="n"/>
      <c r="AA171" s="135" t="n"/>
      <c r="AB171" s="135" t="n"/>
      <c r="AC171" s="135" t="n">
        <v>1</v>
      </c>
      <c r="AD171" s="141" t="n"/>
      <c r="AE171" s="141" t="n"/>
    </row>
    <row r="172" ht="14.25" customHeight="1" s="142">
      <c r="A172" s="135" t="n">
        <v>7065</v>
      </c>
      <c r="B172" s="8" t="inlineStr">
        <is>
          <t>紫凝暴晶LV.5</t>
        </is>
      </c>
      <c r="C172" s="141">
        <f>"戰鬥開始時裝備者的爆擊傷害增加"&amp;U172*100&amp;"%"</f>
        <v/>
      </c>
      <c r="D172" s="141" t="n"/>
      <c r="E172" s="141" t="n"/>
      <c r="F172" s="141" t="n"/>
      <c r="G172" s="141" t="n"/>
      <c r="H172" s="141" t="n"/>
      <c r="I172" s="141" t="n"/>
      <c r="J172" s="141" t="n"/>
      <c r="K172" s="141" t="n"/>
      <c r="L172" s="141" t="n"/>
      <c r="M172" s="141" t="n"/>
      <c r="N172" s="141" t="n"/>
      <c r="O172" s="141" t="n"/>
      <c r="P172" s="141" t="n"/>
      <c r="Q172" s="135" t="n"/>
      <c r="R172" s="135" t="n"/>
      <c r="S172" s="135" t="n"/>
      <c r="T172" s="141" t="n"/>
      <c r="U172" s="141">
        <f>U171+0.05</f>
        <v/>
      </c>
      <c r="V172" s="135" t="n"/>
      <c r="W172" s="135">
        <f>FALSE()</f>
        <v/>
      </c>
      <c r="X172" s="135" t="n">
        <v>1</v>
      </c>
      <c r="Y172" s="135" t="n">
        <v>9999</v>
      </c>
      <c r="Z172" s="135" t="n"/>
      <c r="AA172" s="135" t="n"/>
      <c r="AB172" s="135" t="n"/>
      <c r="AC172" s="135" t="n">
        <v>1</v>
      </c>
      <c r="AD172" s="141" t="n"/>
      <c r="AE172" s="141" t="n"/>
    </row>
    <row r="173" ht="14.25" customHeight="1" s="142">
      <c r="A173" s="135" t="n">
        <v>7066</v>
      </c>
      <c r="B173" s="8" t="inlineStr">
        <is>
          <t>紫凝暴晶LV.6</t>
        </is>
      </c>
      <c r="C173" s="141">
        <f>"戰鬥開始時裝備者的爆擊傷害增加"&amp;U173*100&amp;"%"</f>
        <v/>
      </c>
      <c r="D173" s="141" t="n"/>
      <c r="E173" s="141" t="n"/>
      <c r="F173" s="141" t="n"/>
      <c r="G173" s="141" t="n"/>
      <c r="H173" s="141" t="n"/>
      <c r="I173" s="141" t="n"/>
      <c r="J173" s="141" t="n"/>
      <c r="K173" s="141" t="n"/>
      <c r="L173" s="141" t="n"/>
      <c r="M173" s="141" t="n"/>
      <c r="N173" s="141" t="n"/>
      <c r="O173" s="141" t="n"/>
      <c r="P173" s="141" t="n"/>
      <c r="Q173" s="135" t="n"/>
      <c r="R173" s="135" t="n"/>
      <c r="S173" s="135" t="n"/>
      <c r="T173" s="141" t="n"/>
      <c r="U173" s="141">
        <f>U172+0.05</f>
        <v/>
      </c>
      <c r="V173" s="135" t="n"/>
      <c r="W173" s="135">
        <f>FALSE()</f>
        <v/>
      </c>
      <c r="X173" s="135" t="n">
        <v>1</v>
      </c>
      <c r="Y173" s="135" t="n">
        <v>9999</v>
      </c>
      <c r="Z173" s="135" t="n"/>
      <c r="AA173" s="135" t="n"/>
      <c r="AB173" s="135" t="n"/>
      <c r="AC173" s="135" t="n">
        <v>1</v>
      </c>
      <c r="AD173" s="141" t="n"/>
      <c r="AE173" s="141" t="n"/>
    </row>
    <row r="174" ht="14.25" customHeight="1" s="142">
      <c r="A174" s="135" t="n">
        <v>7067</v>
      </c>
      <c r="B174" s="8" t="inlineStr">
        <is>
          <t>紫凝暴晶LV.7</t>
        </is>
      </c>
      <c r="C174" s="141">
        <f>"戰鬥開始時裝備者的爆擊傷害增加"&amp;U174*100&amp;"%"</f>
        <v/>
      </c>
      <c r="D174" s="141" t="n"/>
      <c r="E174" s="141" t="n"/>
      <c r="F174" s="141" t="n"/>
      <c r="G174" s="141" t="n"/>
      <c r="H174" s="141" t="n"/>
      <c r="I174" s="141" t="n"/>
      <c r="J174" s="141" t="n"/>
      <c r="K174" s="141" t="n"/>
      <c r="L174" s="141" t="n"/>
      <c r="M174" s="141" t="n"/>
      <c r="N174" s="141" t="n"/>
      <c r="O174" s="141" t="n"/>
      <c r="P174" s="141" t="n"/>
      <c r="Q174" s="135" t="n"/>
      <c r="R174" s="135" t="n"/>
      <c r="S174" s="135" t="n"/>
      <c r="T174" s="141" t="n"/>
      <c r="U174" s="141">
        <f>U173+0.05</f>
        <v/>
      </c>
      <c r="V174" s="135" t="n"/>
      <c r="W174" s="135">
        <f>FALSE()</f>
        <v/>
      </c>
      <c r="X174" s="135" t="n">
        <v>1</v>
      </c>
      <c r="Y174" s="135" t="n">
        <v>9999</v>
      </c>
      <c r="Z174" s="135" t="n"/>
      <c r="AA174" s="135" t="n"/>
      <c r="AB174" s="135" t="n"/>
      <c r="AC174" s="135" t="n">
        <v>1</v>
      </c>
      <c r="AD174" s="141" t="n"/>
      <c r="AE174" s="141" t="n"/>
    </row>
    <row r="175" ht="14.25" customHeight="1" s="142">
      <c r="A175" s="135" t="n">
        <v>7068</v>
      </c>
      <c r="B175" s="8" t="inlineStr">
        <is>
          <t>紫凝暴晶LV.8</t>
        </is>
      </c>
      <c r="C175" s="141">
        <f>"戰鬥開始時裝備者的爆擊傷害增加"&amp;U175*100&amp;"%"</f>
        <v/>
      </c>
      <c r="D175" s="141" t="n"/>
      <c r="E175" s="141" t="n"/>
      <c r="F175" s="141" t="n"/>
      <c r="G175" s="141" t="n"/>
      <c r="H175" s="141" t="n"/>
      <c r="I175" s="141" t="n"/>
      <c r="J175" s="141" t="n"/>
      <c r="K175" s="141" t="n"/>
      <c r="L175" s="141" t="n"/>
      <c r="M175" s="141" t="n"/>
      <c r="N175" s="141" t="n"/>
      <c r="O175" s="141" t="n"/>
      <c r="P175" s="141" t="n"/>
      <c r="Q175" s="135" t="n"/>
      <c r="R175" s="135" t="n"/>
      <c r="S175" s="135" t="n"/>
      <c r="T175" s="141" t="n"/>
      <c r="U175" s="141">
        <f>U174+0.07</f>
        <v/>
      </c>
      <c r="V175" s="135" t="n"/>
      <c r="W175" s="135">
        <f>FALSE()</f>
        <v/>
      </c>
      <c r="X175" s="135" t="n">
        <v>1</v>
      </c>
      <c r="Y175" s="135" t="n">
        <v>9999</v>
      </c>
      <c r="Z175" s="135" t="n"/>
      <c r="AA175" s="135" t="n"/>
      <c r="AB175" s="135" t="n"/>
      <c r="AC175" s="135" t="n">
        <v>1</v>
      </c>
      <c r="AD175" s="141" t="n"/>
      <c r="AE175" s="141" t="n"/>
    </row>
    <row r="176" ht="14.25" customHeight="1" s="142">
      <c r="A176" s="135" t="n">
        <v>7069</v>
      </c>
      <c r="B176" s="8" t="inlineStr">
        <is>
          <t>紫凝暴晶LV.9</t>
        </is>
      </c>
      <c r="C176" s="141">
        <f>"戰鬥開始時裝備者的爆擊傷害增加"&amp;U176*100&amp;"%"</f>
        <v/>
      </c>
      <c r="D176" s="141" t="n"/>
      <c r="E176" s="141" t="n"/>
      <c r="F176" s="141" t="n"/>
      <c r="G176" s="141" t="n"/>
      <c r="H176" s="141" t="n"/>
      <c r="I176" s="141" t="n"/>
      <c r="J176" s="141" t="n"/>
      <c r="K176" s="141" t="n"/>
      <c r="L176" s="141" t="n"/>
      <c r="M176" s="141" t="n"/>
      <c r="N176" s="141" t="n"/>
      <c r="O176" s="141" t="n"/>
      <c r="P176" s="141" t="n"/>
      <c r="Q176" s="135" t="n"/>
      <c r="R176" s="135" t="n"/>
      <c r="S176" s="135" t="n"/>
      <c r="T176" s="141" t="n"/>
      <c r="U176" s="141">
        <f>U175+0.07</f>
        <v/>
      </c>
      <c r="V176" s="135" t="n"/>
      <c r="W176" s="135">
        <f>FALSE()</f>
        <v/>
      </c>
      <c r="X176" s="135" t="n">
        <v>1</v>
      </c>
      <c r="Y176" s="135" t="n">
        <v>9999</v>
      </c>
      <c r="Z176" s="135" t="n"/>
      <c r="AA176" s="135" t="n"/>
      <c r="AB176" s="135" t="n"/>
      <c r="AC176" s="135" t="n">
        <v>1</v>
      </c>
      <c r="AD176" s="141" t="n"/>
      <c r="AE176" s="141" t="n"/>
    </row>
    <row r="177" ht="14.25" customHeight="1" s="142">
      <c r="A177" s="135" t="n">
        <v>7070</v>
      </c>
      <c r="B177" s="8" t="inlineStr">
        <is>
          <t>紫凝暴晶LV.10</t>
        </is>
      </c>
      <c r="C177" s="141">
        <f>"戰鬥開始時裝備者的爆擊傷害增加"&amp;U177*100&amp;"%"</f>
        <v/>
      </c>
      <c r="D177" s="141" t="n"/>
      <c r="E177" s="141" t="n"/>
      <c r="F177" s="141" t="n"/>
      <c r="G177" s="141" t="n"/>
      <c r="H177" s="141" t="n"/>
      <c r="I177" s="141" t="n"/>
      <c r="J177" s="141" t="n"/>
      <c r="K177" s="141" t="n"/>
      <c r="L177" s="141" t="n"/>
      <c r="M177" s="141" t="n"/>
      <c r="N177" s="141" t="n"/>
      <c r="O177" s="141" t="n"/>
      <c r="P177" s="141" t="n"/>
      <c r="Q177" s="135" t="n"/>
      <c r="R177" s="135" t="n"/>
      <c r="S177" s="135" t="n"/>
      <c r="T177" s="141" t="n"/>
      <c r="U177" s="141">
        <f>U176+0.07</f>
        <v/>
      </c>
      <c r="V177" s="135" t="n"/>
      <c r="W177" s="135">
        <f>FALSE()</f>
        <v/>
      </c>
      <c r="X177" s="135" t="n">
        <v>1</v>
      </c>
      <c r="Y177" s="135" t="n">
        <v>9999</v>
      </c>
      <c r="Z177" s="135" t="n"/>
      <c r="AA177" s="135" t="n"/>
      <c r="AB177" s="135" t="n"/>
      <c r="AC177" s="135" t="n">
        <v>1</v>
      </c>
      <c r="AD177" s="141" t="n"/>
      <c r="AE177" s="141" t="n"/>
    </row>
    <row r="178" ht="14.25" customHeight="1" s="142">
      <c r="A178" s="135" t="n">
        <v>7071</v>
      </c>
      <c r="B178" s="8" t="inlineStr">
        <is>
          <t>金凌暴晶LV.1</t>
        </is>
      </c>
      <c r="C178" s="141">
        <f>"戰鬥開始時裝備者的爆擊傷害抗性增加"&amp;V178*100&amp;"%"</f>
        <v/>
      </c>
      <c r="D178" s="141" t="n"/>
      <c r="E178" s="141" t="n"/>
      <c r="F178" s="141" t="n"/>
      <c r="G178" s="141" t="n"/>
      <c r="H178" s="141" t="n"/>
      <c r="I178" s="141" t="n"/>
      <c r="J178" s="141" t="n"/>
      <c r="K178" s="141" t="n"/>
      <c r="L178" s="141" t="n"/>
      <c r="M178" s="141" t="n"/>
      <c r="N178" s="141" t="n"/>
      <c r="O178" s="141" t="n"/>
      <c r="P178" s="141" t="n"/>
      <c r="Q178" s="135" t="n"/>
      <c r="R178" s="135" t="n"/>
      <c r="S178" s="135" t="n"/>
      <c r="T178" s="141" t="n"/>
      <c r="U178" s="135" t="n"/>
      <c r="V178" s="141" t="n">
        <v>0.08</v>
      </c>
      <c r="W178" s="135">
        <f>FALSE()</f>
        <v/>
      </c>
      <c r="X178" s="135" t="n">
        <v>1</v>
      </c>
      <c r="Y178" s="135" t="n">
        <v>9999</v>
      </c>
      <c r="Z178" s="135" t="n"/>
      <c r="AA178" s="135" t="n"/>
      <c r="AB178" s="135" t="n"/>
      <c r="AC178" s="135" t="n">
        <v>1</v>
      </c>
      <c r="AD178" s="141" t="n"/>
      <c r="AE178" s="141" t="n"/>
    </row>
    <row r="179" ht="14.25" customHeight="1" s="142">
      <c r="A179" s="135" t="n">
        <v>7072</v>
      </c>
      <c r="B179" s="8" t="inlineStr">
        <is>
          <t>金凌暴晶LV.2</t>
        </is>
      </c>
      <c r="C179" s="141">
        <f>"戰鬥開始時裝備者的爆擊傷害抗性增加"&amp;V179*100&amp;"%"</f>
        <v/>
      </c>
      <c r="D179" s="141" t="n"/>
      <c r="E179" s="141" t="n"/>
      <c r="F179" s="141" t="n"/>
      <c r="G179" s="141" t="n"/>
      <c r="H179" s="141" t="n"/>
      <c r="I179" s="141" t="n"/>
      <c r="J179" s="141" t="n"/>
      <c r="K179" s="141" t="n"/>
      <c r="L179" s="141" t="n"/>
      <c r="M179" s="141" t="n"/>
      <c r="N179" s="141" t="n"/>
      <c r="O179" s="141" t="n"/>
      <c r="P179" s="141" t="n"/>
      <c r="Q179" s="135" t="n"/>
      <c r="R179" s="135" t="n"/>
      <c r="S179" s="135" t="n"/>
      <c r="T179" s="141" t="n"/>
      <c r="U179" s="135" t="n"/>
      <c r="V179" s="141">
        <f>V178+0.03</f>
        <v/>
      </c>
      <c r="W179" s="135">
        <f>FALSE()</f>
        <v/>
      </c>
      <c r="X179" s="135" t="n">
        <v>1</v>
      </c>
      <c r="Y179" s="135" t="n">
        <v>9999</v>
      </c>
      <c r="Z179" s="135" t="n"/>
      <c r="AA179" s="135" t="n"/>
      <c r="AB179" s="135" t="n"/>
      <c r="AC179" s="135" t="n">
        <v>1</v>
      </c>
      <c r="AD179" s="141" t="n"/>
      <c r="AE179" s="141" t="n"/>
    </row>
    <row r="180" ht="14.25" customHeight="1" s="142">
      <c r="A180" s="135" t="n">
        <v>7073</v>
      </c>
      <c r="B180" s="8" t="inlineStr">
        <is>
          <t>金凌暴晶LV.3</t>
        </is>
      </c>
      <c r="C180" s="141">
        <f>"戰鬥開始時裝備者的爆擊傷害抗性增加"&amp;V180*100&amp;"%"</f>
        <v/>
      </c>
      <c r="D180" s="141" t="n"/>
      <c r="E180" s="141" t="n"/>
      <c r="F180" s="141" t="n"/>
      <c r="G180" s="141" t="n"/>
      <c r="H180" s="141" t="n"/>
      <c r="I180" s="141" t="n"/>
      <c r="J180" s="141" t="n"/>
      <c r="K180" s="141" t="n"/>
      <c r="L180" s="141" t="n"/>
      <c r="M180" s="141" t="n"/>
      <c r="N180" s="141" t="n"/>
      <c r="O180" s="141" t="n"/>
      <c r="P180" s="141" t="n"/>
      <c r="Q180" s="135" t="n"/>
      <c r="R180" s="135" t="n"/>
      <c r="S180" s="135" t="n"/>
      <c r="T180" s="141" t="n"/>
      <c r="U180" s="135" t="n"/>
      <c r="V180" s="141">
        <f>V179+0.03</f>
        <v/>
      </c>
      <c r="W180" s="135">
        <f>FALSE()</f>
        <v/>
      </c>
      <c r="X180" s="135" t="n">
        <v>1</v>
      </c>
      <c r="Y180" s="135" t="n">
        <v>9999</v>
      </c>
      <c r="Z180" s="135" t="n"/>
      <c r="AA180" s="135" t="n"/>
      <c r="AB180" s="135" t="n"/>
      <c r="AC180" s="135" t="n">
        <v>1</v>
      </c>
      <c r="AD180" s="141" t="n"/>
      <c r="AE180" s="141" t="n"/>
    </row>
    <row r="181" ht="14.25" customHeight="1" s="142">
      <c r="A181" s="135" t="n">
        <v>7074</v>
      </c>
      <c r="B181" s="8" t="inlineStr">
        <is>
          <t>金凌暴晶LV.4</t>
        </is>
      </c>
      <c r="C181" s="141">
        <f>"戰鬥開始時裝備者的爆擊傷害抗性增加"&amp;V181*100&amp;"%"</f>
        <v/>
      </c>
      <c r="D181" s="141" t="n"/>
      <c r="E181" s="141" t="n"/>
      <c r="F181" s="141" t="n"/>
      <c r="G181" s="141" t="n"/>
      <c r="H181" s="141" t="n"/>
      <c r="I181" s="141" t="n"/>
      <c r="J181" s="141" t="n"/>
      <c r="K181" s="141" t="n"/>
      <c r="L181" s="141" t="n"/>
      <c r="M181" s="141" t="n"/>
      <c r="N181" s="141" t="n"/>
      <c r="O181" s="141" t="n"/>
      <c r="P181" s="141" t="n"/>
      <c r="Q181" s="135" t="n"/>
      <c r="R181" s="135" t="n"/>
      <c r="S181" s="135" t="n"/>
      <c r="T181" s="141" t="n"/>
      <c r="U181" s="135" t="n"/>
      <c r="V181" s="141">
        <f>V180+0.03</f>
        <v/>
      </c>
      <c r="W181" s="135">
        <f>FALSE()</f>
        <v/>
      </c>
      <c r="X181" s="135" t="n">
        <v>1</v>
      </c>
      <c r="Y181" s="135" t="n">
        <v>9999</v>
      </c>
      <c r="Z181" s="135" t="n"/>
      <c r="AA181" s="135" t="n"/>
      <c r="AB181" s="135" t="n"/>
      <c r="AC181" s="135" t="n">
        <v>1</v>
      </c>
      <c r="AD181" s="141" t="n"/>
      <c r="AE181" s="141" t="n"/>
    </row>
    <row r="182" ht="14.25" customHeight="1" s="142">
      <c r="A182" s="135" t="n">
        <v>7075</v>
      </c>
      <c r="B182" s="8" t="inlineStr">
        <is>
          <t>金凌暴晶LV.5</t>
        </is>
      </c>
      <c r="C182" s="141">
        <f>"戰鬥開始時裝備者的爆擊傷害抗性增加"&amp;V182*100&amp;"%"</f>
        <v/>
      </c>
      <c r="D182" s="141" t="n"/>
      <c r="E182" s="141" t="n"/>
      <c r="F182" s="141" t="n"/>
      <c r="G182" s="141" t="n"/>
      <c r="H182" s="141" t="n"/>
      <c r="I182" s="141" t="n"/>
      <c r="J182" s="141" t="n"/>
      <c r="K182" s="141" t="n"/>
      <c r="L182" s="141" t="n"/>
      <c r="M182" s="141" t="n"/>
      <c r="N182" s="141" t="n"/>
      <c r="O182" s="141" t="n"/>
      <c r="P182" s="141" t="n"/>
      <c r="Q182" s="135" t="n"/>
      <c r="R182" s="135" t="n"/>
      <c r="S182" s="135" t="n"/>
      <c r="T182" s="141" t="n"/>
      <c r="U182" s="135" t="n"/>
      <c r="V182" s="141">
        <f>V181+0.03</f>
        <v/>
      </c>
      <c r="W182" s="135">
        <f>FALSE()</f>
        <v/>
      </c>
      <c r="X182" s="135" t="n">
        <v>1</v>
      </c>
      <c r="Y182" s="135" t="n">
        <v>9999</v>
      </c>
      <c r="Z182" s="135" t="n"/>
      <c r="AA182" s="135" t="n"/>
      <c r="AB182" s="135" t="n"/>
      <c r="AC182" s="135" t="n">
        <v>1</v>
      </c>
      <c r="AD182" s="141" t="n"/>
      <c r="AE182" s="141" t="n"/>
    </row>
    <row r="183" ht="14.25" customHeight="1" s="142">
      <c r="A183" s="135" t="n">
        <v>7076</v>
      </c>
      <c r="B183" s="8" t="inlineStr">
        <is>
          <t>金凌暴晶LV.6</t>
        </is>
      </c>
      <c r="C183" s="141">
        <f>"戰鬥開始時裝備者的爆擊傷害抗性增加"&amp;V183*100&amp;"%"</f>
        <v/>
      </c>
      <c r="D183" s="141" t="n"/>
      <c r="E183" s="141" t="n"/>
      <c r="F183" s="141" t="n"/>
      <c r="G183" s="141" t="n"/>
      <c r="H183" s="141" t="n"/>
      <c r="I183" s="141" t="n"/>
      <c r="J183" s="141" t="n"/>
      <c r="K183" s="141" t="n"/>
      <c r="L183" s="141" t="n"/>
      <c r="M183" s="141" t="n"/>
      <c r="N183" s="141" t="n"/>
      <c r="O183" s="141" t="n"/>
      <c r="P183" s="141" t="n"/>
      <c r="Q183" s="135" t="n"/>
      <c r="R183" s="135" t="n"/>
      <c r="S183" s="135" t="n"/>
      <c r="T183" s="141" t="n"/>
      <c r="U183" s="135" t="n"/>
      <c r="V183" s="141">
        <f>V182+0.05</f>
        <v/>
      </c>
      <c r="W183" s="135">
        <f>FALSE()</f>
        <v/>
      </c>
      <c r="X183" s="135" t="n">
        <v>1</v>
      </c>
      <c r="Y183" s="135" t="n">
        <v>9999</v>
      </c>
      <c r="Z183" s="135" t="n"/>
      <c r="AA183" s="135" t="n"/>
      <c r="AB183" s="135" t="n"/>
      <c r="AC183" s="135" t="n">
        <v>1</v>
      </c>
      <c r="AD183" s="141" t="n"/>
      <c r="AE183" s="141" t="n"/>
    </row>
    <row r="184" ht="14.25" customHeight="1" s="142">
      <c r="A184" s="135" t="n">
        <v>7077</v>
      </c>
      <c r="B184" s="8" t="inlineStr">
        <is>
          <t>金凌暴晶LV.7</t>
        </is>
      </c>
      <c r="C184" s="141">
        <f>"戰鬥開始時裝備者的爆擊傷害抗性增加"&amp;V184*100&amp;"%"</f>
        <v/>
      </c>
      <c r="D184" s="141" t="n"/>
      <c r="E184" s="141" t="n"/>
      <c r="F184" s="141" t="n"/>
      <c r="G184" s="141" t="n"/>
      <c r="H184" s="141" t="n"/>
      <c r="I184" s="141" t="n"/>
      <c r="J184" s="141" t="n"/>
      <c r="K184" s="141" t="n"/>
      <c r="L184" s="141" t="n"/>
      <c r="M184" s="141" t="n"/>
      <c r="N184" s="141" t="n"/>
      <c r="O184" s="141" t="n"/>
      <c r="P184" s="141" t="n"/>
      <c r="Q184" s="135" t="n"/>
      <c r="R184" s="135" t="n"/>
      <c r="S184" s="135" t="n"/>
      <c r="T184" s="141" t="n"/>
      <c r="U184" s="135" t="n"/>
      <c r="V184" s="141">
        <f>V183+0.05</f>
        <v/>
      </c>
      <c r="W184" s="135">
        <f>FALSE()</f>
        <v/>
      </c>
      <c r="X184" s="135" t="n">
        <v>1</v>
      </c>
      <c r="Y184" s="135" t="n">
        <v>9999</v>
      </c>
      <c r="Z184" s="135" t="n"/>
      <c r="AA184" s="135" t="n"/>
      <c r="AB184" s="135" t="n"/>
      <c r="AC184" s="135" t="n">
        <v>1</v>
      </c>
      <c r="AD184" s="141" t="n"/>
      <c r="AE184" s="141" t="n"/>
    </row>
    <row r="185" ht="14.25" customHeight="1" s="142">
      <c r="A185" s="135" t="n">
        <v>7078</v>
      </c>
      <c r="B185" s="8" t="inlineStr">
        <is>
          <t>金凌暴晶LV.8</t>
        </is>
      </c>
      <c r="C185" s="141">
        <f>"戰鬥開始時裝備者的爆擊傷害抗性增加"&amp;V185*100&amp;"%"</f>
        <v/>
      </c>
      <c r="D185" s="141" t="n"/>
      <c r="E185" s="141" t="n"/>
      <c r="F185" s="141" t="n"/>
      <c r="G185" s="141" t="n"/>
      <c r="H185" s="141" t="n"/>
      <c r="I185" s="141" t="n"/>
      <c r="J185" s="141" t="n"/>
      <c r="K185" s="141" t="n"/>
      <c r="L185" s="141" t="n"/>
      <c r="M185" s="141" t="n"/>
      <c r="N185" s="141" t="n"/>
      <c r="O185" s="141" t="n"/>
      <c r="P185" s="141" t="n"/>
      <c r="Q185" s="135" t="n"/>
      <c r="R185" s="135" t="n"/>
      <c r="S185" s="135" t="n"/>
      <c r="T185" s="141" t="n"/>
      <c r="U185" s="135" t="n"/>
      <c r="V185" s="141">
        <f>V184+0.07</f>
        <v/>
      </c>
      <c r="W185" s="135">
        <f>FALSE()</f>
        <v/>
      </c>
      <c r="X185" s="135" t="n">
        <v>1</v>
      </c>
      <c r="Y185" s="135" t="n">
        <v>9999</v>
      </c>
      <c r="Z185" s="135" t="n"/>
      <c r="AA185" s="135" t="n"/>
      <c r="AB185" s="135" t="n"/>
      <c r="AC185" s="135" t="n">
        <v>1</v>
      </c>
      <c r="AD185" s="141" t="n"/>
      <c r="AE185" s="141" t="n"/>
    </row>
    <row r="186" ht="14.25" customHeight="1" s="142">
      <c r="A186" s="135" t="n">
        <v>7079</v>
      </c>
      <c r="B186" s="8" t="inlineStr">
        <is>
          <t>金凌暴晶LV.9</t>
        </is>
      </c>
      <c r="C186" s="141">
        <f>"戰鬥開始時裝備者的爆擊傷害抗性增加"&amp;V186*100&amp;"%"</f>
        <v/>
      </c>
      <c r="D186" s="141" t="n"/>
      <c r="E186" s="141" t="n"/>
      <c r="F186" s="141" t="n"/>
      <c r="G186" s="141" t="n"/>
      <c r="H186" s="141" t="n"/>
      <c r="I186" s="141" t="n"/>
      <c r="J186" s="141" t="n"/>
      <c r="K186" s="141" t="n"/>
      <c r="L186" s="141" t="n"/>
      <c r="M186" s="141" t="n"/>
      <c r="N186" s="141" t="n"/>
      <c r="O186" s="141" t="n"/>
      <c r="P186" s="141" t="n"/>
      <c r="Q186" s="135" t="n"/>
      <c r="R186" s="135" t="n"/>
      <c r="S186" s="135" t="n"/>
      <c r="T186" s="141" t="n"/>
      <c r="U186" s="135" t="n"/>
      <c r="V186" s="141">
        <f>V185+0.07</f>
        <v/>
      </c>
      <c r="W186" s="135">
        <f>FALSE()</f>
        <v/>
      </c>
      <c r="X186" s="135" t="n">
        <v>1</v>
      </c>
      <c r="Y186" s="135" t="n">
        <v>9999</v>
      </c>
      <c r="Z186" s="135" t="n"/>
      <c r="AA186" s="135" t="n"/>
      <c r="AB186" s="135" t="n"/>
      <c r="AC186" s="135" t="n">
        <v>1</v>
      </c>
      <c r="AD186" s="141" t="n"/>
      <c r="AE186" s="141" t="n"/>
    </row>
    <row r="187" ht="14.25" customHeight="1" s="142">
      <c r="A187" s="135" t="n">
        <v>7080</v>
      </c>
      <c r="B187" s="8" t="inlineStr">
        <is>
          <t>金凌暴晶LV.10</t>
        </is>
      </c>
      <c r="C187" s="141">
        <f>"戰鬥開始時裝備者的爆擊傷害抗性增加"&amp;V187*100&amp;"%"</f>
        <v/>
      </c>
      <c r="D187" s="141" t="n"/>
      <c r="E187" s="141" t="n"/>
      <c r="F187" s="141" t="n"/>
      <c r="G187" s="141" t="n"/>
      <c r="H187" s="141" t="n"/>
      <c r="I187" s="141" t="n"/>
      <c r="J187" s="141" t="n"/>
      <c r="K187" s="141" t="n"/>
      <c r="L187" s="141" t="n"/>
      <c r="M187" s="141" t="n"/>
      <c r="N187" s="141" t="n"/>
      <c r="O187" s="141" t="n"/>
      <c r="P187" s="141" t="n"/>
      <c r="Q187" s="135" t="n"/>
      <c r="R187" s="135" t="n"/>
      <c r="S187" s="135" t="n"/>
      <c r="T187" s="141" t="n"/>
      <c r="U187" s="135" t="n"/>
      <c r="V187" s="141">
        <f>V186+0.07</f>
        <v/>
      </c>
      <c r="W187" s="135">
        <f>FALSE()</f>
        <v/>
      </c>
      <c r="X187" s="135" t="n">
        <v>1</v>
      </c>
      <c r="Y187" s="135" t="n">
        <v>9999</v>
      </c>
      <c r="Z187" s="135" t="n"/>
      <c r="AA187" s="135" t="n"/>
      <c r="AB187" s="135" t="n"/>
      <c r="AC187" s="135" t="n">
        <v>1</v>
      </c>
      <c r="AD187" s="141" t="n"/>
      <c r="AE187" s="141" t="n"/>
    </row>
    <row r="188" ht="14.25" customHeight="1" s="142">
      <c r="A188" s="45" t="n"/>
      <c r="B188" s="45" t="n"/>
      <c r="C188" s="7" t="n"/>
      <c r="J188" s="7" t="n"/>
      <c r="K188" s="7" t="n"/>
      <c r="Q188" s="45" t="n"/>
      <c r="R188" s="45" t="n"/>
      <c r="S188" s="45" t="n"/>
      <c r="T188" s="7" t="n"/>
      <c r="U188" s="45" t="n"/>
      <c r="V188" s="45" t="n"/>
      <c r="W188" s="45" t="n"/>
      <c r="X188" s="45" t="n"/>
      <c r="Y188" s="45" t="n"/>
      <c r="Z188" s="45" t="n"/>
      <c r="AA188" s="45" t="n"/>
      <c r="AB188" s="45" t="n"/>
      <c r="AC188" s="45" t="n"/>
    </row>
    <row r="189" ht="14.25" customHeight="1" s="142">
      <c r="A189" s="45" t="n"/>
      <c r="B189" s="45" t="n"/>
      <c r="V189" s="45" t="n"/>
    </row>
    <row r="190" ht="14.25" customHeight="1" s="142">
      <c r="V190" s="45" t="n"/>
    </row>
    <row r="191" ht="14.25" customHeight="1" s="142">
      <c r="A191" s="40" t="inlineStr">
        <is>
          <t>buff_id</t>
        </is>
      </c>
      <c r="B191" s="40" t="inlineStr">
        <is>
          <t>buff名稱</t>
        </is>
      </c>
      <c r="C191" s="40" t="inlineStr">
        <is>
          <t>buff_info</t>
        </is>
      </c>
      <c r="D191" s="40" t="inlineStr">
        <is>
          <t>#備註用</t>
        </is>
      </c>
      <c r="E191" s="40" t="inlineStr">
        <is>
          <t>buff_exchange</t>
        </is>
      </c>
      <c r="F191" s="40" t="inlineStr">
        <is>
          <t>tag</t>
        </is>
      </c>
      <c r="G191" s="40" t="inlineStr">
        <is>
          <t>element</t>
        </is>
      </c>
      <c r="H191" s="40" t="inlineStr">
        <is>
          <t>ATK</t>
        </is>
      </c>
      <c r="I191" s="40" t="inlineStr">
        <is>
          <t>MATK</t>
        </is>
      </c>
      <c r="J191" s="40" t="inlineStr">
        <is>
          <t>DEF</t>
        </is>
      </c>
      <c r="K191" s="40" t="inlineStr">
        <is>
          <t>MDEF</t>
        </is>
      </c>
      <c r="L191" s="40" t="inlineStr">
        <is>
          <t>CRI</t>
        </is>
      </c>
      <c r="M191" s="40" t="inlineStr">
        <is>
          <t>MP</t>
        </is>
      </c>
      <c r="N191" s="40" t="inlineStr">
        <is>
          <t>cri_resist</t>
        </is>
      </c>
      <c r="O191" s="40" t="inlineStr">
        <is>
          <t>AGI</t>
        </is>
      </c>
      <c r="P191" s="40" t="inlineStr">
        <is>
          <t>damage_reflect</t>
        </is>
      </c>
      <c r="Q191" s="40" t="inlineStr">
        <is>
          <t>cri_damage</t>
        </is>
      </c>
      <c r="R191" s="40" t="inlineStr">
        <is>
          <t>cri_damage_resist</t>
        </is>
      </c>
      <c r="S191" s="40" t="inlineStr">
        <is>
          <t>skill_rate</t>
        </is>
      </c>
      <c r="T191" s="40" t="inlineStr">
        <is>
          <t>skill_resist</t>
        </is>
      </c>
      <c r="U191" s="40" t="inlineStr">
        <is>
          <t>damage_increase</t>
        </is>
      </c>
      <c r="V191" s="40" t="inlineStr">
        <is>
          <t>damage_reduce</t>
        </is>
      </c>
      <c r="W191" s="40" t="inlineStr">
        <is>
          <t>reflashAble</t>
        </is>
      </c>
      <c r="X191" s="40" t="inlineStr">
        <is>
          <t>max_stack</t>
        </is>
      </c>
      <c r="Y191" s="48" t="inlineStr">
        <is>
          <t>持續回合數</t>
        </is>
      </c>
      <c r="Z191" s="40" t="inlineStr">
        <is>
          <t>effective_turn</t>
        </is>
      </c>
      <c r="AA191" s="40" t="inlineStr">
        <is>
          <t>effective_currenthp_higher</t>
        </is>
      </c>
      <c r="AB191" s="40" t="inlineStr">
        <is>
          <t>effective_currenthp_lower</t>
        </is>
      </c>
      <c r="AC191" s="40" t="inlineStr">
        <is>
          <t>invisible</t>
        </is>
      </c>
      <c r="AD191" s="40" t="inlineStr">
        <is>
          <t>set_info</t>
        </is>
      </c>
      <c r="AE191" s="141" t="inlineStr">
        <is>
          <t>effective_count</t>
        </is>
      </c>
    </row>
    <row r="192" ht="14.25" customHeight="1" s="142">
      <c r="A192" s="135" t="n">
        <v>8000</v>
      </c>
      <c r="B192" s="52" t="n"/>
      <c r="C192" s="143" t="inlineStr">
        <is>
          <t>全體上陣攻擊力+1%</t>
        </is>
      </c>
      <c r="D192" s="141" t="n"/>
      <c r="E192" s="141" t="n"/>
      <c r="F192" s="141" t="n"/>
      <c r="G192" s="141" t="n"/>
      <c r="H192" s="20" t="n">
        <v>0.01</v>
      </c>
      <c r="I192" s="141" t="n"/>
      <c r="J192" s="141" t="n"/>
      <c r="K192" s="141" t="n"/>
      <c r="L192" s="141" t="n"/>
      <c r="M192" s="135" t="n"/>
      <c r="N192" s="141" t="n"/>
      <c r="O192" s="141" t="n"/>
      <c r="P192" s="141" t="n"/>
      <c r="Q192" s="141" t="n"/>
      <c r="R192" s="141" t="n"/>
      <c r="S192" s="141" t="n"/>
      <c r="T192" s="141" t="n"/>
      <c r="U192" s="141" t="n"/>
      <c r="V192" s="135" t="n"/>
      <c r="W192" s="135" t="n"/>
      <c r="X192" s="135" t="n"/>
      <c r="Y192" s="135" t="n"/>
      <c r="Z192" s="135" t="n"/>
      <c r="AA192" s="135" t="n"/>
      <c r="AB192" s="135" t="n"/>
      <c r="AC192" s="135" t="n">
        <v>1</v>
      </c>
      <c r="AD192" s="141" t="n"/>
      <c r="AE192" s="141" t="n"/>
    </row>
    <row r="193" ht="14.25" customHeight="1" s="142">
      <c r="A193" s="135" t="n">
        <v>8001</v>
      </c>
      <c r="B193" s="52" t="n"/>
      <c r="C193" s="143" t="inlineStr">
        <is>
          <t>全體上陣攻擊力+1%</t>
        </is>
      </c>
      <c r="D193" s="141" t="n"/>
      <c r="E193" s="141" t="n"/>
      <c r="F193" s="141" t="n"/>
      <c r="G193" s="141" t="n"/>
      <c r="H193" s="20" t="n">
        <v>0.01</v>
      </c>
      <c r="I193" s="20" t="n"/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  <c r="S193" s="141" t="n"/>
      <c r="T193" s="141" t="n"/>
      <c r="U193" s="141" t="n"/>
      <c r="V193" s="135" t="n"/>
      <c r="W193" s="135" t="n"/>
      <c r="X193" s="135" t="n"/>
      <c r="Y193" s="135" t="n"/>
      <c r="Z193" s="135" t="n"/>
      <c r="AA193" s="135" t="n"/>
      <c r="AB193" s="135" t="n"/>
      <c r="AC193" s="135" t="n">
        <v>1</v>
      </c>
      <c r="AD193" s="141" t="n"/>
      <c r="AE193" s="141" t="n"/>
    </row>
    <row r="194" ht="14.25" customHeight="1" s="142">
      <c r="A194" s="135" t="n">
        <v>8002</v>
      </c>
      <c r="B194" s="52" t="n"/>
      <c r="C194" s="143" t="inlineStr">
        <is>
          <t>全體上陣攻擊力+1%</t>
        </is>
      </c>
      <c r="D194" s="141" t="n"/>
      <c r="E194" s="141" t="n"/>
      <c r="F194" s="141" t="n"/>
      <c r="G194" s="141" t="n"/>
      <c r="H194" s="20" t="n">
        <v>0.01</v>
      </c>
      <c r="I194" s="141" t="n"/>
      <c r="J194" s="141" t="n"/>
      <c r="K194" s="141" t="n"/>
      <c r="L194" s="141" t="n"/>
      <c r="M194" s="141" t="n"/>
      <c r="N194" s="141" t="n"/>
      <c r="O194" s="141" t="n"/>
      <c r="P194" s="141" t="n"/>
      <c r="Q194" s="141" t="n"/>
      <c r="R194" s="141" t="n"/>
      <c r="S194" s="141" t="n"/>
      <c r="T194" s="141" t="n"/>
      <c r="U194" s="141" t="n"/>
      <c r="V194" s="135" t="n"/>
      <c r="W194" s="135" t="n"/>
      <c r="X194" s="135" t="n"/>
      <c r="Y194" s="135" t="n"/>
      <c r="Z194" s="135" t="n"/>
      <c r="AA194" s="135" t="n"/>
      <c r="AB194" s="135" t="n"/>
      <c r="AC194" s="135" t="n">
        <v>1</v>
      </c>
      <c r="AD194" s="141" t="n"/>
      <c r="AE194" s="141" t="n"/>
    </row>
    <row r="195" ht="14.25" customHeight="1" s="142">
      <c r="A195" s="135" t="n">
        <v>8003</v>
      </c>
      <c r="B195" s="52" t="n"/>
      <c r="C195" s="143" t="inlineStr">
        <is>
          <t>全體上陣攻擊力+1%</t>
        </is>
      </c>
      <c r="D195" s="141" t="n"/>
      <c r="E195" s="141" t="n"/>
      <c r="F195" s="141" t="n"/>
      <c r="G195" s="141" t="n"/>
      <c r="H195" s="20" t="n">
        <v>0.01</v>
      </c>
      <c r="I195" s="141" t="n"/>
      <c r="J195" s="141" t="n"/>
      <c r="K195" s="141" t="n"/>
      <c r="L195" s="141" t="n"/>
      <c r="M195" s="141" t="n"/>
      <c r="N195" s="141" t="n"/>
      <c r="O195" s="141" t="n"/>
      <c r="P195" s="141" t="n"/>
      <c r="Q195" s="141" t="n"/>
      <c r="R195" s="141" t="n"/>
      <c r="S195" s="141" t="n"/>
      <c r="T195" s="141" t="n"/>
      <c r="U195" s="141" t="n"/>
      <c r="V195" s="135" t="n"/>
      <c r="W195" s="135" t="n"/>
      <c r="X195" s="135" t="n"/>
      <c r="Y195" s="135" t="n"/>
      <c r="Z195" s="135" t="n"/>
      <c r="AA195" s="135" t="n"/>
      <c r="AB195" s="135" t="n"/>
      <c r="AC195" s="135" t="n">
        <v>1</v>
      </c>
      <c r="AD195" s="141" t="n"/>
      <c r="AE195" s="141" t="n"/>
    </row>
    <row r="196" ht="14.25" customHeight="1" s="142">
      <c r="A196" s="135" t="n">
        <v>8004</v>
      </c>
      <c r="B196" s="52" t="n"/>
      <c r="C196" s="143" t="inlineStr">
        <is>
          <t>全體上陣攻擊力+1%</t>
        </is>
      </c>
      <c r="D196" s="141" t="n"/>
      <c r="E196" s="141" t="n"/>
      <c r="F196" s="141" t="n"/>
      <c r="G196" s="141" t="n"/>
      <c r="H196" s="20" t="n">
        <v>0.01</v>
      </c>
      <c r="I196" s="141" t="n"/>
      <c r="J196" s="141" t="n"/>
      <c r="K196" s="141" t="n"/>
      <c r="L196" s="141" t="n"/>
      <c r="M196" s="141" t="n"/>
      <c r="N196" s="141" t="n"/>
      <c r="O196" s="141" t="n"/>
      <c r="P196" s="141" t="n"/>
      <c r="Q196" s="141" t="n"/>
      <c r="R196" s="141" t="n"/>
      <c r="S196" s="141" t="n"/>
      <c r="T196" s="141" t="n"/>
      <c r="U196" s="141" t="n"/>
      <c r="V196" s="135" t="n"/>
      <c r="W196" s="135" t="n"/>
      <c r="X196" s="135" t="n"/>
      <c r="Y196" s="135" t="n"/>
      <c r="Z196" s="135" t="n"/>
      <c r="AA196" s="135" t="n"/>
      <c r="AB196" s="135" t="n"/>
      <c r="AC196" s="135" t="n">
        <v>1</v>
      </c>
      <c r="AD196" s="141" t="n"/>
      <c r="AE196" s="141" t="n"/>
    </row>
    <row r="197" ht="14.25" customHeight="1" s="142">
      <c r="A197" s="135" t="n">
        <v>8005</v>
      </c>
      <c r="B197" s="52" t="n"/>
      <c r="C197" s="143" t="inlineStr">
        <is>
          <t>全體上陣攻擊力+1%</t>
        </is>
      </c>
      <c r="D197" s="141" t="n"/>
      <c r="E197" s="141" t="n"/>
      <c r="F197" s="141" t="n"/>
      <c r="G197" s="141" t="n"/>
      <c r="H197" s="20" t="n">
        <v>0.01</v>
      </c>
      <c r="I197" s="141" t="n"/>
      <c r="J197" s="141" t="n"/>
      <c r="K197" s="141" t="n"/>
      <c r="L197" s="141" t="n"/>
      <c r="M197" s="141" t="n"/>
      <c r="N197" s="141" t="n"/>
      <c r="O197" s="141" t="n"/>
      <c r="P197" s="141" t="n"/>
      <c r="Q197" s="141" t="n"/>
      <c r="R197" s="141" t="n"/>
      <c r="S197" s="141" t="n"/>
      <c r="T197" s="141" t="n"/>
      <c r="U197" s="141" t="n"/>
      <c r="V197" s="135" t="n"/>
      <c r="W197" s="135" t="n"/>
      <c r="X197" s="135" t="n"/>
      <c r="Y197" s="135" t="n"/>
      <c r="Z197" s="135" t="n"/>
      <c r="AA197" s="135" t="n"/>
      <c r="AB197" s="135" t="n"/>
      <c r="AC197" s="135" t="n">
        <v>1</v>
      </c>
      <c r="AD197" s="141" t="n"/>
      <c r="AE197" s="141" t="n"/>
    </row>
    <row r="198" ht="14.25" customHeight="1" s="142">
      <c r="A198" s="135" t="n">
        <v>8006</v>
      </c>
      <c r="B198" s="52" t="n"/>
      <c r="C198" s="143" t="inlineStr">
        <is>
          <t>全體上陣攻擊力+1%</t>
        </is>
      </c>
      <c r="D198" s="141" t="n"/>
      <c r="E198" s="141" t="n"/>
      <c r="F198" s="141" t="n"/>
      <c r="G198" s="141" t="n"/>
      <c r="H198" s="20" t="n">
        <v>0.01</v>
      </c>
      <c r="I198" s="141" t="n"/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  <c r="S198" s="141" t="n"/>
      <c r="T198" s="141" t="n"/>
      <c r="U198" s="141" t="n"/>
      <c r="V198" s="135" t="n"/>
      <c r="W198" s="135" t="n"/>
      <c r="X198" s="135" t="n"/>
      <c r="Y198" s="135" t="n"/>
      <c r="Z198" s="135" t="n"/>
      <c r="AA198" s="135" t="n"/>
      <c r="AB198" s="135" t="n"/>
      <c r="AC198" s="135" t="n">
        <v>1</v>
      </c>
      <c r="AD198" s="141" t="n"/>
      <c r="AE198" s="141" t="n"/>
    </row>
    <row r="199" ht="14.25" customHeight="1" s="142">
      <c r="A199" s="135" t="n">
        <v>8007</v>
      </c>
      <c r="B199" s="52" t="n"/>
      <c r="C199" s="143" t="inlineStr">
        <is>
          <t>全體上陣攻擊力+1%</t>
        </is>
      </c>
      <c r="D199" s="141" t="n"/>
      <c r="E199" s="141" t="n"/>
      <c r="F199" s="141" t="n"/>
      <c r="G199" s="141" t="n"/>
      <c r="H199" s="20" t="n">
        <v>0.01</v>
      </c>
      <c r="I199" s="141" t="n"/>
      <c r="J199" s="141" t="n"/>
      <c r="K199" s="141" t="n"/>
      <c r="L199" s="141" t="n"/>
      <c r="M199" s="141" t="n"/>
      <c r="N199" s="141" t="n"/>
      <c r="O199" s="141" t="n"/>
      <c r="P199" s="141" t="n"/>
      <c r="Q199" s="141" t="n"/>
      <c r="R199" s="141" t="n"/>
      <c r="S199" s="141" t="n"/>
      <c r="T199" s="141" t="n"/>
      <c r="U199" s="141" t="n"/>
      <c r="V199" s="135" t="n"/>
      <c r="W199" s="135" t="n"/>
      <c r="X199" s="135" t="n"/>
      <c r="Y199" s="135" t="n"/>
      <c r="Z199" s="135" t="n"/>
      <c r="AA199" s="135" t="n"/>
      <c r="AB199" s="135" t="n"/>
      <c r="AC199" s="135" t="n">
        <v>1</v>
      </c>
      <c r="AD199" s="141" t="n"/>
      <c r="AE199" s="141" t="n"/>
    </row>
    <row r="200" ht="14.25" customHeight="1" s="142">
      <c r="A200" s="135" t="n">
        <v>8008</v>
      </c>
      <c r="B200" s="52" t="n"/>
      <c r="C200" s="143" t="inlineStr">
        <is>
          <t>全體上陣攻擊力+1%</t>
        </is>
      </c>
      <c r="D200" s="141" t="n"/>
      <c r="E200" s="141" t="n"/>
      <c r="F200" s="141" t="n"/>
      <c r="G200" s="141" t="n"/>
      <c r="H200" s="20" t="n">
        <v>0.01</v>
      </c>
      <c r="I200" s="141" t="n"/>
      <c r="J200" s="141" t="n"/>
      <c r="K200" s="141" t="n"/>
      <c r="L200" s="141" t="n"/>
      <c r="M200" s="141" t="n"/>
      <c r="N200" s="141" t="n"/>
      <c r="O200" s="141" t="n"/>
      <c r="P200" s="141" t="n"/>
      <c r="Q200" s="141" t="n"/>
      <c r="R200" s="141" t="n"/>
      <c r="S200" s="141" t="n"/>
      <c r="T200" s="141" t="n"/>
      <c r="U200" s="141" t="n"/>
      <c r="V200" s="135" t="n"/>
      <c r="W200" s="135" t="n"/>
      <c r="X200" s="135" t="n"/>
      <c r="Y200" s="135" t="n"/>
      <c r="Z200" s="135" t="n"/>
      <c r="AA200" s="135" t="n"/>
      <c r="AB200" s="135" t="n"/>
      <c r="AC200" s="135" t="n">
        <v>1</v>
      </c>
      <c r="AD200" s="141" t="n"/>
      <c r="AE200" s="141" t="n"/>
    </row>
    <row r="201" ht="14.25" customHeight="1" s="142">
      <c r="A201" s="135" t="n">
        <v>8009</v>
      </c>
      <c r="B201" s="52" t="n"/>
      <c r="C201" s="143" t="inlineStr">
        <is>
          <t>全體上陣攻擊力+1%</t>
        </is>
      </c>
      <c r="D201" s="141" t="n"/>
      <c r="E201" s="141" t="n"/>
      <c r="F201" s="141" t="n"/>
      <c r="G201" s="141" t="n"/>
      <c r="H201" s="20" t="n">
        <v>0.01</v>
      </c>
      <c r="I201" s="141" t="n"/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  <c r="S201" s="141" t="n"/>
      <c r="T201" s="141" t="n"/>
      <c r="U201" s="141" t="n"/>
      <c r="V201" s="135" t="n"/>
      <c r="W201" s="135" t="n"/>
      <c r="X201" s="135" t="n"/>
      <c r="Y201" s="135" t="n"/>
      <c r="Z201" s="135" t="n"/>
      <c r="AA201" s="135" t="n"/>
      <c r="AB201" s="135" t="n"/>
      <c r="AC201" s="135" t="n">
        <v>1</v>
      </c>
      <c r="AD201" s="141" t="n"/>
      <c r="AE201" s="141" t="n"/>
    </row>
    <row r="202" ht="14.25" customHeight="1" s="142">
      <c r="A202" s="135" t="n">
        <v>8010</v>
      </c>
      <c r="B202" s="52" t="n"/>
      <c r="C202" s="143" t="inlineStr">
        <is>
          <t>全體上陣攻擊力+1%</t>
        </is>
      </c>
      <c r="D202" s="141" t="n"/>
      <c r="E202" s="141" t="n"/>
      <c r="F202" s="141" t="n"/>
      <c r="G202" s="141" t="n"/>
      <c r="H202" s="20" t="n">
        <v>0.01</v>
      </c>
      <c r="I202" s="141" t="n"/>
      <c r="J202" s="141" t="n"/>
      <c r="K202" s="141" t="n"/>
      <c r="L202" s="141" t="n"/>
      <c r="M202" s="141" t="n"/>
      <c r="N202" s="141" t="n"/>
      <c r="O202" s="141" t="n"/>
      <c r="P202" s="141" t="n"/>
      <c r="Q202" s="141" t="n"/>
      <c r="R202" s="141" t="n"/>
      <c r="S202" s="141" t="n"/>
      <c r="T202" s="141" t="n"/>
      <c r="U202" s="141" t="n"/>
      <c r="V202" s="135" t="n"/>
      <c r="W202" s="135" t="n"/>
      <c r="X202" s="135" t="n"/>
      <c r="Y202" s="135" t="n"/>
      <c r="Z202" s="135" t="n"/>
      <c r="AA202" s="135" t="n"/>
      <c r="AB202" s="135" t="n"/>
      <c r="AC202" s="135" t="n">
        <v>1</v>
      </c>
      <c r="AD202" s="141" t="n"/>
      <c r="AE202" s="141" t="n"/>
    </row>
    <row r="203" ht="16.5" customHeight="1" s="142">
      <c r="A203" s="135" t="n">
        <v>8011</v>
      </c>
      <c r="B203" s="52" t="n"/>
      <c r="C203" s="143" t="inlineStr">
        <is>
          <t>全體上陣攻擊力+1%</t>
        </is>
      </c>
      <c r="D203" s="141" t="n"/>
      <c r="E203" s="141" t="n"/>
      <c r="F203" s="141" t="n"/>
      <c r="G203" s="141" t="n"/>
      <c r="H203" s="20" t="n">
        <v>0.01</v>
      </c>
      <c r="I203" s="141" t="n"/>
      <c r="J203" s="141" t="n"/>
      <c r="K203" s="141" t="n"/>
      <c r="L203" s="141" t="n"/>
      <c r="M203" s="135" t="n"/>
      <c r="N203" s="141" t="n"/>
      <c r="O203" s="141" t="n"/>
      <c r="P203" s="141" t="n"/>
      <c r="Q203" s="141" t="n"/>
      <c r="R203" s="141" t="n"/>
      <c r="S203" s="141" t="n"/>
      <c r="T203" s="141" t="n"/>
      <c r="U203" s="141" t="n"/>
      <c r="V203" s="135" t="n"/>
      <c r="W203" s="135" t="n"/>
      <c r="X203" s="135" t="n"/>
      <c r="Y203" s="135" t="n"/>
      <c r="Z203" s="135" t="n"/>
      <c r="AA203" s="135" t="n"/>
      <c r="AB203" s="135" t="n"/>
      <c r="AC203" s="135" t="n">
        <v>1</v>
      </c>
      <c r="AD203" s="141" t="n"/>
      <c r="AE203" s="141" t="n"/>
    </row>
    <row r="204" ht="14.25" customHeight="1" s="142">
      <c r="A204" s="135" t="n">
        <v>8012</v>
      </c>
      <c r="B204" s="52" t="n"/>
      <c r="C204" s="143" t="inlineStr">
        <is>
          <t>全體上陣攻擊力+1%</t>
        </is>
      </c>
      <c r="D204" s="141" t="n"/>
      <c r="E204" s="141" t="n"/>
      <c r="F204" s="141" t="n"/>
      <c r="G204" s="141" t="n"/>
      <c r="H204" s="20" t="n">
        <v>0.01</v>
      </c>
      <c r="I204" s="141" t="n"/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  <c r="S204" s="141" t="n"/>
      <c r="T204" s="141" t="n"/>
      <c r="U204" s="141" t="n"/>
      <c r="V204" s="135" t="n"/>
      <c r="W204" s="135" t="n"/>
      <c r="X204" s="135" t="n"/>
      <c r="Y204" s="135" t="n"/>
      <c r="Z204" s="135" t="n"/>
      <c r="AA204" s="135" t="n"/>
      <c r="AB204" s="135" t="n"/>
      <c r="AC204" s="135" t="n">
        <v>1</v>
      </c>
      <c r="AD204" s="141" t="n"/>
      <c r="AE204" s="141" t="n"/>
    </row>
    <row r="205" ht="14.25" customHeight="1" s="142">
      <c r="A205" s="135" t="n">
        <v>8013</v>
      </c>
      <c r="B205" s="52" t="n"/>
      <c r="C205" s="143" t="inlineStr">
        <is>
          <t>全體上陣攻擊力+1%</t>
        </is>
      </c>
      <c r="D205" s="141" t="n"/>
      <c r="E205" s="141" t="n"/>
      <c r="F205" s="141" t="n"/>
      <c r="G205" s="141" t="n"/>
      <c r="H205" s="20" t="n">
        <v>0.01</v>
      </c>
      <c r="I205" s="141" t="n"/>
      <c r="J205" s="141" t="n"/>
      <c r="K205" s="141" t="n"/>
      <c r="L205" s="141" t="n"/>
      <c r="M205" s="141" t="n"/>
      <c r="N205" s="141" t="n"/>
      <c r="O205" s="141" t="n"/>
      <c r="P205" s="141" t="n"/>
      <c r="Q205" s="141" t="n"/>
      <c r="R205" s="141" t="n"/>
      <c r="S205" s="141" t="n"/>
      <c r="T205" s="141" t="n"/>
      <c r="U205" s="141" t="n"/>
      <c r="V205" s="135" t="n"/>
      <c r="W205" s="135" t="n"/>
      <c r="X205" s="135" t="n"/>
      <c r="Y205" s="135" t="n"/>
      <c r="Z205" s="135" t="n"/>
      <c r="AA205" s="135" t="n"/>
      <c r="AB205" s="135" t="n"/>
      <c r="AC205" s="135" t="n">
        <v>1</v>
      </c>
      <c r="AD205" s="141" t="n"/>
      <c r="AE205" s="141" t="n"/>
    </row>
    <row r="206" ht="14.25" customHeight="1" s="142">
      <c r="A206" s="135" t="n">
        <v>8014</v>
      </c>
      <c r="B206" s="52" t="n"/>
      <c r="C206" s="143" t="inlineStr">
        <is>
          <t>解鎖劍豪</t>
        </is>
      </c>
      <c r="D206" s="141" t="n"/>
      <c r="E206" s="141" t="n"/>
      <c r="F206" s="141" t="n"/>
      <c r="G206" s="141" t="n"/>
      <c r="H206" s="141" t="n"/>
      <c r="I206" s="141" t="n"/>
      <c r="J206" s="141" t="n"/>
      <c r="K206" s="141" t="n"/>
      <c r="L206" s="141" t="n"/>
      <c r="M206" s="141" t="n"/>
      <c r="N206" s="141" t="n"/>
      <c r="O206" s="141" t="n"/>
      <c r="P206" s="141" t="n"/>
      <c r="Q206" s="141" t="n"/>
      <c r="R206" s="141" t="n"/>
      <c r="S206" s="141" t="n"/>
      <c r="T206" s="141" t="n"/>
      <c r="U206" s="141" t="n"/>
      <c r="V206" s="135" t="n"/>
      <c r="W206" s="135" t="n"/>
      <c r="X206" s="135" t="n"/>
      <c r="Y206" s="135" t="n"/>
      <c r="Z206" s="135" t="n"/>
      <c r="AA206" s="135" t="n"/>
      <c r="AB206" s="135" t="n"/>
      <c r="AC206" s="135" t="n">
        <v>1</v>
      </c>
      <c r="AD206" s="141" t="n"/>
      <c r="AE206" s="141" t="n"/>
    </row>
    <row r="207" ht="14.25" customHeight="1" s="142">
      <c r="A207" s="135" t="n">
        <v>8015</v>
      </c>
      <c r="B207" s="52" t="n"/>
      <c r="C207" s="143" t="inlineStr">
        <is>
          <t>全體上陣攻擊力+1%</t>
        </is>
      </c>
      <c r="D207" s="141" t="n"/>
      <c r="E207" s="141" t="n"/>
      <c r="F207" s="141" t="n"/>
      <c r="G207" s="141" t="n"/>
      <c r="H207" s="20" t="n">
        <v>0.01</v>
      </c>
      <c r="I207" s="141" t="n"/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  <c r="S207" s="141" t="n"/>
      <c r="T207" s="141" t="n"/>
      <c r="U207" s="141" t="n"/>
      <c r="V207" s="135" t="n"/>
      <c r="W207" s="135" t="n"/>
      <c r="X207" s="135" t="n"/>
      <c r="Y207" s="135" t="n"/>
      <c r="Z207" s="135" t="n"/>
      <c r="AA207" s="135" t="n"/>
      <c r="AB207" s="135" t="n"/>
      <c r="AC207" s="135" t="n">
        <v>1</v>
      </c>
      <c r="AD207" s="141" t="n"/>
      <c r="AE207" s="141" t="n"/>
    </row>
    <row r="208" ht="14.25" customHeight="1" s="142">
      <c r="A208" s="135" t="n">
        <v>8016</v>
      </c>
      <c r="B208" s="52" t="n"/>
      <c r="C208" s="143" t="inlineStr">
        <is>
          <t>全體上陣攻擊力+1%</t>
        </is>
      </c>
      <c r="D208" s="141" t="n"/>
      <c r="E208" s="141" t="n"/>
      <c r="F208" s="141" t="n"/>
      <c r="G208" s="141" t="n"/>
      <c r="H208" s="20" t="n">
        <v>0.01</v>
      </c>
      <c r="I208" s="141" t="n"/>
      <c r="J208" s="141" t="n"/>
      <c r="K208" s="141" t="n"/>
      <c r="L208" s="141" t="n"/>
      <c r="M208" s="141" t="n"/>
      <c r="N208" s="141" t="n"/>
      <c r="O208" s="141" t="n"/>
      <c r="P208" s="141" t="n"/>
      <c r="Q208" s="141" t="n"/>
      <c r="R208" s="141" t="n"/>
      <c r="S208" s="141" t="n"/>
      <c r="T208" s="141" t="n"/>
      <c r="U208" s="141" t="n"/>
      <c r="V208" s="135" t="n"/>
      <c r="W208" s="135" t="n"/>
      <c r="X208" s="135" t="n"/>
      <c r="Y208" s="135" t="n"/>
      <c r="Z208" s="135" t="n"/>
      <c r="AA208" s="135" t="n"/>
      <c r="AB208" s="135" t="n"/>
      <c r="AC208" s="135" t="n">
        <v>1</v>
      </c>
      <c r="AD208" s="141" t="n"/>
      <c r="AE208" s="141" t="n"/>
    </row>
    <row r="209" ht="14.25" customHeight="1" s="142">
      <c r="A209" s="135" t="n">
        <v>8017</v>
      </c>
      <c r="B209" s="52" t="n"/>
      <c r="C209" s="143" t="inlineStr">
        <is>
          <t>全體上陣攻擊力+1%</t>
        </is>
      </c>
      <c r="D209" s="141" t="n"/>
      <c r="E209" s="141" t="n"/>
      <c r="F209" s="141" t="n"/>
      <c r="G209" s="141" t="n"/>
      <c r="H209" s="20" t="n">
        <v>0.01</v>
      </c>
      <c r="I209" s="141" t="n"/>
      <c r="J209" s="141" t="n"/>
      <c r="K209" s="141" t="n"/>
      <c r="L209" s="141" t="n"/>
      <c r="M209" s="141" t="n"/>
      <c r="N209" s="141" t="n"/>
      <c r="O209" s="141" t="n"/>
      <c r="P209" s="141" t="n"/>
      <c r="Q209" s="141" t="n"/>
      <c r="R209" s="141" t="n"/>
      <c r="S209" s="141" t="n"/>
      <c r="T209" s="141" t="n"/>
      <c r="U209" s="141" t="n"/>
      <c r="V209" s="135" t="n"/>
      <c r="W209" s="135" t="n"/>
      <c r="X209" s="135" t="n"/>
      <c r="Y209" s="135" t="n"/>
      <c r="Z209" s="135" t="n"/>
      <c r="AA209" s="135" t="n"/>
      <c r="AB209" s="135" t="n"/>
      <c r="AC209" s="135" t="n">
        <v>1</v>
      </c>
      <c r="AD209" s="141" t="n"/>
      <c r="AE209" s="141" t="n"/>
    </row>
    <row r="210" ht="14.25" customHeight="1" s="142">
      <c r="A210" s="135" t="n">
        <v>8018</v>
      </c>
      <c r="B210" s="52" t="n"/>
      <c r="C210" s="143" t="inlineStr">
        <is>
          <t>全體上陣攻擊力+1%</t>
        </is>
      </c>
      <c r="D210" s="141" t="n"/>
      <c r="E210" s="141" t="n"/>
      <c r="F210" s="141" t="n"/>
      <c r="G210" s="141" t="n"/>
      <c r="H210" s="20" t="n">
        <v>0.01</v>
      </c>
      <c r="I210" s="141" t="n"/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  <c r="S210" s="141" t="n"/>
      <c r="T210" s="141" t="n"/>
      <c r="U210" s="141" t="n"/>
      <c r="V210" s="135" t="n"/>
      <c r="W210" s="135" t="n"/>
      <c r="X210" s="135" t="n"/>
      <c r="Y210" s="135" t="n"/>
      <c r="Z210" s="135" t="n"/>
      <c r="AA210" s="135" t="n"/>
      <c r="AB210" s="135" t="n"/>
      <c r="AC210" s="135" t="n">
        <v>1</v>
      </c>
      <c r="AD210" s="141" t="n"/>
      <c r="AE210" s="141" t="n"/>
    </row>
    <row r="211" ht="14.25" customHeight="1" s="142">
      <c r="A211" s="135" t="n">
        <v>8019</v>
      </c>
      <c r="B211" s="52" t="n"/>
      <c r="C211" s="143" t="inlineStr">
        <is>
          <t>全體上陣攻擊力+1%</t>
        </is>
      </c>
      <c r="D211" s="141" t="n"/>
      <c r="E211" s="141" t="n"/>
      <c r="F211" s="141" t="n"/>
      <c r="G211" s="141" t="n"/>
      <c r="H211" s="20" t="n">
        <v>0.01</v>
      </c>
      <c r="I211" s="141" t="n"/>
      <c r="J211" s="141" t="n"/>
      <c r="K211" s="141" t="n"/>
      <c r="L211" s="141" t="n"/>
      <c r="M211" s="141" t="n"/>
      <c r="N211" s="141" t="n"/>
      <c r="O211" s="141" t="n"/>
      <c r="P211" s="141" t="n"/>
      <c r="Q211" s="141" t="n"/>
      <c r="R211" s="141" t="n"/>
      <c r="S211" s="141" t="n"/>
      <c r="T211" s="141" t="n"/>
      <c r="U211" s="141" t="n"/>
      <c r="V211" s="135" t="n"/>
      <c r="W211" s="135" t="n"/>
      <c r="X211" s="135" t="n"/>
      <c r="Y211" s="135" t="n"/>
      <c r="Z211" s="135" t="n"/>
      <c r="AA211" s="135" t="n"/>
      <c r="AB211" s="135" t="n"/>
      <c r="AC211" s="135" t="n">
        <v>1</v>
      </c>
      <c r="AD211" s="141" t="n"/>
      <c r="AE211" s="141" t="n"/>
    </row>
    <row r="212" ht="14.25" customHeight="1" s="142">
      <c r="A212" s="135" t="n">
        <v>8020</v>
      </c>
      <c r="B212" s="52" t="n"/>
      <c r="C212" s="143" t="inlineStr">
        <is>
          <t>全體上陣攻擊力+1%</t>
        </is>
      </c>
      <c r="D212" s="141" t="n"/>
      <c r="E212" s="141" t="n"/>
      <c r="F212" s="141" t="n"/>
      <c r="G212" s="141" t="n"/>
      <c r="H212" s="20" t="n">
        <v>0.01</v>
      </c>
      <c r="I212" s="141" t="n"/>
      <c r="J212" s="141" t="n"/>
      <c r="K212" s="141" t="n"/>
      <c r="L212" s="141" t="n"/>
      <c r="M212" s="141" t="n"/>
      <c r="N212" s="141" t="n"/>
      <c r="O212" s="141" t="n"/>
      <c r="P212" s="141" t="n"/>
      <c r="Q212" s="141" t="n"/>
      <c r="R212" s="141" t="n"/>
      <c r="S212" s="141" t="n"/>
      <c r="T212" s="141" t="n"/>
      <c r="U212" s="141" t="n"/>
      <c r="V212" s="135" t="n"/>
      <c r="W212" s="135" t="n"/>
      <c r="X212" s="135" t="n"/>
      <c r="Y212" s="135" t="n"/>
      <c r="Z212" s="135" t="n"/>
      <c r="AA212" s="135" t="n"/>
      <c r="AB212" s="135" t="n"/>
      <c r="AC212" s="135" t="n">
        <v>1</v>
      </c>
      <c r="AD212" s="141" t="n"/>
      <c r="AE212" s="141" t="n"/>
    </row>
    <row r="213" ht="14.25" customHeight="1" s="142">
      <c r="A213" s="135" t="n">
        <v>8021</v>
      </c>
      <c r="B213" s="52" t="n"/>
      <c r="C213" s="143" t="inlineStr">
        <is>
          <t>全體上陣攻擊力+1%</t>
        </is>
      </c>
      <c r="D213" s="141" t="n"/>
      <c r="E213" s="141" t="n"/>
      <c r="F213" s="141" t="n"/>
      <c r="G213" s="141" t="n"/>
      <c r="H213" s="20" t="n">
        <v>0.01</v>
      </c>
      <c r="I213" s="141" t="n"/>
      <c r="J213" s="141" t="n"/>
      <c r="K213" s="141" t="n"/>
      <c r="L213" s="141" t="n"/>
      <c r="M213" s="141" t="n"/>
      <c r="N213" s="141" t="n"/>
      <c r="O213" s="141" t="n"/>
      <c r="P213" s="141" t="n"/>
      <c r="Q213" s="141" t="n"/>
      <c r="R213" s="141" t="n"/>
      <c r="S213" s="141" t="n"/>
      <c r="T213" s="141" t="n"/>
      <c r="U213" s="141" t="n"/>
      <c r="V213" s="135" t="n"/>
      <c r="W213" s="135" t="n"/>
      <c r="X213" s="135" t="n"/>
      <c r="Y213" s="135" t="n"/>
      <c r="Z213" s="135" t="n"/>
      <c r="AA213" s="135" t="n"/>
      <c r="AB213" s="135" t="n"/>
      <c r="AC213" s="135" t="n">
        <v>1</v>
      </c>
      <c r="AD213" s="141" t="n"/>
      <c r="AE213" s="141" t="n"/>
    </row>
    <row r="214" ht="14.25" customHeight="1" s="142">
      <c r="A214" s="135" t="n">
        <v>8022</v>
      </c>
      <c r="B214" s="52" t="n"/>
      <c r="C214" s="143" t="inlineStr">
        <is>
          <t>全體上陣攻擊力+1%</t>
        </is>
      </c>
      <c r="D214" s="141" t="n"/>
      <c r="E214" s="141" t="n"/>
      <c r="F214" s="141" t="n"/>
      <c r="G214" s="141" t="n"/>
      <c r="H214" s="20" t="n">
        <v>0.01</v>
      </c>
      <c r="I214" s="141" t="n"/>
      <c r="J214" s="141" t="n"/>
      <c r="K214" s="141" t="n"/>
      <c r="L214" s="141" t="n"/>
      <c r="M214" s="135" t="n"/>
      <c r="N214" s="141" t="n"/>
      <c r="O214" s="141" t="n"/>
      <c r="P214" s="141" t="n"/>
      <c r="Q214" s="141" t="n"/>
      <c r="R214" s="141" t="n"/>
      <c r="S214" s="141" t="n"/>
      <c r="T214" s="141" t="n"/>
      <c r="U214" s="141" t="n"/>
      <c r="V214" s="135" t="n"/>
      <c r="W214" s="135" t="n"/>
      <c r="X214" s="135" t="n"/>
      <c r="Y214" s="135" t="n"/>
      <c r="Z214" s="135" t="n"/>
      <c r="AA214" s="135" t="n"/>
      <c r="AB214" s="135" t="n"/>
      <c r="AC214" s="135" t="n">
        <v>1</v>
      </c>
      <c r="AD214" s="141" t="n"/>
      <c r="AE214" s="141" t="n"/>
    </row>
    <row r="215" ht="14.25" customHeight="1" s="142">
      <c r="A215" s="135" t="n">
        <v>8023</v>
      </c>
      <c r="B215" s="52" t="n"/>
      <c r="C215" s="143" t="inlineStr">
        <is>
          <t>全體上陣攻擊力+1%</t>
        </is>
      </c>
      <c r="D215" s="141" t="n"/>
      <c r="E215" s="141" t="n"/>
      <c r="F215" s="141" t="n"/>
      <c r="G215" s="141" t="n"/>
      <c r="H215" s="20" t="n">
        <v>0.01</v>
      </c>
      <c r="I215" s="141" t="n"/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  <c r="S215" s="141" t="n"/>
      <c r="T215" s="141" t="n"/>
      <c r="U215" s="141" t="n"/>
      <c r="V215" s="135" t="n"/>
      <c r="W215" s="135" t="n"/>
      <c r="X215" s="135" t="n"/>
      <c r="Y215" s="135" t="n"/>
      <c r="Z215" s="135" t="n"/>
      <c r="AA215" s="135" t="n"/>
      <c r="AB215" s="135" t="n"/>
      <c r="AC215" s="135" t="n">
        <v>1</v>
      </c>
      <c r="AD215" s="141" t="n"/>
      <c r="AE215" s="141" t="n"/>
    </row>
    <row r="216" ht="14.25" customHeight="1" s="142">
      <c r="A216" s="135" t="n">
        <v>8024</v>
      </c>
      <c r="B216" s="52" t="n"/>
      <c r="C216" s="143" t="inlineStr">
        <is>
          <t>全體上陣攻擊力+1%</t>
        </is>
      </c>
      <c r="D216" s="141" t="n"/>
      <c r="E216" s="141" t="n"/>
      <c r="F216" s="141" t="n"/>
      <c r="G216" s="141" t="n"/>
      <c r="H216" s="20" t="n">
        <v>0.01</v>
      </c>
      <c r="I216" s="141" t="n"/>
      <c r="J216" s="141" t="n"/>
      <c r="K216" s="141" t="n"/>
      <c r="L216" s="141" t="n"/>
      <c r="M216" s="141" t="n"/>
      <c r="N216" s="141" t="n"/>
      <c r="O216" s="141" t="n"/>
      <c r="P216" s="141" t="n"/>
      <c r="Q216" s="141" t="n"/>
      <c r="R216" s="141" t="n"/>
      <c r="S216" s="141" t="n"/>
      <c r="T216" s="141" t="n"/>
      <c r="U216" s="141" t="n"/>
      <c r="V216" s="135" t="n"/>
      <c r="W216" s="135" t="n"/>
      <c r="X216" s="135" t="n"/>
      <c r="Y216" s="135" t="n"/>
      <c r="Z216" s="135" t="n"/>
      <c r="AA216" s="135" t="n"/>
      <c r="AB216" s="135" t="n"/>
      <c r="AC216" s="135" t="n">
        <v>1</v>
      </c>
      <c r="AD216" s="141" t="n"/>
      <c r="AE216" s="141" t="n"/>
    </row>
    <row r="217" ht="14.25" customHeight="1" s="142">
      <c r="A217" s="135" t="n">
        <v>8025</v>
      </c>
      <c r="B217" s="52" t="n"/>
      <c r="C217" s="143" t="inlineStr">
        <is>
          <t>全體上陣攻擊力+1%</t>
        </is>
      </c>
      <c r="D217" s="141" t="n"/>
      <c r="E217" s="141" t="n"/>
      <c r="F217" s="141" t="n"/>
      <c r="G217" s="141" t="n"/>
      <c r="H217" s="20" t="n">
        <v>0.01</v>
      </c>
      <c r="I217" s="141" t="n"/>
      <c r="J217" s="141" t="n"/>
      <c r="K217" s="141" t="n"/>
      <c r="L217" s="141" t="n"/>
      <c r="M217" s="141" t="n"/>
      <c r="N217" s="141" t="n"/>
      <c r="O217" s="141" t="n"/>
      <c r="P217" s="141" t="n"/>
      <c r="Q217" s="141" t="n"/>
      <c r="R217" s="141" t="n"/>
      <c r="S217" s="141" t="n"/>
      <c r="T217" s="141" t="n"/>
      <c r="U217" s="141" t="n"/>
      <c r="V217" s="135" t="n"/>
      <c r="W217" s="135" t="n"/>
      <c r="X217" s="135" t="n"/>
      <c r="Y217" s="135" t="n"/>
      <c r="Z217" s="135" t="n"/>
      <c r="AA217" s="135" t="n"/>
      <c r="AB217" s="135" t="n"/>
      <c r="AC217" s="135" t="n">
        <v>1</v>
      </c>
      <c r="AD217" s="141" t="n"/>
      <c r="AE217" s="141" t="n"/>
    </row>
    <row r="218" ht="14.25" customHeight="1" s="142">
      <c r="A218" s="135" t="n">
        <v>8026</v>
      </c>
      <c r="B218" s="52" t="n"/>
      <c r="C218" s="143" t="inlineStr">
        <is>
          <t>全體上陣攻擊力+1%</t>
        </is>
      </c>
      <c r="D218" s="141" t="n"/>
      <c r="E218" s="141" t="n"/>
      <c r="F218" s="141" t="n"/>
      <c r="G218" s="141" t="n"/>
      <c r="H218" s="20" t="n">
        <v>0.01</v>
      </c>
      <c r="I218" s="141" t="n"/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  <c r="S218" s="141" t="n"/>
      <c r="T218" s="141" t="n"/>
      <c r="U218" s="141" t="n"/>
      <c r="V218" s="135" t="n"/>
      <c r="W218" s="135" t="n"/>
      <c r="X218" s="135" t="n"/>
      <c r="Y218" s="135" t="n"/>
      <c r="Z218" s="135" t="n"/>
      <c r="AA218" s="135" t="n"/>
      <c r="AB218" s="135" t="n"/>
      <c r="AC218" s="135" t="n">
        <v>1</v>
      </c>
      <c r="AD218" s="141" t="n"/>
      <c r="AE218" s="141" t="n"/>
    </row>
    <row r="219" ht="14.25" customHeight="1" s="142">
      <c r="A219" s="135" t="n">
        <v>8027</v>
      </c>
      <c r="B219" s="52" t="n"/>
      <c r="C219" s="143" t="inlineStr">
        <is>
          <t>全體上陣攻擊力+1%</t>
        </is>
      </c>
      <c r="D219" s="141" t="n"/>
      <c r="E219" s="141" t="n"/>
      <c r="F219" s="141" t="n"/>
      <c r="G219" s="141" t="n"/>
      <c r="H219" s="20" t="n">
        <v>0.01</v>
      </c>
      <c r="I219" s="141" t="n"/>
      <c r="J219" s="141" t="n"/>
      <c r="K219" s="141" t="n"/>
      <c r="L219" s="141" t="n"/>
      <c r="M219" s="141" t="n"/>
      <c r="N219" s="141" t="n"/>
      <c r="O219" s="141" t="n"/>
      <c r="P219" s="141" t="n"/>
      <c r="Q219" s="141" t="n"/>
      <c r="R219" s="141" t="n"/>
      <c r="S219" s="141" t="n"/>
      <c r="T219" s="141" t="n"/>
      <c r="U219" s="141" t="n"/>
      <c r="V219" s="135" t="n"/>
      <c r="W219" s="135" t="n"/>
      <c r="X219" s="135" t="n"/>
      <c r="Y219" s="135" t="n"/>
      <c r="Z219" s="135" t="n"/>
      <c r="AA219" s="135" t="n"/>
      <c r="AB219" s="135" t="n"/>
      <c r="AC219" s="135" t="n">
        <v>1</v>
      </c>
      <c r="AD219" s="141" t="n"/>
      <c r="AE219" s="141" t="n"/>
    </row>
    <row r="220" ht="14.25" customHeight="1" s="142">
      <c r="A220" s="135" t="n">
        <v>8028</v>
      </c>
      <c r="B220" s="52" t="n"/>
      <c r="C220" s="143" t="inlineStr">
        <is>
          <t>全體上陣攻擊力+1%</t>
        </is>
      </c>
      <c r="D220" s="141" t="n"/>
      <c r="E220" s="141" t="n"/>
      <c r="F220" s="141" t="n"/>
      <c r="G220" s="141" t="n"/>
      <c r="H220" s="20" t="n">
        <v>0.01</v>
      </c>
      <c r="I220" s="141" t="n"/>
      <c r="J220" s="141" t="n"/>
      <c r="K220" s="141" t="n"/>
      <c r="L220" s="141" t="n"/>
      <c r="M220" s="141" t="n"/>
      <c r="N220" s="141" t="n"/>
      <c r="O220" s="141" t="n"/>
      <c r="P220" s="141" t="n"/>
      <c r="Q220" s="141" t="n"/>
      <c r="R220" s="141" t="n"/>
      <c r="S220" s="141" t="n"/>
      <c r="T220" s="141" t="n"/>
      <c r="U220" s="141" t="n"/>
      <c r="V220" s="135" t="n"/>
      <c r="W220" s="135" t="n"/>
      <c r="X220" s="135" t="n"/>
      <c r="Y220" s="135" t="n"/>
      <c r="Z220" s="135" t="n"/>
      <c r="AA220" s="135" t="n"/>
      <c r="AB220" s="135" t="n"/>
      <c r="AC220" s="135" t="n">
        <v>1</v>
      </c>
      <c r="AD220" s="141" t="n"/>
      <c r="AE220" s="141" t="n"/>
    </row>
    <row r="221" ht="14.25" customHeight="1" s="142">
      <c r="A221" s="135" t="n">
        <v>8029</v>
      </c>
      <c r="B221" s="52" t="n"/>
      <c r="C221" s="143" t="inlineStr">
        <is>
          <t>解鎖狂戰士</t>
        </is>
      </c>
      <c r="D221" s="141" t="n"/>
      <c r="E221" s="141" t="n"/>
      <c r="F221" s="141" t="n"/>
      <c r="G221" s="141" t="n"/>
      <c r="H221" s="141" t="n"/>
      <c r="I221" s="141" t="n"/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  <c r="S221" s="141" t="n"/>
      <c r="T221" s="141" t="n"/>
      <c r="U221" s="141" t="n"/>
      <c r="V221" s="135" t="n"/>
      <c r="W221" s="135" t="n"/>
      <c r="X221" s="135" t="n"/>
      <c r="Y221" s="135" t="n"/>
      <c r="Z221" s="135" t="n"/>
      <c r="AA221" s="135" t="n"/>
      <c r="AB221" s="135" t="n"/>
      <c r="AC221" s="135" t="n">
        <v>1</v>
      </c>
      <c r="AD221" s="141" t="n"/>
      <c r="AE221" s="141" t="n"/>
    </row>
    <row r="222" ht="14.25" customHeight="1" s="142">
      <c r="A222" s="135" t="n">
        <v>8030</v>
      </c>
      <c r="B222" s="52" t="n"/>
      <c r="C222" s="143" t="inlineStr">
        <is>
          <t>全體上陣攻擊力+1%</t>
        </is>
      </c>
      <c r="D222" s="141" t="n"/>
      <c r="E222" s="141" t="n"/>
      <c r="F222" s="141" t="n"/>
      <c r="G222" s="141" t="n"/>
      <c r="H222" s="20" t="n">
        <v>0.01</v>
      </c>
      <c r="I222" s="141" t="n"/>
      <c r="J222" s="141" t="n"/>
      <c r="K222" s="141" t="n"/>
      <c r="L222" s="141" t="n"/>
      <c r="M222" s="141" t="n"/>
      <c r="N222" s="141" t="n"/>
      <c r="O222" s="141" t="n"/>
      <c r="P222" s="141" t="n"/>
      <c r="Q222" s="141" t="n"/>
      <c r="R222" s="141" t="n"/>
      <c r="S222" s="141" t="n"/>
      <c r="T222" s="141" t="n"/>
      <c r="U222" s="141" t="n"/>
      <c r="V222" s="135" t="n"/>
      <c r="W222" s="135" t="n"/>
      <c r="X222" s="135" t="n"/>
      <c r="Y222" s="135" t="n"/>
      <c r="Z222" s="135" t="n"/>
      <c r="AA222" s="135" t="n"/>
      <c r="AB222" s="135" t="n"/>
      <c r="AC222" s="135" t="n">
        <v>1</v>
      </c>
      <c r="AD222" s="141" t="n"/>
      <c r="AE222" s="141" t="n"/>
    </row>
    <row r="223" ht="14.25" customHeight="1" s="142">
      <c r="A223" s="135" t="n">
        <v>8031</v>
      </c>
      <c r="B223" s="52" t="n"/>
      <c r="C223" s="143" t="inlineStr">
        <is>
          <t>全體上陣攻擊力+1%</t>
        </is>
      </c>
      <c r="D223" s="141" t="n"/>
      <c r="E223" s="141" t="n"/>
      <c r="F223" s="141" t="n"/>
      <c r="G223" s="141" t="n"/>
      <c r="H223" s="20" t="n">
        <v>0.01</v>
      </c>
      <c r="I223" s="141" t="n"/>
      <c r="J223" s="141" t="n"/>
      <c r="K223" s="141" t="n"/>
      <c r="L223" s="141" t="n"/>
      <c r="M223" s="141" t="n"/>
      <c r="N223" s="141" t="n"/>
      <c r="O223" s="141" t="n"/>
      <c r="P223" s="141" t="n"/>
      <c r="Q223" s="141" t="n"/>
      <c r="R223" s="141" t="n"/>
      <c r="S223" s="141" t="n"/>
      <c r="T223" s="141" t="n"/>
      <c r="U223" s="141" t="n"/>
      <c r="V223" s="135" t="n"/>
      <c r="W223" s="135" t="n"/>
      <c r="X223" s="135" t="n"/>
      <c r="Y223" s="135" t="n"/>
      <c r="Z223" s="135" t="n"/>
      <c r="AA223" s="135" t="n"/>
      <c r="AB223" s="135" t="n"/>
      <c r="AC223" s="135" t="n">
        <v>1</v>
      </c>
      <c r="AD223" s="141" t="n"/>
      <c r="AE223" s="141" t="n"/>
    </row>
    <row r="224" ht="14.25" customHeight="1" s="142">
      <c r="A224" s="135" t="n">
        <v>8032</v>
      </c>
      <c r="B224" s="52" t="n"/>
      <c r="C224" s="143" t="inlineStr">
        <is>
          <t>全體上陣攻擊力+1%</t>
        </is>
      </c>
      <c r="D224" s="141" t="n"/>
      <c r="E224" s="141" t="n"/>
      <c r="F224" s="141" t="n"/>
      <c r="G224" s="141" t="n"/>
      <c r="H224" s="20" t="n">
        <v>0.01</v>
      </c>
      <c r="I224" s="141" t="n"/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  <c r="S224" s="141" t="n"/>
      <c r="T224" s="141" t="n"/>
      <c r="U224" s="141" t="n"/>
      <c r="V224" s="135" t="n"/>
      <c r="W224" s="135" t="n"/>
      <c r="X224" s="135" t="n"/>
      <c r="Y224" s="135" t="n"/>
      <c r="Z224" s="135" t="n"/>
      <c r="AA224" s="135" t="n"/>
      <c r="AB224" s="135" t="n"/>
      <c r="AC224" s="135" t="n">
        <v>1</v>
      </c>
      <c r="AD224" s="141" t="n"/>
      <c r="AE224" s="141" t="n"/>
    </row>
    <row r="225" ht="14.25" customHeight="1" s="142">
      <c r="A225" s="135" t="n">
        <v>8033</v>
      </c>
      <c r="B225" s="52" t="n"/>
      <c r="C225" s="143" t="inlineStr">
        <is>
          <t>全體上陣攻擊力+1%</t>
        </is>
      </c>
      <c r="D225" s="141" t="n"/>
      <c r="E225" s="141" t="n"/>
      <c r="F225" s="141" t="n"/>
      <c r="G225" s="141" t="n"/>
      <c r="H225" s="20" t="n">
        <v>0.01</v>
      </c>
      <c r="I225" s="141" t="n"/>
      <c r="J225" s="141" t="n"/>
      <c r="K225" s="141" t="n"/>
      <c r="L225" s="141" t="n"/>
      <c r="M225" s="141" t="n"/>
      <c r="N225" s="141" t="n"/>
      <c r="O225" s="141" t="n"/>
      <c r="P225" s="141" t="n"/>
      <c r="Q225" s="141" t="n"/>
      <c r="R225" s="141" t="n"/>
      <c r="S225" s="141" t="n"/>
      <c r="T225" s="141" t="n"/>
      <c r="U225" s="141" t="n"/>
      <c r="V225" s="135" t="n"/>
      <c r="W225" s="135" t="n"/>
      <c r="X225" s="135" t="n"/>
      <c r="Y225" s="135" t="n"/>
      <c r="Z225" s="135" t="n"/>
      <c r="AA225" s="135" t="n"/>
      <c r="AB225" s="135" t="n"/>
      <c r="AC225" s="135" t="n">
        <v>1</v>
      </c>
      <c r="AD225" s="141" t="n"/>
      <c r="AE225" s="141" t="n"/>
    </row>
    <row r="226" ht="14.25" customHeight="1" s="142">
      <c r="A226" s="135" t="n">
        <v>8034</v>
      </c>
      <c r="B226" s="52" t="n"/>
      <c r="C226" s="143" t="inlineStr">
        <is>
          <t>全體上陣攻擊力+1%</t>
        </is>
      </c>
      <c r="D226" s="141" t="n"/>
      <c r="E226" s="141" t="n"/>
      <c r="F226" s="141" t="n"/>
      <c r="G226" s="141" t="n"/>
      <c r="H226" s="20" t="n">
        <v>0.01</v>
      </c>
      <c r="I226" s="141" t="n"/>
      <c r="J226" s="141" t="n"/>
      <c r="K226" s="141" t="n"/>
      <c r="L226" s="141" t="n"/>
      <c r="M226" s="141" t="n"/>
      <c r="N226" s="141" t="n"/>
      <c r="O226" s="141" t="n"/>
      <c r="P226" s="141" t="n"/>
      <c r="Q226" s="141" t="n"/>
      <c r="R226" s="141" t="n"/>
      <c r="S226" s="141" t="n"/>
      <c r="T226" s="141" t="n"/>
      <c r="U226" s="141" t="n"/>
      <c r="V226" s="135" t="n"/>
      <c r="W226" s="135" t="n"/>
      <c r="X226" s="135" t="n"/>
      <c r="Y226" s="135" t="n"/>
      <c r="Z226" s="135" t="n"/>
      <c r="AA226" s="135" t="n"/>
      <c r="AB226" s="135" t="n"/>
      <c r="AC226" s="135" t="n">
        <v>1</v>
      </c>
      <c r="AD226" s="141" t="n"/>
      <c r="AE226" s="141" t="n"/>
    </row>
    <row r="227" ht="14.25" customHeight="1" s="142">
      <c r="A227" s="135" t="n">
        <v>8035</v>
      </c>
      <c r="B227" s="52" t="n"/>
      <c r="C227" s="143" t="inlineStr">
        <is>
          <t>全體上陣攻擊力+1%</t>
        </is>
      </c>
      <c r="D227" s="141" t="n"/>
      <c r="E227" s="141" t="n"/>
      <c r="F227" s="141" t="n"/>
      <c r="G227" s="141" t="n"/>
      <c r="H227" s="20" t="n">
        <v>0.01</v>
      </c>
      <c r="I227" s="141" t="n"/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  <c r="S227" s="141" t="n"/>
      <c r="T227" s="141" t="n"/>
      <c r="U227" s="141" t="n"/>
      <c r="V227" s="135" t="n"/>
      <c r="W227" s="135" t="n"/>
      <c r="X227" s="135" t="n"/>
      <c r="Y227" s="135" t="n"/>
      <c r="Z227" s="135" t="n"/>
      <c r="AA227" s="135" t="n"/>
      <c r="AB227" s="135" t="n"/>
      <c r="AC227" s="135" t="n">
        <v>1</v>
      </c>
      <c r="AD227" s="141" t="n"/>
      <c r="AE227" s="141" t="n"/>
    </row>
    <row r="228" ht="14.25" customHeight="1" s="142">
      <c r="A228" s="135" t="n">
        <v>8036</v>
      </c>
      <c r="B228" s="52" t="n"/>
      <c r="C228" s="143" t="inlineStr">
        <is>
          <t>全體上陣攻擊力+1%</t>
        </is>
      </c>
      <c r="D228" s="141" t="n"/>
      <c r="E228" s="141" t="n"/>
      <c r="F228" s="141" t="n"/>
      <c r="G228" s="141" t="n"/>
      <c r="H228" s="20" t="n">
        <v>0.01</v>
      </c>
      <c r="I228" s="141" t="n"/>
      <c r="J228" s="141" t="n"/>
      <c r="K228" s="141" t="n"/>
      <c r="L228" s="141" t="n"/>
      <c r="M228" s="141" t="n"/>
      <c r="N228" s="141" t="n"/>
      <c r="O228" s="141" t="n"/>
      <c r="P228" s="141" t="n"/>
      <c r="Q228" s="141" t="n"/>
      <c r="R228" s="141" t="n"/>
      <c r="S228" s="141" t="n"/>
      <c r="T228" s="141" t="n"/>
      <c r="U228" s="141" t="n"/>
      <c r="V228" s="135" t="n"/>
      <c r="W228" s="135" t="n"/>
      <c r="X228" s="135" t="n"/>
      <c r="Y228" s="135" t="n"/>
      <c r="Z228" s="135" t="n"/>
      <c r="AA228" s="135" t="n"/>
      <c r="AB228" s="135" t="n"/>
      <c r="AC228" s="135" t="n">
        <v>1</v>
      </c>
      <c r="AD228" s="141" t="n"/>
      <c r="AE228" s="141" t="n"/>
    </row>
    <row r="229" ht="14.25" customHeight="1" s="142">
      <c r="A229" s="135" t="n">
        <v>8037</v>
      </c>
      <c r="B229" s="52" t="n"/>
      <c r="C229" s="143" t="inlineStr">
        <is>
          <t>全體上陣攻擊力+1%</t>
        </is>
      </c>
      <c r="D229" s="141" t="n"/>
      <c r="E229" s="141" t="n"/>
      <c r="F229" s="141" t="n"/>
      <c r="G229" s="141" t="n"/>
      <c r="H229" s="20" t="n">
        <v>0.01</v>
      </c>
      <c r="I229" s="141" t="n"/>
      <c r="J229" s="141" t="n"/>
      <c r="K229" s="141" t="n"/>
      <c r="L229" s="141" t="n"/>
      <c r="M229" s="141" t="n"/>
      <c r="N229" s="141" t="n"/>
      <c r="O229" s="141" t="n"/>
      <c r="P229" s="141" t="n"/>
      <c r="Q229" s="141" t="n"/>
      <c r="R229" s="141" t="n"/>
      <c r="S229" s="141" t="n"/>
      <c r="T229" s="141" t="n"/>
      <c r="U229" s="141" t="n"/>
      <c r="V229" s="135" t="n"/>
      <c r="W229" s="135" t="n"/>
      <c r="X229" s="135" t="n"/>
      <c r="Y229" s="135" t="n"/>
      <c r="Z229" s="135" t="n"/>
      <c r="AA229" s="135" t="n"/>
      <c r="AB229" s="135" t="n"/>
      <c r="AC229" s="135" t="n">
        <v>1</v>
      </c>
      <c r="AD229" s="141" t="n"/>
      <c r="AE229" s="141" t="n"/>
    </row>
    <row r="230" ht="14.25" customHeight="1" s="142">
      <c r="A230" s="135" t="n">
        <v>8038</v>
      </c>
      <c r="B230" s="52" t="n"/>
      <c r="C230" s="143" t="inlineStr">
        <is>
          <t>全體上陣攻擊力+1%</t>
        </is>
      </c>
      <c r="D230" s="141" t="n"/>
      <c r="E230" s="141" t="n"/>
      <c r="F230" s="141" t="n"/>
      <c r="G230" s="141" t="n"/>
      <c r="H230" s="20" t="n">
        <v>0.01</v>
      </c>
      <c r="I230" s="141" t="n"/>
      <c r="J230" s="141" t="n"/>
      <c r="K230" s="141" t="n"/>
      <c r="L230" s="141" t="n"/>
      <c r="M230" s="141" t="n"/>
      <c r="N230" s="141" t="n"/>
      <c r="O230" s="141" t="n"/>
      <c r="P230" s="141" t="n"/>
      <c r="Q230" s="141" t="n"/>
      <c r="R230" s="141" t="n"/>
      <c r="S230" s="141" t="n"/>
      <c r="T230" s="141" t="n"/>
      <c r="U230" s="141" t="n"/>
      <c r="V230" s="135" t="n"/>
      <c r="W230" s="135" t="n"/>
      <c r="X230" s="135" t="n"/>
      <c r="Y230" s="135" t="n"/>
      <c r="Z230" s="135" t="n"/>
      <c r="AA230" s="135" t="n"/>
      <c r="AB230" s="135" t="n"/>
      <c r="AC230" s="135" t="n">
        <v>1</v>
      </c>
      <c r="AD230" s="141" t="n"/>
      <c r="AE230" s="141" t="n"/>
    </row>
    <row r="231" ht="14.25" customHeight="1" s="142">
      <c r="A231" s="135" t="n">
        <v>8039</v>
      </c>
      <c r="B231" s="52" t="n"/>
      <c r="C231" s="143" t="inlineStr">
        <is>
          <t>全體上陣攻擊力+1%</t>
        </is>
      </c>
      <c r="D231" s="141" t="n"/>
      <c r="E231" s="141" t="n"/>
      <c r="F231" s="141" t="n"/>
      <c r="G231" s="141" t="n"/>
      <c r="H231" s="20" t="n">
        <v>0.01</v>
      </c>
      <c r="I231" s="141" t="n"/>
      <c r="J231" s="141" t="n"/>
      <c r="K231" s="141" t="n"/>
      <c r="L231" s="141" t="n"/>
      <c r="M231" s="141" t="n"/>
      <c r="N231" s="141" t="n"/>
      <c r="O231" s="141" t="n"/>
      <c r="P231" s="141" t="n"/>
      <c r="Q231" s="141" t="n"/>
      <c r="R231" s="141" t="n"/>
      <c r="S231" s="141" t="n"/>
      <c r="T231" s="141" t="n"/>
      <c r="U231" s="141" t="n"/>
      <c r="V231" s="135" t="n"/>
      <c r="W231" s="135" t="n"/>
      <c r="X231" s="135" t="n"/>
      <c r="Y231" s="135" t="n"/>
      <c r="Z231" s="135" t="n"/>
      <c r="AA231" s="135" t="n"/>
      <c r="AB231" s="135" t="n"/>
      <c r="AC231" s="135" t="n">
        <v>1</v>
      </c>
      <c r="AD231" s="141" t="n"/>
      <c r="AE231" s="141" t="n"/>
    </row>
    <row r="232" ht="14.25" customHeight="1" s="142">
      <c r="A232" s="135" t="n">
        <v>8040</v>
      </c>
      <c r="B232" s="52" t="n"/>
      <c r="C232" s="143" t="inlineStr">
        <is>
          <t>全體上陣攻擊力+1%</t>
        </is>
      </c>
      <c r="D232" s="141" t="n"/>
      <c r="E232" s="141" t="n"/>
      <c r="F232" s="141" t="n"/>
      <c r="G232" s="141" t="n"/>
      <c r="H232" s="20" t="n">
        <v>0.01</v>
      </c>
      <c r="I232" s="141" t="n"/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  <c r="S232" s="141" t="n"/>
      <c r="T232" s="141" t="n"/>
      <c r="U232" s="141" t="n"/>
      <c r="V232" s="135" t="n"/>
      <c r="W232" s="135" t="n"/>
      <c r="X232" s="135" t="n"/>
      <c r="Y232" s="135" t="n"/>
      <c r="Z232" s="135" t="n"/>
      <c r="AA232" s="135" t="n"/>
      <c r="AB232" s="135" t="n"/>
      <c r="AC232" s="135" t="n">
        <v>1</v>
      </c>
      <c r="AD232" s="141" t="n"/>
      <c r="AE232" s="141" t="n"/>
    </row>
    <row r="233" ht="14.25" customHeight="1" s="142">
      <c r="A233" s="135" t="n">
        <v>8041</v>
      </c>
      <c r="B233" s="52" t="n"/>
      <c r="C233" s="143" t="inlineStr">
        <is>
          <t>全體上陣攻擊力+1%</t>
        </is>
      </c>
      <c r="D233" s="141" t="n"/>
      <c r="E233" s="141" t="n"/>
      <c r="F233" s="141" t="n"/>
      <c r="G233" s="141" t="n"/>
      <c r="H233" s="20" t="n">
        <v>0.01</v>
      </c>
      <c r="I233" s="141" t="n"/>
      <c r="J233" s="141" t="n"/>
      <c r="K233" s="141" t="n"/>
      <c r="L233" s="141" t="n"/>
      <c r="M233" s="141" t="n"/>
      <c r="N233" s="141" t="n"/>
      <c r="O233" s="141" t="n"/>
      <c r="P233" s="141" t="n"/>
      <c r="Q233" s="141" t="n"/>
      <c r="R233" s="141" t="n"/>
      <c r="S233" s="141" t="n"/>
      <c r="T233" s="141" t="n"/>
      <c r="U233" s="141" t="n"/>
      <c r="V233" s="135" t="n"/>
      <c r="W233" s="135" t="n"/>
      <c r="X233" s="135" t="n"/>
      <c r="Y233" s="135" t="n"/>
      <c r="Z233" s="135" t="n"/>
      <c r="AA233" s="135" t="n"/>
      <c r="AB233" s="135" t="n"/>
      <c r="AC233" s="135" t="n">
        <v>1</v>
      </c>
      <c r="AD233" s="141" t="n"/>
      <c r="AE233" s="141" t="n"/>
    </row>
    <row r="234" ht="14.25" customHeight="1" s="142">
      <c r="A234" s="135" t="n">
        <v>8042</v>
      </c>
      <c r="B234" s="52" t="n"/>
      <c r="C234" s="143" t="inlineStr">
        <is>
          <t>全體上陣攻擊力+1%</t>
        </is>
      </c>
      <c r="D234" s="141" t="n"/>
      <c r="E234" s="141" t="n"/>
      <c r="F234" s="141" t="n"/>
      <c r="G234" s="141" t="n"/>
      <c r="H234" s="20" t="n">
        <v>0.01</v>
      </c>
      <c r="I234" s="141" t="n"/>
      <c r="J234" s="141" t="n"/>
      <c r="K234" s="141" t="n"/>
      <c r="L234" s="141" t="n"/>
      <c r="M234" s="141" t="n"/>
      <c r="N234" s="141" t="n"/>
      <c r="O234" s="141" t="n"/>
      <c r="P234" s="141" t="n"/>
      <c r="Q234" s="141" t="n"/>
      <c r="R234" s="141" t="n"/>
      <c r="S234" s="141" t="n"/>
      <c r="T234" s="141" t="n"/>
      <c r="U234" s="141" t="n"/>
      <c r="V234" s="135" t="n"/>
      <c r="W234" s="135" t="n"/>
      <c r="X234" s="135" t="n"/>
      <c r="Y234" s="135" t="n"/>
      <c r="Z234" s="135" t="n"/>
      <c r="AA234" s="135" t="n"/>
      <c r="AB234" s="135" t="n"/>
      <c r="AC234" s="135" t="n">
        <v>1</v>
      </c>
      <c r="AD234" s="141" t="n"/>
      <c r="AE234" s="141" t="n"/>
    </row>
    <row r="235" ht="14.25" customHeight="1" s="142">
      <c r="A235" s="135" t="n">
        <v>8043</v>
      </c>
      <c r="B235" s="52" t="n"/>
      <c r="C235" s="143" t="inlineStr">
        <is>
          <t>全體上陣攻擊力+1%</t>
        </is>
      </c>
      <c r="D235" s="141" t="n"/>
      <c r="E235" s="141" t="n"/>
      <c r="F235" s="141" t="n"/>
      <c r="G235" s="141" t="n"/>
      <c r="H235" s="20" t="n">
        <v>0.01</v>
      </c>
      <c r="I235" s="141" t="n"/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  <c r="S235" s="141" t="n"/>
      <c r="T235" s="141" t="n"/>
      <c r="U235" s="141" t="n"/>
      <c r="V235" s="135" t="n"/>
      <c r="W235" s="135" t="n"/>
      <c r="X235" s="135" t="n"/>
      <c r="Y235" s="135" t="n"/>
      <c r="Z235" s="135" t="n"/>
      <c r="AA235" s="135" t="n"/>
      <c r="AB235" s="135" t="n"/>
      <c r="AC235" s="135" t="n">
        <v>1</v>
      </c>
      <c r="AD235" s="141" t="n"/>
      <c r="AE235" s="141" t="n"/>
    </row>
    <row r="236" ht="14.25" customHeight="1" s="142">
      <c r="A236" s="135" t="n">
        <v>8044</v>
      </c>
      <c r="B236" s="52" t="n"/>
      <c r="C236" s="143" t="inlineStr">
        <is>
          <t>解鎖神射手</t>
        </is>
      </c>
      <c r="D236" s="141" t="n"/>
      <c r="E236" s="141" t="n"/>
      <c r="F236" s="141" t="n"/>
      <c r="G236" s="141" t="n"/>
      <c r="H236" s="141" t="n"/>
      <c r="I236" s="141" t="n"/>
      <c r="J236" s="141" t="n"/>
      <c r="K236" s="141" t="n"/>
      <c r="L236" s="141" t="n"/>
      <c r="M236" s="141" t="n"/>
      <c r="N236" s="141" t="n"/>
      <c r="O236" s="141" t="n"/>
      <c r="P236" s="141" t="n"/>
      <c r="Q236" s="141" t="n"/>
      <c r="R236" s="141" t="n"/>
      <c r="S236" s="141" t="n"/>
      <c r="T236" s="141" t="n"/>
      <c r="U236" s="141" t="n"/>
      <c r="V236" s="135" t="n"/>
      <c r="W236" s="135" t="n"/>
      <c r="X236" s="135" t="n"/>
      <c r="Y236" s="135" t="n"/>
      <c r="Z236" s="135" t="n"/>
      <c r="AA236" s="135" t="n"/>
      <c r="AB236" s="135" t="n"/>
      <c r="AC236" s="135" t="n">
        <v>1</v>
      </c>
      <c r="AD236" s="141" t="n"/>
      <c r="AE236" s="141" t="n"/>
    </row>
    <row r="237" ht="14.25" customHeight="1" s="142">
      <c r="A237" s="135" t="n">
        <v>8045</v>
      </c>
      <c r="B237" s="52" t="n"/>
      <c r="C237" s="143" t="inlineStr">
        <is>
          <t>全體上陣攻擊力+1%</t>
        </is>
      </c>
      <c r="D237" s="141" t="n"/>
      <c r="E237" s="141" t="n"/>
      <c r="F237" s="141" t="n"/>
      <c r="G237" s="141" t="n"/>
      <c r="H237" s="20" t="n">
        <v>0.01</v>
      </c>
      <c r="I237" s="141" t="n"/>
      <c r="J237" s="141" t="n"/>
      <c r="K237" s="141" t="n"/>
      <c r="L237" s="141" t="n"/>
      <c r="M237" s="141" t="n"/>
      <c r="N237" s="141" t="n"/>
      <c r="O237" s="141" t="n"/>
      <c r="P237" s="141" t="n"/>
      <c r="Q237" s="141" t="n"/>
      <c r="R237" s="141" t="n"/>
      <c r="S237" s="141" t="n"/>
      <c r="T237" s="141" t="n"/>
      <c r="U237" s="141" t="n"/>
      <c r="V237" s="135" t="n"/>
      <c r="W237" s="135" t="n"/>
      <c r="X237" s="135" t="n"/>
      <c r="Y237" s="135" t="n"/>
      <c r="Z237" s="135" t="n"/>
      <c r="AA237" s="135" t="n"/>
      <c r="AB237" s="135" t="n"/>
      <c r="AC237" s="135" t="n">
        <v>1</v>
      </c>
      <c r="AD237" s="141" t="n"/>
      <c r="AE237" s="141" t="n"/>
    </row>
    <row r="238" ht="14.25" customHeight="1" s="142">
      <c r="A238" s="135" t="n">
        <v>8046</v>
      </c>
      <c r="B238" s="52" t="n"/>
      <c r="C238" s="143" t="inlineStr">
        <is>
          <t>全體上陣攻擊力+1%</t>
        </is>
      </c>
      <c r="D238" s="141" t="n"/>
      <c r="E238" s="141" t="n"/>
      <c r="F238" s="141" t="n"/>
      <c r="G238" s="141" t="n"/>
      <c r="H238" s="20" t="n">
        <v>0.01</v>
      </c>
      <c r="I238" s="141" t="n"/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  <c r="S238" s="141" t="n"/>
      <c r="T238" s="141" t="n"/>
      <c r="U238" s="141" t="n"/>
      <c r="V238" s="135" t="n"/>
      <c r="W238" s="135" t="n"/>
      <c r="X238" s="135" t="n"/>
      <c r="Y238" s="135" t="n"/>
      <c r="Z238" s="135" t="n"/>
      <c r="AA238" s="135" t="n"/>
      <c r="AB238" s="135" t="n"/>
      <c r="AC238" s="135" t="n">
        <v>1</v>
      </c>
      <c r="AD238" s="141" t="n"/>
      <c r="AE238" s="141" t="n"/>
    </row>
    <row r="239" ht="14.25" customHeight="1" s="142">
      <c r="A239" s="135" t="n">
        <v>8047</v>
      </c>
      <c r="B239" s="52" t="n"/>
      <c r="C239" s="143" t="inlineStr">
        <is>
          <t>全體上陣攻擊力+1%</t>
        </is>
      </c>
      <c r="D239" s="141" t="n"/>
      <c r="E239" s="141" t="n"/>
      <c r="F239" s="141" t="n"/>
      <c r="G239" s="141" t="n"/>
      <c r="H239" s="20" t="n">
        <v>0.01</v>
      </c>
      <c r="I239" s="141" t="n"/>
      <c r="J239" s="141" t="n"/>
      <c r="K239" s="141" t="n"/>
      <c r="L239" s="141" t="n"/>
      <c r="M239" s="141" t="n"/>
      <c r="N239" s="141" t="n"/>
      <c r="O239" s="141" t="n"/>
      <c r="P239" s="141" t="n"/>
      <c r="Q239" s="141" t="n"/>
      <c r="R239" s="141" t="n"/>
      <c r="S239" s="141" t="n"/>
      <c r="T239" s="141" t="n"/>
      <c r="U239" s="141" t="n"/>
      <c r="V239" s="135" t="n"/>
      <c r="W239" s="135" t="n"/>
      <c r="X239" s="135" t="n"/>
      <c r="Y239" s="135" t="n"/>
      <c r="Z239" s="135" t="n"/>
      <c r="AA239" s="135" t="n"/>
      <c r="AB239" s="135" t="n"/>
      <c r="AC239" s="135" t="n">
        <v>1</v>
      </c>
      <c r="AD239" s="141" t="n"/>
      <c r="AE239" s="141" t="n"/>
    </row>
    <row r="240" ht="14.25" customHeight="1" s="142">
      <c r="A240" s="135" t="n">
        <v>8048</v>
      </c>
      <c r="B240" s="52" t="n"/>
      <c r="C240" s="143" t="inlineStr">
        <is>
          <t>全體上陣攻擊力+1%</t>
        </is>
      </c>
      <c r="D240" s="141" t="n"/>
      <c r="E240" s="141" t="n"/>
      <c r="F240" s="141" t="n"/>
      <c r="G240" s="141" t="n"/>
      <c r="H240" s="20" t="n">
        <v>0.01</v>
      </c>
      <c r="I240" s="141" t="n"/>
      <c r="J240" s="141" t="n"/>
      <c r="K240" s="141" t="n"/>
      <c r="L240" s="141" t="n"/>
      <c r="M240" s="141" t="n"/>
      <c r="N240" s="141" t="n"/>
      <c r="O240" s="141" t="n"/>
      <c r="P240" s="141" t="n"/>
      <c r="Q240" s="141" t="n"/>
      <c r="R240" s="141" t="n"/>
      <c r="S240" s="141" t="n"/>
      <c r="T240" s="141" t="n"/>
      <c r="U240" s="141" t="n"/>
      <c r="V240" s="135" t="n"/>
      <c r="W240" s="135" t="n"/>
      <c r="X240" s="135" t="n"/>
      <c r="Y240" s="135" t="n"/>
      <c r="Z240" s="135" t="n"/>
      <c r="AA240" s="135" t="n"/>
      <c r="AB240" s="135" t="n"/>
      <c r="AC240" s="135" t="n">
        <v>1</v>
      </c>
      <c r="AD240" s="141" t="n"/>
      <c r="AE240" s="141" t="n"/>
    </row>
    <row r="241" ht="14.25" customHeight="1" s="142">
      <c r="A241" s="135" t="n">
        <v>8049</v>
      </c>
      <c r="B241" s="52" t="n"/>
      <c r="C241" s="143" t="inlineStr">
        <is>
          <t>全體上陣攻擊力+1%</t>
        </is>
      </c>
      <c r="D241" s="141" t="n"/>
      <c r="E241" s="141" t="n"/>
      <c r="F241" s="141" t="n"/>
      <c r="G241" s="141" t="n"/>
      <c r="H241" s="20" t="n">
        <v>0.01</v>
      </c>
      <c r="I241" s="141" t="n"/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  <c r="S241" s="141" t="n"/>
      <c r="T241" s="141" t="n"/>
      <c r="U241" s="141" t="n"/>
      <c r="V241" s="135" t="n"/>
      <c r="W241" s="135" t="n"/>
      <c r="X241" s="135" t="n"/>
      <c r="Y241" s="135" t="n"/>
      <c r="Z241" s="135" t="n"/>
      <c r="AA241" s="135" t="n"/>
      <c r="AB241" s="135" t="n"/>
      <c r="AC241" s="135" t="n">
        <v>1</v>
      </c>
      <c r="AD241" s="141" t="n"/>
      <c r="AE241" s="141" t="n"/>
    </row>
    <row r="242" ht="14.25" customHeight="1" s="142">
      <c r="A242" s="135" t="n">
        <v>8050</v>
      </c>
      <c r="B242" s="52" t="n"/>
      <c r="C242" s="143" t="inlineStr">
        <is>
          <t>全體上陣攻擊力+1%</t>
        </is>
      </c>
      <c r="D242" s="141" t="n"/>
      <c r="E242" s="141" t="n"/>
      <c r="F242" s="141" t="n"/>
      <c r="G242" s="141" t="n"/>
      <c r="H242" s="20" t="n">
        <v>0.01</v>
      </c>
      <c r="I242" s="141" t="n"/>
      <c r="J242" s="141" t="n"/>
      <c r="K242" s="141" t="n"/>
      <c r="L242" s="141" t="n"/>
      <c r="M242" s="141" t="n"/>
      <c r="N242" s="141" t="n"/>
      <c r="O242" s="141" t="n"/>
      <c r="P242" s="141" t="n"/>
      <c r="Q242" s="141" t="n"/>
      <c r="R242" s="141" t="n"/>
      <c r="S242" s="141" t="n"/>
      <c r="T242" s="141" t="n"/>
      <c r="U242" s="141" t="n"/>
      <c r="V242" s="135" t="n"/>
      <c r="W242" s="135" t="n"/>
      <c r="X242" s="135" t="n"/>
      <c r="Y242" s="135" t="n"/>
      <c r="Z242" s="135" t="n"/>
      <c r="AA242" s="135" t="n"/>
      <c r="AB242" s="135" t="n"/>
      <c r="AC242" s="135" t="n">
        <v>1</v>
      </c>
      <c r="AD242" s="141" t="n"/>
      <c r="AE242" s="141" t="n"/>
    </row>
    <row r="243" ht="14.25" customHeight="1" s="142">
      <c r="A243" s="135" t="n">
        <v>8051</v>
      </c>
      <c r="B243" s="52" t="n"/>
      <c r="C243" s="143" t="inlineStr">
        <is>
          <t>全體上陣攻擊力+1%</t>
        </is>
      </c>
      <c r="D243" s="141" t="n"/>
      <c r="E243" s="141" t="n"/>
      <c r="F243" s="141" t="n"/>
      <c r="G243" s="141" t="n"/>
      <c r="H243" s="20" t="n">
        <v>0.01</v>
      </c>
      <c r="I243" s="141" t="n"/>
      <c r="J243" s="141" t="n"/>
      <c r="K243" s="141" t="n"/>
      <c r="L243" s="141" t="n"/>
      <c r="M243" s="141" t="n"/>
      <c r="N243" s="141" t="n"/>
      <c r="O243" s="141" t="n"/>
      <c r="P243" s="141" t="n"/>
      <c r="Q243" s="141" t="n"/>
      <c r="R243" s="141" t="n"/>
      <c r="S243" s="141" t="n"/>
      <c r="T243" s="141" t="n"/>
      <c r="U243" s="141" t="n"/>
      <c r="V243" s="135" t="n"/>
      <c r="W243" s="135" t="n"/>
      <c r="X243" s="135" t="n"/>
      <c r="Y243" s="135" t="n"/>
      <c r="Z243" s="135" t="n"/>
      <c r="AA243" s="135" t="n"/>
      <c r="AB243" s="135" t="n"/>
      <c r="AC243" s="135" t="n">
        <v>1</v>
      </c>
      <c r="AD243" s="141" t="n"/>
      <c r="AE243" s="141" t="n"/>
    </row>
    <row r="244" ht="14.25" customHeight="1" s="142">
      <c r="A244" s="135" t="n">
        <v>8052</v>
      </c>
      <c r="B244" s="52" t="n"/>
      <c r="C244" s="143" t="inlineStr">
        <is>
          <t>全體上陣攻擊力+1%</t>
        </is>
      </c>
      <c r="D244" s="141" t="n"/>
      <c r="E244" s="141" t="n"/>
      <c r="F244" s="141" t="n"/>
      <c r="G244" s="141" t="n"/>
      <c r="H244" s="20" t="n">
        <v>0.01</v>
      </c>
      <c r="I244" s="141" t="n"/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  <c r="S244" s="141" t="n"/>
      <c r="T244" s="141" t="n"/>
      <c r="U244" s="141" t="n"/>
      <c r="V244" s="135" t="n"/>
      <c r="W244" s="135" t="n"/>
      <c r="X244" s="135" t="n"/>
      <c r="Y244" s="135" t="n"/>
      <c r="Z244" s="135" t="n"/>
      <c r="AA244" s="135" t="n"/>
      <c r="AB244" s="135" t="n"/>
      <c r="AC244" s="135" t="n">
        <v>1</v>
      </c>
      <c r="AD244" s="141" t="n"/>
      <c r="AE244" s="141" t="n"/>
    </row>
    <row r="245" ht="14.25" customHeight="1" s="142">
      <c r="A245" s="135" t="n">
        <v>8053</v>
      </c>
      <c r="B245" s="52" t="n"/>
      <c r="C245" s="143" t="inlineStr">
        <is>
          <t>全體上陣攻擊力+1%</t>
        </is>
      </c>
      <c r="D245" s="141" t="n"/>
      <c r="E245" s="141" t="n"/>
      <c r="F245" s="141" t="n"/>
      <c r="G245" s="141" t="n"/>
      <c r="H245" s="20" t="n">
        <v>0.01</v>
      </c>
      <c r="I245" s="141" t="n"/>
      <c r="J245" s="141" t="n"/>
      <c r="K245" s="141" t="n"/>
      <c r="L245" s="141" t="n"/>
      <c r="M245" s="141" t="n"/>
      <c r="N245" s="141" t="n"/>
      <c r="O245" s="141" t="n"/>
      <c r="P245" s="141" t="n"/>
      <c r="Q245" s="141" t="n"/>
      <c r="R245" s="141" t="n"/>
      <c r="S245" s="141" t="n"/>
      <c r="T245" s="141" t="n"/>
      <c r="U245" s="141" t="n"/>
      <c r="V245" s="135" t="n"/>
      <c r="W245" s="135" t="n"/>
      <c r="X245" s="135" t="n"/>
      <c r="Y245" s="135" t="n"/>
      <c r="Z245" s="135" t="n"/>
      <c r="AA245" s="135" t="n"/>
      <c r="AB245" s="135" t="n"/>
      <c r="AC245" s="135" t="n">
        <v>1</v>
      </c>
      <c r="AD245" s="141" t="n"/>
      <c r="AE245" s="141" t="n"/>
    </row>
    <row r="246" ht="14.25" customHeight="1" s="142">
      <c r="A246" s="135" t="n">
        <v>8054</v>
      </c>
      <c r="B246" s="52" t="n"/>
      <c r="C246" s="143" t="inlineStr">
        <is>
          <t>全體上陣攻擊力+1%</t>
        </is>
      </c>
      <c r="D246" s="141" t="n"/>
      <c r="E246" s="141" t="n"/>
      <c r="F246" s="141" t="n"/>
      <c r="G246" s="141" t="n"/>
      <c r="H246" s="20" t="n">
        <v>0.01</v>
      </c>
      <c r="I246" s="141" t="n"/>
      <c r="J246" s="141" t="n"/>
      <c r="K246" s="141" t="n"/>
      <c r="L246" s="141" t="n"/>
      <c r="M246" s="141" t="n"/>
      <c r="N246" s="141" t="n"/>
      <c r="O246" s="141" t="n"/>
      <c r="P246" s="141" t="n"/>
      <c r="Q246" s="141" t="n"/>
      <c r="R246" s="141" t="n"/>
      <c r="S246" s="141" t="n"/>
      <c r="T246" s="141" t="n"/>
      <c r="U246" s="141" t="n"/>
      <c r="V246" s="135" t="n"/>
      <c r="W246" s="135" t="n"/>
      <c r="X246" s="135" t="n"/>
      <c r="Y246" s="135" t="n"/>
      <c r="Z246" s="135" t="n"/>
      <c r="AA246" s="135" t="n"/>
      <c r="AB246" s="135" t="n"/>
      <c r="AC246" s="135" t="n">
        <v>1</v>
      </c>
      <c r="AD246" s="141" t="n"/>
      <c r="AE246" s="141" t="n"/>
    </row>
    <row r="247" ht="14.25" customHeight="1" s="142">
      <c r="A247" s="135" t="n">
        <v>8055</v>
      </c>
      <c r="B247" s="52" t="n"/>
      <c r="C247" s="143" t="inlineStr">
        <is>
          <t>全體上陣攻擊力+1%</t>
        </is>
      </c>
      <c r="D247" s="141" t="n"/>
      <c r="E247" s="141" t="n"/>
      <c r="F247" s="141" t="n"/>
      <c r="G247" s="141" t="n"/>
      <c r="H247" s="20" t="n">
        <v>0.01</v>
      </c>
      <c r="I247" s="141" t="n"/>
      <c r="J247" s="141" t="n"/>
      <c r="K247" s="141" t="n"/>
      <c r="L247" s="141" t="n"/>
      <c r="M247" s="141" t="n"/>
      <c r="N247" s="141" t="n"/>
      <c r="O247" s="141" t="n"/>
      <c r="P247" s="141" t="n"/>
      <c r="Q247" s="141" t="n"/>
      <c r="R247" s="141" t="n"/>
      <c r="S247" s="141" t="n"/>
      <c r="T247" s="141" t="n"/>
      <c r="U247" s="141" t="n"/>
      <c r="V247" s="135" t="n"/>
      <c r="W247" s="135" t="n"/>
      <c r="X247" s="135" t="n"/>
      <c r="Y247" s="135" t="n"/>
      <c r="Z247" s="135" t="n"/>
      <c r="AA247" s="135" t="n"/>
      <c r="AB247" s="135" t="n"/>
      <c r="AC247" s="135" t="n">
        <v>1</v>
      </c>
      <c r="AD247" s="141" t="n"/>
      <c r="AE247" s="141" t="n"/>
    </row>
    <row r="248" ht="14.25" customHeight="1" s="142">
      <c r="A248" s="135" t="n">
        <v>8056</v>
      </c>
      <c r="B248" s="52" t="n"/>
      <c r="C248" s="143" t="inlineStr">
        <is>
          <t>全體上陣攻擊力+1%</t>
        </is>
      </c>
      <c r="D248" s="141" t="n"/>
      <c r="E248" s="141" t="n"/>
      <c r="F248" s="141" t="n"/>
      <c r="G248" s="141" t="n"/>
      <c r="H248" s="20" t="n">
        <v>0.01</v>
      </c>
      <c r="I248" s="141" t="n"/>
      <c r="J248" s="141" t="n"/>
      <c r="K248" s="141" t="n"/>
      <c r="L248" s="141" t="n"/>
      <c r="M248" s="141" t="n"/>
      <c r="N248" s="141" t="n"/>
      <c r="O248" s="141" t="n"/>
      <c r="P248" s="141" t="n"/>
      <c r="Q248" s="141" t="n"/>
      <c r="R248" s="141" t="n"/>
      <c r="S248" s="141" t="n"/>
      <c r="T248" s="141" t="n"/>
      <c r="U248" s="141" t="n"/>
      <c r="V248" s="135" t="n"/>
      <c r="W248" s="135" t="n"/>
      <c r="X248" s="135" t="n"/>
      <c r="Y248" s="135" t="n"/>
      <c r="Z248" s="135" t="n"/>
      <c r="AA248" s="135" t="n"/>
      <c r="AB248" s="135" t="n"/>
      <c r="AC248" s="135" t="n">
        <v>1</v>
      </c>
      <c r="AD248" s="141" t="n"/>
      <c r="AE248" s="141" t="n"/>
    </row>
    <row r="249" ht="14.25" customHeight="1" s="142">
      <c r="A249" s="135" t="n">
        <v>8057</v>
      </c>
      <c r="B249" s="52" t="n"/>
      <c r="C249" s="143" t="inlineStr">
        <is>
          <t>全體上陣攻擊力+1%</t>
        </is>
      </c>
      <c r="D249" s="141" t="n"/>
      <c r="E249" s="141" t="n"/>
      <c r="F249" s="141" t="n"/>
      <c r="G249" s="141" t="n"/>
      <c r="H249" s="20" t="n">
        <v>0.01</v>
      </c>
      <c r="I249" s="141" t="n"/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  <c r="S249" s="141" t="n"/>
      <c r="T249" s="141" t="n"/>
      <c r="U249" s="141" t="n"/>
      <c r="V249" s="135" t="n"/>
      <c r="W249" s="135" t="n"/>
      <c r="X249" s="135" t="n"/>
      <c r="Y249" s="135" t="n"/>
      <c r="Z249" s="135" t="n"/>
      <c r="AA249" s="135" t="n"/>
      <c r="AB249" s="135" t="n"/>
      <c r="AC249" s="135" t="n">
        <v>1</v>
      </c>
      <c r="AD249" s="141" t="n"/>
      <c r="AE249" s="141" t="n"/>
    </row>
    <row r="250" ht="14.25" customHeight="1" s="142">
      <c r="A250" s="135" t="n">
        <v>8058</v>
      </c>
      <c r="B250" s="52" t="n"/>
      <c r="C250" s="143" t="inlineStr">
        <is>
          <t>全體上陣攻擊力+1%</t>
        </is>
      </c>
      <c r="D250" s="141" t="n"/>
      <c r="E250" s="141" t="n"/>
      <c r="F250" s="141" t="n"/>
      <c r="G250" s="141" t="n"/>
      <c r="H250" s="20" t="n">
        <v>0.01</v>
      </c>
      <c r="I250" s="141" t="n"/>
      <c r="J250" s="141" t="n"/>
      <c r="K250" s="141" t="n"/>
      <c r="L250" s="141" t="n"/>
      <c r="M250" s="141" t="n"/>
      <c r="N250" s="141" t="n"/>
      <c r="O250" s="141" t="n"/>
      <c r="P250" s="141" t="n"/>
      <c r="Q250" s="141" t="n"/>
      <c r="R250" s="141" t="n"/>
      <c r="S250" s="141" t="n"/>
      <c r="T250" s="141" t="n"/>
      <c r="U250" s="141" t="n"/>
      <c r="V250" s="135" t="n"/>
      <c r="W250" s="135" t="n"/>
      <c r="X250" s="135" t="n"/>
      <c r="Y250" s="135" t="n"/>
      <c r="Z250" s="135" t="n"/>
      <c r="AA250" s="135" t="n"/>
      <c r="AB250" s="135" t="n"/>
      <c r="AC250" s="135" t="n">
        <v>1</v>
      </c>
      <c r="AD250" s="141" t="n"/>
      <c r="AE250" s="141" t="n"/>
    </row>
    <row r="251" ht="14.25" customHeight="1" s="142">
      <c r="A251" s="135" t="n">
        <v>8059</v>
      </c>
      <c r="B251" s="52" t="n"/>
      <c r="C251" s="143" t="inlineStr">
        <is>
          <t>解鎖刺客</t>
        </is>
      </c>
      <c r="D251" s="141" t="n"/>
      <c r="E251" s="141" t="n"/>
      <c r="F251" s="141" t="n"/>
      <c r="G251" s="141" t="n"/>
      <c r="H251" s="141" t="n"/>
      <c r="I251" s="141" t="n"/>
      <c r="J251" s="141" t="n"/>
      <c r="K251" s="141" t="n"/>
      <c r="L251" s="141" t="n"/>
      <c r="M251" s="141" t="n"/>
      <c r="N251" s="141" t="n"/>
      <c r="O251" s="141" t="n"/>
      <c r="P251" s="141" t="n"/>
      <c r="Q251" s="141" t="n"/>
      <c r="R251" s="141" t="n"/>
      <c r="S251" s="141" t="n"/>
      <c r="T251" s="141" t="n"/>
      <c r="U251" s="141" t="n"/>
      <c r="V251" s="135" t="n"/>
      <c r="W251" s="135" t="n"/>
      <c r="X251" s="135" t="n"/>
      <c r="Y251" s="135" t="n"/>
      <c r="Z251" s="135" t="n"/>
      <c r="AA251" s="135" t="n"/>
      <c r="AB251" s="135" t="n"/>
      <c r="AC251" s="135" t="n">
        <v>1</v>
      </c>
      <c r="AD251" s="141" t="n"/>
      <c r="AE251" s="141" t="n"/>
    </row>
    <row r="252" ht="14.25" customHeight="1" s="142">
      <c r="A252" s="135" t="n">
        <v>8060</v>
      </c>
      <c r="B252" s="52" t="n"/>
      <c r="C252" s="143" t="inlineStr">
        <is>
          <t>魔法攻擊力+1%</t>
        </is>
      </c>
      <c r="D252" s="141" t="n"/>
      <c r="E252" s="141" t="n"/>
      <c r="F252" s="141" t="n"/>
      <c r="G252" s="141" t="n"/>
      <c r="H252" s="141" t="n"/>
      <c r="I252" s="20" t="n">
        <v>0.01</v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  <c r="S252" s="141" t="n"/>
      <c r="T252" s="141" t="n"/>
      <c r="U252" s="141" t="n"/>
      <c r="V252" s="135" t="n"/>
      <c r="W252" s="135" t="n"/>
      <c r="X252" s="135" t="n"/>
      <c r="Y252" s="135" t="n"/>
      <c r="Z252" s="135" t="n"/>
      <c r="AA252" s="135" t="n"/>
      <c r="AB252" s="135" t="n"/>
      <c r="AC252" s="135" t="n">
        <v>1</v>
      </c>
      <c r="AD252" s="141" t="n"/>
      <c r="AE252" s="141" t="n"/>
    </row>
    <row r="253" ht="14.25" customHeight="1" s="142">
      <c r="A253" s="135" t="n">
        <v>8061</v>
      </c>
      <c r="B253" s="52" t="n"/>
      <c r="C253" s="143" t="inlineStr">
        <is>
          <t>魔法攻擊力+1%</t>
        </is>
      </c>
      <c r="D253" s="141" t="n"/>
      <c r="E253" s="141" t="n"/>
      <c r="F253" s="141" t="n"/>
      <c r="G253" s="141" t="n"/>
      <c r="H253" s="141" t="n"/>
      <c r="I253" s="20" t="n">
        <v>0.01</v>
      </c>
      <c r="J253" s="141" t="n"/>
      <c r="K253" s="141" t="n"/>
      <c r="L253" s="141" t="n"/>
      <c r="M253" s="141" t="n"/>
      <c r="N253" s="141" t="n"/>
      <c r="O253" s="141" t="n"/>
      <c r="P253" s="141" t="n"/>
      <c r="Q253" s="141" t="n"/>
      <c r="R253" s="141" t="n"/>
      <c r="S253" s="141" t="n"/>
      <c r="T253" s="141" t="n"/>
      <c r="U253" s="141" t="n"/>
      <c r="V253" s="135" t="n"/>
      <c r="W253" s="135" t="n"/>
      <c r="X253" s="135" t="n"/>
      <c r="Y253" s="135" t="n"/>
      <c r="Z253" s="135" t="n"/>
      <c r="AA253" s="135" t="n"/>
      <c r="AB253" s="135" t="n"/>
      <c r="AC253" s="135" t="n">
        <v>1</v>
      </c>
      <c r="AD253" s="141" t="n"/>
      <c r="AE253" s="141" t="n"/>
    </row>
    <row r="254" ht="14.25" customHeight="1" s="142">
      <c r="A254" s="135" t="n">
        <v>8062</v>
      </c>
      <c r="B254" s="52" t="n"/>
      <c r="C254" s="143" t="inlineStr">
        <is>
          <t>魔法攻擊力+1%</t>
        </is>
      </c>
      <c r="D254" s="141" t="n"/>
      <c r="E254" s="141" t="n"/>
      <c r="F254" s="141" t="n"/>
      <c r="G254" s="141" t="n"/>
      <c r="H254" s="141" t="n"/>
      <c r="I254" s="20" t="n">
        <v>0.01</v>
      </c>
      <c r="J254" s="141" t="n"/>
      <c r="K254" s="141" t="n"/>
      <c r="L254" s="141" t="n"/>
      <c r="M254" s="141" t="n"/>
      <c r="N254" s="141" t="n"/>
      <c r="O254" s="141" t="n"/>
      <c r="P254" s="141" t="n"/>
      <c r="Q254" s="141" t="n"/>
      <c r="R254" s="141" t="n"/>
      <c r="S254" s="141" t="n"/>
      <c r="T254" s="141" t="n"/>
      <c r="U254" s="141" t="n"/>
      <c r="V254" s="135" t="n"/>
      <c r="W254" s="135" t="n"/>
      <c r="X254" s="135" t="n"/>
      <c r="Y254" s="135" t="n"/>
      <c r="Z254" s="135" t="n"/>
      <c r="AA254" s="135" t="n"/>
      <c r="AB254" s="135" t="n"/>
      <c r="AC254" s="135" t="n">
        <v>1</v>
      </c>
      <c r="AD254" s="141" t="n"/>
      <c r="AE254" s="141" t="n"/>
    </row>
    <row r="255" ht="14.25" customHeight="1" s="142">
      <c r="A255" s="135" t="n">
        <v>8063</v>
      </c>
      <c r="B255" s="52" t="n"/>
      <c r="C255" s="143" t="inlineStr">
        <is>
          <t>魔法攻擊力+1%</t>
        </is>
      </c>
      <c r="D255" s="141" t="n"/>
      <c r="E255" s="141" t="n"/>
      <c r="F255" s="141" t="n"/>
      <c r="G255" s="141" t="n"/>
      <c r="H255" s="141" t="n"/>
      <c r="I255" s="20" t="n">
        <v>0.01</v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  <c r="S255" s="141" t="n"/>
      <c r="T255" s="141" t="n"/>
      <c r="U255" s="141" t="n"/>
      <c r="V255" s="135" t="n"/>
      <c r="W255" s="135" t="n"/>
      <c r="X255" s="135" t="n"/>
      <c r="Y255" s="135" t="n"/>
      <c r="Z255" s="135" t="n"/>
      <c r="AA255" s="135" t="n"/>
      <c r="AB255" s="135" t="n"/>
      <c r="AC255" s="135" t="n">
        <v>1</v>
      </c>
      <c r="AD255" s="141" t="n"/>
      <c r="AE255" s="141" t="n"/>
    </row>
    <row r="256" ht="14.25" customHeight="1" s="142">
      <c r="A256" s="135" t="n">
        <v>8064</v>
      </c>
      <c r="B256" s="52" t="n"/>
      <c r="C256" s="143" t="inlineStr">
        <is>
          <t>魔法攻擊力+1%</t>
        </is>
      </c>
      <c r="D256" s="141" t="n"/>
      <c r="E256" s="141" t="n"/>
      <c r="F256" s="141" t="n"/>
      <c r="G256" s="141" t="n"/>
      <c r="H256" s="141" t="n"/>
      <c r="I256" s="20" t="n">
        <v>0.01</v>
      </c>
      <c r="J256" s="141" t="n"/>
      <c r="K256" s="141" t="n"/>
      <c r="L256" s="141" t="n"/>
      <c r="M256" s="141" t="n"/>
      <c r="N256" s="141" t="n"/>
      <c r="O256" s="141" t="n"/>
      <c r="P256" s="141" t="n"/>
      <c r="Q256" s="141" t="n"/>
      <c r="R256" s="141" t="n"/>
      <c r="S256" s="141" t="n"/>
      <c r="T256" s="141" t="n"/>
      <c r="U256" s="141" t="n"/>
      <c r="V256" s="135" t="n"/>
      <c r="W256" s="135" t="n"/>
      <c r="X256" s="135" t="n"/>
      <c r="Y256" s="135" t="n"/>
      <c r="Z256" s="135" t="n"/>
      <c r="AA256" s="135" t="n"/>
      <c r="AB256" s="135" t="n"/>
      <c r="AC256" s="135" t="n">
        <v>1</v>
      </c>
      <c r="AD256" s="141" t="n"/>
      <c r="AE256" s="141" t="n"/>
    </row>
    <row r="257" ht="14.25" customHeight="1" s="142">
      <c r="A257" s="135" t="n">
        <v>8065</v>
      </c>
      <c r="B257" s="52" t="n"/>
      <c r="C257" s="143" t="inlineStr">
        <is>
          <t>魔法攻擊力+1%</t>
        </is>
      </c>
      <c r="D257" s="141" t="n"/>
      <c r="E257" s="141" t="n"/>
      <c r="F257" s="141" t="n"/>
      <c r="G257" s="141" t="n"/>
      <c r="H257" s="141" t="n"/>
      <c r="I257" s="20" t="n">
        <v>0.01</v>
      </c>
      <c r="J257" s="141" t="n"/>
      <c r="K257" s="141" t="n"/>
      <c r="L257" s="141" t="n"/>
      <c r="M257" s="141" t="n"/>
      <c r="N257" s="141" t="n"/>
      <c r="O257" s="141" t="n"/>
      <c r="P257" s="141" t="n"/>
      <c r="Q257" s="141" t="n"/>
      <c r="R257" s="141" t="n"/>
      <c r="S257" s="141" t="n"/>
      <c r="T257" s="141" t="n"/>
      <c r="U257" s="141" t="n"/>
      <c r="V257" s="135" t="n"/>
      <c r="W257" s="135" t="n"/>
      <c r="X257" s="135" t="n"/>
      <c r="Y257" s="135" t="n"/>
      <c r="Z257" s="135" t="n"/>
      <c r="AA257" s="135" t="n"/>
      <c r="AB257" s="135" t="n"/>
      <c r="AC257" s="135" t="n">
        <v>1</v>
      </c>
      <c r="AD257" s="141" t="n"/>
      <c r="AE257" s="141" t="n"/>
    </row>
    <row r="258" ht="14.25" customHeight="1" s="142">
      <c r="A258" s="135" t="n">
        <v>8066</v>
      </c>
      <c r="B258" s="52" t="n"/>
      <c r="C258" s="143" t="inlineStr">
        <is>
          <t>魔法攻擊力+1%</t>
        </is>
      </c>
      <c r="D258" s="141" t="n"/>
      <c r="E258" s="141" t="n"/>
      <c r="F258" s="141" t="n"/>
      <c r="G258" s="141" t="n"/>
      <c r="H258" s="141" t="n"/>
      <c r="I258" s="20" t="n">
        <v>0.01</v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  <c r="S258" s="141" t="n"/>
      <c r="T258" s="141" t="n"/>
      <c r="U258" s="141" t="n"/>
      <c r="V258" s="135" t="n"/>
      <c r="W258" s="141" t="n"/>
      <c r="X258" s="141" t="n"/>
      <c r="Y258" s="141" t="n"/>
      <c r="Z258" s="141" t="n"/>
      <c r="AA258" s="141" t="n"/>
      <c r="AB258" s="141" t="n"/>
      <c r="AC258" s="135" t="n">
        <v>1</v>
      </c>
      <c r="AD258" s="141" t="n"/>
      <c r="AE258" s="141" t="n"/>
    </row>
    <row r="259" ht="14.25" customHeight="1" s="142">
      <c r="A259" s="135" t="n">
        <v>8067</v>
      </c>
      <c r="B259" s="52" t="n"/>
      <c r="C259" s="143" t="inlineStr">
        <is>
          <t>魔法攻擊力+1%</t>
        </is>
      </c>
      <c r="D259" s="141" t="n"/>
      <c r="E259" s="141" t="n"/>
      <c r="F259" s="141" t="n"/>
      <c r="G259" s="141" t="n"/>
      <c r="H259" s="141" t="n"/>
      <c r="I259" s="20" t="n">
        <v>0.01</v>
      </c>
      <c r="J259" s="141" t="n"/>
      <c r="K259" s="141" t="n"/>
      <c r="L259" s="141" t="n"/>
      <c r="M259" s="141" t="n"/>
      <c r="N259" s="141" t="n"/>
      <c r="O259" s="141" t="n"/>
      <c r="P259" s="141" t="n"/>
      <c r="Q259" s="141" t="n"/>
      <c r="R259" s="141" t="n"/>
      <c r="S259" s="141" t="n"/>
      <c r="T259" s="141" t="n"/>
      <c r="U259" s="141" t="n"/>
      <c r="V259" s="135" t="n"/>
      <c r="W259" s="141" t="n"/>
      <c r="X259" s="141" t="n"/>
      <c r="Y259" s="141" t="n"/>
      <c r="Z259" s="141" t="n"/>
      <c r="AA259" s="141" t="n"/>
      <c r="AB259" s="141" t="n"/>
      <c r="AC259" s="135" t="n">
        <v>1</v>
      </c>
      <c r="AD259" s="141" t="n"/>
      <c r="AE259" s="141" t="n"/>
    </row>
    <row r="260" ht="14.25" customHeight="1" s="142">
      <c r="A260" s="135" t="n">
        <v>8068</v>
      </c>
      <c r="B260" s="52" t="n"/>
      <c r="C260" s="143" t="inlineStr">
        <is>
          <t>魔法攻擊力+1%</t>
        </is>
      </c>
      <c r="D260" s="141" t="n"/>
      <c r="E260" s="141" t="n"/>
      <c r="F260" s="141" t="n"/>
      <c r="G260" s="141" t="n"/>
      <c r="H260" s="141" t="n"/>
      <c r="I260" s="20" t="n">
        <v>0.01</v>
      </c>
      <c r="J260" s="141" t="n"/>
      <c r="K260" s="141" t="n"/>
      <c r="L260" s="141" t="n"/>
      <c r="M260" s="141" t="n"/>
      <c r="N260" s="141" t="n"/>
      <c r="O260" s="141" t="n"/>
      <c r="P260" s="141" t="n"/>
      <c r="Q260" s="141" t="n"/>
      <c r="R260" s="141" t="n"/>
      <c r="S260" s="141" t="n"/>
      <c r="T260" s="141" t="n"/>
      <c r="U260" s="141" t="n"/>
      <c r="V260" s="135" t="n"/>
      <c r="W260" s="141" t="n"/>
      <c r="X260" s="141" t="n"/>
      <c r="Y260" s="141" t="n"/>
      <c r="Z260" s="141" t="n"/>
      <c r="AA260" s="141" t="n"/>
      <c r="AB260" s="141" t="n"/>
      <c r="AC260" s="135" t="n">
        <v>1</v>
      </c>
      <c r="AD260" s="141" t="n"/>
      <c r="AE260" s="141" t="n"/>
    </row>
    <row r="261" ht="14.25" customHeight="1" s="142">
      <c r="A261" s="135" t="n">
        <v>8069</v>
      </c>
      <c r="B261" s="52" t="n"/>
      <c r="C261" s="143" t="inlineStr">
        <is>
          <t>魔法攻擊力+1%</t>
        </is>
      </c>
      <c r="D261" s="141" t="n"/>
      <c r="E261" s="141" t="n"/>
      <c r="F261" s="141" t="n"/>
      <c r="G261" s="141" t="n"/>
      <c r="H261" s="141" t="n"/>
      <c r="I261" s="20" t="n">
        <v>0.01</v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  <c r="S261" s="141" t="n"/>
      <c r="T261" s="141" t="n"/>
      <c r="U261" s="141" t="n"/>
      <c r="V261" s="135" t="n"/>
      <c r="W261" s="141" t="n"/>
      <c r="X261" s="141" t="n"/>
      <c r="Y261" s="141" t="n"/>
      <c r="Z261" s="141" t="n"/>
      <c r="AA261" s="141" t="n"/>
      <c r="AB261" s="141" t="n"/>
      <c r="AC261" s="135" t="n">
        <v>1</v>
      </c>
      <c r="AD261" s="141" t="n"/>
      <c r="AE261" s="141" t="n"/>
    </row>
    <row r="262" ht="14.25" customHeight="1" s="142">
      <c r="A262" s="135" t="n">
        <v>8070</v>
      </c>
      <c r="B262" s="52" t="n"/>
      <c r="C262" s="143" t="inlineStr">
        <is>
          <t>魔法攻擊力+1%</t>
        </is>
      </c>
      <c r="D262" s="141" t="n"/>
      <c r="E262" s="141" t="n"/>
      <c r="F262" s="141" t="n"/>
      <c r="G262" s="141" t="n"/>
      <c r="H262" s="141" t="n"/>
      <c r="I262" s="20" t="n">
        <v>0.01</v>
      </c>
      <c r="J262" s="141" t="n"/>
      <c r="K262" s="141" t="n"/>
      <c r="L262" s="141" t="n"/>
      <c r="M262" s="141" t="n"/>
      <c r="N262" s="141" t="n"/>
      <c r="O262" s="141" t="n"/>
      <c r="P262" s="141" t="n"/>
      <c r="Q262" s="141" t="n"/>
      <c r="R262" s="141" t="n"/>
      <c r="S262" s="141" t="n"/>
      <c r="T262" s="141" t="n"/>
      <c r="U262" s="141" t="n"/>
      <c r="V262" s="135" t="n"/>
      <c r="W262" s="141" t="n"/>
      <c r="X262" s="141" t="n"/>
      <c r="Y262" s="141" t="n"/>
      <c r="Z262" s="141" t="n"/>
      <c r="AA262" s="141" t="n"/>
      <c r="AB262" s="141" t="n"/>
      <c r="AC262" s="135" t="n">
        <v>1</v>
      </c>
      <c r="AD262" s="141" t="n"/>
      <c r="AE262" s="141" t="n"/>
    </row>
    <row r="263" ht="14.25" customHeight="1" s="142">
      <c r="A263" s="135" t="n">
        <v>8071</v>
      </c>
      <c r="B263" s="52" t="n"/>
      <c r="C263" s="143" t="inlineStr">
        <is>
          <t>魔法攻擊力+1%</t>
        </is>
      </c>
      <c r="D263" s="141" t="n"/>
      <c r="E263" s="141" t="n"/>
      <c r="F263" s="141" t="n"/>
      <c r="G263" s="141" t="n"/>
      <c r="H263" s="141" t="n"/>
      <c r="I263" s="20" t="n">
        <v>0.01</v>
      </c>
      <c r="J263" s="141" t="n"/>
      <c r="K263" s="141" t="n"/>
      <c r="L263" s="141" t="n"/>
      <c r="M263" s="141" t="n"/>
      <c r="N263" s="141" t="n"/>
      <c r="O263" s="141" t="n"/>
      <c r="P263" s="141" t="n"/>
      <c r="Q263" s="141" t="n"/>
      <c r="R263" s="141" t="n"/>
      <c r="S263" s="141" t="n"/>
      <c r="T263" s="141" t="n"/>
      <c r="U263" s="141" t="n"/>
      <c r="V263" s="135" t="n"/>
      <c r="W263" s="141" t="n"/>
      <c r="X263" s="141" t="n"/>
      <c r="Y263" s="141" t="n"/>
      <c r="Z263" s="141" t="n"/>
      <c r="AA263" s="141" t="n"/>
      <c r="AB263" s="141" t="n"/>
      <c r="AC263" s="135" t="n">
        <v>1</v>
      </c>
      <c r="AD263" s="141" t="n"/>
      <c r="AE263" s="141" t="n"/>
    </row>
    <row r="264" ht="14.25" customHeight="1" s="142">
      <c r="A264" s="135" t="n">
        <v>8072</v>
      </c>
      <c r="B264" s="52" t="n"/>
      <c r="C264" s="143" t="inlineStr">
        <is>
          <t>魔法攻擊力+1%</t>
        </is>
      </c>
      <c r="D264" s="141" t="n"/>
      <c r="E264" s="141" t="n"/>
      <c r="F264" s="141" t="n"/>
      <c r="G264" s="141" t="n"/>
      <c r="H264" s="141" t="n"/>
      <c r="I264" s="20" t="n">
        <v>0.01</v>
      </c>
      <c r="J264" s="141" t="n"/>
      <c r="K264" s="141" t="n"/>
      <c r="L264" s="141" t="n"/>
      <c r="M264" s="141" t="n"/>
      <c r="N264" s="141" t="n"/>
      <c r="O264" s="141" t="n"/>
      <c r="P264" s="141" t="n"/>
      <c r="Q264" s="141" t="n"/>
      <c r="R264" s="141" t="n"/>
      <c r="S264" s="141" t="n"/>
      <c r="T264" s="141" t="n"/>
      <c r="U264" s="141" t="n"/>
      <c r="V264" s="135" t="n"/>
      <c r="W264" s="141" t="n"/>
      <c r="X264" s="141" t="n"/>
      <c r="Y264" s="141" t="n"/>
      <c r="Z264" s="141" t="n"/>
      <c r="AA264" s="141" t="n"/>
      <c r="AB264" s="141" t="n"/>
      <c r="AC264" s="135" t="n">
        <v>1</v>
      </c>
      <c r="AD264" s="141" t="n"/>
      <c r="AE264" s="141" t="n"/>
    </row>
    <row r="265" ht="14.25" customHeight="1" s="142">
      <c r="A265" s="135" t="n">
        <v>8073</v>
      </c>
      <c r="B265" s="52" t="n"/>
      <c r="C265" s="143" t="inlineStr">
        <is>
          <t>魔法攻擊力+1%</t>
        </is>
      </c>
      <c r="D265" s="141" t="n"/>
      <c r="E265" s="141" t="n"/>
      <c r="F265" s="141" t="n"/>
      <c r="G265" s="141" t="n"/>
      <c r="H265" s="141" t="n"/>
      <c r="I265" s="20" t="n">
        <v>0.01</v>
      </c>
      <c r="J265" s="141" t="n"/>
      <c r="K265" s="141" t="n"/>
      <c r="L265" s="141" t="n"/>
      <c r="M265" s="141" t="n"/>
      <c r="N265" s="141" t="n"/>
      <c r="O265" s="141" t="n"/>
      <c r="P265" s="141" t="n"/>
      <c r="Q265" s="141" t="n"/>
      <c r="R265" s="141" t="n"/>
      <c r="S265" s="141" t="n"/>
      <c r="T265" s="141" t="n"/>
      <c r="U265" s="141" t="n"/>
      <c r="V265" s="135" t="n"/>
      <c r="W265" s="141" t="n"/>
      <c r="X265" s="141" t="n"/>
      <c r="Y265" s="141" t="n"/>
      <c r="Z265" s="141" t="n"/>
      <c r="AA265" s="141" t="n"/>
      <c r="AB265" s="141" t="n"/>
      <c r="AC265" s="135" t="n">
        <v>1</v>
      </c>
      <c r="AD265" s="141" t="n"/>
      <c r="AE265" s="141" t="n"/>
    </row>
    <row r="266" ht="14.25" customHeight="1" s="142">
      <c r="A266" s="135" t="n">
        <v>8074</v>
      </c>
      <c r="B266" s="52" t="n"/>
      <c r="C266" s="143" t="inlineStr">
        <is>
          <t>解鎖魔導士</t>
        </is>
      </c>
      <c r="D266" s="141" t="n"/>
      <c r="E266" s="141" t="n"/>
      <c r="F266" s="141" t="n"/>
      <c r="G266" s="141" t="n"/>
      <c r="H266" s="141" t="n"/>
      <c r="I266" s="141" t="n"/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  <c r="S266" s="141" t="n"/>
      <c r="T266" s="141" t="n"/>
      <c r="U266" s="141" t="n"/>
      <c r="V266" s="135" t="n"/>
      <c r="W266" s="141" t="n"/>
      <c r="X266" s="141" t="n"/>
      <c r="Y266" s="141" t="n"/>
      <c r="Z266" s="141" t="n"/>
      <c r="AA266" s="141" t="n"/>
      <c r="AB266" s="141" t="n"/>
      <c r="AC266" s="135" t="n">
        <v>1</v>
      </c>
      <c r="AD266" s="141" t="n"/>
      <c r="AE266" s="141" t="n"/>
    </row>
    <row r="267" ht="14.25" customHeight="1" s="142">
      <c r="A267" s="135" t="n">
        <v>8075</v>
      </c>
      <c r="B267" s="52" t="n"/>
      <c r="C267" s="143" t="inlineStr">
        <is>
          <t>魔法攻擊力+1%</t>
        </is>
      </c>
      <c r="D267" s="141" t="n"/>
      <c r="E267" s="141" t="n"/>
      <c r="F267" s="141" t="n"/>
      <c r="G267" s="141" t="n"/>
      <c r="H267" s="141" t="n"/>
      <c r="I267" s="20" t="n">
        <v>0.01</v>
      </c>
      <c r="J267" s="141" t="n"/>
      <c r="K267" s="141" t="n"/>
      <c r="L267" s="141" t="n"/>
      <c r="M267" s="141" t="n"/>
      <c r="N267" s="141" t="n"/>
      <c r="O267" s="141" t="n"/>
      <c r="P267" s="141" t="n"/>
      <c r="Q267" s="141" t="n"/>
      <c r="R267" s="141" t="n"/>
      <c r="S267" s="141" t="n"/>
      <c r="T267" s="141" t="n"/>
      <c r="U267" s="141" t="n"/>
      <c r="V267" s="135" t="n"/>
      <c r="W267" s="141" t="n"/>
      <c r="X267" s="141" t="n"/>
      <c r="Y267" s="141" t="n"/>
      <c r="Z267" s="141" t="n"/>
      <c r="AA267" s="141" t="n"/>
      <c r="AB267" s="141" t="n"/>
      <c r="AC267" s="135" t="n">
        <v>1</v>
      </c>
      <c r="AD267" s="141" t="n"/>
      <c r="AE267" s="141" t="n"/>
    </row>
    <row r="268" ht="14.25" customHeight="1" s="142">
      <c r="A268" s="135" t="n">
        <v>8076</v>
      </c>
      <c r="B268" s="52" t="n"/>
      <c r="C268" s="143" t="inlineStr">
        <is>
          <t>魔法攻擊力+1%</t>
        </is>
      </c>
      <c r="D268" s="141" t="n"/>
      <c r="E268" s="141" t="n"/>
      <c r="F268" s="141" t="n"/>
      <c r="G268" s="141" t="n"/>
      <c r="H268" s="141" t="n"/>
      <c r="I268" s="20" t="n">
        <v>0.01</v>
      </c>
      <c r="J268" s="141" t="n"/>
      <c r="K268" s="141" t="n"/>
      <c r="L268" s="141" t="n"/>
      <c r="M268" s="141" t="n"/>
      <c r="N268" s="141" t="n"/>
      <c r="O268" s="141" t="n"/>
      <c r="P268" s="141" t="n"/>
      <c r="Q268" s="141" t="n"/>
      <c r="R268" s="141" t="n"/>
      <c r="S268" s="141" t="n"/>
      <c r="T268" s="141" t="n"/>
      <c r="U268" s="141" t="n"/>
      <c r="V268" s="135" t="n"/>
      <c r="W268" s="141" t="n"/>
      <c r="X268" s="141" t="n"/>
      <c r="Y268" s="141" t="n"/>
      <c r="Z268" s="141" t="n"/>
      <c r="AA268" s="141" t="n"/>
      <c r="AB268" s="141" t="n"/>
      <c r="AC268" s="135" t="n">
        <v>1</v>
      </c>
      <c r="AD268" s="141" t="n"/>
      <c r="AE268" s="141" t="n"/>
    </row>
    <row r="269" ht="14.25" customHeight="1" s="142">
      <c r="A269" s="135" t="n">
        <v>8077</v>
      </c>
      <c r="B269" s="52" t="n"/>
      <c r="C269" s="143" t="inlineStr">
        <is>
          <t>魔法攻擊力+1%</t>
        </is>
      </c>
      <c r="D269" s="141" t="n"/>
      <c r="E269" s="141" t="n"/>
      <c r="F269" s="141" t="n"/>
      <c r="G269" s="141" t="n"/>
      <c r="H269" s="141" t="n"/>
      <c r="I269" s="20" t="n">
        <v>0.01</v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  <c r="S269" s="141" t="n"/>
      <c r="T269" s="141" t="n"/>
      <c r="U269" s="141" t="n"/>
      <c r="V269" s="135" t="n"/>
      <c r="W269" s="141" t="n"/>
      <c r="X269" s="141" t="n"/>
      <c r="Y269" s="141" t="n"/>
      <c r="Z269" s="141" t="n"/>
      <c r="AA269" s="141" t="n"/>
      <c r="AB269" s="141" t="n"/>
      <c r="AC269" s="135" t="n">
        <v>1</v>
      </c>
      <c r="AD269" s="141" t="n"/>
      <c r="AE269" s="141" t="n"/>
    </row>
    <row r="270" ht="14.25" customHeight="1" s="142">
      <c r="A270" s="135" t="n">
        <v>8078</v>
      </c>
      <c r="B270" s="52" t="n"/>
      <c r="C270" s="143" t="inlineStr">
        <is>
          <t>魔法攻擊力+1%</t>
        </is>
      </c>
      <c r="D270" s="141" t="n"/>
      <c r="E270" s="141" t="n"/>
      <c r="F270" s="141" t="n"/>
      <c r="G270" s="141" t="n"/>
      <c r="H270" s="141" t="n"/>
      <c r="I270" s="20" t="n">
        <v>0.01</v>
      </c>
      <c r="J270" s="141" t="n"/>
      <c r="K270" s="141" t="n"/>
      <c r="L270" s="141" t="n"/>
      <c r="M270" s="141" t="n"/>
      <c r="N270" s="141" t="n"/>
      <c r="O270" s="141" t="n"/>
      <c r="P270" s="141" t="n"/>
      <c r="Q270" s="141" t="n"/>
      <c r="R270" s="141" t="n"/>
      <c r="S270" s="141" t="n"/>
      <c r="T270" s="141" t="n"/>
      <c r="U270" s="141" t="n"/>
      <c r="V270" s="135" t="n"/>
      <c r="W270" s="141" t="n"/>
      <c r="X270" s="141" t="n"/>
      <c r="Y270" s="141" t="n"/>
      <c r="Z270" s="141" t="n"/>
      <c r="AA270" s="141" t="n"/>
      <c r="AB270" s="141" t="n"/>
      <c r="AC270" s="135" t="n">
        <v>1</v>
      </c>
      <c r="AD270" s="141" t="n"/>
      <c r="AE270" s="141" t="n"/>
    </row>
    <row r="271" ht="14.25" customHeight="1" s="142">
      <c r="A271" s="135" t="n">
        <v>8079</v>
      </c>
      <c r="B271" s="52" t="n"/>
      <c r="C271" s="143" t="inlineStr">
        <is>
          <t>魔法攻擊力+1%</t>
        </is>
      </c>
      <c r="D271" s="141" t="n"/>
      <c r="E271" s="141" t="n"/>
      <c r="F271" s="141" t="n"/>
      <c r="G271" s="141" t="n"/>
      <c r="H271" s="141" t="n"/>
      <c r="I271" s="20" t="n">
        <v>0.01</v>
      </c>
      <c r="J271" s="141" t="n"/>
      <c r="K271" s="141" t="n"/>
      <c r="L271" s="141" t="n"/>
      <c r="M271" s="141" t="n"/>
      <c r="N271" s="141" t="n"/>
      <c r="O271" s="141" t="n"/>
      <c r="P271" s="141" t="n"/>
      <c r="Q271" s="141" t="n"/>
      <c r="R271" s="141" t="n"/>
      <c r="S271" s="141" t="n"/>
      <c r="T271" s="141" t="n"/>
      <c r="U271" s="141" t="n"/>
      <c r="V271" s="135" t="n"/>
      <c r="W271" s="141" t="n"/>
      <c r="X271" s="141" t="n"/>
      <c r="Y271" s="141" t="n"/>
      <c r="Z271" s="141" t="n"/>
      <c r="AA271" s="141" t="n"/>
      <c r="AB271" s="141" t="n"/>
      <c r="AC271" s="135" t="n">
        <v>1</v>
      </c>
      <c r="AD271" s="141" t="n"/>
      <c r="AE271" s="141" t="n"/>
    </row>
    <row r="272" ht="14.25" customHeight="1" s="142">
      <c r="A272" s="135" t="n">
        <v>8080</v>
      </c>
      <c r="B272" s="52" t="n"/>
      <c r="C272" s="143" t="inlineStr">
        <is>
          <t>魔法攻擊力+1%</t>
        </is>
      </c>
      <c r="D272" s="141" t="n"/>
      <c r="E272" s="141" t="n"/>
      <c r="F272" s="141" t="n"/>
      <c r="G272" s="141" t="n"/>
      <c r="H272" s="141" t="n"/>
      <c r="I272" s="20" t="n">
        <v>0.01</v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  <c r="S272" s="141" t="n"/>
      <c r="T272" s="141" t="n"/>
      <c r="U272" s="141" t="n"/>
      <c r="V272" s="135" t="n"/>
      <c r="W272" s="141" t="n"/>
      <c r="X272" s="141" t="n"/>
      <c r="Y272" s="141" t="n"/>
      <c r="Z272" s="141" t="n"/>
      <c r="AA272" s="141" t="n"/>
      <c r="AB272" s="141" t="n"/>
      <c r="AC272" s="135" t="n">
        <v>1</v>
      </c>
      <c r="AD272" s="141" t="n"/>
      <c r="AE272" s="141" t="n"/>
    </row>
    <row r="273" ht="14.25" customHeight="1" s="142">
      <c r="A273" s="135" t="n">
        <v>8081</v>
      </c>
      <c r="B273" s="52" t="n"/>
      <c r="C273" s="143" t="inlineStr">
        <is>
          <t>魔法攻擊力+1%</t>
        </is>
      </c>
      <c r="D273" s="141" t="n"/>
      <c r="E273" s="141" t="n"/>
      <c r="F273" s="141" t="n"/>
      <c r="G273" s="141" t="n"/>
      <c r="H273" s="141" t="n"/>
      <c r="I273" s="20" t="n">
        <v>0.01</v>
      </c>
      <c r="J273" s="141" t="n"/>
      <c r="K273" s="141" t="n"/>
      <c r="L273" s="141" t="n"/>
      <c r="M273" s="141" t="n"/>
      <c r="N273" s="141" t="n"/>
      <c r="O273" s="141" t="n"/>
      <c r="P273" s="141" t="n"/>
      <c r="Q273" s="141" t="n"/>
      <c r="R273" s="141" t="n"/>
      <c r="S273" s="141" t="n"/>
      <c r="T273" s="141" t="n"/>
      <c r="U273" s="141" t="n"/>
      <c r="V273" s="135" t="n"/>
      <c r="W273" s="141" t="n"/>
      <c r="X273" s="141" t="n"/>
      <c r="Y273" s="141" t="n"/>
      <c r="Z273" s="141" t="n"/>
      <c r="AA273" s="141" t="n"/>
      <c r="AB273" s="141" t="n"/>
      <c r="AC273" s="135" t="n">
        <v>1</v>
      </c>
      <c r="AD273" s="141" t="n"/>
      <c r="AE273" s="141" t="n"/>
    </row>
    <row r="274" ht="14.25" customHeight="1" s="142">
      <c r="A274" s="135" t="n">
        <v>8082</v>
      </c>
      <c r="B274" s="52" t="n"/>
      <c r="C274" s="143" t="inlineStr">
        <is>
          <t>魔法攻擊力+1%</t>
        </is>
      </c>
      <c r="D274" s="141" t="n"/>
      <c r="E274" s="141" t="n"/>
      <c r="F274" s="141" t="n"/>
      <c r="G274" s="141" t="n"/>
      <c r="H274" s="141" t="n"/>
      <c r="I274" s="20" t="n">
        <v>0.01</v>
      </c>
      <c r="J274" s="141" t="n"/>
      <c r="K274" s="141" t="n"/>
      <c r="L274" s="141" t="n"/>
      <c r="M274" s="141" t="n"/>
      <c r="N274" s="141" t="n"/>
      <c r="O274" s="141" t="n"/>
      <c r="P274" s="141" t="n"/>
      <c r="Q274" s="141" t="n"/>
      <c r="R274" s="141" t="n"/>
      <c r="S274" s="141" t="n"/>
      <c r="T274" s="141" t="n"/>
      <c r="U274" s="141" t="n"/>
      <c r="V274" s="135" t="n"/>
      <c r="W274" s="141" t="n"/>
      <c r="X274" s="141" t="n"/>
      <c r="Y274" s="141" t="n"/>
      <c r="Z274" s="141" t="n"/>
      <c r="AA274" s="141" t="n"/>
      <c r="AB274" s="141" t="n"/>
      <c r="AC274" s="135" t="n">
        <v>1</v>
      </c>
      <c r="AD274" s="141" t="n"/>
      <c r="AE274" s="141" t="n"/>
    </row>
    <row r="275" ht="14.25" customHeight="1" s="142">
      <c r="A275" s="135" t="n">
        <v>8083</v>
      </c>
      <c r="B275" s="52" t="n"/>
      <c r="C275" s="143" t="inlineStr">
        <is>
          <t>魔法攻擊力+1%</t>
        </is>
      </c>
      <c r="D275" s="141" t="n"/>
      <c r="E275" s="141" t="n"/>
      <c r="F275" s="141" t="n"/>
      <c r="G275" s="141" t="n"/>
      <c r="H275" s="141" t="n"/>
      <c r="I275" s="20" t="n">
        <v>0.01</v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  <c r="S275" s="141" t="n"/>
      <c r="T275" s="141" t="n"/>
      <c r="U275" s="141" t="n"/>
      <c r="V275" s="135" t="n"/>
      <c r="W275" s="141" t="n"/>
      <c r="X275" s="141" t="n"/>
      <c r="Y275" s="141" t="n"/>
      <c r="Z275" s="141" t="n"/>
      <c r="AA275" s="141" t="n"/>
      <c r="AB275" s="141" t="n"/>
      <c r="AC275" s="135" t="n">
        <v>1</v>
      </c>
      <c r="AD275" s="141" t="n"/>
      <c r="AE275" s="141" t="n"/>
    </row>
    <row r="276" ht="14.25" customHeight="1" s="142">
      <c r="A276" s="135" t="n">
        <v>8084</v>
      </c>
      <c r="B276" s="52" t="n"/>
      <c r="C276" s="143" t="inlineStr">
        <is>
          <t>魔法攻擊力+1%</t>
        </is>
      </c>
      <c r="D276" s="141" t="n"/>
      <c r="E276" s="141" t="n"/>
      <c r="F276" s="141" t="n"/>
      <c r="G276" s="141" t="n"/>
      <c r="H276" s="141" t="n"/>
      <c r="I276" s="20" t="n">
        <v>0.01</v>
      </c>
      <c r="J276" s="141" t="n"/>
      <c r="K276" s="141" t="n"/>
      <c r="L276" s="141" t="n"/>
      <c r="M276" s="141" t="n"/>
      <c r="N276" s="141" t="n"/>
      <c r="O276" s="141" t="n"/>
      <c r="P276" s="141" t="n"/>
      <c r="Q276" s="141" t="n"/>
      <c r="R276" s="141" t="n"/>
      <c r="S276" s="141" t="n"/>
      <c r="T276" s="141" t="n"/>
      <c r="U276" s="141" t="n"/>
      <c r="V276" s="135" t="n"/>
      <c r="W276" s="141" t="n"/>
      <c r="X276" s="141" t="n"/>
      <c r="Y276" s="141" t="n"/>
      <c r="Z276" s="141" t="n"/>
      <c r="AA276" s="141" t="n"/>
      <c r="AB276" s="141" t="n"/>
      <c r="AC276" s="135" t="n">
        <v>1</v>
      </c>
      <c r="AD276" s="141" t="n"/>
      <c r="AE276" s="141" t="n"/>
    </row>
    <row r="277" ht="14.25" customHeight="1" s="142">
      <c r="A277" s="135" t="n">
        <v>8085</v>
      </c>
      <c r="B277" s="52" t="n"/>
      <c r="C277" s="143" t="inlineStr">
        <is>
          <t>魔法攻擊力+1%</t>
        </is>
      </c>
      <c r="D277" s="141" t="n"/>
      <c r="E277" s="141" t="n"/>
      <c r="F277" s="141" t="n"/>
      <c r="G277" s="141" t="n"/>
      <c r="H277" s="141" t="n"/>
      <c r="I277" s="20" t="n">
        <v>0.01</v>
      </c>
      <c r="J277" s="141" t="n"/>
      <c r="K277" s="141" t="n"/>
      <c r="L277" s="141" t="n"/>
      <c r="M277" s="141" t="n"/>
      <c r="N277" s="141" t="n"/>
      <c r="O277" s="141" t="n"/>
      <c r="P277" s="141" t="n"/>
      <c r="Q277" s="141" t="n"/>
      <c r="R277" s="141" t="n"/>
      <c r="S277" s="141" t="n"/>
      <c r="T277" s="141" t="n"/>
      <c r="U277" s="141" t="n"/>
      <c r="V277" s="135" t="n"/>
      <c r="W277" s="141" t="n"/>
      <c r="X277" s="141" t="n"/>
      <c r="Y277" s="141" t="n"/>
      <c r="Z277" s="141" t="n"/>
      <c r="AA277" s="141" t="n"/>
      <c r="AB277" s="141" t="n"/>
      <c r="AC277" s="135" t="n">
        <v>1</v>
      </c>
      <c r="AD277" s="141" t="n"/>
      <c r="AE277" s="141" t="n"/>
    </row>
    <row r="278" ht="14.25" customHeight="1" s="142">
      <c r="A278" s="135" t="n">
        <v>8086</v>
      </c>
      <c r="B278" s="52" t="n"/>
      <c r="C278" s="143" t="inlineStr">
        <is>
          <t>魔法攻擊力+1%</t>
        </is>
      </c>
      <c r="D278" s="141" t="n"/>
      <c r="E278" s="141" t="n"/>
      <c r="F278" s="141" t="n"/>
      <c r="G278" s="141" t="n"/>
      <c r="H278" s="141" t="n"/>
      <c r="I278" s="20" t="n">
        <v>0.01</v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  <c r="S278" s="141" t="n"/>
      <c r="T278" s="141" t="n"/>
      <c r="U278" s="141" t="n"/>
      <c r="V278" s="135" t="n"/>
      <c r="W278" s="141" t="n"/>
      <c r="X278" s="141" t="n"/>
      <c r="Y278" s="141" t="n"/>
      <c r="Z278" s="141" t="n"/>
      <c r="AA278" s="141" t="n"/>
      <c r="AB278" s="141" t="n"/>
      <c r="AC278" s="135" t="n">
        <v>1</v>
      </c>
      <c r="AD278" s="141" t="n"/>
      <c r="AE278" s="141" t="n"/>
    </row>
    <row r="279" ht="14.25" customHeight="1" s="142">
      <c r="A279" s="135" t="n">
        <v>8087</v>
      </c>
      <c r="B279" s="52" t="n"/>
      <c r="C279" s="143" t="inlineStr">
        <is>
          <t>魔法攻擊力+1%</t>
        </is>
      </c>
      <c r="D279" s="141" t="n"/>
      <c r="E279" s="141" t="n"/>
      <c r="F279" s="141" t="n"/>
      <c r="G279" s="141" t="n"/>
      <c r="H279" s="141" t="n"/>
      <c r="I279" s="20" t="n">
        <v>0.01</v>
      </c>
      <c r="J279" s="141" t="n"/>
      <c r="K279" s="141" t="n"/>
      <c r="L279" s="141" t="n"/>
      <c r="M279" s="141" t="n"/>
      <c r="N279" s="141" t="n"/>
      <c r="O279" s="141" t="n"/>
      <c r="P279" s="141" t="n"/>
      <c r="Q279" s="141" t="n"/>
      <c r="R279" s="141" t="n"/>
      <c r="S279" s="141" t="n"/>
      <c r="T279" s="141" t="n"/>
      <c r="U279" s="141" t="n"/>
      <c r="V279" s="135" t="n"/>
      <c r="W279" s="141" t="n"/>
      <c r="X279" s="141" t="n"/>
      <c r="Y279" s="141" t="n"/>
      <c r="Z279" s="141" t="n"/>
      <c r="AA279" s="141" t="n"/>
      <c r="AB279" s="141" t="n"/>
      <c r="AC279" s="135" t="n">
        <v>1</v>
      </c>
      <c r="AD279" s="141" t="n"/>
      <c r="AE279" s="141" t="n"/>
    </row>
    <row r="280" ht="14.25" customHeight="1" s="142">
      <c r="A280" s="135" t="n">
        <v>8088</v>
      </c>
      <c r="B280" s="52" t="n"/>
      <c r="C280" s="143" t="inlineStr">
        <is>
          <t>魔法攻擊力+1%</t>
        </is>
      </c>
      <c r="D280" s="141" t="n"/>
      <c r="E280" s="141" t="n"/>
      <c r="F280" s="141" t="n"/>
      <c r="G280" s="141" t="n"/>
      <c r="H280" s="141" t="n"/>
      <c r="I280" s="20" t="n">
        <v>0.01</v>
      </c>
      <c r="J280" s="141" t="n"/>
      <c r="K280" s="141" t="n"/>
      <c r="L280" s="141" t="n"/>
      <c r="M280" s="141" t="n"/>
      <c r="N280" s="141" t="n"/>
      <c r="O280" s="141" t="n"/>
      <c r="P280" s="141" t="n"/>
      <c r="Q280" s="141" t="n"/>
      <c r="R280" s="141" t="n"/>
      <c r="S280" s="141" t="n"/>
      <c r="T280" s="141" t="n"/>
      <c r="U280" s="141" t="n"/>
      <c r="V280" s="135" t="n"/>
      <c r="W280" s="141" t="n"/>
      <c r="X280" s="141" t="n"/>
      <c r="Y280" s="141" t="n"/>
      <c r="Z280" s="141" t="n"/>
      <c r="AA280" s="141" t="n"/>
      <c r="AB280" s="141" t="n"/>
      <c r="AC280" s="135" t="n">
        <v>1</v>
      </c>
      <c r="AD280" s="141" t="n"/>
      <c r="AE280" s="141" t="n"/>
    </row>
    <row r="281" ht="14.25" customHeight="1" s="142">
      <c r="A281" s="135" t="n">
        <v>8089</v>
      </c>
      <c r="B281" s="52" t="n"/>
      <c r="C281" s="143" t="inlineStr">
        <is>
          <t>解鎖神官</t>
        </is>
      </c>
      <c r="D281" s="141" t="n"/>
      <c r="E281" s="141" t="n"/>
      <c r="F281" s="141" t="n"/>
      <c r="G281" s="141" t="n"/>
      <c r="H281" s="141" t="n"/>
      <c r="I281" s="141" t="n"/>
      <c r="J281" s="141" t="n"/>
      <c r="K281" s="141" t="n"/>
      <c r="L281" s="141" t="n"/>
      <c r="M281" s="141" t="n"/>
      <c r="N281" s="141" t="n"/>
      <c r="O281" s="141" t="n"/>
      <c r="P281" s="141" t="n"/>
      <c r="Q281" s="141" t="n"/>
      <c r="R281" s="141" t="n"/>
      <c r="S281" s="141" t="n"/>
      <c r="T281" s="141" t="n"/>
      <c r="U281" s="141" t="n"/>
      <c r="V281" s="135" t="n"/>
      <c r="W281" s="141" t="n"/>
      <c r="X281" s="141" t="n"/>
      <c r="Y281" s="141" t="n"/>
      <c r="Z281" s="141" t="n"/>
      <c r="AA281" s="141" t="n"/>
      <c r="AB281" s="141" t="n"/>
      <c r="AC281" s="135" t="n">
        <v>1</v>
      </c>
      <c r="AD281" s="141" t="n"/>
      <c r="AE281" s="141" t="n"/>
    </row>
    <row r="282" ht="14.25" customHeight="1" s="142">
      <c r="A282" s="45" t="n"/>
      <c r="B282" s="45" t="n"/>
      <c r="V282" s="45" t="n"/>
    </row>
    <row r="283" ht="14.25" customHeight="1" s="142">
      <c r="A283" s="45" t="n"/>
      <c r="B283" s="45" t="n"/>
      <c r="V283" s="45" t="n"/>
    </row>
    <row r="284" ht="14.25" customHeight="1" s="142">
      <c r="A284" s="45" t="n"/>
      <c r="B284" s="45" t="n"/>
      <c r="V284" s="45" t="n"/>
    </row>
    <row r="285" ht="14.25" customHeight="1" s="142">
      <c r="A285" s="45" t="n"/>
      <c r="B285" s="45" t="n"/>
      <c r="V285" s="45" t="n"/>
    </row>
    <row r="286" ht="14.25" customHeight="1" s="142">
      <c r="A286" s="45" t="n"/>
      <c r="B286" s="45" t="n"/>
      <c r="V286" s="45" t="n"/>
    </row>
    <row r="287" ht="14.25" customHeight="1" s="142">
      <c r="A287" s="45" t="n"/>
      <c r="B287" s="45" t="n"/>
      <c r="V287" s="45" t="n"/>
    </row>
    <row r="288" ht="14.25" customHeight="1" s="142">
      <c r="A288" s="45" t="n"/>
      <c r="B288" s="45" t="n"/>
      <c r="V288" s="45" t="n"/>
    </row>
    <row r="289" ht="14.25" customHeight="1" s="142">
      <c r="A289" s="45" t="n"/>
      <c r="B289" s="45" t="n"/>
      <c r="V289" s="45" t="n"/>
    </row>
    <row r="290" ht="14.25" customHeight="1" s="142">
      <c r="A290" s="45" t="n"/>
      <c r="B290" s="45" t="n"/>
      <c r="V290" s="45" t="n"/>
    </row>
    <row r="291" ht="14.25" customHeight="1" s="142">
      <c r="A291" s="45" t="n"/>
      <c r="B291" s="45" t="n"/>
      <c r="V291" s="45" t="n"/>
    </row>
    <row r="292" ht="14.25" customHeight="1" s="142">
      <c r="A292" s="45" t="n"/>
      <c r="B292" s="45" t="n"/>
      <c r="V292" s="45" t="n"/>
    </row>
    <row r="293" ht="14.25" customHeight="1" s="142">
      <c r="A293" s="40" t="inlineStr">
        <is>
          <t>buff_id</t>
        </is>
      </c>
      <c r="B293" s="40" t="inlineStr">
        <is>
          <t>buff名稱</t>
        </is>
      </c>
      <c r="C293" s="40" t="inlineStr">
        <is>
          <t>buff_info</t>
        </is>
      </c>
      <c r="D293" s="40" t="inlineStr">
        <is>
          <t>#備註用</t>
        </is>
      </c>
      <c r="E293" s="40" t="inlineStr">
        <is>
          <t>buff_exchange</t>
        </is>
      </c>
      <c r="F293" s="40" t="inlineStr">
        <is>
          <t>tag</t>
        </is>
      </c>
      <c r="G293" s="40" t="inlineStr">
        <is>
          <t>element</t>
        </is>
      </c>
      <c r="H293" s="40" t="inlineStr">
        <is>
          <t>ATK</t>
        </is>
      </c>
      <c r="I293" s="40" t="inlineStr">
        <is>
          <t>MATK</t>
        </is>
      </c>
      <c r="J293" s="40" t="inlineStr">
        <is>
          <t>DEF</t>
        </is>
      </c>
      <c r="K293" s="40" t="inlineStr">
        <is>
          <t>MDEF</t>
        </is>
      </c>
      <c r="L293" s="40" t="inlineStr">
        <is>
          <t>CRI</t>
        </is>
      </c>
      <c r="M293" s="40" t="inlineStr">
        <is>
          <t>MP</t>
        </is>
      </c>
      <c r="N293" s="40" t="inlineStr">
        <is>
          <t>cri_resist</t>
        </is>
      </c>
      <c r="O293" s="40" t="inlineStr">
        <is>
          <t>AGI</t>
        </is>
      </c>
      <c r="P293" s="40" t="inlineStr">
        <is>
          <t>damage_reflect</t>
        </is>
      </c>
      <c r="Q293" s="40" t="inlineStr">
        <is>
          <t>cri_damage</t>
        </is>
      </c>
      <c r="R293" s="40" t="inlineStr">
        <is>
          <t>cri_damage_resist</t>
        </is>
      </c>
      <c r="S293" s="40" t="inlineStr">
        <is>
          <t>skill_rate</t>
        </is>
      </c>
      <c r="T293" s="40" t="inlineStr">
        <is>
          <t>skill_resist</t>
        </is>
      </c>
      <c r="U293" s="40" t="inlineStr">
        <is>
          <t>damage_increase</t>
        </is>
      </c>
      <c r="V293" s="40" t="inlineStr">
        <is>
          <t>damage_reduce</t>
        </is>
      </c>
      <c r="W293" s="40" t="inlineStr">
        <is>
          <t>reflashAble</t>
        </is>
      </c>
      <c r="X293" s="40" t="inlineStr">
        <is>
          <t>max_stack</t>
        </is>
      </c>
      <c r="Y293" s="48" t="inlineStr">
        <is>
          <t>持續回合數</t>
        </is>
      </c>
      <c r="Z293" s="40" t="inlineStr">
        <is>
          <t>effective_turn</t>
        </is>
      </c>
      <c r="AA293" s="40" t="inlineStr">
        <is>
          <t>effective_currenthp_higher</t>
        </is>
      </c>
      <c r="AB293" s="40" t="inlineStr">
        <is>
          <t>effective_currenthp_lower</t>
        </is>
      </c>
      <c r="AC293" s="40" t="inlineStr">
        <is>
          <t>invisible</t>
        </is>
      </c>
      <c r="AD293" s="40" t="inlineStr">
        <is>
          <t>set_info</t>
        </is>
      </c>
      <c r="AE293" s="141" t="inlineStr">
        <is>
          <t>effective_count</t>
        </is>
      </c>
    </row>
    <row r="294" ht="14.25" customHeight="1" s="142">
      <c r="A294" s="135" t="n">
        <v>9001</v>
      </c>
      <c r="B294" s="137" t="inlineStr">
        <is>
          <t>艷陽高照</t>
        </is>
      </c>
      <c r="C294" s="141" t="inlineStr">
        <is>
          <t>ATK+10%</t>
        </is>
      </c>
      <c r="D294" s="135" t="inlineStr">
        <is>
          <t>buff</t>
        </is>
      </c>
      <c r="E294" s="141" t="n"/>
      <c r="F294" s="141" t="n"/>
      <c r="G294" s="141" t="n"/>
      <c r="H294" s="141" t="n">
        <v>0.1</v>
      </c>
      <c r="I294" s="141" t="n"/>
      <c r="J294" s="141" t="n"/>
      <c r="K294" s="141" t="n"/>
      <c r="L294" s="141" t="n"/>
      <c r="M294" s="141" t="n"/>
      <c r="N294" s="141" t="n"/>
      <c r="O294" s="141" t="n"/>
      <c r="P294" s="141" t="n"/>
      <c r="Q294" s="141" t="n"/>
      <c r="R294" s="141" t="n"/>
      <c r="S294" s="141" t="n"/>
      <c r="T294" s="141" t="n"/>
      <c r="U294" s="141" t="n"/>
      <c r="V294" s="135" t="n"/>
      <c r="W294" s="135">
        <f>FALSE()</f>
        <v/>
      </c>
      <c r="X294" s="135" t="n">
        <v>1</v>
      </c>
      <c r="Y294" s="135" t="n">
        <v>3</v>
      </c>
      <c r="Z294" s="141" t="n"/>
      <c r="AA294" s="141" t="n"/>
      <c r="AB294" s="141" t="n"/>
      <c r="AC294" s="141" t="n"/>
      <c r="AD294" s="135" t="n"/>
      <c r="AE294" s="141" t="n"/>
    </row>
    <row r="295" ht="14.25" customHeight="1" s="142">
      <c r="A295" s="135" t="n">
        <v>9002</v>
      </c>
      <c r="B295" s="137" t="inlineStr">
        <is>
          <t>草原風</t>
        </is>
      </c>
      <c r="C295" s="141" t="inlineStr">
        <is>
          <t>agi+5%</t>
        </is>
      </c>
      <c r="D295" s="135" t="inlineStr">
        <is>
          <t>buff</t>
        </is>
      </c>
      <c r="E295" s="141" t="n"/>
      <c r="F295" s="141" t="n"/>
      <c r="G295" s="141" t="n"/>
      <c r="H295" s="141" t="n"/>
      <c r="I295" s="141" t="n"/>
      <c r="J295" s="141" t="n"/>
      <c r="K295" s="141" t="n"/>
      <c r="L295" s="141" t="n"/>
      <c r="M295" s="141" t="n"/>
      <c r="N295" s="141" t="n"/>
      <c r="O295" s="141" t="n">
        <v>0.05</v>
      </c>
      <c r="P295" s="141" t="n"/>
      <c r="Q295" s="141" t="n"/>
      <c r="R295" s="141" t="n"/>
      <c r="S295" s="141" t="n"/>
      <c r="T295" s="141" t="n"/>
      <c r="U295" s="141" t="n"/>
      <c r="V295" s="135" t="n"/>
      <c r="W295" s="135">
        <f>FALSE()</f>
        <v/>
      </c>
      <c r="X295" s="135" t="n">
        <v>1</v>
      </c>
      <c r="Y295" s="135" t="n">
        <v>3</v>
      </c>
      <c r="Z295" s="141" t="n"/>
      <c r="AA295" s="141" t="n"/>
      <c r="AB295" s="141" t="n"/>
      <c r="AC295" s="141" t="n"/>
      <c r="AD295" s="135" t="n"/>
      <c r="AE295" s="141" t="n"/>
    </row>
    <row r="296" ht="14.25" customHeight="1" s="142">
      <c r="A296" s="135" t="n">
        <v>9003</v>
      </c>
      <c r="B296" s="137" t="inlineStr">
        <is>
          <t>大雨滂沱</t>
        </is>
      </c>
      <c r="C296" s="141" t="inlineStr">
        <is>
          <t>agi-10%</t>
        </is>
      </c>
      <c r="D296" s="135" t="inlineStr">
        <is>
          <t>debuff</t>
        </is>
      </c>
      <c r="E296" s="141" t="n"/>
      <c r="F296" s="141" t="n"/>
      <c r="G296" s="141" t="n"/>
      <c r="H296" s="141" t="n"/>
      <c r="I296" s="141" t="n"/>
      <c r="J296" s="141" t="n"/>
      <c r="K296" s="141" t="n"/>
      <c r="L296" s="141" t="n"/>
      <c r="M296" s="141" t="n"/>
      <c r="N296" s="141" t="n"/>
      <c r="O296" s="141" t="n">
        <v>-0.1</v>
      </c>
      <c r="P296" s="141" t="n"/>
      <c r="Q296" s="141" t="n"/>
      <c r="R296" s="141" t="n"/>
      <c r="S296" s="141" t="n"/>
      <c r="T296" s="141" t="n"/>
      <c r="U296" s="141" t="n"/>
      <c r="V296" s="135" t="n"/>
      <c r="W296" s="135">
        <f>FALSE()</f>
        <v/>
      </c>
      <c r="X296" s="135" t="n">
        <v>1</v>
      </c>
      <c r="Y296" s="135" t="n">
        <v>3</v>
      </c>
      <c r="Z296" s="141" t="n"/>
      <c r="AA296" s="141" t="n"/>
      <c r="AB296" s="141" t="n"/>
      <c r="AC296" s="141" t="n"/>
      <c r="AD296" s="135" t="n"/>
      <c r="AE296" s="141" t="n"/>
    </row>
    <row r="297" ht="14.25" customHeight="1" s="142">
      <c r="A297" s="135" t="n">
        <v>9004</v>
      </c>
      <c r="B297" s="137" t="inlineStr">
        <is>
          <t>毛毛雨</t>
        </is>
      </c>
      <c r="C297" s="141" t="inlineStr">
        <is>
          <t>mdef-10%</t>
        </is>
      </c>
      <c r="D297" s="135" t="inlineStr">
        <is>
          <t>debuff</t>
        </is>
      </c>
      <c r="E297" s="141" t="n"/>
      <c r="F297" s="141" t="n"/>
      <c r="G297" s="141" t="n"/>
      <c r="H297" s="141" t="n"/>
      <c r="I297" s="141" t="n"/>
      <c r="J297" s="141" t="n"/>
      <c r="K297" s="141" t="n">
        <v>-0.1</v>
      </c>
      <c r="L297" s="141" t="n"/>
      <c r="M297" s="141" t="n"/>
      <c r="N297" s="141" t="n"/>
      <c r="O297" s="141" t="n"/>
      <c r="P297" s="141" t="n"/>
      <c r="Q297" s="141" t="n"/>
      <c r="R297" s="141" t="n"/>
      <c r="S297" s="141" t="n"/>
      <c r="T297" s="141" t="n"/>
      <c r="U297" s="141" t="n"/>
      <c r="V297" s="135" t="n"/>
      <c r="W297" s="135">
        <f>FALSE()</f>
        <v/>
      </c>
      <c r="X297" s="135" t="n">
        <v>1</v>
      </c>
      <c r="Y297" s="135" t="n">
        <v>3</v>
      </c>
      <c r="Z297" s="141" t="n"/>
      <c r="AA297" s="141" t="n"/>
      <c r="AB297" s="141" t="n"/>
      <c r="AC297" s="141" t="n"/>
      <c r="AD297" s="135" t="n"/>
      <c r="AE297" s="141" t="n"/>
    </row>
    <row r="298" ht="14.25" customHeight="1" s="142">
      <c r="A298" s="135" t="n">
        <v>9005</v>
      </c>
      <c r="B298" s="137" t="inlineStr">
        <is>
          <t>神諭</t>
        </is>
      </c>
      <c r="C298" s="141" t="inlineStr">
        <is>
          <t>MATK+10%</t>
        </is>
      </c>
      <c r="D298" s="135" t="inlineStr">
        <is>
          <t>buff</t>
        </is>
      </c>
      <c r="E298" s="141" t="n"/>
      <c r="F298" s="141" t="n"/>
      <c r="G298" s="141" t="n"/>
      <c r="H298" s="141" t="n"/>
      <c r="I298" s="141" t="n">
        <v>0.1</v>
      </c>
      <c r="J298" s="141" t="n"/>
      <c r="K298" s="141" t="n"/>
      <c r="L298" s="141" t="n"/>
      <c r="M298" s="141" t="n"/>
      <c r="N298" s="141" t="n"/>
      <c r="O298" s="141" t="n"/>
      <c r="P298" s="141" t="n"/>
      <c r="Q298" s="141" t="n"/>
      <c r="R298" s="141" t="n"/>
      <c r="S298" s="141" t="n"/>
      <c r="T298" s="141" t="n"/>
      <c r="U298" s="141" t="n"/>
      <c r="V298" s="135" t="n"/>
      <c r="W298" s="135">
        <f>FALSE()</f>
        <v/>
      </c>
      <c r="X298" s="135" t="n">
        <v>1</v>
      </c>
      <c r="Y298" s="135" t="n">
        <v>3</v>
      </c>
      <c r="Z298" s="141" t="n"/>
      <c r="AA298" s="141" t="n"/>
      <c r="AB298" s="141" t="n"/>
      <c r="AC298" s="141" t="n"/>
      <c r="AD298" s="135" t="n"/>
      <c r="AE298" s="141" t="n"/>
    </row>
    <row r="299" ht="14.25" customHeight="1" s="142">
      <c r="A299" s="135" t="n">
        <v>9006</v>
      </c>
      <c r="B299" s="137" t="inlineStr">
        <is>
          <t>滑動陷阱</t>
        </is>
      </c>
      <c r="C299" s="137" t="inlineStr">
        <is>
          <t>增加受到傷害+10%</t>
        </is>
      </c>
      <c r="D299" s="135" t="inlineStr">
        <is>
          <t>buff</t>
        </is>
      </c>
      <c r="E299" s="141" t="n"/>
      <c r="F299" s="141" t="n"/>
      <c r="G299" s="141" t="n"/>
      <c r="H299" s="141" t="n"/>
      <c r="I299" s="141" t="n"/>
      <c r="J299" s="141" t="n"/>
      <c r="K299" s="141" t="n"/>
      <c r="L299" s="141" t="n"/>
      <c r="M299" s="141" t="n"/>
      <c r="N299" s="141" t="n"/>
      <c r="O299" s="141" t="n"/>
      <c r="P299" s="141" t="n"/>
      <c r="Q299" s="141" t="n"/>
      <c r="R299" s="141" t="n"/>
      <c r="S299" s="141" t="n"/>
      <c r="T299" s="141" t="n"/>
      <c r="U299" s="141" t="n"/>
      <c r="V299" s="135" t="n">
        <v>-0.1</v>
      </c>
      <c r="W299" s="135">
        <f>FALSE()</f>
        <v/>
      </c>
      <c r="X299" s="135" t="n">
        <v>1</v>
      </c>
      <c r="Y299" s="135" t="n">
        <v>3</v>
      </c>
      <c r="Z299" s="141" t="n"/>
      <c r="AA299" s="141" t="n"/>
      <c r="AB299" s="141" t="n"/>
      <c r="AC299" s="141" t="n"/>
      <c r="AD299" s="135" t="n"/>
      <c r="AE299" s="141" t="n"/>
    </row>
    <row r="300" ht="14.25" customHeight="1" s="142">
      <c r="A300" s="135" t="n">
        <v>9007</v>
      </c>
      <c r="B300" s="137" t="inlineStr">
        <is>
          <t>強風陷阱</t>
        </is>
      </c>
      <c r="C300" s="141" t="inlineStr">
        <is>
          <t>DEF/MDEF-10%</t>
        </is>
      </c>
      <c r="D300" s="135" t="inlineStr">
        <is>
          <t>debuff</t>
        </is>
      </c>
      <c r="E300" s="141" t="n"/>
      <c r="F300" s="141" t="n"/>
      <c r="G300" s="141" t="n"/>
      <c r="H300" s="141" t="n"/>
      <c r="I300" s="141" t="n"/>
      <c r="J300" s="141" t="n">
        <v>-0.1</v>
      </c>
      <c r="K300" s="141" t="n">
        <v>-0.1</v>
      </c>
      <c r="L300" s="141" t="n"/>
      <c r="M300" s="141" t="n"/>
      <c r="N300" s="141" t="n"/>
      <c r="O300" s="141" t="n"/>
      <c r="P300" s="141" t="n"/>
      <c r="Q300" s="141" t="n"/>
      <c r="R300" s="141" t="n"/>
      <c r="S300" s="141" t="n"/>
      <c r="T300" s="141" t="n"/>
      <c r="U300" s="141" t="n"/>
      <c r="V300" s="135" t="n"/>
      <c r="W300" s="135">
        <f>FALSE()</f>
        <v/>
      </c>
      <c r="X300" s="135" t="n">
        <v>1</v>
      </c>
      <c r="Y300" s="135" t="n">
        <v>3</v>
      </c>
      <c r="Z300" s="141" t="n"/>
      <c r="AA300" s="141" t="n"/>
      <c r="AB300" s="141" t="n"/>
      <c r="AC300" s="141" t="n"/>
      <c r="AD300" s="135" t="n"/>
      <c r="AE300" s="141" t="n"/>
    </row>
    <row r="301" ht="14.25" customHeight="1" s="142">
      <c r="A301" s="135" t="n">
        <v>9008</v>
      </c>
      <c r="B301" s="137" t="inlineStr">
        <is>
          <t>衰弱陷阱</t>
        </is>
      </c>
      <c r="C301" s="141" t="inlineStr">
        <is>
          <t>ATK/MATK-10%</t>
        </is>
      </c>
      <c r="D301" s="135" t="inlineStr">
        <is>
          <t>debuff</t>
        </is>
      </c>
      <c r="E301" s="141" t="n"/>
      <c r="F301" s="141" t="n"/>
      <c r="G301" s="141" t="n"/>
      <c r="H301" s="141" t="n">
        <v>-0.1</v>
      </c>
      <c r="I301" s="141" t="n">
        <v>-0.1</v>
      </c>
      <c r="J301" s="141" t="n"/>
      <c r="K301" s="141" t="n"/>
      <c r="L301" s="141" t="n"/>
      <c r="M301" s="141" t="n"/>
      <c r="N301" s="141" t="n"/>
      <c r="O301" s="141" t="n"/>
      <c r="P301" s="141" t="n"/>
      <c r="Q301" s="141" t="n"/>
      <c r="R301" s="141" t="n"/>
      <c r="S301" s="141" t="n"/>
      <c r="T301" s="141" t="n"/>
      <c r="U301" s="141" t="n"/>
      <c r="V301" s="135" t="n"/>
      <c r="W301" s="135">
        <f>FALSE()</f>
        <v/>
      </c>
      <c r="X301" s="135" t="n">
        <v>1</v>
      </c>
      <c r="Y301" s="135" t="n">
        <v>3</v>
      </c>
      <c r="Z301" s="141" t="n"/>
      <c r="AA301" s="141" t="n"/>
      <c r="AB301" s="141" t="n"/>
      <c r="AC301" s="141" t="n"/>
      <c r="AD301" s="135" t="n"/>
      <c r="AE301" s="141" t="n"/>
    </row>
    <row r="302" ht="14.25" customHeight="1" s="142">
      <c r="A302" s="135" t="n">
        <v>9009</v>
      </c>
      <c r="B302" s="137" t="inlineStr">
        <is>
          <t>同伴幫助</t>
        </is>
      </c>
      <c r="C302" s="137" t="inlineStr">
        <is>
          <t>持續回魔10</t>
        </is>
      </c>
      <c r="D302" s="135" t="inlineStr">
        <is>
          <t>buff</t>
        </is>
      </c>
      <c r="E302" s="141" t="n"/>
      <c r="F302" s="141" t="n"/>
      <c r="G302" s="141" t="n"/>
      <c r="H302" s="141" t="n"/>
      <c r="I302" s="141" t="n"/>
      <c r="J302" s="141" t="n"/>
      <c r="K302" s="141" t="n"/>
      <c r="L302" s="141" t="n"/>
      <c r="M302" s="141" t="n">
        <v>10</v>
      </c>
      <c r="N302" s="141" t="n"/>
      <c r="O302" s="141" t="n"/>
      <c r="P302" s="141" t="n"/>
      <c r="Q302" s="141" t="n"/>
      <c r="R302" s="141" t="n"/>
      <c r="S302" s="141" t="n"/>
      <c r="T302" s="141" t="n"/>
      <c r="U302" s="141" t="n"/>
      <c r="V302" s="135" t="n"/>
      <c r="W302" s="135">
        <f>FALSE()</f>
        <v/>
      </c>
      <c r="X302" s="135" t="n">
        <v>1</v>
      </c>
      <c r="Y302" s="135" t="n">
        <v>3</v>
      </c>
      <c r="Z302" s="141" t="n"/>
      <c r="AA302" s="141" t="n"/>
      <c r="AB302" s="141" t="n"/>
      <c r="AC302" s="141" t="n"/>
      <c r="AD302" s="135" t="n"/>
      <c r="AE302" s="141" t="n"/>
    </row>
    <row r="303" ht="14.25" customHeight="1" s="142">
      <c r="A303" s="135" t="n">
        <v>9010</v>
      </c>
      <c r="B303" s="137" t="inlineStr">
        <is>
          <t>能量流失</t>
        </is>
      </c>
      <c r="C303" s="137" t="inlineStr">
        <is>
          <t>持續扣魔10</t>
        </is>
      </c>
      <c r="D303" s="135" t="inlineStr">
        <is>
          <t>debuff</t>
        </is>
      </c>
      <c r="E303" s="141" t="n"/>
      <c r="F303" s="141" t="n"/>
      <c r="G303" s="141" t="n"/>
      <c r="H303" s="141" t="n"/>
      <c r="I303" s="141" t="n"/>
      <c r="J303" s="141" t="n"/>
      <c r="K303" s="141" t="n"/>
      <c r="L303" s="141" t="n"/>
      <c r="M303" s="141" t="n">
        <v>-10</v>
      </c>
      <c r="N303" s="141" t="n"/>
      <c r="O303" s="141" t="n"/>
      <c r="P303" s="141" t="n"/>
      <c r="Q303" s="141" t="n"/>
      <c r="R303" s="141" t="n"/>
      <c r="S303" s="141" t="n"/>
      <c r="T303" s="141" t="n"/>
      <c r="U303" s="141" t="n"/>
      <c r="V303" s="135" t="n"/>
      <c r="W303" s="135">
        <f>FALSE()</f>
        <v/>
      </c>
      <c r="X303" s="135" t="n">
        <v>1</v>
      </c>
      <c r="Y303" s="135" t="n">
        <v>3</v>
      </c>
      <c r="Z303" s="141" t="n"/>
      <c r="AA303" s="141" t="n"/>
      <c r="AB303" s="141" t="n"/>
      <c r="AC303" s="141" t="n"/>
      <c r="AD303" s="135" t="n"/>
      <c r="AE303" s="141" t="n"/>
    </row>
    <row r="304" ht="14.25" customHeight="1" s="142">
      <c r="A304" s="135" t="n">
        <v>9011</v>
      </c>
      <c r="B304" s="137" t="inlineStr">
        <is>
          <t>魔能外漏</t>
        </is>
      </c>
      <c r="C304" s="141" t="inlineStr">
        <is>
          <t>mdef-20%</t>
        </is>
      </c>
      <c r="D304" s="135" t="inlineStr">
        <is>
          <t>debuff</t>
        </is>
      </c>
      <c r="E304" s="141" t="n"/>
      <c r="F304" s="141" t="n"/>
      <c r="G304" s="141" t="n"/>
      <c r="H304" s="141" t="n"/>
      <c r="I304" s="141" t="n"/>
      <c r="J304" s="141" t="n"/>
      <c r="K304" s="141" t="n">
        <v>-0.2</v>
      </c>
      <c r="L304" s="141" t="n"/>
      <c r="M304" s="141" t="n"/>
      <c r="N304" s="141" t="n"/>
      <c r="O304" s="141" t="n"/>
      <c r="P304" s="141" t="n"/>
      <c r="Q304" s="141" t="n"/>
      <c r="R304" s="141" t="n"/>
      <c r="S304" s="141" t="n"/>
      <c r="T304" s="141" t="n"/>
      <c r="U304" s="141" t="n"/>
      <c r="V304" s="135" t="n"/>
      <c r="W304" s="135">
        <f>FALSE()</f>
        <v/>
      </c>
      <c r="X304" s="135" t="n">
        <v>1</v>
      </c>
      <c r="Y304" s="135" t="n">
        <v>3</v>
      </c>
      <c r="Z304" s="141" t="n"/>
      <c r="AA304" s="141" t="n"/>
      <c r="AB304" s="141" t="n"/>
      <c r="AC304" s="141" t="n"/>
      <c r="AD304" s="135" t="n"/>
      <c r="AE304" s="141" t="n"/>
    </row>
    <row r="305" ht="14.25" customHeight="1" s="142">
      <c r="A305" s="135" t="n">
        <v>9012</v>
      </c>
      <c r="B305" s="137" t="inlineStr">
        <is>
          <t>敵人干擾</t>
        </is>
      </c>
      <c r="C305" s="141" t="inlineStr">
        <is>
          <t>ATK-20%</t>
        </is>
      </c>
      <c r="D305" s="135" t="inlineStr">
        <is>
          <t>debuff</t>
        </is>
      </c>
      <c r="E305" s="141" t="n"/>
      <c r="F305" s="141" t="n"/>
      <c r="G305" s="141" t="n"/>
      <c r="H305" s="141" t="n">
        <v>-0.2</v>
      </c>
      <c r="I305" s="141" t="n"/>
      <c r="J305" s="141" t="n"/>
      <c r="K305" s="141" t="n"/>
      <c r="L305" s="141" t="n"/>
      <c r="M305" s="141" t="n"/>
      <c r="N305" s="141" t="n"/>
      <c r="O305" s="141" t="n"/>
      <c r="P305" s="141" t="n"/>
      <c r="Q305" s="141" t="n"/>
      <c r="R305" s="141" t="n"/>
      <c r="S305" s="141" t="n"/>
      <c r="T305" s="141" t="n"/>
      <c r="U305" s="141" t="n"/>
      <c r="V305" s="135" t="n"/>
      <c r="W305" s="135">
        <f>FALSE()</f>
        <v/>
      </c>
      <c r="X305" s="135" t="n">
        <v>1</v>
      </c>
      <c r="Y305" s="135" t="n">
        <v>3</v>
      </c>
      <c r="Z305" s="141" t="n"/>
      <c r="AA305" s="141" t="n"/>
      <c r="AB305" s="141" t="n"/>
      <c r="AC305" s="141" t="n"/>
      <c r="AD305" s="135" t="n"/>
      <c r="AE305" s="141" t="n"/>
    </row>
    <row r="306" ht="14.25" customHeight="1" s="142">
      <c r="A306" s="45" t="n"/>
      <c r="B306" s="45" t="n"/>
      <c r="V306" s="45" t="n"/>
    </row>
    <row r="307" ht="14.25" customHeight="1" s="142">
      <c r="A307" s="45" t="n"/>
      <c r="B307" s="45" t="n"/>
      <c r="V307" s="45" t="n"/>
    </row>
    <row r="308" ht="14.25" customHeight="1" s="142">
      <c r="A308" s="45" t="n"/>
      <c r="B308" s="45" t="n"/>
      <c r="V308" s="45" t="n"/>
    </row>
    <row r="309" ht="14.25" customHeight="1" s="142">
      <c r="A309" s="45" t="n"/>
      <c r="V309" s="45" t="n"/>
    </row>
    <row r="310" ht="14.25" customHeight="1" s="142">
      <c r="A310" s="45" t="n"/>
      <c r="V310" s="45" t="n"/>
    </row>
    <row r="311" ht="14.25" customHeight="1" s="142">
      <c r="A311" s="40" t="inlineStr">
        <is>
          <t>buff_id</t>
        </is>
      </c>
      <c r="B311" s="40" t="inlineStr">
        <is>
          <t>buff名稱</t>
        </is>
      </c>
      <c r="C311" s="40" t="inlineStr">
        <is>
          <t>buff_info</t>
        </is>
      </c>
      <c r="D311" s="40" t="inlineStr">
        <is>
          <t>#備註用</t>
        </is>
      </c>
      <c r="E311" s="40" t="inlineStr">
        <is>
          <t>buff_exchange</t>
        </is>
      </c>
      <c r="F311" s="40" t="inlineStr">
        <is>
          <t>tag</t>
        </is>
      </c>
      <c r="G311" s="40" t="inlineStr">
        <is>
          <t>element</t>
        </is>
      </c>
      <c r="H311" s="40" t="inlineStr">
        <is>
          <t>ATK</t>
        </is>
      </c>
      <c r="I311" s="40" t="inlineStr">
        <is>
          <t>MATK</t>
        </is>
      </c>
      <c r="J311" s="40" t="inlineStr">
        <is>
          <t>DEF</t>
        </is>
      </c>
      <c r="K311" s="40" t="inlineStr">
        <is>
          <t>MDEF</t>
        </is>
      </c>
      <c r="L311" s="40" t="inlineStr">
        <is>
          <t>CRI</t>
        </is>
      </c>
      <c r="M311" s="40" t="inlineStr">
        <is>
          <t>MP</t>
        </is>
      </c>
      <c r="N311" s="40" t="inlineStr">
        <is>
          <t>cri_resist</t>
        </is>
      </c>
      <c r="O311" s="40" t="inlineStr">
        <is>
          <t>AGI</t>
        </is>
      </c>
      <c r="P311" s="40" t="inlineStr">
        <is>
          <t>damage_reflect</t>
        </is>
      </c>
      <c r="Q311" s="40" t="inlineStr">
        <is>
          <t>cri_damage</t>
        </is>
      </c>
      <c r="R311" s="40" t="inlineStr">
        <is>
          <t>cri_damage_resist</t>
        </is>
      </c>
      <c r="S311" s="40" t="inlineStr">
        <is>
          <t>skill_rate</t>
        </is>
      </c>
      <c r="T311" s="40" t="inlineStr">
        <is>
          <t>skill_resist</t>
        </is>
      </c>
      <c r="U311" s="40" t="inlineStr">
        <is>
          <t>damage_increase</t>
        </is>
      </c>
      <c r="V311" s="40" t="inlineStr">
        <is>
          <t>damage_reduce</t>
        </is>
      </c>
      <c r="W311" s="40" t="inlineStr">
        <is>
          <t>reflashAble</t>
        </is>
      </c>
      <c r="X311" s="40" t="inlineStr">
        <is>
          <t>max_stack</t>
        </is>
      </c>
      <c r="Y311" s="48" t="inlineStr">
        <is>
          <t>持續回合數</t>
        </is>
      </c>
      <c r="Z311" s="40" t="inlineStr">
        <is>
          <t>effective_turn</t>
        </is>
      </c>
      <c r="AA311" s="40" t="inlineStr">
        <is>
          <t>effective_currenthp_higher</t>
        </is>
      </c>
      <c r="AB311" s="40" t="inlineStr">
        <is>
          <t>effective_currenthp_lower</t>
        </is>
      </c>
      <c r="AC311" s="40" t="inlineStr">
        <is>
          <t>invisible</t>
        </is>
      </c>
      <c r="AD311" s="40" t="inlineStr">
        <is>
          <t>set_info</t>
        </is>
      </c>
      <c r="AE311" s="141" t="inlineStr">
        <is>
          <t>effective_count</t>
        </is>
      </c>
    </row>
    <row r="312" ht="14.25" customHeight="1" s="142">
      <c r="A312" s="141" t="n">
        <v>9900</v>
      </c>
      <c r="B312" s="141" t="inlineStr">
        <is>
          <t>#深思熟慮</t>
        </is>
      </c>
      <c r="C312" s="141" t="inlineStr">
        <is>
          <t>ATK+10%</t>
        </is>
      </c>
      <c r="D312" s="135" t="inlineStr">
        <is>
          <t>buff</t>
        </is>
      </c>
      <c r="E312" s="141" t="n"/>
      <c r="F312" s="141" t="n"/>
      <c r="G312" s="141" t="n"/>
      <c r="H312" s="141" t="n">
        <v>0.1</v>
      </c>
      <c r="I312" s="141" t="n"/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  <c r="S312" s="141" t="n"/>
      <c r="T312" s="141" t="n"/>
      <c r="U312" s="141" t="n"/>
      <c r="V312" s="135" t="n"/>
      <c r="W312" s="135">
        <f>FALSE()</f>
        <v/>
      </c>
      <c r="X312" s="135" t="n">
        <v>1</v>
      </c>
      <c r="Y312" s="135" t="n">
        <v>3</v>
      </c>
      <c r="Z312" s="141" t="n"/>
      <c r="AA312" s="141" t="n"/>
      <c r="AB312" s="141" t="n"/>
      <c r="AC312" s="141" t="n">
        <v>1</v>
      </c>
      <c r="AD312" s="135" t="n"/>
      <c r="AE312" s="141" t="n"/>
    </row>
    <row r="313" ht="14.25" customHeight="1" s="142">
      <c r="A313" s="141">
        <f>A312+1</f>
        <v/>
      </c>
      <c r="B313" s="141" t="inlineStr">
        <is>
          <t>#壯如巨樹</t>
        </is>
      </c>
      <c r="C313" s="141" t="inlineStr">
        <is>
          <t>ATK+10%</t>
        </is>
      </c>
      <c r="D313" s="135" t="inlineStr">
        <is>
          <t>buff</t>
        </is>
      </c>
      <c r="E313" s="141" t="n"/>
      <c r="F313" s="141" t="n"/>
      <c r="G313" s="141" t="n"/>
      <c r="H313" s="141" t="n">
        <v>0.1</v>
      </c>
      <c r="I313" s="141" t="n"/>
      <c r="J313" s="141" t="n"/>
      <c r="K313" s="141" t="n"/>
      <c r="L313" s="141" t="n"/>
      <c r="M313" s="141" t="n"/>
      <c r="N313" s="141" t="n"/>
      <c r="O313" s="141" t="n"/>
      <c r="P313" s="141" t="n"/>
      <c r="Q313" s="141" t="n"/>
      <c r="R313" s="141" t="n"/>
      <c r="S313" s="141" t="n"/>
      <c r="T313" s="141" t="n"/>
      <c r="U313" s="141" t="n"/>
      <c r="V313" s="135" t="n"/>
      <c r="W313" s="135">
        <f>FALSE()</f>
        <v/>
      </c>
      <c r="X313" s="135" t="n">
        <v>1</v>
      </c>
      <c r="Y313" s="135" t="n">
        <v>3</v>
      </c>
      <c r="Z313" s="141" t="n"/>
      <c r="AA313" s="141" t="n"/>
      <c r="AB313" s="141" t="n"/>
      <c r="AC313" s="141" t="n">
        <v>1</v>
      </c>
      <c r="AD313" s="135" t="n"/>
      <c r="AE313" s="141" t="n"/>
    </row>
    <row r="314" ht="14.25" customHeight="1" s="142">
      <c r="A314" s="141">
        <f>A313+1</f>
        <v/>
      </c>
      <c r="B314" s="141" t="inlineStr">
        <is>
          <t>#高速移動</t>
        </is>
      </c>
      <c r="C314" s="141" t="inlineStr">
        <is>
          <t>ATK+10%</t>
        </is>
      </c>
      <c r="D314" s="135" t="inlineStr">
        <is>
          <t>buff</t>
        </is>
      </c>
      <c r="E314" s="141" t="n"/>
      <c r="F314" s="141" t="n"/>
      <c r="G314" s="141" t="n"/>
      <c r="H314" s="141" t="n">
        <v>0.1</v>
      </c>
      <c r="I314" s="141" t="n"/>
      <c r="J314" s="141" t="n"/>
      <c r="K314" s="141" t="n"/>
      <c r="L314" s="141" t="n"/>
      <c r="M314" s="141" t="n"/>
      <c r="N314" s="141" t="n"/>
      <c r="O314" s="141" t="n"/>
      <c r="P314" s="141" t="n"/>
      <c r="Q314" s="141" t="n"/>
      <c r="R314" s="141" t="n"/>
      <c r="S314" s="141" t="n"/>
      <c r="T314" s="141" t="n"/>
      <c r="U314" s="141" t="n"/>
      <c r="V314" s="135" t="n"/>
      <c r="W314" s="135">
        <f>FALSE()</f>
        <v/>
      </c>
      <c r="X314" s="135" t="n">
        <v>1</v>
      </c>
      <c r="Y314" s="135" t="n">
        <v>3</v>
      </c>
      <c r="Z314" s="141" t="n"/>
      <c r="AA314" s="141" t="n"/>
      <c r="AB314" s="141" t="n"/>
      <c r="AC314" s="141" t="n">
        <v>1</v>
      </c>
      <c r="AD314" s="135" t="n"/>
      <c r="AE314" s="141" t="n"/>
    </row>
    <row r="315" ht="14.25" customHeight="1" s="142">
      <c r="A315" s="141">
        <f>A314+1</f>
        <v/>
      </c>
      <c r="B315" s="141" t="inlineStr">
        <is>
          <t>#力大無窮</t>
        </is>
      </c>
      <c r="C315" s="141" t="inlineStr">
        <is>
          <t>ATK+10%</t>
        </is>
      </c>
      <c r="D315" s="135" t="inlineStr">
        <is>
          <t>buff</t>
        </is>
      </c>
      <c r="E315" s="141" t="n"/>
      <c r="F315" s="141" t="n"/>
      <c r="G315" s="141" t="n"/>
      <c r="H315" s="141" t="n">
        <v>0.1</v>
      </c>
      <c r="I315" s="141" t="n"/>
      <c r="J315" s="141" t="n"/>
      <c r="K315" s="141" t="n"/>
      <c r="L315" s="141" t="n"/>
      <c r="M315" s="141" t="n"/>
      <c r="N315" s="141" t="n"/>
      <c r="O315" s="141" t="n"/>
      <c r="P315" s="141" t="n"/>
      <c r="Q315" s="141" t="n"/>
      <c r="R315" s="141" t="n"/>
      <c r="S315" s="141" t="n"/>
      <c r="T315" s="141" t="n"/>
      <c r="U315" s="141" t="n"/>
      <c r="V315" s="135" t="n"/>
      <c r="W315" s="135">
        <f>FALSE()</f>
        <v/>
      </c>
      <c r="X315" s="135" t="n">
        <v>1</v>
      </c>
      <c r="Y315" s="135" t="n">
        <v>3</v>
      </c>
      <c r="Z315" s="141" t="n"/>
      <c r="AA315" s="141" t="n"/>
      <c r="AB315" s="141" t="n"/>
      <c r="AC315" s="141" t="n">
        <v>1</v>
      </c>
      <c r="AD315" s="135" t="n"/>
      <c r="AE315" s="141" t="n"/>
    </row>
    <row r="316" ht="14.25" customHeight="1" s="142">
      <c r="A316" s="141">
        <f>A315+1</f>
        <v/>
      </c>
      <c r="B316" s="141" t="inlineStr">
        <is>
          <t>#彈無虛發</t>
        </is>
      </c>
      <c r="C316" s="141" t="inlineStr">
        <is>
          <t>ATK+10%</t>
        </is>
      </c>
      <c r="D316" s="135" t="inlineStr">
        <is>
          <t>buff</t>
        </is>
      </c>
      <c r="E316" s="141" t="n"/>
      <c r="F316" s="141" t="n"/>
      <c r="G316" s="141" t="n"/>
      <c r="H316" s="141" t="n">
        <v>0.1</v>
      </c>
      <c r="I316" s="141" t="n"/>
      <c r="J316" s="141" t="n"/>
      <c r="K316" s="141" t="n"/>
      <c r="L316" s="141" t="n"/>
      <c r="M316" s="141" t="n"/>
      <c r="N316" s="141" t="n"/>
      <c r="O316" s="141" t="n"/>
      <c r="P316" s="141" t="n"/>
      <c r="Q316" s="141" t="n"/>
      <c r="R316" s="141" t="n"/>
      <c r="S316" s="141" t="n"/>
      <c r="T316" s="141" t="n"/>
      <c r="U316" s="141" t="n"/>
      <c r="V316" s="135" t="n"/>
      <c r="W316" s="135">
        <f>FALSE()</f>
        <v/>
      </c>
      <c r="X316" s="135" t="n">
        <v>1</v>
      </c>
      <c r="Y316" s="135" t="n">
        <v>3</v>
      </c>
      <c r="Z316" s="141" t="n"/>
      <c r="AA316" s="141" t="n"/>
      <c r="AB316" s="141" t="n"/>
      <c r="AC316" s="141" t="n">
        <v>1</v>
      </c>
      <c r="AD316" s="135" t="n"/>
      <c r="AE316" s="141" t="n"/>
    </row>
    <row r="317" ht="14.25" customHeight="1" s="142">
      <c r="A317" s="141">
        <f>A316+1</f>
        <v/>
      </c>
      <c r="B317" s="141" t="inlineStr">
        <is>
          <t>#無限精神</t>
        </is>
      </c>
      <c r="C317" s="141" t="inlineStr">
        <is>
          <t>ATK+10%</t>
        </is>
      </c>
      <c r="D317" s="135" t="inlineStr">
        <is>
          <t>buff</t>
        </is>
      </c>
      <c r="E317" s="141" t="n"/>
      <c r="F317" s="141" t="n"/>
      <c r="G317" s="141" t="n"/>
      <c r="H317" s="141" t="n">
        <v>0.1</v>
      </c>
      <c r="I317" s="141" t="n"/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  <c r="S317" s="141" t="n"/>
      <c r="T317" s="141" t="n"/>
      <c r="U317" s="141" t="n"/>
      <c r="V317" s="135" t="n"/>
      <c r="W317" s="135">
        <f>FALSE()</f>
        <v/>
      </c>
      <c r="X317" s="135" t="n">
        <v>1</v>
      </c>
      <c r="Y317" s="135" t="n">
        <v>3</v>
      </c>
      <c r="Z317" s="141" t="n"/>
      <c r="AA317" s="141" t="n"/>
      <c r="AB317" s="141" t="n"/>
      <c r="AC317" s="141" t="n">
        <v>1</v>
      </c>
      <c r="AD317" s="135" t="n"/>
      <c r="AE317" s="141" t="n"/>
    </row>
    <row r="318" ht="14.25" customHeight="1" s="142">
      <c r="A318" s="141">
        <f>A317+1</f>
        <v/>
      </c>
      <c r="B318" s="141" t="inlineStr">
        <is>
          <t>#領悟</t>
        </is>
      </c>
      <c r="C318" s="141" t="inlineStr">
        <is>
          <t>ATK+10%</t>
        </is>
      </c>
      <c r="D318" s="135" t="inlineStr">
        <is>
          <t>buff</t>
        </is>
      </c>
      <c r="E318" s="141" t="n"/>
      <c r="F318" s="141" t="n"/>
      <c r="G318" s="141" t="n"/>
      <c r="H318" s="141" t="n">
        <v>0.1</v>
      </c>
      <c r="I318" s="141" t="n"/>
      <c r="J318" s="141" t="n"/>
      <c r="K318" s="141" t="n"/>
      <c r="L318" s="141" t="n"/>
      <c r="M318" s="141" t="n"/>
      <c r="N318" s="141" t="n"/>
      <c r="O318" s="141" t="n"/>
      <c r="P318" s="141" t="n"/>
      <c r="Q318" s="141" t="n"/>
      <c r="R318" s="141" t="n"/>
      <c r="S318" s="141" t="n"/>
      <c r="T318" s="141" t="n"/>
      <c r="U318" s="141" t="n"/>
      <c r="V318" s="135" t="n"/>
      <c r="W318" s="135">
        <f>FALSE()</f>
        <v/>
      </c>
      <c r="X318" s="135" t="n">
        <v>1</v>
      </c>
      <c r="Y318" s="135" t="n">
        <v>3</v>
      </c>
      <c r="Z318" s="141" t="n"/>
      <c r="AA318" s="141" t="n"/>
      <c r="AB318" s="141" t="n"/>
      <c r="AC318" s="141" t="n">
        <v>1</v>
      </c>
      <c r="AD318" s="135" t="n"/>
      <c r="AE318" s="141" t="n"/>
    </row>
    <row r="319" ht="14.25" customHeight="1" s="142">
      <c r="A319" s="141">
        <f>A318+1</f>
        <v/>
      </c>
      <c r="B319" s="141" t="inlineStr">
        <is>
          <t>#強壯</t>
        </is>
      </c>
      <c r="C319" s="141" t="inlineStr">
        <is>
          <t>ATK+10%</t>
        </is>
      </c>
      <c r="D319" s="135" t="inlineStr">
        <is>
          <t>buff</t>
        </is>
      </c>
      <c r="E319" s="141" t="n"/>
      <c r="F319" s="141" t="n"/>
      <c r="G319" s="141" t="n"/>
      <c r="H319" s="141" t="n">
        <v>0.1</v>
      </c>
      <c r="I319" s="141" t="n"/>
      <c r="J319" s="141" t="n"/>
      <c r="K319" s="141" t="n"/>
      <c r="L319" s="141" t="n"/>
      <c r="M319" s="141" t="n"/>
      <c r="N319" s="141" t="n"/>
      <c r="O319" s="141" t="n"/>
      <c r="P319" s="141" t="n"/>
      <c r="Q319" s="141" t="n"/>
      <c r="R319" s="141" t="n"/>
      <c r="S319" s="141" t="n"/>
      <c r="T319" s="141" t="n"/>
      <c r="U319" s="141" t="n"/>
      <c r="V319" s="135" t="n"/>
      <c r="W319" s="135">
        <f>FALSE()</f>
        <v/>
      </c>
      <c r="X319" s="135" t="n">
        <v>1</v>
      </c>
      <c r="Y319" s="135" t="n">
        <v>3</v>
      </c>
      <c r="Z319" s="141" t="n"/>
      <c r="AA319" s="141" t="n"/>
      <c r="AB319" s="141" t="n"/>
      <c r="AC319" s="141" t="n">
        <v>1</v>
      </c>
      <c r="AD319" s="135" t="n"/>
      <c r="AE319" s="141" t="n"/>
    </row>
    <row r="320" ht="14.25" customHeight="1" s="142">
      <c r="A320" s="141">
        <f>A319+1</f>
        <v/>
      </c>
      <c r="B320" s="141" t="inlineStr">
        <is>
          <t>#速度</t>
        </is>
      </c>
      <c r="C320" s="141" t="inlineStr">
        <is>
          <t>ATK+10%</t>
        </is>
      </c>
      <c r="D320" s="135" t="inlineStr">
        <is>
          <t>buff</t>
        </is>
      </c>
      <c r="E320" s="141" t="n"/>
      <c r="F320" s="141" t="n"/>
      <c r="G320" s="141" t="n"/>
      <c r="H320" s="141" t="n">
        <v>0.1</v>
      </c>
      <c r="I320" s="141" t="n"/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  <c r="S320" s="141" t="n"/>
      <c r="T320" s="141" t="n"/>
      <c r="U320" s="141" t="n"/>
      <c r="V320" s="135" t="n"/>
      <c r="W320" s="135">
        <f>FALSE()</f>
        <v/>
      </c>
      <c r="X320" s="135" t="n">
        <v>1</v>
      </c>
      <c r="Y320" s="135" t="n">
        <v>3</v>
      </c>
      <c r="Z320" s="141" t="n"/>
      <c r="AA320" s="141" t="n"/>
      <c r="AB320" s="141" t="n"/>
      <c r="AC320" s="141" t="n">
        <v>1</v>
      </c>
      <c r="AD320" s="135" t="n"/>
      <c r="AE320" s="141" t="n"/>
    </row>
    <row r="321" ht="14.25" customHeight="1" s="142">
      <c r="A321" s="141">
        <f>A320+1</f>
        <v/>
      </c>
      <c r="B321" s="141" t="inlineStr">
        <is>
          <t>#力量</t>
        </is>
      </c>
      <c r="C321" s="141" t="inlineStr">
        <is>
          <t>ATK+10%</t>
        </is>
      </c>
      <c r="D321" s="135" t="inlineStr">
        <is>
          <t>buff</t>
        </is>
      </c>
      <c r="E321" s="141" t="n"/>
      <c r="F321" s="141" t="n"/>
      <c r="G321" s="141" t="n"/>
      <c r="H321" s="141" t="n">
        <v>0.1</v>
      </c>
      <c r="I321" s="141" t="n"/>
      <c r="J321" s="141" t="n"/>
      <c r="K321" s="141" t="n"/>
      <c r="L321" s="141" t="n"/>
      <c r="M321" s="141" t="n"/>
      <c r="N321" s="141" t="n"/>
      <c r="O321" s="141" t="n"/>
      <c r="P321" s="141" t="n"/>
      <c r="Q321" s="141" t="n"/>
      <c r="R321" s="141" t="n"/>
      <c r="S321" s="141" t="n"/>
      <c r="T321" s="141" t="n"/>
      <c r="U321" s="141" t="n"/>
      <c r="V321" s="135" t="n"/>
      <c r="W321" s="135">
        <f>FALSE()</f>
        <v/>
      </c>
      <c r="X321" s="135" t="n">
        <v>1</v>
      </c>
      <c r="Y321" s="135" t="n">
        <v>3</v>
      </c>
      <c r="Z321" s="141" t="n"/>
      <c r="AA321" s="141" t="n"/>
      <c r="AB321" s="141" t="n"/>
      <c r="AC321" s="141" t="n">
        <v>1</v>
      </c>
      <c r="AD321" s="135" t="n"/>
      <c r="AE321" s="141" t="n"/>
    </row>
    <row r="322" ht="14.25" customHeight="1" s="142">
      <c r="A322" s="141">
        <f>A321+1</f>
        <v/>
      </c>
      <c r="B322" s="141" t="inlineStr">
        <is>
          <t>#精確</t>
        </is>
      </c>
      <c r="C322" s="141" t="inlineStr">
        <is>
          <t>ATK+10%</t>
        </is>
      </c>
      <c r="D322" s="135" t="inlineStr">
        <is>
          <t>buff</t>
        </is>
      </c>
      <c r="E322" s="141" t="n"/>
      <c r="F322" s="141" t="n"/>
      <c r="G322" s="141" t="n"/>
      <c r="H322" s="141" t="n">
        <v>0.1</v>
      </c>
      <c r="I322" s="141" t="n"/>
      <c r="J322" s="141" t="n"/>
      <c r="K322" s="141" t="n"/>
      <c r="L322" s="141" t="n"/>
      <c r="M322" s="141" t="n"/>
      <c r="N322" s="141" t="n"/>
      <c r="O322" s="141" t="n"/>
      <c r="P322" s="141" t="n"/>
      <c r="Q322" s="141" t="n"/>
      <c r="R322" s="141" t="n"/>
      <c r="S322" s="141" t="n"/>
      <c r="T322" s="141" t="n"/>
      <c r="U322" s="141" t="n"/>
      <c r="V322" s="135" t="n"/>
      <c r="W322" s="135">
        <f>FALSE()</f>
        <v/>
      </c>
      <c r="X322" s="135" t="n">
        <v>1</v>
      </c>
      <c r="Y322" s="135" t="n">
        <v>3</v>
      </c>
      <c r="Z322" s="141" t="n"/>
      <c r="AA322" s="141" t="n"/>
      <c r="AB322" s="141" t="n"/>
      <c r="AC322" s="141" t="n">
        <v>1</v>
      </c>
      <c r="AD322" s="135" t="n"/>
      <c r="AE322" s="141" t="n"/>
    </row>
    <row r="323" ht="14.25" customHeight="1" s="142">
      <c r="A323" s="141">
        <f>A322+1</f>
        <v/>
      </c>
      <c r="B323" s="141" t="inlineStr">
        <is>
          <t>#精神</t>
        </is>
      </c>
      <c r="C323" s="141" t="inlineStr">
        <is>
          <t>ATK+10%</t>
        </is>
      </c>
      <c r="D323" s="135" t="inlineStr">
        <is>
          <t>buff</t>
        </is>
      </c>
      <c r="E323" s="141" t="n"/>
      <c r="F323" s="141" t="n"/>
      <c r="G323" s="141" t="n"/>
      <c r="H323" s="141" t="n">
        <v>0.1</v>
      </c>
      <c r="I323" s="141" t="n"/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  <c r="S323" s="141" t="n"/>
      <c r="T323" s="141" t="n"/>
      <c r="U323" s="141" t="n"/>
      <c r="V323" s="135" t="n"/>
      <c r="W323" s="135">
        <f>FALSE()</f>
        <v/>
      </c>
      <c r="X323" s="135" t="n">
        <v>1</v>
      </c>
      <c r="Y323" s="135" t="n">
        <v>3</v>
      </c>
      <c r="Z323" s="141" t="n"/>
      <c r="AA323" s="141" t="n"/>
      <c r="AB323" s="141" t="n"/>
      <c r="AC323" s="141" t="n">
        <v>1</v>
      </c>
      <c r="AD323" s="141" t="n"/>
      <c r="AE323" s="141" t="n"/>
    </row>
    <row r="324" ht="14.25" customHeight="1" s="142">
      <c r="A324" s="141">
        <f>A323+1</f>
        <v/>
      </c>
      <c r="B324" s="141" t="inlineStr">
        <is>
          <t>#宮廷的法師</t>
        </is>
      </c>
      <c r="C324" s="141" t="inlineStr">
        <is>
          <t>ATK+10%</t>
        </is>
      </c>
      <c r="D324" s="135" t="inlineStr">
        <is>
          <t>buff</t>
        </is>
      </c>
      <c r="E324" s="141" t="n"/>
      <c r="F324" s="141" t="n"/>
      <c r="G324" s="141" t="n"/>
      <c r="H324" s="141" t="n">
        <v>0.1</v>
      </c>
      <c r="I324" s="141" t="n"/>
      <c r="J324" s="141" t="n"/>
      <c r="K324" s="141" t="n"/>
      <c r="L324" s="141" t="n"/>
      <c r="M324" s="141" t="n"/>
      <c r="N324" s="141" t="n"/>
      <c r="O324" s="141" t="n"/>
      <c r="P324" s="141" t="n"/>
      <c r="Q324" s="141" t="n"/>
      <c r="R324" s="141" t="n"/>
      <c r="S324" s="141" t="n"/>
      <c r="T324" s="141" t="n"/>
      <c r="U324" s="141" t="n"/>
      <c r="V324" s="135" t="n"/>
      <c r="W324" s="135">
        <f>FALSE()</f>
        <v/>
      </c>
      <c r="X324" s="135" t="n">
        <v>1</v>
      </c>
      <c r="Y324" s="135" t="n">
        <v>3</v>
      </c>
      <c r="Z324" s="141" t="n"/>
      <c r="AA324" s="141" t="n"/>
      <c r="AB324" s="141" t="n"/>
      <c r="AC324" s="141" t="n">
        <v>1</v>
      </c>
      <c r="AD324" s="141" t="n"/>
      <c r="AE324" s="141" t="n"/>
    </row>
    <row r="325" ht="14.25" customHeight="1" s="142">
      <c r="A325" s="141">
        <f>A324+1</f>
        <v/>
      </c>
      <c r="B325" s="141" t="inlineStr">
        <is>
          <t>#極意攻勢</t>
        </is>
      </c>
      <c r="C325" s="141" t="inlineStr">
        <is>
          <t>ATK+10%</t>
        </is>
      </c>
      <c r="D325" s="135" t="inlineStr">
        <is>
          <t>buff</t>
        </is>
      </c>
      <c r="E325" s="141" t="n"/>
      <c r="F325" s="141" t="n"/>
      <c r="G325" s="141" t="n"/>
      <c r="H325" s="141" t="n">
        <v>0.1</v>
      </c>
      <c r="I325" s="141" t="n"/>
      <c r="J325" s="141" t="n"/>
      <c r="K325" s="141" t="n"/>
      <c r="L325" s="141" t="n"/>
      <c r="M325" s="141" t="n"/>
      <c r="N325" s="141" t="n"/>
      <c r="O325" s="141" t="n"/>
      <c r="P325" s="141" t="n"/>
      <c r="Q325" s="141" t="n"/>
      <c r="R325" s="141" t="n"/>
      <c r="S325" s="141" t="n"/>
      <c r="T325" s="141" t="n"/>
      <c r="U325" s="141" t="n"/>
      <c r="V325" s="135" t="n"/>
      <c r="W325" s="135">
        <f>FALSE()</f>
        <v/>
      </c>
      <c r="X325" s="135" t="n">
        <v>1</v>
      </c>
      <c r="Y325" s="135" t="n">
        <v>3</v>
      </c>
      <c r="Z325" s="141" t="n"/>
      <c r="AA325" s="141" t="n"/>
      <c r="AB325" s="141" t="n"/>
      <c r="AC325" s="141" t="n">
        <v>1</v>
      </c>
      <c r="AD325" s="141" t="n"/>
      <c r="AE325" s="141" t="n"/>
    </row>
    <row r="326" ht="14.25" customHeight="1" s="142">
      <c r="A326" s="141">
        <f>A325+1</f>
        <v/>
      </c>
      <c r="B326" s="141" t="inlineStr">
        <is>
          <t>#防禦怪獸</t>
        </is>
      </c>
      <c r="C326" s="141" t="inlineStr">
        <is>
          <t>ATK+10%</t>
        </is>
      </c>
      <c r="D326" s="135" t="inlineStr">
        <is>
          <t>buff</t>
        </is>
      </c>
      <c r="E326" s="141" t="n"/>
      <c r="F326" s="141" t="n"/>
      <c r="G326" s="141" t="n"/>
      <c r="H326" s="141" t="n">
        <v>0.1</v>
      </c>
      <c r="I326" s="141" t="n"/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  <c r="S326" s="141" t="n"/>
      <c r="T326" s="141" t="n"/>
      <c r="U326" s="141" t="n"/>
      <c r="V326" s="135" t="n"/>
      <c r="W326" s="135">
        <f>FALSE()</f>
        <v/>
      </c>
      <c r="X326" s="135" t="n">
        <v>1</v>
      </c>
      <c r="Y326" s="135" t="n">
        <v>3</v>
      </c>
      <c r="Z326" s="141" t="n"/>
      <c r="AA326" s="141" t="n"/>
      <c r="AB326" s="141" t="n"/>
      <c r="AC326" s="141" t="n">
        <v>1</v>
      </c>
      <c r="AD326" s="141" t="n"/>
      <c r="AE326" s="141" t="n"/>
    </row>
    <row r="327" ht="14.25" customHeight="1" s="142">
      <c r="A327" s="141">
        <f>A326+1</f>
        <v/>
      </c>
      <c r="B327" s="141" t="inlineStr">
        <is>
          <t>#又快又準</t>
        </is>
      </c>
      <c r="C327" s="141" t="inlineStr">
        <is>
          <t>ATK+10%</t>
        </is>
      </c>
      <c r="D327" s="135" t="inlineStr">
        <is>
          <t>buff</t>
        </is>
      </c>
      <c r="E327" s="141" t="n"/>
      <c r="F327" s="141" t="n"/>
      <c r="G327" s="141" t="n"/>
      <c r="H327" s="141" t="n">
        <v>0.1</v>
      </c>
      <c r="I327" s="141" t="n"/>
      <c r="J327" s="141" t="n"/>
      <c r="K327" s="141" t="n"/>
      <c r="L327" s="141" t="n"/>
      <c r="M327" s="141" t="n"/>
      <c r="N327" s="141" t="n"/>
      <c r="O327" s="141" t="n"/>
      <c r="P327" s="141" t="n"/>
      <c r="Q327" s="141" t="n"/>
      <c r="R327" s="141" t="n"/>
      <c r="S327" s="141" t="n"/>
      <c r="T327" s="141" t="n"/>
      <c r="U327" s="141" t="n"/>
      <c r="V327" s="135" t="n"/>
      <c r="W327" s="135">
        <f>FALSE()</f>
        <v/>
      </c>
      <c r="X327" s="135" t="n">
        <v>1</v>
      </c>
      <c r="Y327" s="135" t="n">
        <v>3</v>
      </c>
      <c r="Z327" s="141" t="n"/>
      <c r="AA327" s="141" t="n"/>
      <c r="AB327" s="141" t="n"/>
      <c r="AC327" s="141" t="n">
        <v>1</v>
      </c>
      <c r="AD327" s="141" t="n"/>
      <c r="AE327" s="141" t="n"/>
    </row>
    <row r="328" ht="14.25" customHeight="1" s="142">
      <c r="A328" s="45" t="n"/>
      <c r="B328" s="45" t="n"/>
      <c r="V328" s="45" t="n"/>
    </row>
    <row r="329" ht="14.25" customHeight="1" s="142">
      <c r="A329" s="45" t="n"/>
      <c r="B329" s="45" t="n"/>
      <c r="V329" s="45" t="n"/>
    </row>
    <row r="330" ht="14.25" customHeight="1" s="142">
      <c r="A330" s="45" t="n"/>
      <c r="B330" s="45" t="n"/>
      <c r="V330" s="45" t="n"/>
    </row>
    <row r="331" ht="14.25" customHeight="1" s="142">
      <c r="A331" s="45" t="n"/>
      <c r="B331" s="45" t="n"/>
      <c r="V331" s="45" t="n"/>
    </row>
    <row r="332" ht="14.25" customHeight="1" s="142">
      <c r="A332" s="45" t="n"/>
      <c r="B332" s="45" t="n"/>
      <c r="V332" s="45" t="n"/>
    </row>
    <row r="333" ht="14.25" customHeight="1" s="142">
      <c r="A333" s="45" t="n"/>
      <c r="B333" s="45" t="n"/>
      <c r="V333" s="45" t="n"/>
    </row>
    <row r="334" ht="14.25" customHeight="1" s="142">
      <c r="A334" s="45" t="n"/>
      <c r="B334" s="45" t="n"/>
      <c r="V334" s="45" t="n"/>
    </row>
    <row r="335" ht="14.25" customHeight="1" s="142">
      <c r="A335" s="45" t="n"/>
      <c r="B335" s="45" t="n"/>
      <c r="V335" s="45" t="n"/>
    </row>
    <row r="336" ht="14.25" customHeight="1" s="142">
      <c r="A336" s="45" t="n"/>
      <c r="B336" s="45" t="n"/>
      <c r="V336" s="45" t="n"/>
    </row>
    <row r="337" ht="14.25" customHeight="1" s="142">
      <c r="A337" s="45" t="n"/>
      <c r="B337" s="45" t="n"/>
      <c r="V337" s="45" t="n"/>
    </row>
    <row r="338" ht="14.25" customHeight="1" s="142">
      <c r="A338" s="45" t="n"/>
      <c r="B338" s="45" t="n"/>
      <c r="V338" s="45" t="n"/>
    </row>
    <row r="339" ht="14.25" customHeight="1" s="142">
      <c r="A339" s="45" t="n"/>
      <c r="B339" s="45" t="n"/>
      <c r="V339" s="45" t="n"/>
    </row>
    <row r="340" ht="14.25" customHeight="1" s="142">
      <c r="A340" s="45" t="n"/>
      <c r="B340" s="45" t="n"/>
      <c r="V340" s="45" t="n"/>
    </row>
    <row r="341" ht="14.25" customHeight="1" s="142">
      <c r="A341" s="45" t="n"/>
      <c r="B341" s="45" t="n"/>
      <c r="V341" s="45" t="n"/>
    </row>
    <row r="342" ht="14.25" customHeight="1" s="142">
      <c r="A342" s="45" t="n"/>
      <c r="B342" s="45" t="n"/>
      <c r="V342" s="45" t="n"/>
    </row>
    <row r="343" ht="14.25" customHeight="1" s="142">
      <c r="A343" s="45" t="n"/>
      <c r="B343" s="45" t="n"/>
      <c r="V343" s="45" t="n"/>
    </row>
    <row r="344" ht="14.25" customHeight="1" s="142">
      <c r="A344" s="45" t="n"/>
      <c r="B344" s="45" t="n"/>
      <c r="V344" s="45" t="n"/>
    </row>
    <row r="345" ht="14.25" customHeight="1" s="142">
      <c r="A345" s="45" t="n"/>
      <c r="B345" s="45" t="n"/>
      <c r="V345" s="45" t="n"/>
    </row>
    <row r="346" ht="14.25" customHeight="1" s="142">
      <c r="A346" s="45" t="n"/>
      <c r="B346" s="45" t="n"/>
      <c r="V346" s="45" t="n"/>
    </row>
    <row r="347" ht="14.25" customHeight="1" s="142">
      <c r="A347" s="45" t="n"/>
      <c r="B347" s="45" t="n"/>
      <c r="V347" s="45" t="n"/>
    </row>
    <row r="348" ht="14.25" customHeight="1" s="142">
      <c r="A348" s="45" t="n"/>
      <c r="B348" s="45" t="n"/>
      <c r="V348" s="45" t="n"/>
    </row>
    <row r="349" ht="14.25" customHeight="1" s="142">
      <c r="A349" s="45" t="n"/>
      <c r="B349" s="45" t="n"/>
      <c r="V349" s="45" t="n"/>
    </row>
    <row r="350" ht="14.25" customHeight="1" s="142">
      <c r="A350" s="45" t="n"/>
      <c r="B350" s="45" t="n"/>
      <c r="V350" s="45" t="n"/>
    </row>
    <row r="351" ht="14.25" customHeight="1" s="142">
      <c r="A351" s="45" t="n"/>
      <c r="B351" s="45" t="n"/>
      <c r="V351" s="45" t="n"/>
    </row>
    <row r="352" ht="14.25" customHeight="1" s="142">
      <c r="A352" s="45" t="n"/>
      <c r="B352" s="45" t="n"/>
      <c r="V352" s="45" t="n"/>
    </row>
    <row r="353" ht="14.25" customHeight="1" s="142">
      <c r="A353" s="45" t="n"/>
      <c r="B353" s="45" t="n"/>
      <c r="V353" s="45" t="n"/>
    </row>
    <row r="354" ht="14.25" customHeight="1" s="142">
      <c r="A354" s="45" t="n"/>
      <c r="B354" s="45" t="n"/>
      <c r="V354" s="45" t="n"/>
    </row>
    <row r="355" ht="14.25" customHeight="1" s="142">
      <c r="A355" s="45" t="n"/>
      <c r="B355" s="45" t="n"/>
      <c r="V355" s="45" t="n"/>
    </row>
    <row r="356" ht="14.25" customHeight="1" s="142">
      <c r="A356" s="45" t="n"/>
      <c r="B356" s="45" t="n"/>
      <c r="V356" s="45" t="n"/>
    </row>
    <row r="357" ht="14.25" customHeight="1" s="142">
      <c r="A357" s="45" t="n"/>
      <c r="B357" s="45" t="n"/>
      <c r="V357" s="45" t="n"/>
    </row>
    <row r="358" ht="14.25" customHeight="1" s="142">
      <c r="A358" s="45" t="n"/>
      <c r="B358" s="45" t="n"/>
      <c r="V358" s="45" t="n"/>
    </row>
    <row r="359" ht="14.25" customHeight="1" s="142">
      <c r="A359" s="45" t="n"/>
      <c r="B359" s="45" t="n"/>
      <c r="V359" s="45" t="n"/>
    </row>
    <row r="360" ht="14.25" customHeight="1" s="142">
      <c r="A360" s="45" t="n"/>
      <c r="B360" s="45" t="n"/>
      <c r="V360" s="45" t="n"/>
    </row>
    <row r="361" ht="14.25" customHeight="1" s="142">
      <c r="A361" s="45" t="n"/>
      <c r="B361" s="45" t="n"/>
      <c r="V361" s="45" t="n"/>
    </row>
    <row r="362" ht="14.25" customHeight="1" s="142">
      <c r="A362" s="45" t="n"/>
      <c r="B362" s="45" t="n"/>
      <c r="V362" s="45" t="n"/>
    </row>
    <row r="363" ht="14.25" customHeight="1" s="142">
      <c r="A363" s="45" t="n"/>
      <c r="B363" s="45" t="n"/>
      <c r="V363" s="45" t="n"/>
    </row>
    <row r="364" ht="14.25" customHeight="1" s="142">
      <c r="A364" s="45" t="n"/>
      <c r="B364" s="45" t="n"/>
      <c r="V364" s="45" t="n"/>
    </row>
    <row r="365" ht="14.25" customHeight="1" s="142">
      <c r="A365" s="45" t="n"/>
      <c r="B365" s="45" t="n"/>
      <c r="V365" s="45" t="n"/>
    </row>
    <row r="366" ht="14.25" customHeight="1" s="142">
      <c r="A366" s="45" t="n"/>
      <c r="B366" s="45" t="n"/>
      <c r="V366" s="45" t="n"/>
    </row>
    <row r="367" ht="14.25" customHeight="1" s="142">
      <c r="A367" s="45" t="n"/>
      <c r="B367" s="45" t="n"/>
      <c r="V367" s="45" t="n"/>
    </row>
    <row r="368" ht="14.25" customHeight="1" s="142">
      <c r="A368" s="45" t="n"/>
      <c r="B368" s="45" t="n"/>
      <c r="V368" s="45" t="n"/>
    </row>
    <row r="369" ht="14.25" customHeight="1" s="142">
      <c r="A369" s="45" t="n"/>
      <c r="B369" s="45" t="n"/>
      <c r="V369" s="45" t="n"/>
    </row>
    <row r="370" ht="14.25" customHeight="1" s="142">
      <c r="A370" s="45" t="n"/>
      <c r="B370" s="45" t="n"/>
      <c r="V370" s="45" t="n"/>
    </row>
    <row r="371" ht="14.25" customHeight="1" s="142">
      <c r="A371" s="45" t="n"/>
      <c r="B371" s="45" t="n"/>
      <c r="V371" s="45" t="n"/>
    </row>
    <row r="372" ht="14.25" customHeight="1" s="142">
      <c r="A372" s="45" t="n"/>
      <c r="B372" s="45" t="n"/>
      <c r="V372" s="45" t="n"/>
    </row>
    <row r="373" ht="14.25" customHeight="1" s="142">
      <c r="A373" s="45" t="n"/>
      <c r="B373" s="45" t="n"/>
      <c r="V373" s="45" t="n"/>
    </row>
    <row r="374" ht="14.25" customHeight="1" s="142">
      <c r="A374" s="45" t="n"/>
      <c r="B374" s="45" t="n"/>
      <c r="V374" s="45" t="n"/>
    </row>
    <row r="375" ht="14.25" customHeight="1" s="142">
      <c r="A375" s="45" t="n"/>
      <c r="B375" s="45" t="n"/>
      <c r="V375" s="45" t="n"/>
    </row>
    <row r="376" ht="14.25" customHeight="1" s="142">
      <c r="A376" s="45" t="n"/>
      <c r="B376" s="45" t="n"/>
      <c r="V376" s="45" t="n"/>
    </row>
    <row r="377" ht="14.25" customHeight="1" s="142">
      <c r="A377" s="45" t="n"/>
      <c r="B377" s="45" t="n"/>
      <c r="V377" s="45" t="n"/>
    </row>
    <row r="378" ht="14.25" customHeight="1" s="142">
      <c r="A378" s="45" t="n"/>
      <c r="B378" s="45" t="n"/>
      <c r="V378" s="45" t="n"/>
    </row>
    <row r="379" ht="14.25" customHeight="1" s="142">
      <c r="A379" s="45" t="n"/>
      <c r="B379" s="45" t="n"/>
      <c r="V379" s="45" t="n"/>
    </row>
    <row r="380" ht="14.25" customHeight="1" s="142">
      <c r="A380" s="45" t="n"/>
      <c r="B380" s="45" t="n"/>
      <c r="V380" s="45" t="n"/>
    </row>
    <row r="381" ht="14.25" customHeight="1" s="142">
      <c r="A381" s="45" t="n"/>
      <c r="B381" s="45" t="n"/>
      <c r="V381" s="45" t="n"/>
    </row>
    <row r="382" ht="14.25" customHeight="1" s="142">
      <c r="A382" s="45" t="n"/>
      <c r="B382" s="45" t="n"/>
      <c r="V382" s="45" t="n"/>
    </row>
    <row r="383" ht="14.25" customHeight="1" s="142">
      <c r="A383" s="45" t="n"/>
      <c r="B383" s="45" t="n"/>
      <c r="V383" s="45" t="n"/>
    </row>
    <row r="384" ht="14.25" customHeight="1" s="142">
      <c r="A384" s="45" t="n"/>
      <c r="B384" s="45" t="n"/>
      <c r="V384" s="45" t="n"/>
    </row>
    <row r="385" ht="14.25" customHeight="1" s="142">
      <c r="A385" s="45" t="n"/>
      <c r="B385" s="45" t="n"/>
      <c r="V385" s="45" t="n"/>
    </row>
    <row r="386" ht="14.25" customHeight="1" s="142">
      <c r="A386" s="45" t="n"/>
      <c r="B386" s="45" t="n"/>
      <c r="V386" s="45" t="n"/>
    </row>
    <row r="387" ht="14.25" customHeight="1" s="142">
      <c r="A387" s="45" t="n"/>
      <c r="B387" s="45" t="n"/>
      <c r="V387" s="45" t="n"/>
    </row>
    <row r="388" ht="14.25" customHeight="1" s="142">
      <c r="A388" s="45" t="n"/>
      <c r="B388" s="45" t="n"/>
      <c r="V388" s="45" t="n"/>
    </row>
    <row r="389" ht="14.25" customHeight="1" s="142">
      <c r="A389" s="45" t="n"/>
      <c r="B389" s="45" t="n"/>
      <c r="V389" s="45" t="n"/>
    </row>
    <row r="390" ht="14.25" customHeight="1" s="142">
      <c r="A390" s="45" t="n"/>
      <c r="B390" s="45" t="n"/>
      <c r="V390" s="45" t="n"/>
    </row>
    <row r="391" ht="14.25" customHeight="1" s="142">
      <c r="A391" s="45" t="n"/>
      <c r="B391" s="45" t="n"/>
      <c r="V391" s="45" t="n"/>
    </row>
    <row r="392" ht="14.25" customHeight="1" s="142">
      <c r="A392" s="45" t="n"/>
      <c r="B392" s="45" t="n"/>
      <c r="V392" s="45" t="n"/>
    </row>
    <row r="393" ht="14.25" customHeight="1" s="142">
      <c r="A393" s="45" t="n"/>
      <c r="B393" s="45" t="n"/>
      <c r="V393" s="45" t="n"/>
    </row>
    <row r="394" ht="14.25" customHeight="1" s="142">
      <c r="A394" s="45" t="n"/>
      <c r="B394" s="45" t="n"/>
      <c r="V394" s="45" t="n"/>
    </row>
    <row r="395" ht="14.25" customHeight="1" s="142">
      <c r="A395" s="45" t="n"/>
      <c r="B395" s="45" t="n"/>
      <c r="V395" s="45" t="n"/>
    </row>
    <row r="396" ht="14.25" customHeight="1" s="142">
      <c r="A396" s="45" t="n"/>
      <c r="B396" s="45" t="n"/>
      <c r="V396" s="45" t="n"/>
    </row>
    <row r="397" ht="14.25" customHeight="1" s="142">
      <c r="A397" s="45" t="n"/>
      <c r="B397" s="45" t="n"/>
      <c r="V397" s="45" t="n"/>
    </row>
    <row r="398" ht="14.25" customHeight="1" s="142">
      <c r="A398" s="45" t="n"/>
      <c r="B398" s="45" t="n"/>
      <c r="V398" s="45" t="n"/>
    </row>
    <row r="399" ht="14.25" customHeight="1" s="142">
      <c r="A399" s="45" t="n"/>
      <c r="B399" s="45" t="n"/>
      <c r="V399" s="45" t="n"/>
    </row>
    <row r="400" ht="14.25" customHeight="1" s="142">
      <c r="A400" s="45" t="n"/>
      <c r="B400" s="45" t="n"/>
      <c r="V400" s="45" t="n"/>
    </row>
    <row r="401" ht="14.25" customHeight="1" s="142">
      <c r="A401" s="45" t="n"/>
      <c r="B401" s="45" t="n"/>
      <c r="V401" s="45" t="n"/>
    </row>
    <row r="402" ht="14.25" customHeight="1" s="142">
      <c r="A402" s="45" t="n"/>
      <c r="B402" s="45" t="n"/>
      <c r="V402" s="45" t="n"/>
    </row>
    <row r="403" ht="14.25" customHeight="1" s="142">
      <c r="A403" s="45" t="n"/>
      <c r="B403" s="45" t="n"/>
      <c r="V403" s="45" t="n"/>
    </row>
    <row r="404" ht="14.25" customHeight="1" s="142">
      <c r="A404" s="45" t="n"/>
      <c r="B404" s="45" t="n"/>
      <c r="V404" s="45" t="n"/>
    </row>
    <row r="405" ht="14.25" customHeight="1" s="142">
      <c r="A405" s="45" t="n"/>
      <c r="B405" s="45" t="n"/>
      <c r="V405" s="45" t="n"/>
    </row>
    <row r="406" ht="14.25" customHeight="1" s="142">
      <c r="A406" s="45" t="n"/>
      <c r="B406" s="45" t="n"/>
      <c r="V406" s="45" t="n"/>
    </row>
    <row r="407" ht="14.25" customHeight="1" s="142">
      <c r="A407" s="45" t="n"/>
      <c r="B407" s="45" t="n"/>
      <c r="V407" s="45" t="n"/>
    </row>
    <row r="408" ht="14.25" customHeight="1" s="142">
      <c r="A408" s="45" t="n"/>
      <c r="B408" s="45" t="n"/>
      <c r="V408" s="45" t="n"/>
    </row>
    <row r="409" ht="14.25" customHeight="1" s="142">
      <c r="A409" s="45" t="n"/>
      <c r="B409" s="45" t="n"/>
      <c r="V409" s="45" t="n"/>
    </row>
    <row r="410" ht="14.25" customHeight="1" s="142">
      <c r="A410" s="45" t="n"/>
      <c r="B410" s="45" t="n"/>
      <c r="V410" s="45" t="n"/>
    </row>
    <row r="411" ht="14.25" customHeight="1" s="142">
      <c r="A411" s="45" t="n"/>
      <c r="B411" s="45" t="n"/>
      <c r="V411" s="45" t="n"/>
    </row>
    <row r="412" ht="14.25" customHeight="1" s="142">
      <c r="A412" s="45" t="n"/>
      <c r="B412" s="45" t="n"/>
      <c r="V412" s="45" t="n"/>
    </row>
    <row r="413" ht="14.25" customHeight="1" s="142">
      <c r="A413" s="45" t="n"/>
      <c r="B413" s="45" t="n"/>
      <c r="V413" s="45" t="n"/>
    </row>
    <row r="414" ht="14.25" customHeight="1" s="142">
      <c r="A414" s="45" t="n"/>
      <c r="B414" s="45" t="n"/>
      <c r="V414" s="45" t="n"/>
    </row>
    <row r="415" ht="14.25" customHeight="1" s="142">
      <c r="A415" s="45" t="n"/>
      <c r="B415" s="45" t="n"/>
      <c r="V415" s="45" t="n"/>
    </row>
    <row r="416" ht="14.25" customHeight="1" s="142">
      <c r="A416" s="45" t="n"/>
      <c r="B416" s="45" t="n"/>
      <c r="V416" s="45" t="n"/>
    </row>
    <row r="417" ht="14.25" customHeight="1" s="142">
      <c r="A417" s="45" t="n"/>
      <c r="B417" s="45" t="n"/>
      <c r="V417" s="45" t="n"/>
    </row>
    <row r="418" ht="14.25" customHeight="1" s="142">
      <c r="A418" s="45" t="n"/>
      <c r="B418" s="45" t="n"/>
      <c r="V418" s="45" t="n"/>
    </row>
    <row r="419" ht="14.25" customHeight="1" s="142">
      <c r="A419" s="45" t="n"/>
      <c r="B419" s="45" t="n"/>
      <c r="V419" s="45" t="n"/>
    </row>
    <row r="420" ht="14.25" customHeight="1" s="142">
      <c r="A420" s="45" t="n"/>
      <c r="B420" s="45" t="n"/>
      <c r="V420" s="45" t="n"/>
    </row>
    <row r="421" ht="14.25" customHeight="1" s="142">
      <c r="A421" s="45" t="n"/>
      <c r="B421" s="45" t="n"/>
      <c r="V421" s="45" t="n"/>
    </row>
    <row r="422" ht="14.25" customHeight="1" s="142">
      <c r="A422" s="45" t="n"/>
      <c r="B422" s="45" t="n"/>
      <c r="V422" s="45" t="n"/>
    </row>
    <row r="423" ht="14.25" customHeight="1" s="142">
      <c r="A423" s="45" t="n"/>
      <c r="B423" s="45" t="n"/>
      <c r="V423" s="45" t="n"/>
    </row>
    <row r="424" ht="14.25" customHeight="1" s="142">
      <c r="A424" s="45" t="n"/>
      <c r="B424" s="45" t="n"/>
      <c r="V424" s="45" t="n"/>
    </row>
    <row r="425" ht="14.25" customHeight="1" s="142">
      <c r="A425" s="45" t="n"/>
      <c r="B425" s="45" t="n"/>
      <c r="V425" s="45" t="n"/>
    </row>
    <row r="426" ht="14.25" customHeight="1" s="142">
      <c r="A426" s="45" t="n"/>
      <c r="B426" s="45" t="n"/>
      <c r="V426" s="45" t="n"/>
    </row>
    <row r="427" ht="14.25" customHeight="1" s="142">
      <c r="A427" s="45" t="n"/>
      <c r="B427" s="45" t="n"/>
      <c r="V427" s="45" t="n"/>
    </row>
    <row r="428" ht="14.25" customHeight="1" s="142">
      <c r="A428" s="45" t="n"/>
      <c r="B428" s="45" t="n"/>
      <c r="V428" s="45" t="n"/>
    </row>
    <row r="429" ht="14.25" customHeight="1" s="142">
      <c r="A429" s="45" t="n"/>
      <c r="B429" s="45" t="n"/>
      <c r="V429" s="45" t="n"/>
    </row>
    <row r="430" ht="14.25" customHeight="1" s="142">
      <c r="A430" s="45" t="n"/>
      <c r="B430" s="45" t="n"/>
      <c r="V430" s="45" t="n"/>
    </row>
    <row r="431" ht="14.25" customHeight="1" s="142">
      <c r="A431" s="45" t="n"/>
      <c r="B431" s="45" t="n"/>
      <c r="V431" s="45" t="n"/>
    </row>
    <row r="432" ht="14.25" customHeight="1" s="142">
      <c r="A432" s="45" t="n"/>
      <c r="B432" s="45" t="n"/>
      <c r="V432" s="45" t="n"/>
    </row>
    <row r="433" ht="14.25" customHeight="1" s="142">
      <c r="A433" s="45" t="n"/>
      <c r="B433" s="45" t="n"/>
      <c r="V433" s="45" t="n"/>
    </row>
    <row r="434" ht="14.25" customHeight="1" s="142">
      <c r="A434" s="45" t="n"/>
      <c r="B434" s="45" t="n"/>
      <c r="V434" s="45" t="n"/>
    </row>
    <row r="435" ht="14.25" customHeight="1" s="142">
      <c r="A435" s="45" t="n"/>
      <c r="B435" s="45" t="n"/>
      <c r="V435" s="45" t="n"/>
    </row>
    <row r="436" ht="14.25" customHeight="1" s="142">
      <c r="A436" s="45" t="n"/>
      <c r="B436" s="45" t="n"/>
      <c r="V436" s="45" t="n"/>
    </row>
    <row r="437" ht="14.25" customHeight="1" s="142">
      <c r="A437" s="45" t="n"/>
      <c r="B437" s="45" t="n"/>
      <c r="V437" s="45" t="n"/>
    </row>
    <row r="438" ht="14.25" customHeight="1" s="142">
      <c r="A438" s="45" t="n"/>
      <c r="B438" s="45" t="n"/>
      <c r="V438" s="45" t="n"/>
    </row>
    <row r="439" ht="14.25" customHeight="1" s="142">
      <c r="A439" s="45" t="n"/>
      <c r="B439" s="45" t="n"/>
      <c r="V439" s="45" t="n"/>
    </row>
    <row r="440" ht="14.25" customHeight="1" s="142">
      <c r="A440" s="45" t="n"/>
      <c r="B440" s="45" t="n"/>
      <c r="V440" s="45" t="n"/>
    </row>
    <row r="441" ht="14.25" customHeight="1" s="142">
      <c r="A441" s="45" t="n"/>
      <c r="B441" s="45" t="n"/>
      <c r="V441" s="45" t="n"/>
    </row>
    <row r="442" ht="14.25" customHeight="1" s="142">
      <c r="A442" s="45" t="n"/>
      <c r="B442" s="45" t="n"/>
      <c r="V442" s="45" t="n"/>
    </row>
    <row r="443" ht="14.25" customHeight="1" s="142">
      <c r="A443" s="45" t="n"/>
      <c r="B443" s="45" t="n"/>
      <c r="V443" s="45" t="n"/>
    </row>
    <row r="444" ht="14.25" customHeight="1" s="142">
      <c r="A444" s="45" t="n"/>
      <c r="B444" s="45" t="n"/>
      <c r="V444" s="45" t="n"/>
    </row>
    <row r="445" ht="14.25" customHeight="1" s="142">
      <c r="A445" s="45" t="n"/>
      <c r="B445" s="45" t="n"/>
      <c r="V445" s="45" t="n"/>
    </row>
    <row r="446" ht="14.25" customHeight="1" s="142">
      <c r="A446" s="45" t="n"/>
      <c r="B446" s="45" t="n"/>
      <c r="V446" s="45" t="n"/>
    </row>
    <row r="447" ht="14.25" customHeight="1" s="142">
      <c r="A447" s="45" t="n"/>
      <c r="B447" s="45" t="n"/>
      <c r="V447" s="45" t="n"/>
    </row>
    <row r="448" ht="14.25" customHeight="1" s="142">
      <c r="A448" s="45" t="n"/>
      <c r="B448" s="45" t="n"/>
      <c r="V448" s="45" t="n"/>
    </row>
    <row r="449" ht="14.25" customHeight="1" s="142">
      <c r="A449" s="45" t="n"/>
      <c r="B449" s="45" t="n"/>
      <c r="V449" s="45" t="n"/>
    </row>
    <row r="450" ht="14.25" customHeight="1" s="142">
      <c r="A450" s="45" t="n"/>
      <c r="B450" s="45" t="n"/>
      <c r="V450" s="45" t="n"/>
    </row>
    <row r="451" ht="14.25" customHeight="1" s="142">
      <c r="A451" s="45" t="n"/>
      <c r="B451" s="45" t="n"/>
      <c r="V451" s="45" t="n"/>
    </row>
    <row r="452" ht="14.25" customHeight="1" s="142">
      <c r="A452" s="45" t="n"/>
      <c r="B452" s="45" t="n"/>
      <c r="V452" s="45" t="n"/>
    </row>
    <row r="453" ht="14.25" customHeight="1" s="142">
      <c r="A453" s="45" t="n"/>
      <c r="B453" s="45" t="n"/>
      <c r="V453" s="45" t="n"/>
    </row>
    <row r="454" ht="14.25" customHeight="1" s="142">
      <c r="A454" s="45" t="n"/>
      <c r="B454" s="45" t="n"/>
      <c r="V454" s="45" t="n"/>
    </row>
    <row r="455" ht="14.25" customHeight="1" s="142">
      <c r="A455" s="45" t="n"/>
      <c r="B455" s="45" t="n"/>
      <c r="V455" s="45" t="n"/>
    </row>
    <row r="456" ht="14.25" customHeight="1" s="142">
      <c r="A456" s="45" t="n"/>
      <c r="B456" s="45" t="n"/>
      <c r="V456" s="45" t="n"/>
    </row>
    <row r="457" ht="14.25" customHeight="1" s="142">
      <c r="A457" s="45" t="n"/>
      <c r="B457" s="45" t="n"/>
      <c r="V457" s="45" t="n"/>
    </row>
    <row r="458" ht="14.25" customHeight="1" s="142">
      <c r="A458" s="45" t="n"/>
      <c r="B458" s="45" t="n"/>
      <c r="V458" s="45" t="n"/>
    </row>
    <row r="459" ht="14.25" customHeight="1" s="142">
      <c r="A459" s="45" t="n"/>
      <c r="B459" s="45" t="n"/>
      <c r="V459" s="45" t="n"/>
    </row>
    <row r="460" ht="14.25" customHeight="1" s="142">
      <c r="A460" s="45" t="n"/>
      <c r="B460" s="45" t="n"/>
      <c r="V460" s="45" t="n"/>
    </row>
    <row r="461" ht="14.25" customHeight="1" s="142">
      <c r="A461" s="45" t="n"/>
      <c r="B461" s="45" t="n"/>
      <c r="V461" s="45" t="n"/>
    </row>
    <row r="462" ht="14.25" customHeight="1" s="142">
      <c r="A462" s="45" t="n"/>
      <c r="B462" s="45" t="n"/>
      <c r="V462" s="45" t="n"/>
    </row>
    <row r="463" ht="14.25" customHeight="1" s="142">
      <c r="A463" s="45" t="n"/>
      <c r="B463" s="45" t="n"/>
      <c r="V463" s="45" t="n"/>
    </row>
    <row r="464" ht="14.25" customHeight="1" s="142">
      <c r="A464" s="45" t="n"/>
      <c r="B464" s="45" t="n"/>
      <c r="V464" s="45" t="n"/>
    </row>
    <row r="465" ht="14.25" customHeight="1" s="142">
      <c r="A465" s="45" t="n"/>
      <c r="B465" s="45" t="n"/>
      <c r="V465" s="45" t="n"/>
    </row>
    <row r="466" ht="14.25" customHeight="1" s="142">
      <c r="A466" s="45" t="n"/>
      <c r="B466" s="45" t="n"/>
      <c r="V466" s="45" t="n"/>
    </row>
    <row r="467" ht="14.25" customHeight="1" s="142">
      <c r="A467" s="45" t="n"/>
      <c r="B467" s="45" t="n"/>
      <c r="V467" s="45" t="n"/>
    </row>
    <row r="468" ht="14.25" customHeight="1" s="142">
      <c r="A468" s="45" t="n"/>
      <c r="B468" s="45" t="n"/>
      <c r="V468" s="45" t="n"/>
    </row>
    <row r="469" ht="14.25" customHeight="1" s="142">
      <c r="A469" s="45" t="n"/>
      <c r="B469" s="45" t="n"/>
      <c r="V469" s="45" t="n"/>
    </row>
    <row r="470" ht="14.25" customHeight="1" s="142">
      <c r="A470" s="45" t="n"/>
      <c r="B470" s="45" t="n"/>
      <c r="V470" s="45" t="n"/>
    </row>
    <row r="471" ht="14.25" customHeight="1" s="142">
      <c r="A471" s="45" t="n"/>
      <c r="B471" s="45" t="n"/>
      <c r="V471" s="45" t="n"/>
    </row>
    <row r="472" ht="14.25" customHeight="1" s="142">
      <c r="A472" s="45" t="n"/>
      <c r="B472" s="45" t="n"/>
      <c r="V472" s="45" t="n"/>
    </row>
    <row r="473" ht="14.25" customHeight="1" s="142">
      <c r="A473" s="45" t="n"/>
      <c r="B473" s="45" t="n"/>
      <c r="V473" s="45" t="n"/>
    </row>
    <row r="474" ht="14.25" customHeight="1" s="142">
      <c r="A474" s="45" t="n"/>
      <c r="B474" s="45" t="n"/>
      <c r="V474" s="45" t="n"/>
    </row>
    <row r="475" ht="14.25" customHeight="1" s="142">
      <c r="A475" s="45" t="n"/>
      <c r="B475" s="45" t="n"/>
      <c r="V475" s="45" t="n"/>
    </row>
    <row r="476" ht="14.25" customHeight="1" s="142">
      <c r="A476" s="45" t="n"/>
      <c r="B476" s="45" t="n"/>
      <c r="V476" s="45" t="n"/>
    </row>
    <row r="477" ht="14.25" customHeight="1" s="142">
      <c r="A477" s="45" t="n"/>
      <c r="B477" s="45" t="n"/>
      <c r="V477" s="45" t="n"/>
    </row>
    <row r="478" ht="14.25" customHeight="1" s="142">
      <c r="A478" s="45" t="n"/>
      <c r="B478" s="45" t="n"/>
      <c r="V478" s="45" t="n"/>
    </row>
    <row r="479" ht="14.25" customHeight="1" s="142">
      <c r="A479" s="45" t="n"/>
      <c r="B479" s="45" t="n"/>
      <c r="V479" s="45" t="n"/>
    </row>
    <row r="480" ht="14.25" customHeight="1" s="142">
      <c r="A480" s="45" t="n"/>
      <c r="B480" s="45" t="n"/>
      <c r="V480" s="45" t="n"/>
    </row>
    <row r="481" ht="14.25" customHeight="1" s="142">
      <c r="A481" s="45" t="n"/>
      <c r="B481" s="45" t="n"/>
      <c r="V481" s="45" t="n"/>
    </row>
    <row r="482" ht="14.25" customHeight="1" s="142">
      <c r="A482" s="45" t="n"/>
      <c r="B482" s="45" t="n"/>
      <c r="V482" s="45" t="n"/>
    </row>
    <row r="483" ht="14.25" customHeight="1" s="142">
      <c r="A483" s="45" t="n"/>
      <c r="B483" s="45" t="n"/>
      <c r="V483" s="45" t="n"/>
    </row>
    <row r="484" ht="14.25" customHeight="1" s="142">
      <c r="A484" s="45" t="n"/>
      <c r="B484" s="45" t="n"/>
      <c r="V484" s="45" t="n"/>
    </row>
    <row r="485" ht="14.25" customHeight="1" s="142">
      <c r="A485" s="45" t="n"/>
      <c r="B485" s="45" t="n"/>
      <c r="V485" s="45" t="n"/>
    </row>
    <row r="486" ht="14.25" customHeight="1" s="142">
      <c r="A486" s="45" t="n"/>
      <c r="B486" s="45" t="n"/>
      <c r="V486" s="45" t="n"/>
    </row>
    <row r="487" ht="14.25" customHeight="1" s="142">
      <c r="A487" s="45" t="n"/>
      <c r="B487" s="45" t="n"/>
      <c r="V487" s="45" t="n"/>
    </row>
    <row r="488" ht="14.25" customHeight="1" s="142">
      <c r="A488" s="45" t="n"/>
      <c r="B488" s="45" t="n"/>
      <c r="V488" s="45" t="n"/>
    </row>
    <row r="489" ht="14.25" customHeight="1" s="142">
      <c r="A489" s="45" t="n"/>
      <c r="B489" s="45" t="n"/>
      <c r="V489" s="45" t="n"/>
    </row>
    <row r="490" ht="14.25" customHeight="1" s="142">
      <c r="A490" s="45" t="n"/>
      <c r="B490" s="45" t="n"/>
      <c r="V490" s="45" t="n"/>
    </row>
    <row r="491" ht="14.25" customHeight="1" s="142">
      <c r="A491" s="45" t="n"/>
      <c r="B491" s="45" t="n"/>
      <c r="V491" s="45" t="n"/>
    </row>
    <row r="492" ht="14.25" customHeight="1" s="142">
      <c r="A492" s="45" t="n"/>
      <c r="B492" s="45" t="n"/>
      <c r="V492" s="45" t="n"/>
    </row>
    <row r="493" ht="14.25" customHeight="1" s="142">
      <c r="A493" s="45" t="n"/>
      <c r="B493" s="45" t="n"/>
      <c r="V493" s="45" t="n"/>
    </row>
    <row r="494" ht="14.25" customHeight="1" s="142">
      <c r="A494" s="45" t="n"/>
      <c r="B494" s="45" t="n"/>
      <c r="V494" s="45" t="n"/>
    </row>
    <row r="495" ht="14.25" customHeight="1" s="142">
      <c r="A495" s="45" t="n"/>
      <c r="B495" s="45" t="n"/>
      <c r="V495" s="45" t="n"/>
    </row>
    <row r="496" ht="14.25" customHeight="1" s="142">
      <c r="A496" s="45" t="n"/>
      <c r="B496" s="45" t="n"/>
      <c r="V496" s="45" t="n"/>
    </row>
    <row r="497" ht="14.25" customHeight="1" s="142">
      <c r="A497" s="45" t="n"/>
      <c r="B497" s="45" t="n"/>
      <c r="V497" s="45" t="n"/>
    </row>
    <row r="498" ht="14.25" customHeight="1" s="142">
      <c r="A498" s="45" t="n"/>
      <c r="B498" s="45" t="n"/>
      <c r="V498" s="45" t="n"/>
    </row>
    <row r="499" ht="14.25" customHeight="1" s="142">
      <c r="A499" s="45" t="n"/>
      <c r="B499" s="45" t="n"/>
      <c r="V499" s="45" t="n"/>
    </row>
    <row r="500" ht="14.25" customHeight="1" s="142">
      <c r="A500" s="45" t="n"/>
      <c r="B500" s="45" t="n"/>
      <c r="V500" s="45" t="n"/>
    </row>
    <row r="501" ht="14.25" customHeight="1" s="142">
      <c r="A501" s="45" t="n"/>
      <c r="B501" s="45" t="n"/>
      <c r="V501" s="45" t="n"/>
    </row>
    <row r="502" ht="14.25" customHeight="1" s="142">
      <c r="A502" s="45" t="n"/>
      <c r="B502" s="45" t="n"/>
      <c r="V502" s="45" t="n"/>
    </row>
    <row r="503" ht="14.25" customHeight="1" s="142">
      <c r="A503" s="45" t="n"/>
      <c r="B503" s="45" t="n"/>
      <c r="V503" s="45" t="n"/>
    </row>
    <row r="504" ht="14.25" customHeight="1" s="142">
      <c r="A504" s="45" t="n"/>
      <c r="B504" s="45" t="n"/>
      <c r="V504" s="45" t="n"/>
    </row>
    <row r="505" ht="14.25" customHeight="1" s="142">
      <c r="A505" s="45" t="n"/>
      <c r="B505" s="45" t="n"/>
      <c r="V505" s="45" t="n"/>
    </row>
    <row r="506" ht="14.25" customHeight="1" s="142">
      <c r="A506" s="45" t="n"/>
      <c r="B506" s="45" t="n"/>
      <c r="V506" s="45" t="n"/>
    </row>
    <row r="507" ht="14.25" customHeight="1" s="142">
      <c r="A507" s="45" t="n"/>
      <c r="B507" s="45" t="n"/>
      <c r="V507" s="45" t="n"/>
    </row>
    <row r="508" ht="14.25" customHeight="1" s="142">
      <c r="A508" s="45" t="n"/>
      <c r="B508" s="45" t="n"/>
      <c r="V508" s="45" t="n"/>
    </row>
    <row r="509" ht="14.25" customHeight="1" s="142">
      <c r="A509" s="45" t="n"/>
      <c r="B509" s="45" t="n"/>
      <c r="V509" s="45" t="n"/>
    </row>
    <row r="510" ht="14.25" customHeight="1" s="142">
      <c r="A510" s="45" t="n"/>
      <c r="B510" s="45" t="n"/>
      <c r="V510" s="45" t="n"/>
    </row>
    <row r="511" ht="14.25" customHeight="1" s="142">
      <c r="A511" s="45" t="n"/>
      <c r="B511" s="45" t="n"/>
      <c r="V511" s="45" t="n"/>
    </row>
    <row r="512" ht="14.25" customHeight="1" s="142">
      <c r="A512" s="45" t="n"/>
      <c r="B512" s="45" t="n"/>
      <c r="V512" s="45" t="n"/>
    </row>
    <row r="513" ht="14.25" customHeight="1" s="142">
      <c r="A513" s="45" t="n"/>
      <c r="B513" s="45" t="n"/>
      <c r="V513" s="45" t="n"/>
    </row>
    <row r="514" ht="14.25" customHeight="1" s="142">
      <c r="A514" s="45" t="n"/>
      <c r="B514" s="45" t="n"/>
      <c r="V514" s="45" t="n"/>
    </row>
    <row r="515" ht="14.25" customHeight="1" s="142">
      <c r="A515" s="45" t="n"/>
      <c r="B515" s="45" t="n"/>
      <c r="V515" s="45" t="n"/>
    </row>
    <row r="516" ht="14.25" customHeight="1" s="142">
      <c r="A516" s="45" t="n"/>
      <c r="B516" s="45" t="n"/>
      <c r="V516" s="45" t="n"/>
    </row>
    <row r="517" ht="14.25" customHeight="1" s="142">
      <c r="A517" s="45" t="n"/>
      <c r="B517" s="45" t="n"/>
      <c r="V517" s="45" t="n"/>
    </row>
    <row r="518" ht="14.25" customHeight="1" s="142">
      <c r="A518" s="45" t="n"/>
      <c r="B518" s="45" t="n"/>
      <c r="V518" s="45" t="n"/>
    </row>
    <row r="519" ht="14.25" customHeight="1" s="142">
      <c r="A519" s="45" t="n"/>
      <c r="B519" s="45" t="n"/>
      <c r="V519" s="45" t="n"/>
    </row>
    <row r="520" ht="14.25" customHeight="1" s="142">
      <c r="A520" s="45" t="n"/>
      <c r="B520" s="45" t="n"/>
      <c r="V520" s="45" t="n"/>
    </row>
    <row r="521" ht="14.25" customHeight="1" s="142">
      <c r="A521" s="45" t="n"/>
      <c r="B521" s="45" t="n"/>
      <c r="V521" s="45" t="n"/>
    </row>
    <row r="522" ht="14.25" customHeight="1" s="142">
      <c r="A522" s="45" t="n"/>
      <c r="B522" s="45" t="n"/>
      <c r="V522" s="45" t="n"/>
    </row>
    <row r="523" ht="14.25" customHeight="1" s="142">
      <c r="A523" s="45" t="n"/>
      <c r="B523" s="45" t="n"/>
      <c r="V523" s="45" t="n"/>
    </row>
    <row r="524" ht="14.25" customHeight="1" s="142">
      <c r="A524" s="45" t="n"/>
      <c r="B524" s="45" t="n"/>
      <c r="V524" s="45" t="n"/>
    </row>
    <row r="525" ht="14.25" customHeight="1" s="142">
      <c r="A525" s="45" t="n"/>
      <c r="B525" s="45" t="n"/>
      <c r="V525" s="45" t="n"/>
    </row>
    <row r="526" ht="14.25" customHeight="1" s="142">
      <c r="A526" s="45" t="n"/>
      <c r="B526" s="45" t="n"/>
      <c r="V526" s="45" t="n"/>
    </row>
    <row r="527" ht="14.25" customHeight="1" s="142">
      <c r="A527" s="45" t="n"/>
      <c r="B527" s="45" t="n"/>
      <c r="V527" s="45" t="n"/>
    </row>
    <row r="528" ht="14.25" customHeight="1" s="142">
      <c r="A528" s="45" t="n"/>
      <c r="B528" s="45" t="n"/>
      <c r="V528" s="45" t="n"/>
    </row>
    <row r="529" ht="14.25" customHeight="1" s="142">
      <c r="A529" s="45" t="n"/>
      <c r="B529" s="45" t="n"/>
      <c r="V529" s="45" t="n"/>
    </row>
    <row r="530" ht="14.25" customHeight="1" s="142">
      <c r="A530" s="45" t="n"/>
      <c r="B530" s="45" t="n"/>
      <c r="V530" s="45" t="n"/>
    </row>
    <row r="531" ht="14.25" customHeight="1" s="142">
      <c r="A531" s="45" t="n"/>
      <c r="B531" s="45" t="n"/>
      <c r="V531" s="45" t="n"/>
    </row>
    <row r="532" ht="14.25" customHeight="1" s="142">
      <c r="A532" s="45" t="n"/>
      <c r="B532" s="45" t="n"/>
      <c r="V532" s="45" t="n"/>
    </row>
    <row r="533" ht="14.25" customHeight="1" s="142">
      <c r="A533" s="45" t="n"/>
      <c r="B533" s="45" t="n"/>
      <c r="V533" s="45" t="n"/>
    </row>
    <row r="534" ht="14.25" customHeight="1" s="142">
      <c r="A534" s="45" t="n"/>
      <c r="B534" s="45" t="n"/>
      <c r="V534" s="45" t="n"/>
    </row>
    <row r="535" ht="14.25" customHeight="1" s="142">
      <c r="A535" s="45" t="n"/>
      <c r="B535" s="45" t="n"/>
      <c r="V535" s="45" t="n"/>
    </row>
    <row r="536" ht="14.25" customHeight="1" s="142">
      <c r="A536" s="45" t="n"/>
      <c r="B536" s="45" t="n"/>
      <c r="V536" s="45" t="n"/>
    </row>
    <row r="537" ht="14.25" customHeight="1" s="142">
      <c r="A537" s="45" t="n"/>
      <c r="B537" s="45" t="n"/>
      <c r="V537" s="45" t="n"/>
    </row>
    <row r="538" ht="14.25" customHeight="1" s="142">
      <c r="A538" s="45" t="n"/>
      <c r="B538" s="45" t="n"/>
      <c r="V538" s="45" t="n"/>
    </row>
    <row r="539" ht="14.25" customHeight="1" s="142">
      <c r="A539" s="45" t="n"/>
      <c r="B539" s="45" t="n"/>
      <c r="V539" s="45" t="n"/>
    </row>
    <row r="540" ht="14.25" customHeight="1" s="142">
      <c r="A540" s="45" t="n"/>
      <c r="B540" s="45" t="n"/>
      <c r="V540" s="45" t="n"/>
    </row>
    <row r="541" ht="14.25" customHeight="1" s="142">
      <c r="A541" s="45" t="n"/>
      <c r="B541" s="45" t="n"/>
      <c r="V541" s="45" t="n"/>
    </row>
    <row r="542" ht="14.25" customHeight="1" s="142">
      <c r="A542" s="45" t="n"/>
      <c r="B542" s="45" t="n"/>
      <c r="V542" s="45" t="n"/>
    </row>
    <row r="543" ht="14.25" customHeight="1" s="142">
      <c r="A543" s="45" t="n"/>
      <c r="B543" s="45" t="n"/>
      <c r="V543" s="45" t="n"/>
    </row>
    <row r="544" ht="14.25" customHeight="1" s="142">
      <c r="A544" s="45" t="n"/>
      <c r="B544" s="45" t="n"/>
      <c r="V544" s="45" t="n"/>
    </row>
    <row r="545" ht="14.25" customHeight="1" s="142">
      <c r="A545" s="45" t="n"/>
      <c r="B545" s="45" t="n"/>
      <c r="V545" s="45" t="n"/>
    </row>
    <row r="546" ht="14.25" customHeight="1" s="142">
      <c r="A546" s="45" t="n"/>
      <c r="B546" s="45" t="n"/>
      <c r="V546" s="45" t="n"/>
    </row>
    <row r="547" ht="14.25" customHeight="1" s="142">
      <c r="A547" s="45" t="n"/>
      <c r="B547" s="45" t="n"/>
      <c r="V547" s="45" t="n"/>
    </row>
    <row r="548" ht="14.25" customHeight="1" s="142">
      <c r="A548" s="45" t="n"/>
      <c r="B548" s="45" t="n"/>
      <c r="V548" s="45" t="n"/>
    </row>
    <row r="549" ht="14.25" customHeight="1" s="142">
      <c r="A549" s="45" t="n"/>
      <c r="B549" s="45" t="n"/>
      <c r="V549" s="45" t="n"/>
    </row>
    <row r="550" ht="14.25" customHeight="1" s="142">
      <c r="A550" s="45" t="n"/>
      <c r="B550" s="45" t="n"/>
      <c r="V550" s="45" t="n"/>
    </row>
    <row r="551" ht="14.25" customHeight="1" s="142">
      <c r="A551" s="45" t="n"/>
      <c r="B551" s="45" t="n"/>
      <c r="V551" s="45" t="n"/>
    </row>
    <row r="552" ht="14.25" customHeight="1" s="142">
      <c r="A552" s="45" t="n"/>
      <c r="B552" s="45" t="n"/>
      <c r="V552" s="45" t="n"/>
    </row>
    <row r="553" ht="14.25" customHeight="1" s="142">
      <c r="A553" s="45" t="n"/>
      <c r="B553" s="45" t="n"/>
      <c r="V553" s="45" t="n"/>
    </row>
    <row r="554" ht="14.25" customHeight="1" s="142">
      <c r="A554" s="45" t="n"/>
      <c r="B554" s="45" t="n"/>
      <c r="V554" s="45" t="n"/>
    </row>
    <row r="555" ht="14.25" customHeight="1" s="142">
      <c r="A555" s="45" t="n"/>
      <c r="B555" s="45" t="n"/>
      <c r="V555" s="45" t="n"/>
    </row>
    <row r="556" ht="14.25" customHeight="1" s="142">
      <c r="A556" s="45" t="n"/>
      <c r="B556" s="45" t="n"/>
      <c r="V556" s="45" t="n"/>
    </row>
    <row r="557" ht="14.25" customHeight="1" s="142">
      <c r="A557" s="45" t="n"/>
      <c r="B557" s="45" t="n"/>
      <c r="V557" s="45" t="n"/>
    </row>
    <row r="558" ht="14.25" customHeight="1" s="142">
      <c r="A558" s="45" t="n"/>
      <c r="B558" s="45" t="n"/>
      <c r="V558" s="45" t="n"/>
    </row>
    <row r="559" ht="14.25" customHeight="1" s="142">
      <c r="A559" s="45" t="n"/>
      <c r="B559" s="45" t="n"/>
      <c r="V559" s="45" t="n"/>
    </row>
    <row r="560" ht="14.25" customHeight="1" s="142">
      <c r="A560" s="45" t="n"/>
      <c r="B560" s="45" t="n"/>
      <c r="V560" s="45" t="n"/>
    </row>
    <row r="561" ht="14.25" customHeight="1" s="142">
      <c r="A561" s="45" t="n"/>
      <c r="B561" s="45" t="n"/>
      <c r="V561" s="45" t="n"/>
    </row>
    <row r="562" ht="14.25" customHeight="1" s="142">
      <c r="A562" s="45" t="n"/>
      <c r="B562" s="45" t="n"/>
      <c r="V562" s="45" t="n"/>
    </row>
    <row r="563" ht="14.25" customHeight="1" s="142">
      <c r="A563" s="45" t="n"/>
      <c r="B563" s="45" t="n"/>
      <c r="V563" s="45" t="n"/>
    </row>
    <row r="564" ht="14.25" customHeight="1" s="142">
      <c r="A564" s="45" t="n"/>
      <c r="B564" s="45" t="n"/>
      <c r="V564" s="45" t="n"/>
    </row>
    <row r="565" ht="14.25" customHeight="1" s="142">
      <c r="A565" s="45" t="n"/>
      <c r="B565" s="45" t="n"/>
      <c r="V565" s="45" t="n"/>
    </row>
    <row r="566" ht="14.25" customHeight="1" s="142">
      <c r="A566" s="45" t="n"/>
      <c r="B566" s="45" t="n"/>
      <c r="V566" s="45" t="n"/>
    </row>
    <row r="567" ht="14.25" customHeight="1" s="142">
      <c r="A567" s="45" t="n"/>
      <c r="B567" s="45" t="n"/>
      <c r="V567" s="45" t="n"/>
    </row>
    <row r="568" ht="14.25" customHeight="1" s="142">
      <c r="A568" s="45" t="n"/>
      <c r="B568" s="45" t="n"/>
      <c r="V568" s="45" t="n"/>
    </row>
    <row r="569" ht="14.25" customHeight="1" s="142">
      <c r="A569" s="45" t="n"/>
      <c r="B569" s="45" t="n"/>
      <c r="V569" s="45" t="n"/>
    </row>
    <row r="570" ht="14.25" customHeight="1" s="142">
      <c r="A570" s="45" t="n"/>
      <c r="B570" s="45" t="n"/>
      <c r="V570" s="45" t="n"/>
    </row>
    <row r="571" ht="14.25" customHeight="1" s="142">
      <c r="A571" s="45" t="n"/>
      <c r="B571" s="45" t="n"/>
      <c r="V571" s="45" t="n"/>
    </row>
    <row r="572" ht="14.25" customHeight="1" s="142">
      <c r="A572" s="45" t="n"/>
      <c r="B572" s="45" t="n"/>
      <c r="V572" s="45" t="n"/>
    </row>
    <row r="573" ht="14.25" customHeight="1" s="142">
      <c r="A573" s="45" t="n"/>
      <c r="B573" s="45" t="n"/>
      <c r="V573" s="45" t="n"/>
    </row>
    <row r="574" ht="14.25" customHeight="1" s="142">
      <c r="A574" s="45" t="n"/>
      <c r="B574" s="45" t="n"/>
      <c r="V574" s="45" t="n"/>
    </row>
    <row r="575" ht="14.25" customHeight="1" s="142">
      <c r="A575" s="45" t="n"/>
      <c r="B575" s="45" t="n"/>
      <c r="V575" s="45" t="n"/>
    </row>
    <row r="576" ht="14.25" customHeight="1" s="142">
      <c r="A576" s="45" t="n"/>
      <c r="B576" s="45" t="n"/>
      <c r="V576" s="45" t="n"/>
    </row>
    <row r="577" ht="14.25" customHeight="1" s="142">
      <c r="A577" s="45" t="n"/>
      <c r="B577" s="45" t="n"/>
      <c r="V577" s="45" t="n"/>
    </row>
    <row r="578" ht="14.25" customHeight="1" s="142">
      <c r="A578" s="45" t="n"/>
      <c r="B578" s="45" t="n"/>
      <c r="V578" s="45" t="n"/>
    </row>
    <row r="579" ht="14.25" customHeight="1" s="142">
      <c r="A579" s="45" t="n"/>
      <c r="B579" s="45" t="n"/>
      <c r="V579" s="45" t="n"/>
    </row>
    <row r="580" ht="14.25" customHeight="1" s="142">
      <c r="A580" s="45" t="n"/>
      <c r="B580" s="45" t="n"/>
      <c r="V580" s="45" t="n"/>
    </row>
    <row r="581" ht="14.25" customHeight="1" s="142">
      <c r="A581" s="45" t="n"/>
      <c r="B581" s="45" t="n"/>
      <c r="V581" s="45" t="n"/>
    </row>
    <row r="582" ht="14.25" customHeight="1" s="142">
      <c r="A582" s="45" t="n"/>
      <c r="B582" s="45" t="n"/>
      <c r="V582" s="45" t="n"/>
    </row>
    <row r="583" ht="14.25" customHeight="1" s="142">
      <c r="A583" s="45" t="n"/>
      <c r="B583" s="45" t="n"/>
      <c r="V583" s="45" t="n"/>
    </row>
    <row r="584" ht="14.25" customHeight="1" s="142">
      <c r="A584" s="45" t="n"/>
      <c r="B584" s="45" t="n"/>
      <c r="V584" s="45" t="n"/>
    </row>
    <row r="585" ht="14.25" customHeight="1" s="142">
      <c r="A585" s="45" t="n"/>
      <c r="B585" s="45" t="n"/>
      <c r="V585" s="45" t="n"/>
    </row>
    <row r="586" ht="14.25" customHeight="1" s="142">
      <c r="A586" s="45" t="n"/>
      <c r="B586" s="45" t="n"/>
      <c r="V586" s="45" t="n"/>
    </row>
    <row r="587" ht="14.25" customHeight="1" s="142">
      <c r="A587" s="45" t="n"/>
      <c r="B587" s="45" t="n"/>
      <c r="V587" s="45" t="n"/>
    </row>
    <row r="588" ht="14.25" customHeight="1" s="142">
      <c r="A588" s="45" t="n"/>
      <c r="B588" s="45" t="n"/>
      <c r="V588" s="45" t="n"/>
    </row>
    <row r="589" ht="14.25" customHeight="1" s="142">
      <c r="A589" s="45" t="n"/>
      <c r="B589" s="45" t="n"/>
      <c r="V589" s="45" t="n"/>
    </row>
    <row r="590" ht="14.25" customHeight="1" s="142">
      <c r="A590" s="45" t="n"/>
      <c r="B590" s="45" t="n"/>
      <c r="V590" s="45" t="n"/>
    </row>
    <row r="591" ht="14.25" customHeight="1" s="142">
      <c r="A591" s="45" t="n"/>
      <c r="B591" s="45" t="n"/>
      <c r="V591" s="45" t="n"/>
    </row>
    <row r="592" ht="14.25" customHeight="1" s="142">
      <c r="A592" s="45" t="n"/>
      <c r="B592" s="45" t="n"/>
      <c r="V592" s="45" t="n"/>
    </row>
    <row r="593" ht="14.25" customHeight="1" s="142">
      <c r="A593" s="45" t="n"/>
      <c r="B593" s="45" t="n"/>
      <c r="V593" s="45" t="n"/>
    </row>
    <row r="594" ht="14.25" customHeight="1" s="142">
      <c r="A594" s="45" t="n"/>
      <c r="B594" s="45" t="n"/>
      <c r="V594" s="45" t="n"/>
    </row>
    <row r="595" ht="14.25" customHeight="1" s="142">
      <c r="A595" s="45" t="n"/>
      <c r="B595" s="45" t="n"/>
      <c r="V595" s="45" t="n"/>
    </row>
    <row r="596" ht="14.25" customHeight="1" s="142">
      <c r="A596" s="45" t="n"/>
      <c r="B596" s="45" t="n"/>
      <c r="V596" s="45" t="n"/>
    </row>
    <row r="597" ht="14.25" customHeight="1" s="142">
      <c r="A597" s="45" t="n"/>
      <c r="B597" s="45" t="n"/>
      <c r="V597" s="45" t="n"/>
    </row>
    <row r="598" ht="14.25" customHeight="1" s="142">
      <c r="A598" s="45" t="n"/>
      <c r="B598" s="45" t="n"/>
      <c r="V598" s="45" t="n"/>
    </row>
    <row r="599" ht="14.25" customHeight="1" s="142">
      <c r="A599" s="45" t="n"/>
      <c r="B599" s="45" t="n"/>
      <c r="V599" s="45" t="n"/>
    </row>
    <row r="600" ht="14.25" customHeight="1" s="142">
      <c r="A600" s="45" t="n"/>
      <c r="B600" s="45" t="n"/>
      <c r="V600" s="45" t="n"/>
    </row>
    <row r="601" ht="14.25" customHeight="1" s="142">
      <c r="A601" s="45" t="n"/>
      <c r="B601" s="45" t="n"/>
      <c r="V601" s="45" t="n"/>
    </row>
    <row r="602" ht="14.25" customHeight="1" s="142">
      <c r="A602" s="45" t="n"/>
      <c r="B602" s="45" t="n"/>
      <c r="V602" s="45" t="n"/>
    </row>
    <row r="603" ht="14.25" customHeight="1" s="142">
      <c r="A603" s="45" t="n"/>
      <c r="B603" s="45" t="n"/>
      <c r="V603" s="45" t="n"/>
    </row>
    <row r="604" ht="14.25" customHeight="1" s="142">
      <c r="A604" s="45" t="n"/>
      <c r="B604" s="45" t="n"/>
      <c r="V604" s="45" t="n"/>
    </row>
    <row r="605" ht="14.25" customHeight="1" s="142">
      <c r="A605" s="45" t="n"/>
      <c r="B605" s="45" t="n"/>
      <c r="V605" s="45" t="n"/>
    </row>
    <row r="606" ht="14.25" customHeight="1" s="142">
      <c r="A606" s="45" t="n"/>
      <c r="B606" s="45" t="n"/>
      <c r="V606" s="45" t="n"/>
    </row>
    <row r="607" ht="14.25" customHeight="1" s="142">
      <c r="A607" s="45" t="n"/>
      <c r="B607" s="45" t="n"/>
      <c r="V607" s="45" t="n"/>
    </row>
    <row r="608" ht="14.25" customHeight="1" s="142">
      <c r="A608" s="45" t="n"/>
      <c r="B608" s="45" t="n"/>
      <c r="V608" s="45" t="n"/>
    </row>
    <row r="609" ht="14.25" customHeight="1" s="142">
      <c r="A609" s="45" t="n"/>
      <c r="B609" s="45" t="n"/>
      <c r="V609" s="45" t="n"/>
    </row>
    <row r="610" ht="14.25" customHeight="1" s="142">
      <c r="A610" s="45" t="n"/>
      <c r="B610" s="45" t="n"/>
      <c r="V610" s="45" t="n"/>
    </row>
    <row r="611" ht="14.25" customHeight="1" s="142">
      <c r="A611" s="45" t="n"/>
      <c r="B611" s="45" t="n"/>
      <c r="V611" s="45" t="n"/>
    </row>
    <row r="612" ht="14.25" customHeight="1" s="142">
      <c r="A612" s="45" t="n"/>
      <c r="B612" s="45" t="n"/>
      <c r="V612" s="45" t="n"/>
    </row>
    <row r="613" ht="14.25" customHeight="1" s="142">
      <c r="A613" s="45" t="n"/>
      <c r="B613" s="45" t="n"/>
      <c r="V613" s="45" t="n"/>
    </row>
    <row r="614" ht="14.25" customHeight="1" s="142">
      <c r="A614" s="45" t="n"/>
      <c r="B614" s="45" t="n"/>
      <c r="V614" s="45" t="n"/>
    </row>
    <row r="615" ht="14.25" customHeight="1" s="142">
      <c r="A615" s="45" t="n"/>
      <c r="B615" s="45" t="n"/>
      <c r="V615" s="45" t="n"/>
    </row>
    <row r="616" ht="14.25" customHeight="1" s="142">
      <c r="A616" s="45" t="n"/>
      <c r="B616" s="45" t="n"/>
      <c r="V616" s="45" t="n"/>
    </row>
    <row r="617" ht="14.25" customHeight="1" s="142">
      <c r="A617" s="45" t="n"/>
      <c r="B617" s="45" t="n"/>
      <c r="V617" s="45" t="n"/>
    </row>
    <row r="618" ht="14.25" customHeight="1" s="142">
      <c r="A618" s="45" t="n"/>
      <c r="B618" s="45" t="n"/>
      <c r="V618" s="45" t="n"/>
    </row>
    <row r="619" ht="14.25" customHeight="1" s="142">
      <c r="A619" s="45" t="n"/>
      <c r="B619" s="45" t="n"/>
      <c r="V619" s="45" t="n"/>
    </row>
    <row r="620" ht="14.25" customHeight="1" s="142">
      <c r="A620" s="45" t="n"/>
      <c r="B620" s="45" t="n"/>
      <c r="V620" s="45" t="n"/>
    </row>
    <row r="621" ht="14.25" customHeight="1" s="142">
      <c r="A621" s="45" t="n"/>
      <c r="B621" s="45" t="n"/>
      <c r="V621" s="45" t="n"/>
    </row>
    <row r="622" ht="14.25" customHeight="1" s="142">
      <c r="A622" s="45" t="n"/>
      <c r="B622" s="45" t="n"/>
      <c r="V622" s="45" t="n"/>
    </row>
    <row r="623" ht="14.25" customHeight="1" s="142">
      <c r="A623" s="45" t="n"/>
      <c r="B623" s="45" t="n"/>
      <c r="V623" s="45" t="n"/>
    </row>
    <row r="624" ht="14.25" customHeight="1" s="142">
      <c r="A624" s="45" t="n"/>
      <c r="B624" s="45" t="n"/>
      <c r="V624" s="45" t="n"/>
    </row>
    <row r="625" ht="14.25" customHeight="1" s="142">
      <c r="A625" s="45" t="n"/>
      <c r="B625" s="45" t="n"/>
      <c r="V625" s="45" t="n"/>
    </row>
    <row r="626" ht="14.25" customHeight="1" s="142">
      <c r="A626" s="45" t="n"/>
      <c r="B626" s="45" t="n"/>
      <c r="V626" s="45" t="n"/>
    </row>
    <row r="627" ht="14.25" customHeight="1" s="142">
      <c r="A627" s="45" t="n"/>
      <c r="B627" s="45" t="n"/>
      <c r="V627" s="45" t="n"/>
    </row>
    <row r="628" ht="14.25" customHeight="1" s="142">
      <c r="A628" s="45" t="n"/>
      <c r="B628" s="45" t="n"/>
      <c r="V628" s="45" t="n"/>
    </row>
    <row r="629" ht="14.25" customHeight="1" s="142">
      <c r="A629" s="45" t="n"/>
      <c r="B629" s="45" t="n"/>
      <c r="V629" s="45" t="n"/>
    </row>
    <row r="630" ht="14.25" customHeight="1" s="142">
      <c r="A630" s="45" t="n"/>
      <c r="B630" s="45" t="n"/>
      <c r="V630" s="45" t="n"/>
    </row>
    <row r="631" ht="14.25" customHeight="1" s="142">
      <c r="A631" s="45" t="n"/>
      <c r="B631" s="45" t="n"/>
      <c r="V631" s="45" t="n"/>
    </row>
    <row r="632" ht="14.25" customHeight="1" s="142">
      <c r="A632" s="45" t="n"/>
      <c r="B632" s="45" t="n"/>
      <c r="V632" s="45" t="n"/>
    </row>
    <row r="633" ht="14.25" customHeight="1" s="142">
      <c r="A633" s="45" t="n"/>
      <c r="B633" s="45" t="n"/>
      <c r="V633" s="45" t="n"/>
    </row>
    <row r="634" ht="14.25" customHeight="1" s="142">
      <c r="A634" s="45" t="n"/>
      <c r="B634" s="45" t="n"/>
      <c r="V634" s="45" t="n"/>
    </row>
    <row r="635" ht="14.25" customHeight="1" s="142">
      <c r="A635" s="45" t="n"/>
      <c r="B635" s="45" t="n"/>
      <c r="V635" s="45" t="n"/>
    </row>
    <row r="636" ht="14.25" customHeight="1" s="142">
      <c r="A636" s="45" t="n"/>
      <c r="B636" s="45" t="n"/>
      <c r="V636" s="45" t="n"/>
    </row>
    <row r="637" ht="14.25" customHeight="1" s="142">
      <c r="A637" s="45" t="n"/>
      <c r="B637" s="45" t="n"/>
      <c r="V637" s="45" t="n"/>
    </row>
    <row r="638" ht="14.25" customHeight="1" s="142">
      <c r="A638" s="45" t="n"/>
      <c r="B638" s="45" t="n"/>
      <c r="V638" s="45" t="n"/>
    </row>
    <row r="639" ht="14.25" customHeight="1" s="142">
      <c r="A639" s="45" t="n"/>
      <c r="B639" s="45" t="n"/>
      <c r="V639" s="45" t="n"/>
    </row>
    <row r="640" ht="14.25" customHeight="1" s="142">
      <c r="A640" s="45" t="n"/>
      <c r="B640" s="45" t="n"/>
      <c r="V640" s="45" t="n"/>
    </row>
    <row r="641" ht="14.25" customHeight="1" s="142">
      <c r="A641" s="45" t="n"/>
      <c r="B641" s="45" t="n"/>
      <c r="V641" s="45" t="n"/>
    </row>
    <row r="642" ht="14.25" customHeight="1" s="142">
      <c r="A642" s="45" t="n"/>
      <c r="B642" s="45" t="n"/>
      <c r="V642" s="45" t="n"/>
    </row>
    <row r="643" ht="14.25" customHeight="1" s="142">
      <c r="A643" s="45" t="n"/>
      <c r="B643" s="45" t="n"/>
      <c r="V643" s="45" t="n"/>
    </row>
    <row r="644" ht="14.25" customHeight="1" s="142">
      <c r="A644" s="45" t="n"/>
      <c r="B644" s="45" t="n"/>
      <c r="V644" s="45" t="n"/>
    </row>
    <row r="645" ht="14.25" customHeight="1" s="142">
      <c r="A645" s="45" t="n"/>
      <c r="B645" s="45" t="n"/>
      <c r="V645" s="45" t="n"/>
    </row>
    <row r="646" ht="14.25" customHeight="1" s="142">
      <c r="A646" s="45" t="n"/>
      <c r="B646" s="45" t="n"/>
      <c r="V646" s="45" t="n"/>
    </row>
    <row r="647" ht="14.25" customHeight="1" s="142">
      <c r="A647" s="45" t="n"/>
      <c r="B647" s="45" t="n"/>
      <c r="V647" s="45" t="n"/>
    </row>
    <row r="648" ht="14.25" customHeight="1" s="142">
      <c r="A648" s="45" t="n"/>
      <c r="B648" s="45" t="n"/>
      <c r="V648" s="45" t="n"/>
    </row>
    <row r="649" ht="14.25" customHeight="1" s="142">
      <c r="A649" s="45" t="n"/>
      <c r="B649" s="45" t="n"/>
      <c r="V649" s="45" t="n"/>
    </row>
    <row r="650" ht="14.25" customHeight="1" s="142">
      <c r="A650" s="45" t="n"/>
      <c r="B650" s="45" t="n"/>
      <c r="V650" s="45" t="n"/>
    </row>
    <row r="651" ht="14.25" customHeight="1" s="142">
      <c r="A651" s="45" t="n"/>
      <c r="B651" s="45" t="n"/>
      <c r="V651" s="45" t="n"/>
    </row>
    <row r="652" ht="14.25" customHeight="1" s="142">
      <c r="A652" s="45" t="n"/>
      <c r="B652" s="45" t="n"/>
      <c r="V652" s="45" t="n"/>
    </row>
    <row r="653" ht="14.25" customHeight="1" s="142">
      <c r="A653" s="45" t="n"/>
      <c r="B653" s="45" t="n"/>
      <c r="V653" s="45" t="n"/>
    </row>
    <row r="654" ht="14.25" customHeight="1" s="142">
      <c r="A654" s="45" t="n"/>
      <c r="B654" s="45" t="n"/>
      <c r="V654" s="45" t="n"/>
    </row>
    <row r="655" ht="14.25" customHeight="1" s="142">
      <c r="A655" s="45" t="n"/>
      <c r="B655" s="45" t="n"/>
      <c r="V655" s="45" t="n"/>
    </row>
    <row r="656" ht="14.25" customHeight="1" s="142">
      <c r="A656" s="45" t="n"/>
      <c r="B656" s="45" t="n"/>
      <c r="V656" s="45" t="n"/>
    </row>
    <row r="657" ht="14.25" customHeight="1" s="142">
      <c r="A657" s="45" t="n"/>
      <c r="B657" s="45" t="n"/>
      <c r="V657" s="45" t="n"/>
    </row>
    <row r="658" ht="14.25" customHeight="1" s="142">
      <c r="A658" s="45" t="n"/>
      <c r="B658" s="45" t="n"/>
      <c r="V658" s="45" t="n"/>
    </row>
    <row r="659" ht="14.25" customHeight="1" s="142">
      <c r="A659" s="45" t="n"/>
      <c r="B659" s="45" t="n"/>
      <c r="V659" s="45" t="n"/>
    </row>
    <row r="660" ht="14.25" customHeight="1" s="142">
      <c r="A660" s="45" t="n"/>
      <c r="B660" s="45" t="n"/>
      <c r="V660" s="45" t="n"/>
    </row>
    <row r="661" ht="14.25" customHeight="1" s="142">
      <c r="A661" s="45" t="n"/>
      <c r="B661" s="45" t="n"/>
      <c r="V661" s="45" t="n"/>
    </row>
    <row r="662" ht="14.25" customHeight="1" s="142">
      <c r="A662" s="45" t="n"/>
      <c r="B662" s="45" t="n"/>
      <c r="V662" s="45" t="n"/>
    </row>
    <row r="663" ht="14.25" customHeight="1" s="142">
      <c r="A663" s="45" t="n"/>
      <c r="B663" s="45" t="n"/>
      <c r="V663" s="45" t="n"/>
    </row>
    <row r="664" ht="14.25" customHeight="1" s="142">
      <c r="A664" s="45" t="n"/>
      <c r="B664" s="45" t="n"/>
      <c r="V664" s="45" t="n"/>
    </row>
    <row r="665" ht="14.25" customHeight="1" s="142">
      <c r="A665" s="45" t="n"/>
      <c r="B665" s="45" t="n"/>
      <c r="V665" s="45" t="n"/>
    </row>
    <row r="666" ht="14.25" customHeight="1" s="142">
      <c r="A666" s="45" t="n"/>
      <c r="B666" s="45" t="n"/>
      <c r="V666" s="45" t="n"/>
    </row>
    <row r="667" ht="14.25" customHeight="1" s="142">
      <c r="A667" s="45" t="n"/>
      <c r="B667" s="45" t="n"/>
      <c r="V667" s="45" t="n"/>
    </row>
    <row r="668" ht="14.25" customHeight="1" s="142">
      <c r="A668" s="45" t="n"/>
      <c r="B668" s="45" t="n"/>
      <c r="V668" s="45" t="n"/>
    </row>
    <row r="669" ht="14.25" customHeight="1" s="142">
      <c r="A669" s="45" t="n"/>
      <c r="B669" s="45" t="n"/>
      <c r="V669" s="45" t="n"/>
    </row>
    <row r="670" ht="14.25" customHeight="1" s="142">
      <c r="A670" s="45" t="n"/>
      <c r="B670" s="45" t="n"/>
      <c r="V670" s="45" t="n"/>
    </row>
    <row r="671" ht="14.25" customHeight="1" s="142">
      <c r="A671" s="45" t="n"/>
      <c r="B671" s="45" t="n"/>
      <c r="V671" s="45" t="n"/>
    </row>
    <row r="672" ht="14.25" customHeight="1" s="142">
      <c r="A672" s="45" t="n"/>
      <c r="B672" s="45" t="n"/>
      <c r="V672" s="45" t="n"/>
    </row>
    <row r="673" ht="14.25" customHeight="1" s="142">
      <c r="A673" s="45" t="n"/>
      <c r="B673" s="45" t="n"/>
      <c r="V673" s="45" t="n"/>
    </row>
    <row r="674" ht="14.25" customHeight="1" s="142">
      <c r="A674" s="45" t="n"/>
      <c r="B674" s="45" t="n"/>
      <c r="V674" s="45" t="n"/>
    </row>
    <row r="675" ht="14.25" customHeight="1" s="142">
      <c r="A675" s="45" t="n"/>
      <c r="B675" s="45" t="n"/>
      <c r="V675" s="45" t="n"/>
    </row>
    <row r="676" ht="14.25" customHeight="1" s="142">
      <c r="A676" s="45" t="n"/>
      <c r="B676" s="45" t="n"/>
      <c r="V676" s="45" t="n"/>
    </row>
    <row r="677" ht="14.25" customHeight="1" s="142">
      <c r="A677" s="45" t="n"/>
      <c r="B677" s="45" t="n"/>
      <c r="V677" s="45" t="n"/>
    </row>
    <row r="678" ht="14.25" customHeight="1" s="142">
      <c r="A678" s="45" t="n"/>
      <c r="B678" s="45" t="n"/>
      <c r="V678" s="45" t="n"/>
    </row>
    <row r="679" ht="14.25" customHeight="1" s="142">
      <c r="A679" s="45" t="n"/>
      <c r="B679" s="45" t="n"/>
      <c r="V679" s="45" t="n"/>
    </row>
    <row r="680" ht="14.25" customHeight="1" s="142">
      <c r="A680" s="45" t="n"/>
      <c r="B680" s="45" t="n"/>
      <c r="V680" s="45" t="n"/>
    </row>
    <row r="681" ht="14.25" customHeight="1" s="142">
      <c r="A681" s="45" t="n"/>
      <c r="B681" s="45" t="n"/>
      <c r="V681" s="45" t="n"/>
    </row>
    <row r="682" ht="14.25" customHeight="1" s="142">
      <c r="A682" s="45" t="n"/>
      <c r="B682" s="45" t="n"/>
      <c r="V682" s="45" t="n"/>
    </row>
    <row r="683" ht="14.25" customHeight="1" s="142">
      <c r="A683" s="45" t="n"/>
      <c r="B683" s="45" t="n"/>
      <c r="V683" s="45" t="n"/>
    </row>
    <row r="684" ht="14.25" customHeight="1" s="142">
      <c r="A684" s="45" t="n"/>
      <c r="B684" s="45" t="n"/>
      <c r="V684" s="45" t="n"/>
    </row>
    <row r="685" ht="14.25" customHeight="1" s="142">
      <c r="A685" s="45" t="n"/>
      <c r="B685" s="45" t="n"/>
      <c r="V685" s="45" t="n"/>
    </row>
    <row r="686" ht="14.25" customHeight="1" s="142">
      <c r="A686" s="45" t="n"/>
      <c r="B686" s="45" t="n"/>
      <c r="V686" s="45" t="n"/>
    </row>
    <row r="687" ht="14.25" customHeight="1" s="142">
      <c r="A687" s="45" t="n"/>
      <c r="B687" s="45" t="n"/>
      <c r="V687" s="45" t="n"/>
    </row>
    <row r="688" ht="14.25" customHeight="1" s="142">
      <c r="A688" s="45" t="n"/>
      <c r="B688" s="45" t="n"/>
      <c r="V688" s="45" t="n"/>
    </row>
    <row r="689" ht="14.25" customHeight="1" s="142">
      <c r="A689" s="45" t="n"/>
      <c r="B689" s="45" t="n"/>
      <c r="V689" s="45" t="n"/>
    </row>
    <row r="690" ht="14.25" customHeight="1" s="142">
      <c r="A690" s="45" t="n"/>
      <c r="B690" s="45" t="n"/>
      <c r="V690" s="45" t="n"/>
    </row>
    <row r="691" ht="14.25" customHeight="1" s="142">
      <c r="A691" s="45" t="n"/>
      <c r="B691" s="45" t="n"/>
      <c r="V691" s="45" t="n"/>
    </row>
    <row r="692" ht="14.25" customHeight="1" s="142">
      <c r="A692" s="45" t="n"/>
      <c r="B692" s="45" t="n"/>
      <c r="V692" s="45" t="n"/>
    </row>
    <row r="693" ht="14.25" customHeight="1" s="142">
      <c r="A693" s="45" t="n"/>
      <c r="B693" s="45" t="n"/>
      <c r="V693" s="45" t="n"/>
    </row>
    <row r="694" ht="14.25" customHeight="1" s="142">
      <c r="A694" s="45" t="n"/>
      <c r="B694" s="45" t="n"/>
      <c r="V694" s="45" t="n"/>
    </row>
    <row r="695" ht="14.25" customHeight="1" s="142">
      <c r="A695" s="45" t="n"/>
      <c r="B695" s="45" t="n"/>
      <c r="V695" s="45" t="n"/>
    </row>
    <row r="696" ht="14.25" customHeight="1" s="142">
      <c r="A696" s="45" t="n"/>
      <c r="B696" s="45" t="n"/>
      <c r="V696" s="45" t="n"/>
    </row>
    <row r="697" ht="14.25" customHeight="1" s="142">
      <c r="A697" s="45" t="n"/>
      <c r="B697" s="45" t="n"/>
      <c r="V697" s="45" t="n"/>
    </row>
    <row r="698" ht="14.25" customHeight="1" s="142">
      <c r="A698" s="45" t="n"/>
      <c r="B698" s="45" t="n"/>
      <c r="V698" s="45" t="n"/>
    </row>
    <row r="699" ht="14.25" customHeight="1" s="142">
      <c r="A699" s="45" t="n"/>
      <c r="B699" s="45" t="n"/>
      <c r="V699" s="45" t="n"/>
    </row>
    <row r="700" ht="14.25" customHeight="1" s="142">
      <c r="A700" s="45" t="n"/>
      <c r="B700" s="45" t="n"/>
      <c r="V700" s="45" t="n"/>
    </row>
    <row r="701" ht="14.25" customHeight="1" s="142">
      <c r="A701" s="45" t="n"/>
      <c r="B701" s="45" t="n"/>
      <c r="V701" s="45" t="n"/>
    </row>
    <row r="702" ht="14.25" customHeight="1" s="142">
      <c r="A702" s="45" t="n"/>
      <c r="B702" s="45" t="n"/>
      <c r="V702" s="45" t="n"/>
    </row>
    <row r="703" ht="14.25" customHeight="1" s="142">
      <c r="A703" s="45" t="n"/>
      <c r="B703" s="45" t="n"/>
      <c r="V703" s="45" t="n"/>
    </row>
    <row r="704" ht="14.25" customHeight="1" s="142">
      <c r="A704" s="45" t="n"/>
      <c r="B704" s="45" t="n"/>
      <c r="V704" s="45" t="n"/>
    </row>
    <row r="705" ht="14.25" customHeight="1" s="142">
      <c r="A705" s="45" t="n"/>
      <c r="B705" s="45" t="n"/>
      <c r="V705" s="45" t="n"/>
    </row>
    <row r="706" ht="14.25" customHeight="1" s="142">
      <c r="A706" s="45" t="n"/>
      <c r="B706" s="45" t="n"/>
      <c r="V706" s="45" t="n"/>
    </row>
    <row r="707" ht="14.25" customHeight="1" s="142">
      <c r="A707" s="45" t="n"/>
      <c r="B707" s="45" t="n"/>
      <c r="V707" s="45" t="n"/>
    </row>
    <row r="708" ht="14.25" customHeight="1" s="142">
      <c r="A708" s="45" t="n"/>
      <c r="B708" s="45" t="n"/>
      <c r="V708" s="45" t="n"/>
    </row>
    <row r="709" ht="14.25" customHeight="1" s="142">
      <c r="A709" s="45" t="n"/>
      <c r="B709" s="45" t="n"/>
      <c r="V709" s="45" t="n"/>
    </row>
    <row r="710" ht="14.25" customHeight="1" s="142">
      <c r="A710" s="45" t="n"/>
      <c r="B710" s="45" t="n"/>
      <c r="V710" s="45" t="n"/>
    </row>
    <row r="711" ht="14.25" customHeight="1" s="142">
      <c r="A711" s="45" t="n"/>
      <c r="B711" s="45" t="n"/>
      <c r="V711" s="45" t="n"/>
    </row>
    <row r="712" ht="14.25" customHeight="1" s="142">
      <c r="A712" s="45" t="n"/>
      <c r="B712" s="45" t="n"/>
      <c r="V712" s="45" t="n"/>
    </row>
    <row r="713" ht="14.25" customHeight="1" s="142">
      <c r="A713" s="45" t="n"/>
      <c r="B713" s="45" t="n"/>
      <c r="V713" s="45" t="n"/>
    </row>
    <row r="714" ht="14.25" customHeight="1" s="142">
      <c r="A714" s="45" t="n"/>
      <c r="B714" s="45" t="n"/>
      <c r="V714" s="45" t="n"/>
    </row>
    <row r="715" ht="14.25" customHeight="1" s="142">
      <c r="A715" s="45" t="n"/>
      <c r="B715" s="45" t="n"/>
      <c r="V715" s="45" t="n"/>
    </row>
    <row r="716" ht="14.25" customHeight="1" s="142">
      <c r="A716" s="45" t="n"/>
      <c r="B716" s="45" t="n"/>
      <c r="V716" s="45" t="n"/>
    </row>
    <row r="717" ht="14.25" customHeight="1" s="142">
      <c r="A717" s="45" t="n"/>
      <c r="B717" s="45" t="n"/>
      <c r="V717" s="45" t="n"/>
    </row>
    <row r="718" ht="14.25" customHeight="1" s="142">
      <c r="A718" s="45" t="n"/>
      <c r="B718" s="45" t="n"/>
      <c r="V718" s="45" t="n"/>
    </row>
    <row r="719" ht="14.25" customHeight="1" s="142">
      <c r="A719" s="45" t="n"/>
      <c r="B719" s="45" t="n"/>
      <c r="V719" s="45" t="n"/>
    </row>
    <row r="720" ht="14.25" customHeight="1" s="142">
      <c r="A720" s="45" t="n"/>
      <c r="B720" s="45" t="n"/>
      <c r="V720" s="45" t="n"/>
    </row>
    <row r="721" ht="14.25" customHeight="1" s="142">
      <c r="A721" s="45" t="n"/>
      <c r="B721" s="45" t="n"/>
      <c r="V721" s="45" t="n"/>
    </row>
    <row r="722" ht="14.25" customHeight="1" s="142">
      <c r="A722" s="45" t="n"/>
      <c r="B722" s="45" t="n"/>
      <c r="V722" s="45" t="n"/>
    </row>
    <row r="723" ht="14.25" customHeight="1" s="142">
      <c r="A723" s="45" t="n"/>
      <c r="B723" s="45" t="n"/>
      <c r="V723" s="45" t="n"/>
    </row>
    <row r="724" ht="14.25" customHeight="1" s="142">
      <c r="A724" s="45" t="n"/>
      <c r="B724" s="45" t="n"/>
      <c r="V724" s="45" t="n"/>
    </row>
    <row r="725" ht="14.25" customHeight="1" s="142">
      <c r="A725" s="45" t="n"/>
      <c r="B725" s="45" t="n"/>
      <c r="V725" s="45" t="n"/>
    </row>
    <row r="726" ht="14.25" customHeight="1" s="142">
      <c r="A726" s="45" t="n"/>
      <c r="B726" s="45" t="n"/>
      <c r="V726" s="45" t="n"/>
    </row>
    <row r="727" ht="14.25" customHeight="1" s="142">
      <c r="A727" s="45" t="n"/>
      <c r="B727" s="45" t="n"/>
      <c r="V727" s="45" t="n"/>
    </row>
    <row r="728" ht="14.25" customHeight="1" s="142">
      <c r="A728" s="45" t="n"/>
      <c r="B728" s="45" t="n"/>
      <c r="V728" s="45" t="n"/>
    </row>
    <row r="729" ht="14.25" customHeight="1" s="142">
      <c r="A729" s="45" t="n"/>
      <c r="B729" s="45" t="n"/>
      <c r="V729" s="45" t="n"/>
    </row>
    <row r="730" ht="14.25" customHeight="1" s="142">
      <c r="A730" s="45" t="n"/>
      <c r="B730" s="45" t="n"/>
      <c r="V730" s="45" t="n"/>
    </row>
    <row r="731" ht="14.25" customHeight="1" s="142">
      <c r="A731" s="45" t="n"/>
      <c r="B731" s="45" t="n"/>
      <c r="V731" s="45" t="n"/>
    </row>
    <row r="732" ht="14.25" customHeight="1" s="142">
      <c r="A732" s="45" t="n"/>
      <c r="B732" s="45" t="n"/>
      <c r="V732" s="45" t="n"/>
    </row>
    <row r="733" ht="14.25" customHeight="1" s="142">
      <c r="A733" s="45" t="n"/>
      <c r="B733" s="45" t="n"/>
      <c r="V733" s="45" t="n"/>
    </row>
    <row r="734" ht="14.25" customHeight="1" s="142">
      <c r="A734" s="45" t="n"/>
      <c r="B734" s="45" t="n"/>
      <c r="V734" s="45" t="n"/>
    </row>
    <row r="735" ht="14.25" customHeight="1" s="142">
      <c r="A735" s="45" t="n"/>
      <c r="B735" s="45" t="n"/>
      <c r="V735" s="45" t="n"/>
    </row>
    <row r="736" ht="14.25" customHeight="1" s="142">
      <c r="A736" s="45" t="n"/>
      <c r="B736" s="45" t="n"/>
      <c r="V736" s="45" t="n"/>
    </row>
    <row r="737" ht="14.25" customHeight="1" s="142">
      <c r="A737" s="45" t="n"/>
      <c r="B737" s="45" t="n"/>
      <c r="V737" s="45" t="n"/>
    </row>
    <row r="738" ht="14.25" customHeight="1" s="142">
      <c r="A738" s="45" t="n"/>
      <c r="B738" s="45" t="n"/>
      <c r="V738" s="45" t="n"/>
    </row>
    <row r="739" ht="14.25" customHeight="1" s="142">
      <c r="A739" s="45" t="n"/>
      <c r="B739" s="45" t="n"/>
      <c r="V739" s="45" t="n"/>
    </row>
    <row r="740" ht="14.25" customHeight="1" s="142">
      <c r="A740" s="45" t="n"/>
      <c r="B740" s="45" t="n"/>
      <c r="V740" s="45" t="n"/>
    </row>
    <row r="741" ht="14.25" customHeight="1" s="142">
      <c r="A741" s="45" t="n"/>
      <c r="B741" s="45" t="n"/>
      <c r="V741" s="45" t="n"/>
    </row>
    <row r="742" ht="14.25" customHeight="1" s="142">
      <c r="A742" s="45" t="n"/>
      <c r="B742" s="45" t="n"/>
      <c r="V742" s="45" t="n"/>
    </row>
    <row r="743" ht="14.25" customHeight="1" s="142">
      <c r="A743" s="45" t="n"/>
      <c r="B743" s="45" t="n"/>
      <c r="V743" s="45" t="n"/>
    </row>
    <row r="744" ht="14.25" customHeight="1" s="142">
      <c r="A744" s="45" t="n"/>
      <c r="B744" s="45" t="n"/>
      <c r="V744" s="45" t="n"/>
    </row>
    <row r="745" ht="14.25" customHeight="1" s="142">
      <c r="A745" s="45" t="n"/>
      <c r="B745" s="45" t="n"/>
      <c r="V745" s="45" t="n"/>
    </row>
    <row r="746" ht="14.25" customHeight="1" s="142">
      <c r="A746" s="45" t="n"/>
      <c r="B746" s="45" t="n"/>
      <c r="V746" s="45" t="n"/>
    </row>
    <row r="747" ht="14.25" customHeight="1" s="142">
      <c r="A747" s="45" t="n"/>
      <c r="B747" s="45" t="n"/>
      <c r="V747" s="45" t="n"/>
    </row>
    <row r="748" ht="14.25" customHeight="1" s="142">
      <c r="A748" s="45" t="n"/>
      <c r="B748" s="45" t="n"/>
      <c r="V748" s="45" t="n"/>
    </row>
    <row r="749" ht="14.25" customHeight="1" s="142">
      <c r="A749" s="45" t="n"/>
      <c r="B749" s="45" t="n"/>
      <c r="V749" s="45" t="n"/>
    </row>
    <row r="750" ht="14.25" customHeight="1" s="142">
      <c r="A750" s="45" t="n"/>
      <c r="B750" s="45" t="n"/>
      <c r="V750" s="45" t="n"/>
    </row>
    <row r="751" ht="14.25" customHeight="1" s="142">
      <c r="A751" s="45" t="n"/>
      <c r="B751" s="45" t="n"/>
      <c r="V751" s="45" t="n"/>
    </row>
    <row r="752" ht="14.25" customHeight="1" s="142">
      <c r="A752" s="45" t="n"/>
      <c r="B752" s="45" t="n"/>
      <c r="V752" s="45" t="n"/>
    </row>
    <row r="753" ht="14.25" customHeight="1" s="142">
      <c r="A753" s="45" t="n"/>
      <c r="B753" s="45" t="n"/>
      <c r="V753" s="45" t="n"/>
    </row>
    <row r="754" ht="14.25" customHeight="1" s="142">
      <c r="A754" s="45" t="n"/>
      <c r="B754" s="45" t="n"/>
      <c r="V754" s="45" t="n"/>
    </row>
    <row r="755" ht="14.25" customHeight="1" s="142">
      <c r="A755" s="45" t="n"/>
      <c r="B755" s="45" t="n"/>
      <c r="V755" s="45" t="n"/>
    </row>
    <row r="756" ht="14.25" customHeight="1" s="142">
      <c r="A756" s="45" t="n"/>
      <c r="B756" s="45" t="n"/>
      <c r="V756" s="45" t="n"/>
    </row>
    <row r="757" ht="14.25" customHeight="1" s="142">
      <c r="A757" s="45" t="n"/>
      <c r="B757" s="45" t="n"/>
      <c r="V757" s="45" t="n"/>
    </row>
    <row r="758" ht="14.25" customHeight="1" s="142">
      <c r="A758" s="45" t="n"/>
      <c r="B758" s="45" t="n"/>
      <c r="V758" s="45" t="n"/>
    </row>
    <row r="759" ht="14.25" customHeight="1" s="142">
      <c r="A759" s="45" t="n"/>
      <c r="B759" s="45" t="n"/>
      <c r="V759" s="45" t="n"/>
    </row>
    <row r="760" ht="14.25" customHeight="1" s="142">
      <c r="A760" s="45" t="n"/>
      <c r="B760" s="45" t="n"/>
      <c r="V760" s="45" t="n"/>
    </row>
    <row r="761" ht="14.25" customHeight="1" s="142">
      <c r="A761" s="45" t="n"/>
      <c r="B761" s="45" t="n"/>
      <c r="V761" s="45" t="n"/>
    </row>
    <row r="762" ht="14.25" customHeight="1" s="142">
      <c r="A762" s="45" t="n"/>
      <c r="B762" s="45" t="n"/>
      <c r="V762" s="45" t="n"/>
    </row>
    <row r="763" ht="14.25" customHeight="1" s="142">
      <c r="A763" s="45" t="n"/>
      <c r="B763" s="45" t="n"/>
      <c r="V763" s="45" t="n"/>
    </row>
    <row r="764" ht="14.25" customHeight="1" s="142">
      <c r="A764" s="45" t="n"/>
      <c r="B764" s="45" t="n"/>
      <c r="V764" s="45" t="n"/>
    </row>
    <row r="765" ht="14.25" customHeight="1" s="142">
      <c r="A765" s="45" t="n"/>
      <c r="B765" s="45" t="n"/>
      <c r="V765" s="45" t="n"/>
    </row>
    <row r="766" ht="14.25" customHeight="1" s="142">
      <c r="A766" s="45" t="n"/>
      <c r="B766" s="45" t="n"/>
      <c r="V766" s="45" t="n"/>
    </row>
    <row r="767" ht="14.25" customHeight="1" s="142">
      <c r="A767" s="45" t="n"/>
      <c r="B767" s="45" t="n"/>
      <c r="V767" s="45" t="n"/>
    </row>
    <row r="768" ht="14.25" customHeight="1" s="142">
      <c r="A768" s="45" t="n"/>
      <c r="B768" s="45" t="n"/>
      <c r="V768" s="45" t="n"/>
    </row>
    <row r="769" ht="14.25" customHeight="1" s="142">
      <c r="A769" s="45" t="n"/>
      <c r="B769" s="45" t="n"/>
      <c r="V769" s="45" t="n"/>
    </row>
    <row r="770" ht="14.25" customHeight="1" s="142">
      <c r="A770" s="45" t="n"/>
      <c r="B770" s="45" t="n"/>
      <c r="V770" s="45" t="n"/>
    </row>
    <row r="771" ht="14.25" customHeight="1" s="142">
      <c r="A771" s="45" t="n"/>
      <c r="B771" s="45" t="n"/>
      <c r="V771" s="45" t="n"/>
    </row>
    <row r="772" ht="14.25" customHeight="1" s="142">
      <c r="A772" s="45" t="n"/>
      <c r="B772" s="45" t="n"/>
      <c r="V772" s="45" t="n"/>
    </row>
    <row r="773" ht="14.25" customHeight="1" s="142">
      <c r="A773" s="45" t="n"/>
      <c r="B773" s="45" t="n"/>
      <c r="V773" s="45" t="n"/>
    </row>
    <row r="774" ht="14.25" customHeight="1" s="142">
      <c r="A774" s="45" t="n"/>
      <c r="B774" s="45" t="n"/>
      <c r="V774" s="45" t="n"/>
    </row>
    <row r="775" ht="14.25" customHeight="1" s="142">
      <c r="A775" s="45" t="n"/>
      <c r="B775" s="45" t="n"/>
      <c r="V775" s="45" t="n"/>
    </row>
    <row r="776" ht="14.25" customHeight="1" s="142">
      <c r="A776" s="45" t="n"/>
      <c r="B776" s="45" t="n"/>
      <c r="V776" s="45" t="n"/>
    </row>
    <row r="777" ht="14.25" customHeight="1" s="142">
      <c r="A777" s="45" t="n"/>
      <c r="B777" s="45" t="n"/>
      <c r="V777" s="45" t="n"/>
    </row>
    <row r="778" ht="14.25" customHeight="1" s="142">
      <c r="A778" s="45" t="n"/>
      <c r="B778" s="45" t="n"/>
      <c r="V778" s="45" t="n"/>
    </row>
    <row r="779" ht="14.25" customHeight="1" s="142">
      <c r="A779" s="45" t="n"/>
      <c r="B779" s="45" t="n"/>
      <c r="V779" s="45" t="n"/>
    </row>
    <row r="780" ht="14.25" customHeight="1" s="142">
      <c r="A780" s="45" t="n"/>
      <c r="B780" s="45" t="n"/>
      <c r="V780" s="45" t="n"/>
    </row>
    <row r="781" ht="14.25" customHeight="1" s="142">
      <c r="A781" s="45" t="n"/>
      <c r="B781" s="45" t="n"/>
      <c r="V781" s="45" t="n"/>
    </row>
    <row r="782" ht="14.25" customHeight="1" s="142">
      <c r="A782" s="45" t="n"/>
      <c r="B782" s="45" t="n"/>
      <c r="V782" s="45" t="n"/>
    </row>
    <row r="783" ht="14.25" customHeight="1" s="142">
      <c r="A783" s="45" t="n"/>
      <c r="B783" s="45" t="n"/>
      <c r="V783" s="45" t="n"/>
    </row>
    <row r="784" ht="14.25" customHeight="1" s="142">
      <c r="A784" s="45" t="n"/>
      <c r="B784" s="45" t="n"/>
      <c r="V784" s="45" t="n"/>
    </row>
    <row r="785" ht="14.25" customHeight="1" s="142">
      <c r="A785" s="45" t="n"/>
      <c r="B785" s="45" t="n"/>
      <c r="V785" s="45" t="n"/>
    </row>
    <row r="786" ht="14.25" customHeight="1" s="142">
      <c r="A786" s="45" t="n"/>
      <c r="B786" s="45" t="n"/>
      <c r="V786" s="45" t="n"/>
    </row>
    <row r="787" ht="14.25" customHeight="1" s="142">
      <c r="A787" s="45" t="n"/>
      <c r="B787" s="45" t="n"/>
      <c r="V787" s="45" t="n"/>
    </row>
    <row r="788" ht="14.25" customHeight="1" s="142">
      <c r="A788" s="45" t="n"/>
      <c r="B788" s="45" t="n"/>
      <c r="V788" s="45" t="n"/>
    </row>
    <row r="789" ht="14.25" customHeight="1" s="142">
      <c r="A789" s="45" t="n"/>
      <c r="B789" s="45" t="n"/>
      <c r="V789" s="45" t="n"/>
    </row>
    <row r="790" ht="14.25" customHeight="1" s="142">
      <c r="A790" s="45" t="n"/>
      <c r="B790" s="45" t="n"/>
      <c r="V790" s="45" t="n"/>
    </row>
    <row r="791" ht="14.25" customHeight="1" s="142">
      <c r="A791" s="45" t="n"/>
      <c r="B791" s="45" t="n"/>
      <c r="V791" s="45" t="n"/>
    </row>
    <row r="792" ht="14.25" customHeight="1" s="142">
      <c r="A792" s="45" t="n"/>
      <c r="B792" s="45" t="n"/>
      <c r="V792" s="45" t="n"/>
    </row>
    <row r="793" ht="14.25" customHeight="1" s="142">
      <c r="A793" s="45" t="n"/>
      <c r="B793" s="45" t="n"/>
      <c r="V793" s="45" t="n"/>
    </row>
    <row r="794" ht="14.25" customHeight="1" s="142">
      <c r="A794" s="45" t="n"/>
      <c r="B794" s="45" t="n"/>
      <c r="V794" s="45" t="n"/>
    </row>
    <row r="795" ht="14.25" customHeight="1" s="142">
      <c r="A795" s="45" t="n"/>
      <c r="B795" s="45" t="n"/>
      <c r="V795" s="45" t="n"/>
    </row>
    <row r="796" ht="14.25" customHeight="1" s="142">
      <c r="A796" s="45" t="n"/>
      <c r="B796" s="45" t="n"/>
      <c r="V796" s="45" t="n"/>
    </row>
    <row r="797" ht="14.25" customHeight="1" s="142">
      <c r="A797" s="45" t="n"/>
      <c r="B797" s="45" t="n"/>
      <c r="V797" s="45" t="n"/>
    </row>
    <row r="798" ht="14.25" customHeight="1" s="142">
      <c r="A798" s="45" t="n"/>
      <c r="B798" s="45" t="n"/>
      <c r="V798" s="45" t="n"/>
    </row>
    <row r="799" ht="14.25" customHeight="1" s="142">
      <c r="A799" s="45" t="n"/>
      <c r="B799" s="45" t="n"/>
      <c r="V799" s="45" t="n"/>
    </row>
    <row r="800" ht="14.25" customHeight="1" s="142">
      <c r="A800" s="45" t="n"/>
      <c r="B800" s="45" t="n"/>
      <c r="V800" s="45" t="n"/>
    </row>
    <row r="801" ht="14.25" customHeight="1" s="142">
      <c r="A801" s="45" t="n"/>
      <c r="B801" s="45" t="n"/>
      <c r="V801" s="45" t="n"/>
    </row>
    <row r="802" ht="14.25" customHeight="1" s="142">
      <c r="A802" s="45" t="n"/>
      <c r="B802" s="45" t="n"/>
      <c r="V802" s="45" t="n"/>
    </row>
    <row r="803" ht="14.25" customHeight="1" s="142">
      <c r="A803" s="45" t="n"/>
      <c r="B803" s="45" t="n"/>
      <c r="V803" s="45" t="n"/>
    </row>
    <row r="804" ht="14.25" customHeight="1" s="142">
      <c r="A804" s="45" t="n"/>
      <c r="B804" s="45" t="n"/>
      <c r="V804" s="45" t="n"/>
    </row>
    <row r="805" ht="14.25" customHeight="1" s="142">
      <c r="A805" s="45" t="n"/>
      <c r="B805" s="45" t="n"/>
      <c r="V805" s="45" t="n"/>
    </row>
    <row r="806" ht="14.25" customHeight="1" s="142">
      <c r="A806" s="45" t="n"/>
      <c r="B806" s="45" t="n"/>
      <c r="V806" s="45" t="n"/>
    </row>
    <row r="807" ht="14.25" customHeight="1" s="142">
      <c r="A807" s="45" t="n"/>
      <c r="B807" s="45" t="n"/>
      <c r="V807" s="45" t="n"/>
    </row>
    <row r="808" ht="14.25" customHeight="1" s="142">
      <c r="A808" s="45" t="n"/>
      <c r="B808" s="45" t="n"/>
      <c r="V808" s="45" t="n"/>
    </row>
    <row r="809" ht="14.25" customHeight="1" s="142">
      <c r="A809" s="45" t="n"/>
      <c r="B809" s="45" t="n"/>
      <c r="V809" s="45" t="n"/>
    </row>
    <row r="810" ht="14.25" customHeight="1" s="142">
      <c r="A810" s="45" t="n"/>
      <c r="B810" s="45" t="n"/>
      <c r="V810" s="45" t="n"/>
    </row>
    <row r="811" ht="14.25" customHeight="1" s="142">
      <c r="A811" s="45" t="n"/>
      <c r="B811" s="45" t="n"/>
      <c r="V811" s="45" t="n"/>
    </row>
    <row r="812" ht="14.25" customHeight="1" s="142">
      <c r="A812" s="45" t="n"/>
      <c r="B812" s="45" t="n"/>
      <c r="V812" s="45" t="n"/>
    </row>
    <row r="813" ht="14.25" customHeight="1" s="142">
      <c r="A813" s="45" t="n"/>
      <c r="B813" s="45" t="n"/>
      <c r="V813" s="45" t="n"/>
    </row>
    <row r="814" ht="14.25" customHeight="1" s="142">
      <c r="A814" s="45" t="n"/>
      <c r="B814" s="45" t="n"/>
      <c r="V814" s="45" t="n"/>
    </row>
    <row r="815" ht="14.25" customHeight="1" s="142">
      <c r="A815" s="45" t="n"/>
      <c r="B815" s="45" t="n"/>
      <c r="V815" s="45" t="n"/>
    </row>
    <row r="816" ht="14.25" customHeight="1" s="142">
      <c r="A816" s="45" t="n"/>
      <c r="B816" s="45" t="n"/>
      <c r="V816" s="45" t="n"/>
    </row>
    <row r="817" ht="14.25" customHeight="1" s="142">
      <c r="A817" s="45" t="n"/>
      <c r="B817" s="45" t="n"/>
      <c r="V817" s="45" t="n"/>
    </row>
    <row r="818" ht="14.25" customHeight="1" s="142">
      <c r="A818" s="45" t="n"/>
      <c r="B818" s="45" t="n"/>
      <c r="V818" s="45" t="n"/>
    </row>
    <row r="819" ht="14.25" customHeight="1" s="142">
      <c r="A819" s="45" t="n"/>
      <c r="B819" s="45" t="n"/>
      <c r="V819" s="45" t="n"/>
    </row>
    <row r="820" ht="14.25" customHeight="1" s="142">
      <c r="A820" s="45" t="n"/>
      <c r="B820" s="45" t="n"/>
      <c r="V820" s="45" t="n"/>
    </row>
    <row r="821" ht="14.25" customHeight="1" s="142">
      <c r="A821" s="45" t="n"/>
      <c r="B821" s="45" t="n"/>
      <c r="V821" s="45" t="n"/>
    </row>
    <row r="822" ht="14.25" customHeight="1" s="142">
      <c r="A822" s="45" t="n"/>
      <c r="B822" s="45" t="n"/>
      <c r="V822" s="45" t="n"/>
    </row>
    <row r="823" ht="14.25" customHeight="1" s="142">
      <c r="A823" s="45" t="n"/>
      <c r="B823" s="45" t="n"/>
      <c r="V823" s="45" t="n"/>
    </row>
    <row r="824" ht="14.25" customHeight="1" s="142">
      <c r="A824" s="45" t="n"/>
      <c r="B824" s="45" t="n"/>
      <c r="V824" s="45" t="n"/>
    </row>
    <row r="825" ht="14.25" customHeight="1" s="142">
      <c r="A825" s="45" t="n"/>
      <c r="B825" s="45" t="n"/>
      <c r="V825" s="45" t="n"/>
    </row>
    <row r="826" ht="14.25" customHeight="1" s="142">
      <c r="A826" s="45" t="n"/>
      <c r="B826" s="45" t="n"/>
      <c r="V826" s="45" t="n"/>
    </row>
    <row r="827" ht="14.25" customHeight="1" s="142">
      <c r="A827" s="45" t="n"/>
      <c r="B827" s="45" t="n"/>
      <c r="V827" s="45" t="n"/>
    </row>
    <row r="828" ht="14.25" customHeight="1" s="142">
      <c r="A828" s="45" t="n"/>
      <c r="B828" s="45" t="n"/>
      <c r="V828" s="45" t="n"/>
    </row>
    <row r="829" ht="14.25" customHeight="1" s="142">
      <c r="A829" s="45" t="n"/>
      <c r="B829" s="45" t="n"/>
      <c r="V829" s="45" t="n"/>
    </row>
    <row r="830" ht="14.25" customHeight="1" s="142">
      <c r="A830" s="45" t="n"/>
      <c r="B830" s="45" t="n"/>
      <c r="V830" s="45" t="n"/>
    </row>
    <row r="831" ht="14.25" customHeight="1" s="142">
      <c r="A831" s="45" t="n"/>
      <c r="B831" s="45" t="n"/>
      <c r="V831" s="45" t="n"/>
    </row>
    <row r="832" ht="14.25" customHeight="1" s="142">
      <c r="A832" s="45" t="n"/>
      <c r="B832" s="45" t="n"/>
      <c r="V832" s="45" t="n"/>
    </row>
    <row r="833" ht="14.25" customHeight="1" s="142">
      <c r="A833" s="45" t="n"/>
      <c r="B833" s="45" t="n"/>
      <c r="V833" s="45" t="n"/>
    </row>
    <row r="834" ht="14.25" customHeight="1" s="142">
      <c r="A834" s="45" t="n"/>
      <c r="B834" s="45" t="n"/>
      <c r="V834" s="45" t="n"/>
    </row>
    <row r="835" ht="14.25" customHeight="1" s="142">
      <c r="A835" s="45" t="n"/>
      <c r="B835" s="45" t="n"/>
      <c r="V835" s="45" t="n"/>
    </row>
    <row r="836" ht="14.25" customHeight="1" s="142">
      <c r="A836" s="45" t="n"/>
      <c r="B836" s="45" t="n"/>
      <c r="V836" s="45" t="n"/>
    </row>
    <row r="837" ht="14.25" customHeight="1" s="142">
      <c r="A837" s="45" t="n"/>
      <c r="B837" s="45" t="n"/>
      <c r="V837" s="45" t="n"/>
    </row>
    <row r="838" ht="14.25" customHeight="1" s="142">
      <c r="A838" s="45" t="n"/>
      <c r="B838" s="45" t="n"/>
      <c r="V838" s="45" t="n"/>
    </row>
    <row r="839" ht="14.25" customHeight="1" s="142">
      <c r="A839" s="45" t="n"/>
      <c r="B839" s="45" t="n"/>
      <c r="V839" s="45" t="n"/>
    </row>
    <row r="840" ht="14.25" customHeight="1" s="142">
      <c r="A840" s="45" t="n"/>
      <c r="B840" s="45" t="n"/>
      <c r="V840" s="45" t="n"/>
    </row>
    <row r="841" ht="14.25" customHeight="1" s="142">
      <c r="A841" s="45" t="n"/>
      <c r="B841" s="45" t="n"/>
      <c r="V841" s="45" t="n"/>
    </row>
    <row r="842" ht="14.25" customHeight="1" s="142">
      <c r="A842" s="45" t="n"/>
      <c r="B842" s="45" t="n"/>
      <c r="V842" s="45" t="n"/>
    </row>
    <row r="843" ht="14.25" customHeight="1" s="142">
      <c r="A843" s="45" t="n"/>
      <c r="B843" s="45" t="n"/>
      <c r="V843" s="45" t="n"/>
    </row>
    <row r="844" ht="14.25" customHeight="1" s="142">
      <c r="A844" s="45" t="n"/>
      <c r="B844" s="45" t="n"/>
      <c r="V844" s="45" t="n"/>
    </row>
    <row r="845" ht="14.25" customHeight="1" s="142">
      <c r="A845" s="45" t="n"/>
      <c r="B845" s="45" t="n"/>
      <c r="V845" s="45" t="n"/>
    </row>
    <row r="846" ht="14.25" customHeight="1" s="142">
      <c r="A846" s="45" t="n"/>
      <c r="B846" s="45" t="n"/>
      <c r="V846" s="45" t="n"/>
    </row>
    <row r="847" ht="14.25" customHeight="1" s="142">
      <c r="A847" s="45" t="n"/>
      <c r="B847" s="45" t="n"/>
      <c r="V847" s="45" t="n"/>
    </row>
    <row r="848" ht="14.25" customHeight="1" s="142">
      <c r="A848" s="45" t="n"/>
      <c r="B848" s="45" t="n"/>
      <c r="V848" s="45" t="n"/>
    </row>
    <row r="849" ht="14.25" customHeight="1" s="142">
      <c r="A849" s="45" t="n"/>
      <c r="B849" s="45" t="n"/>
      <c r="V849" s="45" t="n"/>
    </row>
    <row r="850" ht="14.25" customHeight="1" s="142">
      <c r="A850" s="45" t="n"/>
      <c r="B850" s="45" t="n"/>
      <c r="V850" s="45" t="n"/>
    </row>
    <row r="851" ht="14.25" customHeight="1" s="142">
      <c r="A851" s="45" t="n"/>
      <c r="B851" s="45" t="n"/>
      <c r="V851" s="45" t="n"/>
    </row>
    <row r="852" ht="14.25" customHeight="1" s="142">
      <c r="A852" s="45" t="n"/>
      <c r="B852" s="45" t="n"/>
      <c r="V852" s="45" t="n"/>
    </row>
    <row r="853" ht="14.25" customHeight="1" s="142">
      <c r="A853" s="45" t="n"/>
      <c r="B853" s="45" t="n"/>
      <c r="V853" s="45" t="n"/>
    </row>
    <row r="854" ht="14.25" customHeight="1" s="142">
      <c r="A854" s="45" t="n"/>
      <c r="B854" s="45" t="n"/>
      <c r="V854" s="45" t="n"/>
    </row>
    <row r="855" ht="14.25" customHeight="1" s="142">
      <c r="A855" s="45" t="n"/>
      <c r="B855" s="45" t="n"/>
      <c r="V855" s="45" t="n"/>
    </row>
    <row r="856" ht="14.25" customHeight="1" s="142">
      <c r="A856" s="45" t="n"/>
      <c r="B856" s="45" t="n"/>
      <c r="V856" s="45" t="n"/>
    </row>
    <row r="857" ht="14.25" customHeight="1" s="142">
      <c r="A857" s="45" t="n"/>
      <c r="B857" s="45" t="n"/>
      <c r="V857" s="45" t="n"/>
    </row>
    <row r="858" ht="14.25" customHeight="1" s="142">
      <c r="A858" s="45" t="n"/>
      <c r="B858" s="45" t="n"/>
      <c r="V858" s="45" t="n"/>
    </row>
    <row r="859" ht="14.25" customHeight="1" s="142">
      <c r="A859" s="45" t="n"/>
      <c r="B859" s="45" t="n"/>
      <c r="V859" s="45" t="n"/>
    </row>
    <row r="860" ht="14.25" customHeight="1" s="142">
      <c r="A860" s="45" t="n"/>
      <c r="B860" s="45" t="n"/>
      <c r="V860" s="45" t="n"/>
    </row>
    <row r="861" ht="14.25" customHeight="1" s="142">
      <c r="A861" s="45" t="n"/>
      <c r="B861" s="45" t="n"/>
      <c r="V861" s="45" t="n"/>
    </row>
    <row r="862" ht="14.25" customHeight="1" s="142">
      <c r="A862" s="45" t="n"/>
      <c r="B862" s="45" t="n"/>
      <c r="V862" s="45" t="n"/>
    </row>
    <row r="863" ht="14.25" customHeight="1" s="142">
      <c r="A863" s="45" t="n"/>
      <c r="B863" s="45" t="n"/>
      <c r="V863" s="45" t="n"/>
    </row>
    <row r="864" ht="14.25" customHeight="1" s="142">
      <c r="A864" s="45" t="n"/>
      <c r="B864" s="45" t="n"/>
      <c r="V864" s="45" t="n"/>
    </row>
    <row r="865" ht="14.25" customHeight="1" s="142">
      <c r="A865" s="45" t="n"/>
      <c r="B865" s="45" t="n"/>
      <c r="V865" s="45" t="n"/>
    </row>
    <row r="866" ht="14.25" customHeight="1" s="142">
      <c r="A866" s="45" t="n"/>
      <c r="B866" s="45" t="n"/>
      <c r="V866" s="45" t="n"/>
    </row>
    <row r="867" ht="14.25" customHeight="1" s="142">
      <c r="A867" s="45" t="n"/>
      <c r="B867" s="45" t="n"/>
      <c r="V867" s="45" t="n"/>
    </row>
    <row r="868" ht="14.25" customHeight="1" s="142">
      <c r="A868" s="45" t="n"/>
      <c r="B868" s="45" t="n"/>
      <c r="V868" s="45" t="n"/>
    </row>
    <row r="869" ht="14.25" customHeight="1" s="142">
      <c r="A869" s="45" t="n"/>
      <c r="B869" s="45" t="n"/>
      <c r="V869" s="45" t="n"/>
    </row>
    <row r="870" ht="14.25" customHeight="1" s="142">
      <c r="A870" s="45" t="n"/>
      <c r="B870" s="45" t="n"/>
      <c r="V870" s="45" t="n"/>
    </row>
    <row r="871" ht="14.25" customHeight="1" s="142">
      <c r="A871" s="45" t="n"/>
      <c r="B871" s="45" t="n"/>
      <c r="V871" s="45" t="n"/>
    </row>
    <row r="872" ht="14.25" customHeight="1" s="142">
      <c r="A872" s="45" t="n"/>
      <c r="B872" s="45" t="n"/>
      <c r="V872" s="45" t="n"/>
    </row>
    <row r="873" ht="14.25" customHeight="1" s="142">
      <c r="A873" s="45" t="n"/>
      <c r="B873" s="45" t="n"/>
      <c r="V873" s="45" t="n"/>
    </row>
    <row r="874" ht="14.25" customHeight="1" s="142">
      <c r="A874" s="45" t="n"/>
      <c r="B874" s="45" t="n"/>
      <c r="V874" s="45" t="n"/>
    </row>
    <row r="875" ht="14.25" customHeight="1" s="142">
      <c r="A875" s="45" t="n"/>
      <c r="B875" s="45" t="n"/>
      <c r="V875" s="45" t="n"/>
    </row>
    <row r="876" ht="14.25" customHeight="1" s="142">
      <c r="A876" s="45" t="n"/>
      <c r="B876" s="45" t="n"/>
      <c r="V876" s="45" t="n"/>
    </row>
    <row r="877" ht="14.25" customHeight="1" s="142">
      <c r="A877" s="45" t="n"/>
      <c r="B877" s="45" t="n"/>
      <c r="V877" s="45" t="n"/>
    </row>
    <row r="878" ht="14.25" customHeight="1" s="142">
      <c r="A878" s="45" t="n"/>
      <c r="B878" s="45" t="n"/>
      <c r="V878" s="45" t="n"/>
    </row>
    <row r="879" ht="14.25" customHeight="1" s="142">
      <c r="A879" s="45" t="n"/>
      <c r="B879" s="45" t="n"/>
      <c r="V879" s="45" t="n"/>
    </row>
    <row r="880" ht="14.25" customHeight="1" s="142">
      <c r="A880" s="45" t="n"/>
      <c r="B880" s="45" t="n"/>
      <c r="V880" s="45" t="n"/>
    </row>
    <row r="881" ht="14.25" customHeight="1" s="142">
      <c r="A881" s="45" t="n"/>
      <c r="B881" s="45" t="n"/>
      <c r="V881" s="45" t="n"/>
    </row>
    <row r="882" ht="14.25" customHeight="1" s="142">
      <c r="A882" s="45" t="n"/>
      <c r="B882" s="45" t="n"/>
      <c r="V882" s="45" t="n"/>
    </row>
    <row r="883" ht="14.25" customHeight="1" s="142">
      <c r="A883" s="45" t="n"/>
      <c r="B883" s="45" t="n"/>
      <c r="V883" s="45" t="n"/>
    </row>
    <row r="884" ht="14.25" customHeight="1" s="142">
      <c r="A884" s="45" t="n"/>
      <c r="B884" s="45" t="n"/>
      <c r="V884" s="45" t="n"/>
    </row>
    <row r="885" ht="14.25" customHeight="1" s="142">
      <c r="A885" s="45" t="n"/>
      <c r="B885" s="45" t="n"/>
      <c r="V885" s="45" t="n"/>
    </row>
    <row r="886" ht="14.25" customHeight="1" s="142">
      <c r="A886" s="45" t="n"/>
      <c r="B886" s="45" t="n"/>
      <c r="V886" s="45" t="n"/>
    </row>
    <row r="887" ht="14.25" customHeight="1" s="142">
      <c r="A887" s="45" t="n"/>
      <c r="B887" s="45" t="n"/>
      <c r="V887" s="45" t="n"/>
    </row>
    <row r="888" ht="14.25" customHeight="1" s="142">
      <c r="A888" s="45" t="n"/>
      <c r="B888" s="45" t="n"/>
      <c r="V888" s="45" t="n"/>
    </row>
    <row r="889" ht="14.25" customHeight="1" s="142">
      <c r="A889" s="45" t="n"/>
      <c r="B889" s="45" t="n"/>
      <c r="V889" s="45" t="n"/>
    </row>
    <row r="890" ht="14.25" customHeight="1" s="142">
      <c r="A890" s="45" t="n"/>
      <c r="B890" s="45" t="n"/>
      <c r="V890" s="45" t="n"/>
    </row>
    <row r="891" ht="14.25" customHeight="1" s="142">
      <c r="A891" s="45" t="n"/>
      <c r="B891" s="45" t="n"/>
      <c r="V891" s="45" t="n"/>
    </row>
    <row r="892" ht="14.25" customHeight="1" s="142">
      <c r="A892" s="45" t="n"/>
      <c r="B892" s="45" t="n"/>
      <c r="V892" s="45" t="n"/>
    </row>
    <row r="893" ht="14.25" customHeight="1" s="142">
      <c r="A893" s="45" t="n"/>
      <c r="B893" s="45" t="n"/>
      <c r="V893" s="45" t="n"/>
    </row>
    <row r="894" ht="14.25" customHeight="1" s="142">
      <c r="A894" s="45" t="n"/>
      <c r="B894" s="45" t="n"/>
      <c r="V894" s="45" t="n"/>
    </row>
    <row r="895" ht="14.25" customHeight="1" s="142">
      <c r="A895" s="45" t="n"/>
      <c r="B895" s="45" t="n"/>
      <c r="V895" s="45" t="n"/>
    </row>
    <row r="896" ht="14.25" customHeight="1" s="142">
      <c r="A896" s="45" t="n"/>
      <c r="B896" s="45" t="n"/>
      <c r="V896" s="45" t="n"/>
    </row>
    <row r="897" ht="14.25" customHeight="1" s="142">
      <c r="A897" s="45" t="n"/>
      <c r="B897" s="45" t="n"/>
      <c r="V897" s="45" t="n"/>
    </row>
    <row r="898" ht="14.25" customHeight="1" s="142">
      <c r="A898" s="45" t="n"/>
      <c r="B898" s="45" t="n"/>
      <c r="V898" s="45" t="n"/>
    </row>
    <row r="899" ht="14.25" customHeight="1" s="142">
      <c r="A899" s="45" t="n"/>
      <c r="B899" s="45" t="n"/>
      <c r="V899" s="45" t="n"/>
    </row>
    <row r="900" ht="14.25" customHeight="1" s="142">
      <c r="A900" s="45" t="n"/>
      <c r="B900" s="45" t="n"/>
      <c r="V900" s="45" t="n"/>
    </row>
    <row r="901" ht="14.25" customHeight="1" s="142">
      <c r="A901" s="45" t="n"/>
      <c r="B901" s="45" t="n"/>
      <c r="V901" s="45" t="n"/>
    </row>
    <row r="902" ht="14.25" customHeight="1" s="142">
      <c r="A902" s="45" t="n"/>
      <c r="B902" s="45" t="n"/>
      <c r="V902" s="45" t="n"/>
    </row>
    <row r="903" ht="14.25" customHeight="1" s="142">
      <c r="A903" s="45" t="n"/>
      <c r="B903" s="45" t="n"/>
      <c r="V903" s="45" t="n"/>
    </row>
    <row r="904" ht="14.25" customHeight="1" s="142">
      <c r="A904" s="45" t="n"/>
      <c r="B904" s="45" t="n"/>
      <c r="V904" s="45" t="n"/>
    </row>
    <row r="905" ht="14.25" customHeight="1" s="142">
      <c r="A905" s="45" t="n"/>
      <c r="B905" s="45" t="n"/>
      <c r="V905" s="45" t="n"/>
    </row>
    <row r="906" ht="14.25" customHeight="1" s="142">
      <c r="A906" s="45" t="n"/>
      <c r="B906" s="45" t="n"/>
      <c r="V906" s="45" t="n"/>
    </row>
    <row r="907" ht="14.25" customHeight="1" s="142">
      <c r="A907" s="45" t="n"/>
      <c r="B907" s="45" t="n"/>
      <c r="V907" s="45" t="n"/>
    </row>
    <row r="908" ht="14.25" customHeight="1" s="142">
      <c r="A908" s="45" t="n"/>
      <c r="B908" s="45" t="n"/>
      <c r="V908" s="45" t="n"/>
    </row>
    <row r="909" ht="14.25" customHeight="1" s="142">
      <c r="A909" s="45" t="n"/>
      <c r="B909" s="45" t="n"/>
      <c r="V909" s="45" t="n"/>
    </row>
    <row r="910" ht="14.25" customHeight="1" s="142">
      <c r="A910" s="45" t="n"/>
      <c r="B910" s="45" t="n"/>
      <c r="V910" s="45" t="n"/>
    </row>
    <row r="911" ht="14.25" customHeight="1" s="142">
      <c r="A911" s="45" t="n"/>
      <c r="B911" s="45" t="n"/>
      <c r="V911" s="45" t="n"/>
    </row>
    <row r="912" ht="14.25" customHeight="1" s="142">
      <c r="A912" s="45" t="n"/>
      <c r="B912" s="45" t="n"/>
      <c r="V912" s="45" t="n"/>
    </row>
    <row r="913" ht="14.25" customHeight="1" s="142">
      <c r="A913" s="45" t="n"/>
      <c r="B913" s="45" t="n"/>
      <c r="V913" s="45" t="n"/>
    </row>
    <row r="914" ht="14.25" customHeight="1" s="142">
      <c r="A914" s="45" t="n"/>
      <c r="B914" s="45" t="n"/>
      <c r="V914" s="45" t="n"/>
    </row>
    <row r="915" ht="14.25" customHeight="1" s="142">
      <c r="A915" s="45" t="n"/>
      <c r="B915" s="45" t="n"/>
      <c r="V915" s="45" t="n"/>
    </row>
    <row r="916" ht="14.25" customHeight="1" s="142">
      <c r="A916" s="45" t="n"/>
      <c r="B916" s="45" t="n"/>
      <c r="V916" s="45" t="n"/>
    </row>
    <row r="917" ht="14.25" customHeight="1" s="142">
      <c r="A917" s="45" t="n"/>
      <c r="B917" s="45" t="n"/>
      <c r="V917" s="45" t="n"/>
    </row>
    <row r="918" ht="14.25" customHeight="1" s="142">
      <c r="A918" s="45" t="n"/>
      <c r="B918" s="45" t="n"/>
      <c r="V918" s="45" t="n"/>
    </row>
    <row r="919" ht="14.25" customHeight="1" s="142">
      <c r="A919" s="45" t="n"/>
      <c r="B919" s="45" t="n"/>
      <c r="V919" s="45" t="n"/>
    </row>
    <row r="920" ht="14.25" customHeight="1" s="142">
      <c r="A920" s="45" t="n"/>
      <c r="B920" s="45" t="n"/>
      <c r="V920" s="45" t="n"/>
    </row>
    <row r="921" ht="14.25" customHeight="1" s="142">
      <c r="A921" s="45" t="n"/>
      <c r="B921" s="45" t="n"/>
      <c r="V921" s="45" t="n"/>
    </row>
    <row r="922" ht="14.25" customHeight="1" s="142">
      <c r="A922" s="45" t="n"/>
      <c r="B922" s="45" t="n"/>
      <c r="V922" s="45" t="n"/>
    </row>
    <row r="923" ht="14.25" customHeight="1" s="142">
      <c r="A923" s="45" t="n"/>
      <c r="B923" s="45" t="n"/>
      <c r="V923" s="45" t="n"/>
    </row>
    <row r="924" ht="14.25" customHeight="1" s="142">
      <c r="A924" s="45" t="n"/>
      <c r="B924" s="45" t="n"/>
      <c r="V924" s="45" t="n"/>
    </row>
    <row r="925" ht="14.25" customHeight="1" s="142">
      <c r="A925" s="45" t="n"/>
      <c r="B925" s="45" t="n"/>
      <c r="V925" s="45" t="n"/>
    </row>
    <row r="926" ht="14.25" customHeight="1" s="142">
      <c r="A926" s="45" t="n"/>
      <c r="B926" s="45" t="n"/>
      <c r="V926" s="45" t="n"/>
    </row>
    <row r="927" ht="14.25" customHeight="1" s="142">
      <c r="A927" s="45" t="n"/>
      <c r="B927" s="45" t="n"/>
      <c r="V927" s="45" t="n"/>
    </row>
    <row r="928" ht="14.25" customHeight="1" s="142">
      <c r="A928" s="45" t="n"/>
      <c r="B928" s="45" t="n"/>
      <c r="V928" s="45" t="n"/>
    </row>
    <row r="929" ht="14.25" customHeight="1" s="142">
      <c r="A929" s="45" t="n"/>
      <c r="B929" s="45" t="n"/>
      <c r="V929" s="45" t="n"/>
    </row>
    <row r="930" ht="14.25" customHeight="1" s="142">
      <c r="A930" s="45" t="n"/>
      <c r="B930" s="45" t="n"/>
      <c r="V930" s="45" t="n"/>
    </row>
    <row r="931" ht="14.25" customHeight="1" s="142">
      <c r="A931" s="45" t="n"/>
      <c r="B931" s="45" t="n"/>
      <c r="V931" s="45" t="n"/>
    </row>
    <row r="932" ht="14.25" customHeight="1" s="142">
      <c r="A932" s="45" t="n"/>
      <c r="B932" s="45" t="n"/>
      <c r="V932" s="45" t="n"/>
    </row>
    <row r="933" ht="14.25" customHeight="1" s="142">
      <c r="A933" s="45" t="n"/>
      <c r="B933" s="45" t="n"/>
      <c r="V933" s="45" t="n"/>
    </row>
    <row r="934" ht="14.25" customHeight="1" s="142">
      <c r="A934" s="45" t="n"/>
      <c r="B934" s="45" t="n"/>
      <c r="V934" s="45" t="n"/>
    </row>
    <row r="935" ht="14.25" customHeight="1" s="142">
      <c r="A935" s="45" t="n"/>
      <c r="B935" s="45" t="n"/>
      <c r="V935" s="45" t="n"/>
    </row>
    <row r="936" ht="14.25" customHeight="1" s="142">
      <c r="A936" s="45" t="n"/>
      <c r="B936" s="45" t="n"/>
      <c r="V936" s="45" t="n"/>
    </row>
    <row r="937" ht="14.25" customHeight="1" s="142">
      <c r="A937" s="45" t="n"/>
      <c r="B937" s="45" t="n"/>
      <c r="V937" s="45" t="n"/>
    </row>
    <row r="938" ht="14.25" customHeight="1" s="142">
      <c r="A938" s="45" t="n"/>
      <c r="B938" s="45" t="n"/>
      <c r="V938" s="45" t="n"/>
    </row>
    <row r="939" ht="14.25" customHeight="1" s="142">
      <c r="A939" s="45" t="n"/>
      <c r="B939" s="45" t="n"/>
      <c r="V939" s="45" t="n"/>
    </row>
    <row r="940" ht="14.25" customHeight="1" s="142">
      <c r="A940" s="45" t="n"/>
      <c r="B940" s="45" t="n"/>
      <c r="V940" s="45" t="n"/>
    </row>
    <row r="941" ht="14.25" customHeight="1" s="142">
      <c r="A941" s="45" t="n"/>
      <c r="B941" s="45" t="n"/>
      <c r="V941" s="45" t="n"/>
    </row>
    <row r="942" ht="14.25" customHeight="1" s="142">
      <c r="A942" s="45" t="n"/>
      <c r="B942" s="45" t="n"/>
      <c r="V942" s="45" t="n"/>
    </row>
    <row r="943" ht="14.25" customHeight="1" s="142">
      <c r="A943" s="45" t="n"/>
      <c r="B943" s="45" t="n"/>
      <c r="V943" s="45" t="n"/>
    </row>
    <row r="944" ht="14.25" customHeight="1" s="142">
      <c r="A944" s="45" t="n"/>
      <c r="B944" s="45" t="n"/>
      <c r="V944" s="45" t="n"/>
    </row>
    <row r="945" ht="14.25" customHeight="1" s="142">
      <c r="A945" s="45" t="n"/>
      <c r="B945" s="45" t="n"/>
      <c r="V945" s="45" t="n"/>
    </row>
    <row r="946" ht="14.25" customHeight="1" s="142">
      <c r="A946" s="45" t="n"/>
      <c r="B946" s="45" t="n"/>
      <c r="V946" s="45" t="n"/>
    </row>
    <row r="947" ht="14.25" customHeight="1" s="142">
      <c r="A947" s="45" t="n"/>
      <c r="B947" s="45" t="n"/>
      <c r="V947" s="45" t="n"/>
    </row>
    <row r="948" ht="14.25" customHeight="1" s="142">
      <c r="A948" s="45" t="n"/>
      <c r="B948" s="45" t="n"/>
      <c r="V948" s="45" t="n"/>
    </row>
    <row r="949" ht="14.25" customHeight="1" s="142">
      <c r="A949" s="45" t="n"/>
      <c r="B949" s="45" t="n"/>
      <c r="V949" s="45" t="n"/>
    </row>
    <row r="950" ht="14.25" customHeight="1" s="142">
      <c r="A950" s="45" t="n"/>
      <c r="B950" s="45" t="n"/>
      <c r="V950" s="45" t="n"/>
    </row>
    <row r="951" ht="14.25" customHeight="1" s="142">
      <c r="A951" s="45" t="n"/>
      <c r="B951" s="45" t="n"/>
      <c r="V951" s="45" t="n"/>
    </row>
    <row r="952" ht="14.25" customHeight="1" s="142">
      <c r="A952" s="45" t="n"/>
      <c r="B952" s="45" t="n"/>
      <c r="V952" s="45" t="n"/>
    </row>
    <row r="953" ht="14.25" customHeight="1" s="142">
      <c r="A953" s="45" t="n"/>
      <c r="B953" s="45" t="n"/>
      <c r="V953" s="45" t="n"/>
    </row>
    <row r="954" ht="14.25" customHeight="1" s="142">
      <c r="A954" s="45" t="n"/>
      <c r="B954" s="45" t="n"/>
      <c r="V954" s="45" t="n"/>
    </row>
    <row r="955" ht="14.25" customHeight="1" s="142">
      <c r="A955" s="45" t="n"/>
      <c r="B955" s="45" t="n"/>
      <c r="V955" s="45" t="n"/>
    </row>
    <row r="956" ht="14.25" customHeight="1" s="142">
      <c r="A956" s="45" t="n"/>
      <c r="B956" s="45" t="n"/>
      <c r="V956" s="45" t="n"/>
    </row>
    <row r="957" ht="14.25" customHeight="1" s="142">
      <c r="A957" s="45" t="n"/>
      <c r="B957" s="45" t="n"/>
      <c r="V957" s="45" t="n"/>
    </row>
    <row r="958" ht="14.25" customHeight="1" s="142">
      <c r="A958" s="45" t="n"/>
      <c r="B958" s="45" t="n"/>
      <c r="V958" s="45" t="n"/>
    </row>
    <row r="959" ht="14.25" customHeight="1" s="142">
      <c r="A959" s="45" t="n"/>
      <c r="B959" s="45" t="n"/>
      <c r="V959" s="45" t="n"/>
    </row>
    <row r="960" ht="14.25" customHeight="1" s="142">
      <c r="A960" s="45" t="n"/>
      <c r="B960" s="45" t="n"/>
      <c r="V960" s="45" t="n"/>
    </row>
    <row r="961" ht="14.25" customHeight="1" s="142">
      <c r="A961" s="45" t="n"/>
      <c r="B961" s="45" t="n"/>
      <c r="V961" s="45" t="n"/>
    </row>
    <row r="962" ht="14.25" customHeight="1" s="142">
      <c r="A962" s="45" t="n"/>
      <c r="B962" s="45" t="n"/>
      <c r="V962" s="45" t="n"/>
    </row>
    <row r="963" ht="14.25" customHeight="1" s="142">
      <c r="A963" s="45" t="n"/>
      <c r="B963" s="45" t="n"/>
      <c r="V963" s="45" t="n"/>
    </row>
    <row r="964" ht="14.25" customHeight="1" s="142">
      <c r="A964" s="45" t="n"/>
      <c r="B964" s="45" t="n"/>
      <c r="V964" s="45" t="n"/>
    </row>
    <row r="965" ht="14.25" customHeight="1" s="142">
      <c r="A965" s="45" t="n"/>
      <c r="B965" s="45" t="n"/>
      <c r="V965" s="45" t="n"/>
    </row>
    <row r="966" ht="14.25" customHeight="1" s="142">
      <c r="A966" s="45" t="n"/>
      <c r="B966" s="45" t="n"/>
      <c r="V966" s="45" t="n"/>
    </row>
    <row r="967" ht="14.25" customHeight="1" s="142">
      <c r="A967" s="45" t="n"/>
      <c r="B967" s="45" t="n"/>
      <c r="V967" s="45" t="n"/>
    </row>
    <row r="968" ht="14.25" customHeight="1" s="142">
      <c r="A968" s="45" t="n"/>
      <c r="B968" s="45" t="n"/>
      <c r="V968" s="45" t="n"/>
    </row>
    <row r="969" ht="14.25" customHeight="1" s="142">
      <c r="A969" s="45" t="n"/>
      <c r="B969" s="45" t="n"/>
      <c r="V969" s="45" t="n"/>
    </row>
    <row r="970" ht="14.25" customHeight="1" s="142">
      <c r="A970" s="45" t="n"/>
      <c r="B970" s="45" t="n"/>
      <c r="V970" s="45" t="n"/>
    </row>
    <row r="971" ht="14.25" customHeight="1" s="142">
      <c r="A971" s="45" t="n"/>
      <c r="B971" s="45" t="n"/>
      <c r="V971" s="45" t="n"/>
    </row>
    <row r="972" ht="14.25" customHeight="1" s="142">
      <c r="A972" s="45" t="n"/>
      <c r="B972" s="45" t="n"/>
      <c r="V972" s="45" t="n"/>
    </row>
    <row r="973" ht="14.25" customHeight="1" s="142">
      <c r="A973" s="45" t="n"/>
      <c r="B973" s="45" t="n"/>
      <c r="V973" s="45" t="n"/>
    </row>
    <row r="974" ht="14.25" customHeight="1" s="142">
      <c r="A974" s="45" t="n"/>
      <c r="B974" s="45" t="n"/>
      <c r="V974" s="45" t="n"/>
    </row>
    <row r="975" ht="14.25" customHeight="1" s="142">
      <c r="A975" s="45" t="n"/>
      <c r="B975" s="45" t="n"/>
      <c r="V975" s="45" t="n"/>
    </row>
    <row r="976" ht="14.25" customHeight="1" s="142">
      <c r="A976" s="45" t="n"/>
      <c r="B976" s="45" t="n"/>
      <c r="V976" s="45" t="n"/>
    </row>
    <row r="977" ht="14.25" customHeight="1" s="142">
      <c r="A977" s="45" t="n"/>
      <c r="B977" s="45" t="n"/>
      <c r="V977" s="45" t="n"/>
    </row>
    <row r="978" ht="14.25" customHeight="1" s="142">
      <c r="A978" s="45" t="n"/>
      <c r="B978" s="45" t="n"/>
      <c r="V978" s="45" t="n"/>
    </row>
    <row r="979" ht="14.25" customHeight="1" s="142">
      <c r="A979" s="45" t="n"/>
      <c r="B979" s="45" t="n"/>
      <c r="V979" s="45" t="n"/>
    </row>
    <row r="980" ht="14.25" customHeight="1" s="142">
      <c r="A980" s="45" t="n"/>
      <c r="B980" s="45" t="n"/>
      <c r="V980" s="45" t="n"/>
    </row>
    <row r="981" ht="14.25" customHeight="1" s="142">
      <c r="A981" s="45" t="n"/>
      <c r="B981" s="45" t="n"/>
      <c r="V981" s="45" t="n"/>
    </row>
    <row r="982" ht="14.25" customHeight="1" s="142">
      <c r="A982" s="45" t="n"/>
      <c r="B982" s="45" t="n"/>
      <c r="V982" s="45" t="n"/>
    </row>
    <row r="983" ht="14.25" customHeight="1" s="142">
      <c r="A983" s="45" t="n"/>
      <c r="B983" s="45" t="n"/>
      <c r="V983" s="45" t="n"/>
    </row>
    <row r="984" ht="14.25" customHeight="1" s="142">
      <c r="A984" s="45" t="n"/>
      <c r="B984" s="45" t="n"/>
      <c r="V984" s="45" t="n"/>
    </row>
    <row r="985" ht="14.25" customHeight="1" s="142">
      <c r="A985" s="45" t="n"/>
      <c r="B985" s="45" t="n"/>
      <c r="V985" s="45" t="n"/>
    </row>
    <row r="986" ht="14.25" customHeight="1" s="142">
      <c r="A986" s="45" t="n"/>
      <c r="B986" s="45" t="n"/>
      <c r="V986" s="45" t="n"/>
    </row>
    <row r="987" ht="14.25" customHeight="1" s="142">
      <c r="A987" s="45" t="n"/>
      <c r="B987" s="45" t="n"/>
      <c r="V987" s="45" t="n"/>
    </row>
    <row r="988" ht="14.25" customHeight="1" s="142">
      <c r="A988" s="45" t="n"/>
      <c r="B988" s="45" t="n"/>
      <c r="V988" s="45" t="n"/>
    </row>
    <row r="989" ht="14.25" customHeight="1" s="142">
      <c r="A989" s="45" t="n"/>
      <c r="B989" s="45" t="n"/>
      <c r="V989" s="45" t="n"/>
    </row>
    <row r="990" ht="14.25" customHeight="1" s="142">
      <c r="A990" s="45" t="n"/>
      <c r="B990" s="45" t="n"/>
      <c r="V990" s="45" t="n"/>
    </row>
    <row r="991" ht="14.25" customHeight="1" s="142">
      <c r="A991" s="45" t="n"/>
      <c r="B991" s="45" t="n"/>
      <c r="V991" s="45" t="n"/>
    </row>
    <row r="992" ht="14.25" customHeight="1" s="142">
      <c r="A992" s="45" t="n"/>
      <c r="B992" s="45" t="n"/>
      <c r="V992" s="45" t="n"/>
    </row>
    <row r="993" ht="14.25" customHeight="1" s="142">
      <c r="A993" s="45" t="n"/>
      <c r="B993" s="45" t="n"/>
      <c r="V993" s="45" t="n"/>
    </row>
    <row r="994" ht="14.25" customHeight="1" s="142">
      <c r="A994" s="45" t="n"/>
      <c r="B994" s="45" t="n"/>
      <c r="V994" s="45" t="n"/>
    </row>
    <row r="995" ht="14.25" customHeight="1" s="142">
      <c r="A995" s="45" t="n"/>
      <c r="B995" s="45" t="n"/>
      <c r="V995" s="45" t="n"/>
    </row>
    <row r="996" ht="14.25" customHeight="1" s="142">
      <c r="A996" s="45" t="n"/>
      <c r="B996" s="45" t="n"/>
      <c r="V996" s="45" t="n"/>
    </row>
    <row r="997" ht="14.25" customHeight="1" s="142">
      <c r="A997" s="45" t="n"/>
      <c r="B997" s="45" t="n"/>
      <c r="V997" s="45" t="n"/>
    </row>
    <row r="998" ht="14.25" customHeight="1" s="142">
      <c r="A998" s="45" t="n"/>
      <c r="B998" s="45" t="n"/>
      <c r="V998" s="45" t="n"/>
    </row>
    <row r="999" ht="14.25" customHeight="1" s="142">
      <c r="A999" s="45" t="n"/>
      <c r="B999" s="45" t="n"/>
      <c r="V999" s="45" t="n"/>
    </row>
    <row r="1000" ht="14.25" customHeight="1" s="142">
      <c r="A1000" s="45" t="n"/>
      <c r="B1000" s="45" t="n"/>
      <c r="V1000" s="45" t="n"/>
    </row>
    <row r="1001" ht="14.25" customHeight="1" s="142">
      <c r="A1001" s="45" t="n"/>
      <c r="B1001" s="45" t="n"/>
      <c r="V1001" s="45" t="n"/>
    </row>
    <row r="1002" ht="14.25" customHeight="1" s="142">
      <c r="A1002" s="45" t="n"/>
      <c r="B1002" s="45" t="n"/>
      <c r="V1002" s="45" t="n"/>
    </row>
    <row r="1003" ht="14.25" customHeight="1" s="142">
      <c r="A1003" s="45" t="n"/>
      <c r="B1003" s="45" t="n"/>
      <c r="V1003" s="45" t="n"/>
    </row>
    <row r="1004" ht="14.25" customHeight="1" s="142">
      <c r="A1004" s="45" t="n"/>
      <c r="B1004" s="45" t="n"/>
      <c r="V1004" s="45" t="n"/>
    </row>
    <row r="1005" ht="14.25" customHeight="1" s="142">
      <c r="A1005" s="45" t="n"/>
      <c r="B1005" s="45" t="n"/>
      <c r="V1005" s="45" t="n"/>
    </row>
    <row r="1006" ht="14.25" customHeight="1" s="142">
      <c r="A1006" s="45" t="n"/>
      <c r="B1006" s="45" t="n"/>
      <c r="V1006" s="45" t="n"/>
    </row>
    <row r="1007" ht="14.25" customHeight="1" s="142">
      <c r="A1007" s="45" t="n"/>
      <c r="B1007" s="45" t="n"/>
      <c r="V1007" s="45" t="n"/>
    </row>
    <row r="1008" ht="14.25" customHeight="1" s="142">
      <c r="A1008" s="45" t="n"/>
      <c r="B1008" s="45" t="n"/>
      <c r="V1008" s="45" t="n"/>
    </row>
    <row r="1009" ht="14.25" customHeight="1" s="142">
      <c r="A1009" s="45" t="n"/>
      <c r="B1009" s="45" t="n"/>
      <c r="V1009" s="45" t="n"/>
    </row>
    <row r="1010" ht="14.25" customHeight="1" s="142">
      <c r="A1010" s="45" t="n"/>
      <c r="B1010" s="45" t="n"/>
      <c r="V1010" s="45" t="n"/>
    </row>
    <row r="1011" ht="14.25" customHeight="1" s="142">
      <c r="A1011" s="45" t="n"/>
      <c r="B1011" s="45" t="n"/>
      <c r="V1011" s="45" t="n"/>
    </row>
    <row r="1012" ht="14.25" customHeight="1" s="142">
      <c r="A1012" s="45" t="n"/>
      <c r="B1012" s="45" t="n"/>
      <c r="V1012" s="45" t="n"/>
    </row>
    <row r="1013" ht="14.25" customHeight="1" s="142">
      <c r="A1013" s="45" t="n"/>
      <c r="B1013" s="45" t="n"/>
      <c r="V1013" s="45" t="n"/>
    </row>
    <row r="1014" ht="14.25" customHeight="1" s="142">
      <c r="A1014" s="45" t="n"/>
      <c r="B1014" s="45" t="n"/>
      <c r="V1014" s="45" t="n"/>
    </row>
    <row r="1015" ht="14.25" customHeight="1" s="142">
      <c r="A1015" s="45" t="n"/>
      <c r="B1015" s="45" t="n"/>
      <c r="V1015" s="45" t="n"/>
    </row>
    <row r="1016" ht="14.25" customHeight="1" s="142">
      <c r="A1016" s="45" t="n"/>
      <c r="B1016" s="45" t="n"/>
      <c r="V1016" s="45" t="n"/>
    </row>
    <row r="1017" ht="14.25" customHeight="1" s="142">
      <c r="A1017" s="45" t="n"/>
      <c r="B1017" s="45" t="n"/>
      <c r="V1017" s="45" t="n"/>
    </row>
    <row r="1018" ht="14.25" customHeight="1" s="142">
      <c r="A1018" s="45" t="n"/>
      <c r="B1018" s="45" t="n"/>
      <c r="V1018" s="45" t="n"/>
    </row>
    <row r="1019" ht="14.25" customHeight="1" s="142">
      <c r="A1019" s="45" t="n"/>
      <c r="B1019" s="45" t="n"/>
      <c r="V1019" s="45" t="n"/>
    </row>
    <row r="1020" ht="14.25" customHeight="1" s="142">
      <c r="A1020" s="45" t="n"/>
      <c r="B1020" s="45" t="n"/>
      <c r="V1020" s="45" t="n"/>
    </row>
    <row r="1021" ht="14.25" customHeight="1" s="142">
      <c r="A1021" s="45" t="n"/>
      <c r="B1021" s="45" t="n"/>
      <c r="V1021" s="45" t="n"/>
    </row>
    <row r="1022" ht="14.25" customHeight="1" s="142">
      <c r="A1022" s="45" t="n"/>
      <c r="B1022" s="45" t="n"/>
      <c r="V1022" s="45" t="n"/>
    </row>
    <row r="1023" ht="14.25" customHeight="1" s="142">
      <c r="A1023" s="45" t="n"/>
      <c r="B1023" s="45" t="n"/>
      <c r="V1023" s="45" t="n"/>
    </row>
    <row r="1024" ht="14.25" customHeight="1" s="142">
      <c r="A1024" s="45" t="n"/>
      <c r="B1024" s="45" t="n"/>
      <c r="V1024" s="45" t="n"/>
    </row>
    <row r="1025" ht="14.25" customHeight="1" s="142">
      <c r="A1025" s="45" t="n"/>
      <c r="B1025" s="45" t="n"/>
      <c r="V1025" s="45" t="n"/>
    </row>
    <row r="1026" ht="14.25" customHeight="1" s="142">
      <c r="A1026" s="45" t="n"/>
      <c r="B1026" s="45" t="n"/>
      <c r="V1026" s="45" t="n"/>
    </row>
    <row r="1027" ht="14.25" customHeight="1" s="142">
      <c r="A1027" s="45" t="n"/>
      <c r="B1027" s="45" t="n"/>
      <c r="V1027" s="45" t="n"/>
    </row>
    <row r="1028" ht="14.25" customHeight="1" s="142">
      <c r="A1028" s="45" t="n"/>
      <c r="B1028" s="45" t="n"/>
      <c r="V1028" s="45" t="n"/>
    </row>
    <row r="1029" ht="14.25" customHeight="1" s="142">
      <c r="A1029" s="45" t="n"/>
      <c r="B1029" s="45" t="n"/>
      <c r="V1029" s="45" t="n"/>
    </row>
    <row r="1030" ht="14.25" customHeight="1" s="142">
      <c r="A1030" s="45" t="n"/>
      <c r="B1030" s="45" t="n"/>
      <c r="V1030" s="45" t="n"/>
    </row>
    <row r="1031" ht="14.25" customHeight="1" s="142">
      <c r="A1031" s="45" t="n"/>
      <c r="B1031" s="45" t="n"/>
      <c r="V1031" s="45" t="n"/>
    </row>
    <row r="1032" ht="14.25" customHeight="1" s="142">
      <c r="A1032" s="45" t="n"/>
      <c r="B1032" s="45" t="n"/>
      <c r="V1032" s="45" t="n"/>
    </row>
    <row r="1033" ht="14.25" customHeight="1" s="142">
      <c r="A1033" s="45" t="n"/>
      <c r="B1033" s="45" t="n"/>
      <c r="V1033" s="45" t="n"/>
    </row>
    <row r="1034" ht="14.25" customHeight="1" s="142">
      <c r="A1034" s="45" t="n"/>
      <c r="B1034" s="45" t="n"/>
      <c r="V1034" s="45" t="n"/>
    </row>
    <row r="1035" ht="14.25" customHeight="1" s="142">
      <c r="A1035" s="45" t="n"/>
      <c r="B1035" s="45" t="n"/>
      <c r="V1035" s="45" t="n"/>
    </row>
    <row r="1036" ht="14.25" customHeight="1" s="142">
      <c r="A1036" s="45" t="n"/>
      <c r="B1036" s="45" t="n"/>
      <c r="V1036" s="45" t="n"/>
    </row>
    <row r="1037" ht="14.25" customHeight="1" s="142">
      <c r="A1037" s="45" t="n"/>
      <c r="B1037" s="45" t="n"/>
      <c r="V1037" s="45" t="n"/>
    </row>
    <row r="1038" ht="14.25" customHeight="1" s="142">
      <c r="A1038" s="45" t="n"/>
      <c r="B1038" s="45" t="n"/>
      <c r="V1038" s="45" t="n"/>
    </row>
    <row r="1039" ht="14.25" customHeight="1" s="142">
      <c r="A1039" s="45" t="n"/>
      <c r="B1039" s="45" t="n"/>
      <c r="V1039" s="45" t="n"/>
    </row>
    <row r="1040" ht="14.25" customHeight="1" s="142">
      <c r="A1040" s="45" t="n"/>
      <c r="B1040" s="45" t="n"/>
      <c r="V1040" s="45" t="n"/>
    </row>
    <row r="1041" ht="14.25" customHeight="1" s="142">
      <c r="A1041" s="45" t="n"/>
      <c r="B1041" s="45" t="n"/>
      <c r="V1041" s="45" t="n"/>
    </row>
    <row r="1042" ht="14.25" customHeight="1" s="142">
      <c r="A1042" s="45" t="n"/>
      <c r="B1042" s="45" t="n"/>
      <c r="V1042" s="45" t="n"/>
    </row>
    <row r="1043" ht="14.25" customHeight="1" s="142">
      <c r="A1043" s="45" t="n"/>
      <c r="B1043" s="45" t="n"/>
      <c r="V1043" s="45" t="n"/>
    </row>
    <row r="1044" ht="14.25" customHeight="1" s="142">
      <c r="A1044" s="45" t="n"/>
      <c r="B1044" s="45" t="n"/>
      <c r="V1044" s="45" t="n"/>
    </row>
    <row r="1045" ht="14.25" customHeight="1" s="142">
      <c r="A1045" s="45" t="n"/>
      <c r="B1045" s="45" t="n"/>
      <c r="V1045" s="45" t="n"/>
    </row>
    <row r="1046" ht="14.25" customHeight="1" s="142">
      <c r="A1046" s="45" t="n"/>
      <c r="B1046" s="45" t="n"/>
      <c r="V1046" s="45" t="n"/>
    </row>
    <row r="1047" ht="14.25" customHeight="1" s="142">
      <c r="A1047" s="45" t="n"/>
      <c r="B1047" s="45" t="n"/>
      <c r="V1047" s="45" t="n"/>
    </row>
    <row r="1048" ht="14.25" customHeight="1" s="142">
      <c r="A1048" s="45" t="n"/>
      <c r="B1048" s="45" t="n"/>
      <c r="V1048" s="45" t="n"/>
    </row>
    <row r="1049" ht="14.25" customHeight="1" s="142">
      <c r="A1049" s="45" t="n"/>
      <c r="B1049" s="45" t="n"/>
      <c r="V1049" s="45" t="n"/>
    </row>
    <row r="1050" ht="14.25" customHeight="1" s="142">
      <c r="A1050" s="45" t="n"/>
      <c r="B1050" s="45" t="n"/>
      <c r="V1050" s="45" t="n"/>
    </row>
    <row r="1051" ht="14.25" customHeight="1" s="142">
      <c r="A1051" s="45" t="n"/>
      <c r="B1051" s="45" t="n"/>
      <c r="V1051" s="45" t="n"/>
    </row>
    <row r="1052" ht="14.25" customHeight="1" s="142">
      <c r="A1052" s="45" t="n"/>
      <c r="B1052" s="45" t="n"/>
      <c r="V1052" s="45" t="n"/>
    </row>
    <row r="1053" ht="14.25" customHeight="1" s="142">
      <c r="A1053" s="45" t="n"/>
      <c r="B1053" s="45" t="n"/>
      <c r="V1053" s="45" t="n"/>
    </row>
    <row r="1054" ht="14.25" customHeight="1" s="142">
      <c r="A1054" s="45" t="n"/>
      <c r="B1054" s="45" t="n"/>
      <c r="V1054" s="45" t="n"/>
    </row>
    <row r="1055" ht="14.25" customHeight="1" s="142">
      <c r="A1055" s="45" t="n"/>
      <c r="B1055" s="45" t="n"/>
      <c r="V1055" s="45" t="n"/>
    </row>
    <row r="1056" ht="14.25" customHeight="1" s="142">
      <c r="A1056" s="45" t="n"/>
      <c r="B1056" s="45" t="n"/>
      <c r="V1056" s="45" t="n"/>
    </row>
    <row r="1057" ht="14.25" customHeight="1" s="142">
      <c r="A1057" s="45" t="n"/>
      <c r="B1057" s="45" t="n"/>
      <c r="V1057" s="45" t="n"/>
    </row>
    <row r="1058" ht="14.25" customHeight="1" s="142">
      <c r="A1058" s="45" t="n"/>
      <c r="B1058" s="45" t="n"/>
      <c r="V1058" s="45" t="n"/>
    </row>
    <row r="1059" ht="14.25" customHeight="1" s="142">
      <c r="A1059" s="45" t="n"/>
      <c r="B1059" s="45" t="n"/>
      <c r="V1059" s="45" t="n"/>
    </row>
    <row r="1060" ht="14.25" customHeight="1" s="142">
      <c r="A1060" s="45" t="n"/>
      <c r="B1060" s="45" t="n"/>
      <c r="V1060" s="45" t="n"/>
    </row>
    <row r="1061" ht="14.25" customHeight="1" s="142">
      <c r="A1061" s="45" t="n"/>
      <c r="B1061" s="45" t="n"/>
      <c r="V1061" s="45" t="n"/>
    </row>
    <row r="1062" ht="14.25" customHeight="1" s="142">
      <c r="A1062" s="45" t="n"/>
      <c r="B1062" s="45" t="n"/>
      <c r="V1062" s="45" t="n"/>
    </row>
    <row r="1063" ht="14.25" customHeight="1" s="142">
      <c r="A1063" s="45" t="n"/>
      <c r="B1063" s="45" t="n"/>
      <c r="V1063" s="45" t="n"/>
    </row>
    <row r="1064" ht="14.25" customHeight="1" s="142">
      <c r="A1064" s="45" t="n"/>
      <c r="B1064" s="45" t="n"/>
      <c r="V1064" s="45" t="n"/>
    </row>
    <row r="1065" ht="14.25" customHeight="1" s="142">
      <c r="A1065" s="45" t="n"/>
      <c r="B1065" s="45" t="n"/>
      <c r="V1065" s="45" t="n"/>
    </row>
    <row r="1066" ht="14.25" customHeight="1" s="142">
      <c r="A1066" s="45" t="n"/>
      <c r="B1066" s="45" t="n"/>
      <c r="V1066" s="45" t="n"/>
    </row>
    <row r="1067" ht="14.25" customHeight="1" s="142">
      <c r="A1067" s="45" t="n"/>
      <c r="B1067" s="45" t="n"/>
      <c r="V1067" s="45" t="n"/>
    </row>
    <row r="1068" ht="14.25" customHeight="1" s="142">
      <c r="A1068" s="45" t="n"/>
      <c r="B1068" s="45" t="n"/>
      <c r="V1068" s="45" t="n"/>
    </row>
    <row r="1069" ht="14.25" customHeight="1" s="142">
      <c r="A1069" s="45" t="n"/>
      <c r="B1069" s="45" t="n"/>
      <c r="V1069" s="45" t="n"/>
    </row>
    <row r="1070" ht="14.25" customHeight="1" s="142">
      <c r="A1070" s="45" t="n"/>
      <c r="B1070" s="45" t="n"/>
      <c r="V1070" s="45" t="n"/>
    </row>
    <row r="1071" ht="14.25" customHeight="1" s="142">
      <c r="A1071" s="45" t="n"/>
      <c r="B1071" s="45" t="n"/>
      <c r="V1071" s="45" t="n"/>
    </row>
    <row r="1072" ht="14.25" customHeight="1" s="142">
      <c r="A1072" s="45" t="n"/>
      <c r="B1072" s="45" t="n"/>
      <c r="V1072" s="45" t="n"/>
    </row>
    <row r="1073" ht="14.25" customHeight="1" s="142">
      <c r="A1073" s="45" t="n"/>
      <c r="B1073" s="45" t="n"/>
      <c r="V1073" s="45" t="n"/>
    </row>
    <row r="1074" ht="14.25" customHeight="1" s="142">
      <c r="A1074" s="45" t="n"/>
      <c r="B1074" s="45" t="n"/>
      <c r="V1074" s="45" t="n"/>
    </row>
    <row r="1075" ht="14.25" customHeight="1" s="142">
      <c r="A1075" s="45" t="n"/>
      <c r="B1075" s="45" t="n"/>
      <c r="V1075" s="45" t="n"/>
    </row>
    <row r="1076" ht="14.25" customHeight="1" s="142">
      <c r="A1076" s="45" t="n"/>
      <c r="B1076" s="45" t="n"/>
      <c r="V1076" s="45" t="n"/>
    </row>
    <row r="1077" ht="14.25" customHeight="1" s="142">
      <c r="A1077" s="45" t="n"/>
      <c r="B1077" s="45" t="n"/>
      <c r="V1077" s="45" t="n"/>
    </row>
    <row r="1078" ht="14.25" customHeight="1" s="142">
      <c r="A1078" s="45" t="n"/>
      <c r="B1078" s="45" t="n"/>
      <c r="V1078" s="45" t="n"/>
    </row>
    <row r="1079" ht="14.25" customHeight="1" s="142">
      <c r="A1079" s="45" t="n"/>
      <c r="B1079" s="45" t="n"/>
      <c r="V1079" s="45" t="n"/>
    </row>
    <row r="1080" ht="14.25" customHeight="1" s="142">
      <c r="A1080" s="45" t="n"/>
      <c r="B1080" s="45" t="n"/>
      <c r="V1080" s="45" t="n"/>
    </row>
    <row r="1081" ht="14.25" customHeight="1" s="142">
      <c r="A1081" s="45" t="n"/>
      <c r="B1081" s="45" t="n"/>
      <c r="V1081" s="45" t="n"/>
    </row>
    <row r="1082" ht="14.25" customHeight="1" s="142">
      <c r="A1082" s="45" t="n"/>
      <c r="B1082" s="45" t="n"/>
      <c r="V1082" s="45" t="n"/>
    </row>
    <row r="1083" ht="14.25" customHeight="1" s="142">
      <c r="A1083" s="45" t="n"/>
      <c r="B1083" s="45" t="n"/>
      <c r="V1083" s="45" t="n"/>
    </row>
    <row r="1084" ht="14.25" customHeight="1" s="142">
      <c r="A1084" s="45" t="n"/>
      <c r="B1084" s="45" t="n"/>
      <c r="V1084" s="45" t="n"/>
    </row>
    <row r="1085" ht="14.25" customHeight="1" s="142">
      <c r="A1085" s="45" t="n"/>
      <c r="B1085" s="45" t="n"/>
      <c r="V1085" s="45" t="n"/>
    </row>
    <row r="1086" ht="14.25" customHeight="1" s="142">
      <c r="A1086" s="45" t="n"/>
      <c r="B1086" s="45" t="n"/>
      <c r="V1086" s="45" t="n"/>
    </row>
    <row r="1087" ht="14.25" customHeight="1" s="142">
      <c r="A1087" s="45" t="n"/>
      <c r="B1087" s="45" t="n"/>
      <c r="V1087" s="45" t="n"/>
    </row>
    <row r="1088" ht="14.25" customHeight="1" s="142">
      <c r="A1088" s="45" t="n"/>
      <c r="B1088" s="45" t="n"/>
      <c r="V1088" s="45" t="n"/>
    </row>
    <row r="1089" ht="14.25" customHeight="1" s="142">
      <c r="A1089" s="45" t="n"/>
      <c r="B1089" s="45" t="n"/>
      <c r="V1089" s="45" t="n"/>
    </row>
    <row r="1090" ht="14.25" customHeight="1" s="142">
      <c r="A1090" s="45" t="n"/>
      <c r="B1090" s="45" t="n"/>
      <c r="V1090" s="45" t="n"/>
    </row>
    <row r="1091" ht="14.25" customHeight="1" s="142">
      <c r="A1091" s="45" t="n"/>
      <c r="B1091" s="45" t="n"/>
      <c r="V1091" s="45" t="n"/>
    </row>
    <row r="1092" ht="14.25" customHeight="1" s="142">
      <c r="A1092" s="45" t="n"/>
      <c r="B1092" s="45" t="n"/>
      <c r="V1092" s="45" t="n"/>
    </row>
    <row r="1093" ht="14.25" customHeight="1" s="142">
      <c r="A1093" s="45" t="n"/>
      <c r="B1093" s="45" t="n"/>
      <c r="V1093" s="45" t="n"/>
    </row>
    <row r="1094" ht="14.25" customHeight="1" s="142">
      <c r="A1094" s="45" t="n"/>
      <c r="B1094" s="45" t="n"/>
      <c r="V1094" s="45" t="n"/>
    </row>
    <row r="1095" ht="14.25" customHeight="1" s="142">
      <c r="A1095" s="45" t="n"/>
      <c r="B1095" s="45" t="n"/>
      <c r="V1095" s="45" t="n"/>
    </row>
    <row r="1096" ht="14.25" customHeight="1" s="142">
      <c r="A1096" s="45" t="n"/>
      <c r="B1096" s="45" t="n"/>
      <c r="V1096" s="45" t="n"/>
    </row>
    <row r="1097" ht="14.25" customHeight="1" s="142">
      <c r="A1097" s="45" t="n"/>
      <c r="B1097" s="45" t="n"/>
      <c r="V1097" s="45" t="n"/>
    </row>
    <row r="1098" ht="14.25" customHeight="1" s="142">
      <c r="A1098" s="45" t="n"/>
      <c r="B1098" s="45" t="n"/>
      <c r="V1098" s="45" t="n"/>
    </row>
    <row r="1099" ht="14.25" customHeight="1" s="142">
      <c r="A1099" s="45" t="n"/>
      <c r="B1099" s="45" t="n"/>
      <c r="V1099" s="45" t="n"/>
    </row>
    <row r="1100" ht="14.25" customHeight="1" s="142">
      <c r="A1100" s="45" t="n"/>
      <c r="B1100" s="45" t="n"/>
      <c r="V1100" s="45" t="n"/>
    </row>
    <row r="1101" ht="14.25" customHeight="1" s="142">
      <c r="A1101" s="45" t="n"/>
      <c r="B1101" s="45" t="n"/>
      <c r="V1101" s="45" t="n"/>
    </row>
    <row r="1102" ht="14.25" customHeight="1" s="142">
      <c r="A1102" s="45" t="n"/>
      <c r="B1102" s="45" t="n"/>
      <c r="V1102" s="45" t="n"/>
    </row>
    <row r="1103" ht="14.25" customHeight="1" s="142">
      <c r="A1103" s="45" t="n"/>
      <c r="B1103" s="45" t="n"/>
      <c r="V1103" s="45" t="n"/>
    </row>
    <row r="1104" ht="14.25" customHeight="1" s="142">
      <c r="A1104" s="45" t="n"/>
      <c r="B1104" s="45" t="n"/>
      <c r="V1104" s="45" t="n"/>
    </row>
    <row r="1105" ht="14.25" customHeight="1" s="142">
      <c r="A1105" s="45" t="n"/>
      <c r="B1105" s="45" t="n"/>
      <c r="V1105" s="45" t="n"/>
    </row>
    <row r="1106" ht="14.25" customHeight="1" s="142">
      <c r="A1106" s="45" t="n"/>
      <c r="B1106" s="45" t="n"/>
      <c r="V1106" s="45" t="n"/>
    </row>
    <row r="1107" ht="14.25" customHeight="1" s="142">
      <c r="A1107" s="45" t="n"/>
      <c r="B1107" s="45" t="n"/>
      <c r="V1107" s="45" t="n"/>
    </row>
    <row r="1108" ht="14.25" customHeight="1" s="142">
      <c r="A1108" s="45" t="n"/>
      <c r="B1108" s="45" t="n"/>
      <c r="V1108" s="45" t="n"/>
    </row>
    <row r="1109" ht="14.25" customHeight="1" s="142">
      <c r="A1109" s="45" t="n"/>
      <c r="B1109" s="45" t="n"/>
      <c r="V1109" s="45" t="n"/>
    </row>
    <row r="1110" ht="14.25" customHeight="1" s="142">
      <c r="A1110" s="45" t="n"/>
      <c r="B1110" s="45" t="n"/>
      <c r="V1110" s="45" t="n"/>
    </row>
    <row r="1111" ht="14.25" customHeight="1" s="142">
      <c r="A1111" s="45" t="n"/>
      <c r="B1111" s="45" t="n"/>
      <c r="V1111" s="45" t="n"/>
    </row>
    <row r="1112" ht="14.25" customHeight="1" s="142">
      <c r="A1112" s="45" t="n"/>
      <c r="B1112" s="45" t="n"/>
      <c r="V1112" s="45" t="n"/>
    </row>
    <row r="1113" ht="14.25" customHeight="1" s="142">
      <c r="A1113" s="45" t="n"/>
      <c r="B1113" s="45" t="n"/>
      <c r="V1113" s="45" t="n"/>
    </row>
    <row r="1114" ht="14.25" customHeight="1" s="142">
      <c r="A1114" s="45" t="n"/>
      <c r="B1114" s="45" t="n"/>
      <c r="V1114" s="45" t="n"/>
    </row>
    <row r="1115" ht="14.25" customHeight="1" s="142">
      <c r="A1115" s="45" t="n"/>
      <c r="B1115" s="45" t="n"/>
      <c r="V1115" s="45" t="n"/>
    </row>
    <row r="1116" ht="14.25" customHeight="1" s="142">
      <c r="A1116" s="45" t="n"/>
      <c r="B1116" s="45" t="n"/>
      <c r="V1116" s="45" t="n"/>
    </row>
    <row r="1117" ht="14.25" customHeight="1" s="142">
      <c r="A1117" s="45" t="n"/>
      <c r="B1117" s="45" t="n"/>
      <c r="V1117" s="45" t="n"/>
    </row>
    <row r="1118" ht="14.25" customHeight="1" s="142">
      <c r="A1118" s="45" t="n"/>
      <c r="B1118" s="45" t="n"/>
      <c r="V1118" s="45" t="n"/>
    </row>
    <row r="1119" ht="14.25" customHeight="1" s="142">
      <c r="A1119" s="45" t="n"/>
      <c r="B1119" s="45" t="n"/>
      <c r="V1119" s="45" t="n"/>
    </row>
    <row r="1120" ht="14.25" customHeight="1" s="142">
      <c r="A1120" s="45" t="n"/>
      <c r="B1120" s="45" t="n"/>
      <c r="V1120" s="45" t="n"/>
    </row>
    <row r="1121" ht="14.25" customHeight="1" s="142">
      <c r="A1121" s="45" t="n"/>
      <c r="B1121" s="45" t="n"/>
      <c r="V1121" s="45" t="n"/>
    </row>
    <row r="1122" ht="14.25" customHeight="1" s="142">
      <c r="A1122" s="45" t="n"/>
      <c r="B1122" s="45" t="n"/>
      <c r="V1122" s="45" t="n"/>
    </row>
    <row r="1123" ht="14.25" customHeight="1" s="142">
      <c r="A1123" s="45" t="n"/>
      <c r="B1123" s="45" t="n"/>
      <c r="V1123" s="45" t="n"/>
    </row>
    <row r="1124" ht="14.25" customHeight="1" s="142">
      <c r="A1124" s="45" t="n"/>
      <c r="B1124" s="45" t="n"/>
      <c r="V1124" s="45" t="n"/>
    </row>
    <row r="1125" ht="14.25" customHeight="1" s="142">
      <c r="A1125" s="45" t="n"/>
      <c r="B1125" s="45" t="n"/>
      <c r="V1125" s="45" t="n"/>
    </row>
    <row r="1126" ht="14.25" customHeight="1" s="142">
      <c r="A1126" s="45" t="n"/>
      <c r="B1126" s="45" t="n"/>
      <c r="V1126" s="45" t="n"/>
    </row>
    <row r="1127" ht="14.25" customHeight="1" s="142">
      <c r="A1127" s="45" t="n"/>
      <c r="B1127" s="45" t="n"/>
      <c r="V1127" s="45" t="n"/>
    </row>
    <row r="1128" ht="14.25" customHeight="1" s="142">
      <c r="A1128" s="45" t="n"/>
      <c r="B1128" s="45" t="n"/>
      <c r="V1128" s="45" t="n"/>
    </row>
    <row r="1129" ht="14.25" customHeight="1" s="142">
      <c r="A1129" s="45" t="n"/>
      <c r="B1129" s="45" t="n"/>
      <c r="V1129" s="45" t="n"/>
    </row>
    <row r="1130" ht="14.25" customHeight="1" s="142">
      <c r="A1130" s="45" t="n"/>
      <c r="B1130" s="45" t="n"/>
      <c r="V1130" s="45" t="n"/>
    </row>
    <row r="1131" ht="14.25" customHeight="1" s="142">
      <c r="A1131" s="45" t="n"/>
      <c r="B1131" s="45" t="n"/>
      <c r="V1131" s="45" t="n"/>
    </row>
    <row r="1132" ht="14.25" customHeight="1" s="142">
      <c r="A1132" s="45" t="n"/>
      <c r="B1132" s="45" t="n"/>
      <c r="V1132" s="45" t="n"/>
    </row>
    <row r="1133" ht="14.25" customHeight="1" s="142">
      <c r="A1133" s="45" t="n"/>
      <c r="B1133" s="45" t="n"/>
      <c r="V1133" s="45" t="n"/>
    </row>
    <row r="1134" ht="14.25" customHeight="1" s="142">
      <c r="A1134" s="45" t="n"/>
      <c r="B1134" s="45" t="n"/>
      <c r="V1134" s="45" t="n"/>
    </row>
    <row r="1135" ht="14.25" customHeight="1" s="142">
      <c r="A1135" s="45" t="n"/>
      <c r="B1135" s="45" t="n"/>
      <c r="V1135" s="45" t="n"/>
    </row>
    <row r="1136" ht="14.25" customHeight="1" s="142">
      <c r="A1136" s="45" t="n"/>
      <c r="B1136" s="45" t="n"/>
      <c r="V1136" s="45" t="n"/>
    </row>
    <row r="1137" ht="14.25" customHeight="1" s="142">
      <c r="A1137" s="45" t="n"/>
      <c r="B1137" s="45" t="n"/>
      <c r="V1137" s="45" t="n"/>
    </row>
    <row r="1138" ht="14.25" customHeight="1" s="142">
      <c r="A1138" s="45" t="n"/>
      <c r="B1138" s="45" t="n"/>
      <c r="V1138" s="45" t="n"/>
    </row>
    <row r="1139" ht="14.25" customHeight="1" s="142">
      <c r="A1139" s="45" t="n"/>
      <c r="B1139" s="45" t="n"/>
      <c r="V1139" s="45" t="n"/>
    </row>
    <row r="1140" ht="14.25" customHeight="1" s="142">
      <c r="A1140" s="45" t="n"/>
      <c r="B1140" s="45" t="n"/>
      <c r="V1140" s="45" t="n"/>
    </row>
    <row r="1141" ht="14.25" customHeight="1" s="142">
      <c r="A1141" s="45" t="n"/>
      <c r="B1141" s="45" t="n"/>
      <c r="V1141" s="45" t="n"/>
    </row>
    <row r="1142" ht="14.25" customHeight="1" s="142">
      <c r="A1142" s="45" t="n"/>
      <c r="B1142" s="45" t="n"/>
      <c r="V1142" s="45" t="n"/>
    </row>
    <row r="1143" ht="14.25" customHeight="1" s="142">
      <c r="A1143" s="45" t="n"/>
      <c r="B1143" s="45" t="n"/>
      <c r="V1143" s="45" t="n"/>
    </row>
    <row r="1144" ht="14.25" customHeight="1" s="142">
      <c r="A1144" s="45" t="n"/>
      <c r="B1144" s="45" t="n"/>
      <c r="V1144" s="45" t="n"/>
    </row>
    <row r="1145" ht="14.25" customHeight="1" s="142">
      <c r="A1145" s="45" t="n"/>
      <c r="B1145" s="45" t="n"/>
      <c r="V1145" s="45" t="n"/>
    </row>
    <row r="1146" ht="14.25" customHeight="1" s="142">
      <c r="A1146" s="45" t="n"/>
      <c r="B1146" s="45" t="n"/>
      <c r="V1146" s="45" t="n"/>
    </row>
    <row r="1147" ht="14.25" customHeight="1" s="142">
      <c r="A1147" s="45" t="n"/>
      <c r="B1147" s="45" t="n"/>
      <c r="V1147" s="45" t="n"/>
    </row>
    <row r="1148" ht="14.25" customHeight="1" s="142">
      <c r="A1148" s="45" t="n"/>
      <c r="B1148" s="45" t="n"/>
      <c r="V1148" s="45" t="n"/>
    </row>
    <row r="1149" ht="14.25" customHeight="1" s="142">
      <c r="A1149" s="45" t="n"/>
      <c r="B1149" s="45" t="n"/>
      <c r="V1149" s="45" t="n"/>
    </row>
    <row r="1150" ht="14.25" customHeight="1" s="142">
      <c r="A1150" s="45" t="n"/>
      <c r="B1150" s="45" t="n"/>
      <c r="V1150" s="45" t="n"/>
    </row>
    <row r="1151" ht="14.25" customHeight="1" s="142">
      <c r="A1151" s="45" t="n"/>
      <c r="B1151" s="45" t="n"/>
      <c r="V1151" s="45" t="n"/>
    </row>
    <row r="1152" ht="14.25" customHeight="1" s="142">
      <c r="A1152" s="45" t="n"/>
      <c r="B1152" s="45" t="n"/>
      <c r="V1152" s="45" t="n"/>
    </row>
    <row r="1153" ht="14.25" customHeight="1" s="142">
      <c r="A1153" s="45" t="n"/>
      <c r="B1153" s="45" t="n"/>
      <c r="V1153" s="45" t="n"/>
    </row>
    <row r="1154" ht="14.25" customHeight="1" s="142">
      <c r="A1154" s="45" t="n"/>
      <c r="B1154" s="45" t="n"/>
      <c r="V1154" s="45" t="n"/>
    </row>
    <row r="1155" ht="14.25" customHeight="1" s="142">
      <c r="A1155" s="45" t="n"/>
      <c r="B1155" s="45" t="n"/>
      <c r="V1155" s="45" t="n"/>
    </row>
    <row r="1156" ht="14.25" customHeight="1" s="142">
      <c r="A1156" s="45" t="n"/>
      <c r="B1156" s="45" t="n"/>
      <c r="V1156" s="45" t="n"/>
    </row>
    <row r="1157" ht="14.25" customHeight="1" s="142">
      <c r="A1157" s="45" t="n"/>
      <c r="B1157" s="45" t="n"/>
      <c r="V1157" s="45" t="n"/>
    </row>
    <row r="1158" ht="14.25" customHeight="1" s="142">
      <c r="A1158" s="45" t="n"/>
      <c r="B1158" s="45" t="n"/>
      <c r="V1158" s="45" t="n"/>
    </row>
    <row r="1159" ht="14.25" customHeight="1" s="142">
      <c r="A1159" s="45" t="n"/>
      <c r="B1159" s="45" t="n"/>
      <c r="V1159" s="45" t="n"/>
    </row>
    <row r="1160" ht="14.25" customHeight="1" s="142">
      <c r="A1160" s="45" t="n"/>
      <c r="B1160" s="45" t="n"/>
      <c r="V1160" s="45" t="n"/>
    </row>
    <row r="1161" ht="14.25" customHeight="1" s="142">
      <c r="A1161" s="45" t="n"/>
      <c r="B1161" s="45" t="n"/>
      <c r="V1161" s="45" t="n"/>
    </row>
    <row r="1162" ht="14.25" customHeight="1" s="142">
      <c r="A1162" s="45" t="n"/>
      <c r="B1162" s="45" t="n"/>
      <c r="V1162" s="45" t="n"/>
    </row>
    <row r="1163" ht="14.25" customHeight="1" s="142">
      <c r="A1163" s="45" t="n"/>
      <c r="B1163" s="45" t="n"/>
      <c r="V1163" s="45" t="n"/>
    </row>
    <row r="1164" ht="14.25" customHeight="1" s="142">
      <c r="A1164" s="45" t="n"/>
      <c r="B1164" s="45" t="n"/>
      <c r="V1164" s="45" t="n"/>
    </row>
    <row r="1165" ht="14.25" customHeight="1" s="142">
      <c r="A1165" s="45" t="n"/>
      <c r="B1165" s="45" t="n"/>
      <c r="V1165" s="45" t="n"/>
    </row>
    <row r="1166" ht="14.25" customHeight="1" s="142">
      <c r="A1166" s="45" t="n"/>
      <c r="B1166" s="45" t="n"/>
      <c r="V1166" s="45" t="n"/>
    </row>
    <row r="1167" ht="14.25" customHeight="1" s="142">
      <c r="A1167" s="45" t="n"/>
      <c r="B1167" s="45" t="n"/>
      <c r="V1167" s="45" t="n"/>
    </row>
    <row r="1168" ht="14.25" customHeight="1" s="142">
      <c r="A1168" s="45" t="n"/>
      <c r="B1168" s="45" t="n"/>
      <c r="V1168" s="45" t="n"/>
    </row>
    <row r="1169" ht="14.25" customHeight="1" s="142">
      <c r="A1169" s="45" t="n"/>
      <c r="B1169" s="45" t="n"/>
      <c r="V1169" s="45" t="n"/>
    </row>
    <row r="1170" ht="14.25" customHeight="1" s="142">
      <c r="A1170" s="45" t="n"/>
      <c r="B1170" s="45" t="n"/>
      <c r="V1170" s="45" t="n"/>
    </row>
    <row r="1171" ht="14.25" customHeight="1" s="142">
      <c r="A1171" s="45" t="n"/>
      <c r="B1171" s="45" t="n"/>
      <c r="V1171" s="45" t="n"/>
    </row>
    <row r="1172" ht="14.25" customHeight="1" s="142">
      <c r="A1172" s="45" t="n"/>
      <c r="B1172" s="45" t="n"/>
      <c r="V1172" s="45" t="n"/>
    </row>
    <row r="1173" ht="14.25" customHeight="1" s="142">
      <c r="A1173" s="45" t="n"/>
      <c r="B1173" s="45" t="n"/>
      <c r="V1173" s="45" t="n"/>
    </row>
    <row r="1174" ht="14.25" customHeight="1" s="142">
      <c r="A1174" s="45" t="n"/>
      <c r="B1174" s="45" t="n"/>
      <c r="V1174" s="45" t="n"/>
    </row>
    <row r="1175" ht="14.25" customHeight="1" s="142">
      <c r="A1175" s="45" t="n"/>
      <c r="B1175" s="45" t="n"/>
      <c r="V1175" s="45" t="n"/>
    </row>
    <row r="1176" ht="14.25" customHeight="1" s="142">
      <c r="A1176" s="45" t="n"/>
      <c r="B1176" s="45" t="n"/>
      <c r="V1176" s="45" t="n"/>
    </row>
    <row r="1177" ht="14.25" customHeight="1" s="142">
      <c r="A1177" s="45" t="n"/>
      <c r="B1177" s="45" t="n"/>
      <c r="V1177" s="45" t="n"/>
    </row>
    <row r="1178" ht="14.25" customHeight="1" s="142">
      <c r="A1178" s="45" t="n"/>
      <c r="B1178" s="45" t="n"/>
      <c r="V1178" s="45" t="n"/>
    </row>
    <row r="1179" ht="14.25" customHeight="1" s="142">
      <c r="A1179" s="45" t="n"/>
      <c r="B1179" s="45" t="n"/>
      <c r="V1179" s="45" t="n"/>
    </row>
    <row r="1180" ht="14.25" customHeight="1" s="142">
      <c r="A1180" s="45" t="n"/>
      <c r="B1180" s="45" t="n"/>
      <c r="V1180" s="45" t="n"/>
    </row>
    <row r="1181" ht="14.25" customHeight="1" s="142">
      <c r="A1181" s="45" t="n"/>
      <c r="B1181" s="45" t="n"/>
      <c r="V1181" s="45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98"/>
  <sheetViews>
    <sheetView topLeftCell="A132" zoomScaleNormal="100" workbookViewId="0">
      <selection activeCell="U135" sqref="U135"/>
    </sheetView>
  </sheetViews>
  <sheetFormatPr baseColWidth="8" defaultColWidth="12.5703125" defaultRowHeight="12.75"/>
  <cols>
    <col width="7.5703125" bestFit="1" customWidth="1" style="142" min="1" max="1"/>
    <col width="13.5703125" customWidth="1" style="142" min="2" max="2"/>
    <col width="9.42578125" customWidth="1" style="142" min="3" max="3"/>
    <col width="11.85546875" customWidth="1" style="142" min="4" max="4"/>
    <col width="4.42578125" customWidth="1" style="142" min="5" max="5"/>
    <col width="12.85546875" customWidth="1" style="142" min="6" max="6"/>
    <col width="15.85546875" customWidth="1" style="142" min="7" max="7"/>
    <col width="26.140625" customWidth="1" style="142" min="8" max="8"/>
    <col width="6.85546875" customWidth="1" style="142" min="9" max="12"/>
    <col width="21.140625" customWidth="1" style="142" min="13" max="13"/>
    <col width="6.5703125" customWidth="1" style="142" min="14" max="14"/>
    <col width="4.140625" customWidth="1" style="142" min="15" max="15"/>
    <col width="5.5703125" customWidth="1" style="142" min="16" max="16"/>
    <col width="4.42578125" customWidth="1" style="142" min="17" max="17"/>
    <col width="5.7109375" customWidth="1" style="142" min="18" max="18"/>
    <col width="3.7109375" customWidth="1" style="142" min="19" max="19"/>
    <col width="3.85546875" customWidth="1" style="142" min="20" max="20"/>
    <col width="9.42578125" customWidth="1" style="142" min="21" max="21"/>
    <col width="5.28515625" customWidth="1" style="142" min="22" max="22"/>
    <col width="10.5703125" customWidth="1" style="142" min="23" max="24"/>
    <col width="14.7109375" customWidth="1" style="142" min="25" max="25"/>
    <col width="11.140625" customWidth="1" style="142" min="26" max="26"/>
    <col width="10" customWidth="1" style="142" min="27" max="27"/>
    <col width="9.42578125" customWidth="1" style="142" min="28" max="37"/>
  </cols>
  <sheetData>
    <row r="1">
      <c r="U1" s="65" t="n"/>
    </row>
    <row r="2" ht="14.25" customHeight="1" s="142">
      <c r="A2" s="48" t="inlineStr">
        <is>
          <t>角色id</t>
        </is>
      </c>
      <c r="B2" s="48" t="inlineStr">
        <is>
          <t>角色名稱</t>
        </is>
      </c>
      <c r="C2" s="40" t="inlineStr">
        <is>
          <t>rare</t>
        </is>
      </c>
      <c r="D2" s="40" t="inlineStr">
        <is>
          <t>type</t>
        </is>
      </c>
      <c r="E2" s="48" t="inlineStr">
        <is>
          <t>體系</t>
        </is>
      </c>
      <c r="F2" s="50" t="inlineStr">
        <is>
          <t>equipment_type</t>
        </is>
      </c>
      <c r="G2" s="40" t="inlineStr">
        <is>
          <t>tag</t>
        </is>
      </c>
      <c r="H2" s="40" t="inlineStr">
        <is>
          <t>resist_buff</t>
        </is>
      </c>
      <c r="I2" s="40" t="inlineStr">
        <is>
          <t>skill0_id</t>
        </is>
      </c>
      <c r="J2" s="40" t="inlineStr">
        <is>
          <t>skill1_id</t>
        </is>
      </c>
      <c r="K2" s="40" t="inlineStr">
        <is>
          <t>skill2_id</t>
        </is>
      </c>
      <c r="L2" s="40" t="inlineStr">
        <is>
          <t>element</t>
        </is>
      </c>
      <c r="M2" s="40" t="inlineStr">
        <is>
          <t>role_ addition</t>
        </is>
      </c>
      <c r="N2" s="40" t="inlineStr">
        <is>
          <t>hp</t>
        </is>
      </c>
      <c r="O2" s="40" t="inlineStr">
        <is>
          <t>atk</t>
        </is>
      </c>
      <c r="P2" s="40" t="inlineStr">
        <is>
          <t>matk</t>
        </is>
      </c>
      <c r="Q2" s="40" t="inlineStr">
        <is>
          <t>def</t>
        </is>
      </c>
      <c r="R2" s="40" t="inlineStr">
        <is>
          <t>mdef</t>
        </is>
      </c>
      <c r="S2" s="40" t="inlineStr">
        <is>
          <t>mp</t>
        </is>
      </c>
      <c r="T2" s="40" t="inlineStr">
        <is>
          <t>agi</t>
        </is>
      </c>
      <c r="U2" s="66" t="inlineStr">
        <is>
          <t>重生回合數</t>
        </is>
      </c>
      <c r="V2" s="135" t="inlineStr">
        <is>
          <t>#六維</t>
        </is>
      </c>
      <c r="W2" s="40" t="inlineStr">
        <is>
          <t>capture_rate</t>
        </is>
      </c>
      <c r="X2" s="40" t="inlineStr">
        <is>
          <t>exchange_id</t>
        </is>
      </c>
      <c r="Y2" s="67" t="inlineStr">
        <is>
          <t>exchange_amount</t>
        </is>
      </c>
      <c r="Z2" s="7" t="inlineStr">
        <is>
          <t>star_refine_id</t>
        </is>
      </c>
      <c r="AA2" s="135" t="inlineStr">
        <is>
          <t>star_cost_id</t>
        </is>
      </c>
      <c r="AB2" s="135" t="inlineStr">
        <is>
          <t>star1_skill1</t>
        </is>
      </c>
      <c r="AC2" s="135" t="inlineStr">
        <is>
          <t>star2_skill1</t>
        </is>
      </c>
      <c r="AD2" s="135" t="inlineStr">
        <is>
          <t>star3_skill1</t>
        </is>
      </c>
      <c r="AE2" s="135" t="inlineStr">
        <is>
          <t>star4_skill1</t>
        </is>
      </c>
      <c r="AF2" s="135" t="inlineStr">
        <is>
          <t>star5_skill1</t>
        </is>
      </c>
      <c r="AG2" s="135" t="inlineStr">
        <is>
          <t>star1_skill2</t>
        </is>
      </c>
      <c r="AH2" s="135" t="inlineStr">
        <is>
          <t>star2_skill2</t>
        </is>
      </c>
      <c r="AI2" s="135" t="inlineStr">
        <is>
          <t>star3_skill2</t>
        </is>
      </c>
      <c r="AJ2" s="135" t="inlineStr">
        <is>
          <t>star4_skill2</t>
        </is>
      </c>
      <c r="AK2" s="135" t="inlineStr">
        <is>
          <t>star5_skill2</t>
        </is>
      </c>
    </row>
    <row r="3" ht="16.5" customHeight="1" s="142">
      <c r="A3" s="52" t="n">
        <v>10001</v>
      </c>
      <c r="B3" s="27" t="inlineStr">
        <is>
          <t>火之迦具土</t>
        </is>
      </c>
      <c r="C3" s="52" t="inlineStr">
        <is>
          <t>SSR</t>
        </is>
      </c>
      <c r="D3" s="52" t="inlineStr">
        <is>
          <t>weapon</t>
        </is>
      </c>
      <c r="E3" s="52" t="n"/>
      <c r="F3" s="68">
        <f>"1,1"</f>
        <v/>
      </c>
      <c r="G3" s="31">
        <f>"56,58,17,13,3,6,18"</f>
        <v/>
      </c>
      <c r="H3" s="52" t="n"/>
      <c r="I3" s="52" t="n">
        <v>110012</v>
      </c>
      <c r="J3" s="52">
        <f>A3+200000</f>
        <v/>
      </c>
      <c r="K3" s="52">
        <f>J3+100000</f>
        <v/>
      </c>
      <c r="L3" s="135" t="n">
        <v>2</v>
      </c>
      <c r="M3" s="52" t="n"/>
      <c r="N3" s="52" t="n">
        <v>660</v>
      </c>
      <c r="O3" s="52" t="n">
        <v>14</v>
      </c>
      <c r="P3" s="52" t="n">
        <v>97</v>
      </c>
      <c r="Q3" s="52" t="n">
        <v>32</v>
      </c>
      <c r="R3" s="52" t="n">
        <v>55</v>
      </c>
      <c r="S3" s="52" t="n">
        <v>179</v>
      </c>
      <c r="T3" s="52" t="n">
        <v>19</v>
      </c>
      <c r="U3" s="69" t="n"/>
      <c r="V3" s="70">
        <f>N3*0.5+O3+P3+Q3+R3+S3+T3*5</f>
        <v/>
      </c>
      <c r="W3" s="135" t="n"/>
      <c r="X3" s="135" t="n">
        <v>9101</v>
      </c>
      <c r="Y3" s="21">
        <f>IF(C3="SSR",30,IF(C3="SR",10,IF(C3="R",5)))</f>
        <v/>
      </c>
      <c r="Z3" s="135">
        <f>IF(C3="SSR",IF(P3&gt;O3,"901","900"),IF(C3="SR",IF(P3&gt;O3,"902","903" ),IF(C3="R",IF(P3&gt;O3,"904","905" ))))</f>
        <v/>
      </c>
      <c r="AA3" s="135" t="n">
        <v>900</v>
      </c>
      <c r="AB3" s="135">
        <f>J3+1000</f>
        <v/>
      </c>
      <c r="AC3" s="135">
        <f>AB3+1000</f>
        <v/>
      </c>
      <c r="AD3" s="135">
        <f>AC3+1000</f>
        <v/>
      </c>
      <c r="AE3" s="135">
        <f>AD3+1000</f>
        <v/>
      </c>
      <c r="AF3" s="135">
        <f>AE3+1000</f>
        <v/>
      </c>
      <c r="AG3" s="135">
        <f>K3+1000</f>
        <v/>
      </c>
      <c r="AH3" s="135">
        <f>AG3+1000</f>
        <v/>
      </c>
      <c r="AI3" s="135">
        <f>AH3+1000</f>
        <v/>
      </c>
      <c r="AJ3" s="135">
        <f>AI3+1000</f>
        <v/>
      </c>
      <c r="AK3" s="135">
        <f>AJ3+1000</f>
        <v/>
      </c>
    </row>
    <row r="4" ht="16.5" customHeight="1" s="142">
      <c r="A4" s="52">
        <f>A3+1</f>
        <v/>
      </c>
      <c r="B4" s="27" t="inlineStr">
        <is>
          <t>童子切安綱</t>
        </is>
      </c>
      <c r="C4" s="52" t="inlineStr">
        <is>
          <t>SSR</t>
        </is>
      </c>
      <c r="D4" s="52" t="inlineStr">
        <is>
          <t>weapon</t>
        </is>
      </c>
      <c r="E4" s="52" t="n"/>
      <c r="F4" s="68">
        <f>"1,1"</f>
        <v/>
      </c>
      <c r="G4" s="31">
        <f>"56,58,17,13,2,23,24"</f>
        <v/>
      </c>
      <c r="H4" s="52" t="n"/>
      <c r="I4" s="52" t="n">
        <v>110011</v>
      </c>
      <c r="J4" s="52">
        <f>A4+200000</f>
        <v/>
      </c>
      <c r="K4" s="52">
        <f>J4+100000</f>
        <v/>
      </c>
      <c r="L4" s="135" t="n">
        <v>1</v>
      </c>
      <c r="M4" s="52" t="n"/>
      <c r="N4" s="52" t="n">
        <v>700</v>
      </c>
      <c r="O4" s="52" t="n">
        <v>16</v>
      </c>
      <c r="P4" s="52" t="n">
        <v>85</v>
      </c>
      <c r="Q4" s="52" t="n">
        <v>37</v>
      </c>
      <c r="R4" s="52" t="n">
        <v>65</v>
      </c>
      <c r="S4" s="52" t="n">
        <v>248</v>
      </c>
      <c r="T4" s="52" t="n">
        <v>17</v>
      </c>
      <c r="U4" s="69" t="n"/>
      <c r="V4" s="70">
        <f>N4*0.5+O4+P4+Q4+R4+S4+T4*5</f>
        <v/>
      </c>
      <c r="W4" s="135" t="n"/>
      <c r="X4" s="135" t="n">
        <v>9102</v>
      </c>
      <c r="Y4" s="21">
        <f>IF(C4="SSR",30,IF(C4="SR",10,IF(C4="R",5)))</f>
        <v/>
      </c>
      <c r="Z4" s="135">
        <f>IF(C4="SSR",IF(P4&gt;O4,"901","900"),IF(C4="SR",IF(P4&gt;O4,"902","903" ),IF(C4="R",IF(P4&gt;O4,"904","905" ))))</f>
        <v/>
      </c>
      <c r="AA4" s="135" t="n">
        <v>900</v>
      </c>
      <c r="AB4" s="135">
        <f>AB3+1</f>
        <v/>
      </c>
      <c r="AC4" s="135">
        <f>AC3+1</f>
        <v/>
      </c>
      <c r="AD4" s="135">
        <f>AD3+1</f>
        <v/>
      </c>
      <c r="AE4" s="135">
        <f>AE3+1</f>
        <v/>
      </c>
      <c r="AF4" s="135">
        <f>AF3+1</f>
        <v/>
      </c>
      <c r="AG4" s="135">
        <f>AG3+1</f>
        <v/>
      </c>
      <c r="AH4" s="135">
        <f>AH3+1</f>
        <v/>
      </c>
      <c r="AI4" s="135">
        <f>AI3+1</f>
        <v/>
      </c>
      <c r="AJ4" s="135">
        <f>AJ3+1</f>
        <v/>
      </c>
      <c r="AK4" s="135">
        <f>AK3+1</f>
        <v/>
      </c>
    </row>
    <row r="5" ht="16.5" customHeight="1" s="142">
      <c r="A5" s="52">
        <f>A4+1</f>
        <v/>
      </c>
      <c r="B5" s="27" t="inlineStr">
        <is>
          <t>村雨</t>
        </is>
      </c>
      <c r="C5" s="52" t="inlineStr">
        <is>
          <t>SSR</t>
        </is>
      </c>
      <c r="D5" s="52" t="inlineStr">
        <is>
          <t>weapon</t>
        </is>
      </c>
      <c r="E5" s="52" t="n"/>
      <c r="F5" s="68">
        <f>"1,1"</f>
        <v/>
      </c>
      <c r="G5" s="31">
        <f>"56,58,14,8,25,26"</f>
        <v/>
      </c>
      <c r="H5" s="52" t="n"/>
      <c r="I5" s="52" t="n">
        <v>110011</v>
      </c>
      <c r="J5" s="52">
        <f>A5+200000</f>
        <v/>
      </c>
      <c r="K5" s="52">
        <f>J5+100000</f>
        <v/>
      </c>
      <c r="L5" s="135" t="n">
        <v>1</v>
      </c>
      <c r="M5" s="52" t="n"/>
      <c r="N5" s="52" t="n">
        <v>750</v>
      </c>
      <c r="O5" s="52" t="n">
        <v>22</v>
      </c>
      <c r="P5" s="52" t="n">
        <v>81</v>
      </c>
      <c r="Q5" s="52" t="n">
        <v>44</v>
      </c>
      <c r="R5" s="52" t="n">
        <v>43</v>
      </c>
      <c r="S5" s="52" t="n">
        <v>126</v>
      </c>
      <c r="T5" s="52" t="n">
        <v>16</v>
      </c>
      <c r="U5" s="69" t="n"/>
      <c r="V5" s="70">
        <f>N5*0.5+O5+P5+Q5+R5+S5+T5*5</f>
        <v/>
      </c>
      <c r="W5" s="135" t="n"/>
      <c r="X5" s="135" t="n">
        <v>9103</v>
      </c>
      <c r="Y5" s="21">
        <f>IF(C5="SSR",30,IF(C5="SR",10,IF(C5="R",5)))</f>
        <v/>
      </c>
      <c r="Z5" s="135">
        <f>IF(C5="SSR",IF(P5&gt;O5,"901","900"),IF(C5="SR",IF(P5&gt;O5,"902","903" ),IF(C5="R",IF(P5&gt;O5,"904","905" ))))</f>
        <v/>
      </c>
      <c r="AA5" s="135" t="n">
        <v>900</v>
      </c>
      <c r="AB5" s="135">
        <f>AB4+1</f>
        <v/>
      </c>
      <c r="AC5" s="135">
        <f>AC4+1</f>
        <v/>
      </c>
      <c r="AD5" s="135">
        <f>AD4+1</f>
        <v/>
      </c>
      <c r="AE5" s="135">
        <f>AE4+1</f>
        <v/>
      </c>
      <c r="AF5" s="135">
        <f>AF4+1</f>
        <v/>
      </c>
      <c r="AG5" s="135">
        <f>AG4+1</f>
        <v/>
      </c>
      <c r="AH5" s="135">
        <f>AH4+1</f>
        <v/>
      </c>
      <c r="AI5" s="135">
        <f>AI4+1</f>
        <v/>
      </c>
      <c r="AJ5" s="135">
        <f>AJ4+1</f>
        <v/>
      </c>
      <c r="AK5" s="135">
        <f>AK4+1</f>
        <v/>
      </c>
    </row>
    <row r="6" ht="16.5" customHeight="1" s="142">
      <c r="A6" s="52">
        <f>A5+1</f>
        <v/>
      </c>
      <c r="B6" s="27" t="inlineStr">
        <is>
          <t>隆基努斯槍</t>
        </is>
      </c>
      <c r="C6" s="52" t="inlineStr">
        <is>
          <t>SSR</t>
        </is>
      </c>
      <c r="D6" s="52" t="inlineStr">
        <is>
          <t>weapon</t>
        </is>
      </c>
      <c r="E6" s="52" t="n"/>
      <c r="F6" s="68">
        <f>"1,1"</f>
        <v/>
      </c>
      <c r="G6" s="31" t="inlineStr">
        <is>
          <t>57,12,13,1,2,3</t>
        </is>
      </c>
      <c r="H6" s="52" t="n"/>
      <c r="I6" s="52" t="n">
        <v>110002</v>
      </c>
      <c r="J6" s="52">
        <f>A6+200000</f>
        <v/>
      </c>
      <c r="K6" s="52">
        <f>J6+100000</f>
        <v/>
      </c>
      <c r="L6" s="135" t="n">
        <v>3</v>
      </c>
      <c r="M6" s="52" t="n"/>
      <c r="N6" s="52" t="n">
        <v>680</v>
      </c>
      <c r="O6" s="52" t="n">
        <v>91</v>
      </c>
      <c r="P6" s="52" t="n">
        <v>12</v>
      </c>
      <c r="Q6" s="52" t="n">
        <v>58</v>
      </c>
      <c r="R6" s="52" t="n">
        <v>40</v>
      </c>
      <c r="S6" s="52" t="n">
        <v>124</v>
      </c>
      <c r="T6" s="52" t="n">
        <v>15</v>
      </c>
      <c r="U6" s="69" t="n"/>
      <c r="V6" s="70">
        <f>N6*0.5+O6+P6+Q6+R6+S6+T6*5</f>
        <v/>
      </c>
      <c r="W6" s="135" t="n"/>
      <c r="X6" s="135" t="n">
        <v>9104</v>
      </c>
      <c r="Y6" s="21">
        <f>IF(C6="SSR",30,IF(C6="SR",10,IF(C6="R",5)))</f>
        <v/>
      </c>
      <c r="Z6" s="135">
        <f>IF(C6="SSR",IF(P6&gt;O6,"901","900"),IF(C6="SR",IF(P6&gt;O6,"902","903" ),IF(C6="R",IF(P6&gt;O6,"904","905" ))))</f>
        <v/>
      </c>
      <c r="AA6" s="135" t="n">
        <v>900</v>
      </c>
      <c r="AB6" s="135">
        <f>AB5+1</f>
        <v/>
      </c>
      <c r="AC6" s="135">
        <f>AC5+1</f>
        <v/>
      </c>
      <c r="AD6" s="135">
        <f>AD5+1</f>
        <v/>
      </c>
      <c r="AE6" s="135">
        <f>AE5+1</f>
        <v/>
      </c>
      <c r="AF6" s="135">
        <f>AF5+1</f>
        <v/>
      </c>
      <c r="AG6" s="135">
        <f>AG5+1</f>
        <v/>
      </c>
      <c r="AH6" s="135">
        <f>AH5+1</f>
        <v/>
      </c>
      <c r="AI6" s="135">
        <f>AI5+1</f>
        <v/>
      </c>
      <c r="AJ6" s="135">
        <f>AJ5+1</f>
        <v/>
      </c>
      <c r="AK6" s="135">
        <f>AK5+1</f>
        <v/>
      </c>
    </row>
    <row r="7" ht="16.5" customHeight="1" s="142">
      <c r="A7" s="52">
        <f>A6+1</f>
        <v/>
      </c>
      <c r="B7" s="27" t="inlineStr">
        <is>
          <t>村正</t>
        </is>
      </c>
      <c r="C7" s="52" t="inlineStr">
        <is>
          <t>SSR</t>
        </is>
      </c>
      <c r="D7" s="52" t="inlineStr">
        <is>
          <t>weapon</t>
        </is>
      </c>
      <c r="E7" s="52" t="n"/>
      <c r="F7" s="68">
        <f>"1,1"</f>
        <v/>
      </c>
      <c r="G7" s="31">
        <f>"56,58,12,13,3,1,2"</f>
        <v/>
      </c>
      <c r="H7" s="52" t="n"/>
      <c r="I7" s="52" t="n">
        <v>110001</v>
      </c>
      <c r="J7" s="52">
        <f>A7+200000</f>
        <v/>
      </c>
      <c r="K7" s="52">
        <f>J7+100000</f>
        <v/>
      </c>
      <c r="L7" s="135" t="n">
        <v>2</v>
      </c>
      <c r="M7" s="52" t="n"/>
      <c r="N7" s="52" t="n">
        <v>690</v>
      </c>
      <c r="O7" s="52" t="n">
        <v>88</v>
      </c>
      <c r="P7" s="52" t="n">
        <v>21</v>
      </c>
      <c r="Q7" s="52" t="n">
        <v>62</v>
      </c>
      <c r="R7" s="52" t="n">
        <v>49</v>
      </c>
      <c r="S7" s="52" t="n">
        <v>126</v>
      </c>
      <c r="T7" s="52" t="n">
        <v>17</v>
      </c>
      <c r="U7" s="69" t="n"/>
      <c r="V7" s="70">
        <f>N7*0.5+O7+P7+Q7+R7+S7+T7*5</f>
        <v/>
      </c>
      <c r="W7" s="135" t="n"/>
      <c r="X7" s="135" t="n">
        <v>9105</v>
      </c>
      <c r="Y7" s="21">
        <f>IF(C7="SSR",30,IF(C7="SR",10,IF(C7="R",5)))</f>
        <v/>
      </c>
      <c r="Z7" s="135">
        <f>IF(C7="SSR",IF(P7&gt;O7,"901","900"),IF(C7="SR",IF(P7&gt;O7,"902","903" ),IF(C7="R",IF(P7&gt;O7,"904","905" ))))</f>
        <v/>
      </c>
      <c r="AA7" s="135" t="n">
        <v>900</v>
      </c>
      <c r="AB7" s="135">
        <f>AB6+1</f>
        <v/>
      </c>
      <c r="AC7" s="135">
        <f>AC6+1</f>
        <v/>
      </c>
      <c r="AD7" s="135">
        <f>AD6+1</f>
        <v/>
      </c>
      <c r="AE7" s="135">
        <f>AE6+1</f>
        <v/>
      </c>
      <c r="AF7" s="135">
        <f>AF6+1</f>
        <v/>
      </c>
      <c r="AG7" s="135">
        <f>AG6+1</f>
        <v/>
      </c>
      <c r="AH7" s="135">
        <f>AH6+1</f>
        <v/>
      </c>
      <c r="AI7" s="135">
        <f>AI6+1</f>
        <v/>
      </c>
      <c r="AJ7" s="135">
        <f>AJ6+1</f>
        <v/>
      </c>
      <c r="AK7" s="135">
        <f>AK6+1</f>
        <v/>
      </c>
    </row>
    <row r="8" ht="16.5" customHeight="1" s="142">
      <c r="A8" s="52">
        <f>A7+1</f>
        <v/>
      </c>
      <c r="B8" s="27" t="inlineStr">
        <is>
          <t>天叢雲劍</t>
        </is>
      </c>
      <c r="C8" s="52" t="inlineStr">
        <is>
          <t>SSR</t>
        </is>
      </c>
      <c r="D8" s="52" t="inlineStr">
        <is>
          <t>weapon</t>
        </is>
      </c>
      <c r="E8" s="52" t="n"/>
      <c r="F8" s="68">
        <f>"1,1"</f>
        <v/>
      </c>
      <c r="G8" s="31">
        <f>"56,58,18,5,8,15"</f>
        <v/>
      </c>
      <c r="H8" s="52" t="n"/>
      <c r="I8" s="52" t="n">
        <v>110012</v>
      </c>
      <c r="J8" s="52">
        <f>A8+200000</f>
        <v/>
      </c>
      <c r="K8" s="52">
        <f>J8+100000</f>
        <v/>
      </c>
      <c r="L8" s="135" t="n">
        <v>1</v>
      </c>
      <c r="M8" s="52" t="n"/>
      <c r="N8" s="52" t="n">
        <v>930</v>
      </c>
      <c r="O8" s="52" t="n">
        <v>13</v>
      </c>
      <c r="P8" s="52" t="n">
        <v>59</v>
      </c>
      <c r="Q8" s="52" t="n">
        <v>59</v>
      </c>
      <c r="R8" s="52" t="n">
        <v>75</v>
      </c>
      <c r="S8" s="52" t="n">
        <v>231</v>
      </c>
      <c r="T8" s="52" t="n">
        <v>13</v>
      </c>
      <c r="U8" s="69" t="n"/>
      <c r="V8" s="70">
        <f>N8*0.5+O8+P8+Q8+R8+S8+T8*5</f>
        <v/>
      </c>
      <c r="W8" s="135" t="n"/>
      <c r="X8" s="135" t="n">
        <v>9106</v>
      </c>
      <c r="Y8" s="21">
        <f>IF(C8="SSR",30,IF(C8="SR",10,IF(C8="R",5)))</f>
        <v/>
      </c>
      <c r="Z8" s="135">
        <f>IF(C8="SSR",IF(P8&gt;O8,"901","900"),IF(C8="SR",IF(P8&gt;O8,"902","903" ),IF(C8="R",IF(P8&gt;O8,"904","905" ))))</f>
        <v/>
      </c>
      <c r="AA8" s="135" t="n">
        <v>900</v>
      </c>
      <c r="AB8" s="135">
        <f>AB7+1</f>
        <v/>
      </c>
      <c r="AC8" s="135">
        <f>AC7+1</f>
        <v/>
      </c>
      <c r="AD8" s="135">
        <f>AD7+1</f>
        <v/>
      </c>
      <c r="AE8" s="135">
        <f>AE7+1</f>
        <v/>
      </c>
      <c r="AF8" s="135">
        <f>AF7+1</f>
        <v/>
      </c>
      <c r="AG8" s="135">
        <f>AG7+1</f>
        <v/>
      </c>
      <c r="AH8" s="135">
        <f>AH7+1</f>
        <v/>
      </c>
      <c r="AI8" s="135">
        <f>AI7+1</f>
        <v/>
      </c>
      <c r="AJ8" s="135">
        <f>AJ7+1</f>
        <v/>
      </c>
      <c r="AK8" s="135">
        <f>AK7+1</f>
        <v/>
      </c>
    </row>
    <row r="9" ht="16.5" customHeight="1" s="142">
      <c r="A9" s="52">
        <f>A8+1</f>
        <v/>
      </c>
      <c r="B9" s="27" t="inlineStr">
        <is>
          <t>干將莫邪</t>
        </is>
      </c>
      <c r="C9" s="52" t="inlineStr">
        <is>
          <t>SSR</t>
        </is>
      </c>
      <c r="D9" s="52" t="inlineStr">
        <is>
          <t>weapon</t>
        </is>
      </c>
      <c r="E9" s="52" t="n"/>
      <c r="F9" s="68">
        <f>"1,1"</f>
        <v/>
      </c>
      <c r="G9" s="31">
        <f>"58,12,11,20,1"</f>
        <v/>
      </c>
      <c r="H9" s="52" t="n"/>
      <c r="I9" s="52" t="n">
        <v>110011</v>
      </c>
      <c r="J9" s="52">
        <f>A9+200000</f>
        <v/>
      </c>
      <c r="K9" s="52">
        <f>J9+100000</f>
        <v/>
      </c>
      <c r="L9" s="135" t="n">
        <v>3</v>
      </c>
      <c r="M9" s="52" t="n"/>
      <c r="N9" s="52" t="n">
        <v>820</v>
      </c>
      <c r="O9" s="52" t="n">
        <v>71</v>
      </c>
      <c r="P9" s="52" t="n">
        <v>22</v>
      </c>
      <c r="Q9" s="52" t="n">
        <v>66</v>
      </c>
      <c r="R9" s="52" t="n">
        <v>55</v>
      </c>
      <c r="S9" s="52" t="n">
        <v>199</v>
      </c>
      <c r="T9" s="52" t="n">
        <v>13</v>
      </c>
      <c r="U9" s="69" t="n"/>
      <c r="V9" s="70">
        <f>N9*0.5+O9+P9+Q9+R9+S9+T9*5</f>
        <v/>
      </c>
      <c r="W9" s="135" t="n"/>
      <c r="X9" s="135" t="n">
        <v>9107</v>
      </c>
      <c r="Y9" s="21">
        <f>IF(C9="SSR",30,IF(C9="SR",10,IF(C9="R",5)))</f>
        <v/>
      </c>
      <c r="Z9" s="135">
        <f>IF(C9="SSR",IF(P9&gt;O9,"901","900"),IF(C9="SR",IF(P9&gt;O9,"902","903" ),IF(C9="R",IF(P9&gt;O9,"904","905" ))))</f>
        <v/>
      </c>
      <c r="AA9" s="135" t="n">
        <v>900</v>
      </c>
      <c r="AB9" s="135">
        <f>AB8+1</f>
        <v/>
      </c>
      <c r="AC9" s="135">
        <f>AC8+1</f>
        <v/>
      </c>
      <c r="AD9" s="135">
        <f>AD8+1</f>
        <v/>
      </c>
      <c r="AE9" s="135">
        <f>AE8+1</f>
        <v/>
      </c>
      <c r="AF9" s="135">
        <f>AF8+1</f>
        <v/>
      </c>
      <c r="AG9" s="135">
        <f>AG8+1</f>
        <v/>
      </c>
      <c r="AH9" s="135">
        <f>AH8+1</f>
        <v/>
      </c>
      <c r="AI9" s="135">
        <f>AI8+1</f>
        <v/>
      </c>
      <c r="AJ9" s="135">
        <f>AJ8+1</f>
        <v/>
      </c>
      <c r="AK9" s="135">
        <f>AK8+1</f>
        <v/>
      </c>
    </row>
    <row r="10" ht="16.5" customHeight="1" s="142">
      <c r="A10" s="52" t="n">
        <v>10008</v>
      </c>
      <c r="B10" s="27" t="inlineStr">
        <is>
          <t>埃斯卡利巴</t>
        </is>
      </c>
      <c r="C10" s="52" t="inlineStr">
        <is>
          <t>SSR</t>
        </is>
      </c>
      <c r="D10" s="52" t="inlineStr">
        <is>
          <t>weapon</t>
        </is>
      </c>
      <c r="E10" s="52" t="n"/>
      <c r="F10" s="68">
        <f>"1,1"</f>
        <v/>
      </c>
      <c r="G10" s="31" t="inlineStr">
        <is>
          <t>59,18,13,5,9,17</t>
        </is>
      </c>
      <c r="H10" s="52" t="n"/>
      <c r="I10" s="52" t="n">
        <v>110012</v>
      </c>
      <c r="J10" s="52" t="n">
        <v>210008</v>
      </c>
      <c r="K10" s="52" t="n">
        <v>310008</v>
      </c>
      <c r="L10" s="55" t="n">
        <v>3</v>
      </c>
      <c r="M10" s="52" t="n"/>
      <c r="N10" s="52" t="n">
        <v>640</v>
      </c>
      <c r="O10" s="52" t="n">
        <v>19</v>
      </c>
      <c r="P10" s="52" t="n">
        <v>89</v>
      </c>
      <c r="Q10" s="52" t="n">
        <v>41</v>
      </c>
      <c r="R10" s="52" t="n">
        <v>55</v>
      </c>
      <c r="S10" s="52" t="n">
        <v>242</v>
      </c>
      <c r="T10" s="52" t="n">
        <v>14</v>
      </c>
      <c r="U10" s="69" t="n"/>
      <c r="V10" s="70">
        <f>N10*0.5+O10+P10+Q10+R10+S10+T10*5</f>
        <v/>
      </c>
      <c r="W10" s="135" t="n"/>
      <c r="X10" s="135" t="n">
        <v>9108</v>
      </c>
      <c r="Y10" s="21">
        <f>IF(C10="SSR",30,IF(C10="SR",10,IF(C10="R",5)))</f>
        <v/>
      </c>
      <c r="Z10" s="135">
        <f>IF(C10="SSR",IF(P10&gt;O10,"901","900"),IF(C10="SR",IF(P10&gt;O10,"902","903" ),IF(C10="R",IF(P10&gt;O10,"904","905" ))))</f>
        <v/>
      </c>
      <c r="AA10" s="135" t="n">
        <v>900</v>
      </c>
      <c r="AB10" s="135">
        <f>AB9+1</f>
        <v/>
      </c>
      <c r="AC10" s="135">
        <f>AC9+1</f>
        <v/>
      </c>
      <c r="AD10" s="135">
        <f>AD9+1</f>
        <v/>
      </c>
      <c r="AE10" s="135">
        <f>AE9+1</f>
        <v/>
      </c>
      <c r="AF10" s="135">
        <f>AF9+1</f>
        <v/>
      </c>
      <c r="AG10" s="135">
        <f>AG9+1</f>
        <v/>
      </c>
      <c r="AH10" s="135">
        <f>AH9+1</f>
        <v/>
      </c>
      <c r="AI10" s="135">
        <f>AI9+1</f>
        <v/>
      </c>
      <c r="AJ10" s="135">
        <f>AJ9+1</f>
        <v/>
      </c>
      <c r="AK10" s="135">
        <f>AK9+1</f>
        <v/>
      </c>
    </row>
    <row r="11" ht="16.5" customHeight="1" s="142">
      <c r="A11" s="52" t="n">
        <v>10009</v>
      </c>
      <c r="B11" s="27" t="inlineStr">
        <is>
          <t>布都御魂</t>
        </is>
      </c>
      <c r="C11" s="52" t="inlineStr">
        <is>
          <t>SSR</t>
        </is>
      </c>
      <c r="D11" s="52" t="inlineStr">
        <is>
          <t>weapon</t>
        </is>
      </c>
      <c r="E11" s="52" t="n"/>
      <c r="F11" s="68">
        <f>"1,1"</f>
        <v/>
      </c>
      <c r="G11" s="31">
        <f>"56,60,18,15,25,26"</f>
        <v/>
      </c>
      <c r="H11" s="52" t="n"/>
      <c r="I11" s="52" t="n">
        <v>110001</v>
      </c>
      <c r="J11" s="52" t="n">
        <v>210009</v>
      </c>
      <c r="K11" s="52" t="n">
        <v>310009</v>
      </c>
      <c r="L11" s="55" t="n">
        <v>1</v>
      </c>
      <c r="M11" s="52" t="n"/>
      <c r="N11" s="52" t="n">
        <v>655</v>
      </c>
      <c r="O11" s="52" t="n">
        <v>93</v>
      </c>
      <c r="P11" s="52" t="n">
        <v>13</v>
      </c>
      <c r="Q11" s="52" t="n">
        <v>58</v>
      </c>
      <c r="R11" s="52" t="n">
        <v>40</v>
      </c>
      <c r="S11" s="52" t="n">
        <v>155</v>
      </c>
      <c r="T11" s="52" t="n">
        <v>19</v>
      </c>
      <c r="U11" s="69" t="n"/>
      <c r="V11" s="70">
        <f>N11*0.5+O11+P11+Q11+R11+S11+T11*5</f>
        <v/>
      </c>
      <c r="W11" s="135" t="n"/>
      <c r="X11" s="135" t="n">
        <v>9109</v>
      </c>
      <c r="Y11" s="21">
        <f>IF(C11="SSR",30,IF(C11="SR",10,IF(C11="R",5)))</f>
        <v/>
      </c>
      <c r="Z11" s="135">
        <f>IF(C11="SSR",IF(P11&gt;O11,"901","900"),IF(C11="SR",IF(P11&gt;O11,"902","903" ),IF(C11="R",IF(P11&gt;O11,"904","905" ))))</f>
        <v/>
      </c>
      <c r="AA11" s="135" t="n">
        <v>900</v>
      </c>
      <c r="AB11" s="135">
        <f>AB10+1</f>
        <v/>
      </c>
      <c r="AC11" s="135">
        <f>AC10+1</f>
        <v/>
      </c>
      <c r="AD11" s="135">
        <f>AD10+1</f>
        <v/>
      </c>
      <c r="AE11" s="135">
        <f>AE10+1</f>
        <v/>
      </c>
      <c r="AF11" s="135">
        <f>AF10+1</f>
        <v/>
      </c>
      <c r="AG11" s="135">
        <f>AG10+1</f>
        <v/>
      </c>
      <c r="AH11" s="135">
        <f>AH10+1</f>
        <v/>
      </c>
      <c r="AI11" s="135">
        <f>AI10+1</f>
        <v/>
      </c>
      <c r="AJ11" s="135">
        <f>AJ10+1</f>
        <v/>
      </c>
      <c r="AK11" s="135">
        <f>AK10+1</f>
        <v/>
      </c>
    </row>
    <row r="12" ht="16.5" customHeight="1" s="142">
      <c r="A12" s="52" t="n">
        <v>10010</v>
      </c>
      <c r="B12" s="27" t="inlineStr">
        <is>
          <t>提爾鋒</t>
        </is>
      </c>
      <c r="C12" s="52" t="inlineStr">
        <is>
          <t>SSR</t>
        </is>
      </c>
      <c r="D12" s="52" t="inlineStr">
        <is>
          <t>weapon</t>
        </is>
      </c>
      <c r="E12" s="52" t="n"/>
      <c r="F12" s="68">
        <f>"1,1"</f>
        <v/>
      </c>
      <c r="G12" s="31" t="inlineStr">
        <is>
          <t>61,18,5,9,20</t>
        </is>
      </c>
      <c r="H12" s="52" t="n"/>
      <c r="I12" s="52" t="n">
        <v>110001</v>
      </c>
      <c r="J12" s="52" t="n">
        <v>210010</v>
      </c>
      <c r="K12" s="52" t="n">
        <v>310010</v>
      </c>
      <c r="L12" s="55" t="n">
        <v>2</v>
      </c>
      <c r="M12" s="52" t="n"/>
      <c r="N12" s="52" t="n">
        <v>680</v>
      </c>
      <c r="O12" s="52" t="n">
        <v>87</v>
      </c>
      <c r="P12" s="52" t="n">
        <v>22</v>
      </c>
      <c r="Q12" s="52" t="n">
        <v>59</v>
      </c>
      <c r="R12" s="52" t="n">
        <v>48</v>
      </c>
      <c r="S12" s="52" t="n">
        <v>192</v>
      </c>
      <c r="T12" s="52" t="n">
        <v>12</v>
      </c>
      <c r="U12" s="69" t="n"/>
      <c r="V12" s="70">
        <f>N12*0.5+O12+P12+Q12+R12+S12+T12*5</f>
        <v/>
      </c>
      <c r="W12" s="135" t="n"/>
      <c r="X12" s="135" t="n">
        <v>9110</v>
      </c>
      <c r="Y12" s="21">
        <f>IF(C12="SSR",30,IF(C12="SR",10,IF(C12="R",5)))</f>
        <v/>
      </c>
      <c r="Z12" s="135">
        <f>IF(C12="SSR",IF(P12&gt;O12,"901","900"),IF(C12="SR",IF(P12&gt;O12,"902","903" ),IF(C12="R",IF(P12&gt;O12,"904","905" ))))</f>
        <v/>
      </c>
      <c r="AA12" s="135" t="n">
        <v>900</v>
      </c>
      <c r="AB12" s="135">
        <f>AB11+1</f>
        <v/>
      </c>
      <c r="AC12" s="135">
        <f>AC11+1</f>
        <v/>
      </c>
      <c r="AD12" s="135">
        <f>AD11+1</f>
        <v/>
      </c>
      <c r="AE12" s="135">
        <f>AE11+1</f>
        <v/>
      </c>
      <c r="AF12" s="135">
        <f>AF11+1</f>
        <v/>
      </c>
      <c r="AG12" s="135">
        <f>AG11+1</f>
        <v/>
      </c>
      <c r="AH12" s="135">
        <f>AH11+1</f>
        <v/>
      </c>
      <c r="AI12" s="135">
        <f>AI11+1</f>
        <v/>
      </c>
      <c r="AJ12" s="135">
        <f>AJ11+1</f>
        <v/>
      </c>
      <c r="AK12" s="135">
        <f>AK11+1</f>
        <v/>
      </c>
    </row>
    <row r="13" ht="16.5" customHeight="1" s="142">
      <c r="A13" s="52" t="n">
        <v>10011</v>
      </c>
      <c r="B13" s="27" t="inlineStr">
        <is>
          <t>真十字架</t>
        </is>
      </c>
      <c r="C13" s="52" t="inlineStr">
        <is>
          <t>SSR</t>
        </is>
      </c>
      <c r="D13" s="52" t="inlineStr">
        <is>
          <t>weapon</t>
        </is>
      </c>
      <c r="E13" s="52" t="n"/>
      <c r="F13" s="68">
        <f>"1,1"</f>
        <v/>
      </c>
      <c r="G13" s="31" t="inlineStr">
        <is>
          <t>59,12,15,10,22</t>
        </is>
      </c>
      <c r="H13" s="52" t="n"/>
      <c r="I13" s="52" t="n">
        <v>110001</v>
      </c>
      <c r="J13" s="52" t="n">
        <v>210011</v>
      </c>
      <c r="K13" s="52" t="n">
        <v>310011</v>
      </c>
      <c r="L13" s="55" t="n">
        <v>1</v>
      </c>
      <c r="M13" s="52" t="n"/>
      <c r="N13" s="52" t="n">
        <v>930</v>
      </c>
      <c r="O13" s="52" t="n">
        <v>61</v>
      </c>
      <c r="P13" s="52" t="n">
        <v>13</v>
      </c>
      <c r="Q13" s="52" t="n">
        <v>77</v>
      </c>
      <c r="R13" s="52" t="n">
        <v>57</v>
      </c>
      <c r="S13" s="52" t="n">
        <v>120</v>
      </c>
      <c r="T13" s="52" t="n">
        <v>11</v>
      </c>
      <c r="U13" s="69" t="n">
        <v>3</v>
      </c>
      <c r="V13" s="70">
        <f>N13*0.5+O13+P13+Q13+R13+S13+T13*5</f>
        <v/>
      </c>
      <c r="W13" s="135" t="n"/>
      <c r="X13" s="135" t="n">
        <v>9111</v>
      </c>
      <c r="Y13" s="21">
        <f>IF(C13="SSR",30,IF(C13="SR",10,IF(C13="R",5)))</f>
        <v/>
      </c>
      <c r="Z13" s="135">
        <f>IF(C13="SSR",IF(P13&gt;O13,"901","900"),IF(C13="SR",IF(P13&gt;O13,"902","903" ),IF(C13="R",IF(P13&gt;O13,"904","905" ))))</f>
        <v/>
      </c>
      <c r="AA13" s="135" t="n">
        <v>900</v>
      </c>
      <c r="AB13" s="135">
        <f>AB12+1</f>
        <v/>
      </c>
      <c r="AC13" s="135">
        <f>AC12+1</f>
        <v/>
      </c>
      <c r="AD13" s="135">
        <f>AD12+1</f>
        <v/>
      </c>
      <c r="AE13" s="135">
        <f>AE12+1</f>
        <v/>
      </c>
      <c r="AF13" s="135">
        <f>AF12+1</f>
        <v/>
      </c>
      <c r="AG13" s="135">
        <f>AG12+1</f>
        <v/>
      </c>
      <c r="AH13" s="135">
        <f>AH12+1</f>
        <v/>
      </c>
      <c r="AI13" s="135">
        <f>AI12+1</f>
        <v/>
      </c>
      <c r="AJ13" s="135">
        <f>AJ12+1</f>
        <v/>
      </c>
      <c r="AK13" s="135">
        <f>AK12+1</f>
        <v/>
      </c>
    </row>
    <row r="14" ht="16.5" customHeight="1" s="142">
      <c r="A14" s="52" t="n">
        <v>10012</v>
      </c>
      <c r="B14" s="27" t="inlineStr">
        <is>
          <t>阿斯卡隆</t>
        </is>
      </c>
      <c r="C14" s="52" t="inlineStr">
        <is>
          <t>SSR</t>
        </is>
      </c>
      <c r="D14" s="52" t="inlineStr">
        <is>
          <t>weapon</t>
        </is>
      </c>
      <c r="E14" s="52" t="n"/>
      <c r="F14" s="68">
        <f>"1,1"</f>
        <v/>
      </c>
      <c r="G14" s="31" t="inlineStr">
        <is>
          <t>60,14,15,22,8</t>
        </is>
      </c>
      <c r="H14" s="52" t="n"/>
      <c r="I14" s="52" t="n">
        <v>110012</v>
      </c>
      <c r="J14" s="52" t="n">
        <v>210012</v>
      </c>
      <c r="K14" s="52" t="n">
        <v>310012</v>
      </c>
      <c r="L14" s="55" t="n">
        <v>1</v>
      </c>
      <c r="M14" s="52" t="n"/>
      <c r="N14" s="52" t="n">
        <v>690</v>
      </c>
      <c r="O14" s="52" t="n">
        <v>16</v>
      </c>
      <c r="P14" s="52" t="n">
        <v>79</v>
      </c>
      <c r="Q14" s="52" t="n">
        <v>49</v>
      </c>
      <c r="R14" s="52" t="n">
        <v>57</v>
      </c>
      <c r="S14" s="52" t="n">
        <v>191</v>
      </c>
      <c r="T14" s="52" t="n">
        <v>13</v>
      </c>
      <c r="U14" s="69" t="n"/>
      <c r="V14" s="70">
        <f>N14*0.5+O14+P14+Q14+R14+S14+T14*5</f>
        <v/>
      </c>
      <c r="W14" s="135" t="n"/>
      <c r="X14" s="135" t="n">
        <v>9112</v>
      </c>
      <c r="Y14" s="21">
        <f>IF(C14="SSR",30,IF(C14="SR",10,IF(C14="R",5)))</f>
        <v/>
      </c>
      <c r="Z14" s="135">
        <f>IF(C14="SSR",IF(P14&gt;O14,"901","900"),IF(C14="SR",IF(P14&gt;O14,"902","903" ),IF(C14="R",IF(P14&gt;O14,"904","905" ))))</f>
        <v/>
      </c>
      <c r="AA14" s="135" t="n">
        <v>900</v>
      </c>
      <c r="AB14" s="135">
        <f>AB13+1</f>
        <v/>
      </c>
      <c r="AC14" s="135">
        <f>AC13+1</f>
        <v/>
      </c>
      <c r="AD14" s="135">
        <f>AD13+1</f>
        <v/>
      </c>
      <c r="AE14" s="135">
        <f>AE13+1</f>
        <v/>
      </c>
      <c r="AF14" s="135">
        <f>AF13+1</f>
        <v/>
      </c>
      <c r="AG14" s="135">
        <f>AG13+1</f>
        <v/>
      </c>
      <c r="AH14" s="135">
        <f>AH13+1</f>
        <v/>
      </c>
      <c r="AI14" s="135">
        <f>AI13+1</f>
        <v/>
      </c>
      <c r="AJ14" s="135">
        <f>AJ13+1</f>
        <v/>
      </c>
      <c r="AK14" s="135">
        <f>AK13+1</f>
        <v/>
      </c>
    </row>
    <row r="15" ht="16.5" customHeight="1" s="142">
      <c r="A15" s="52" t="n">
        <v>10013</v>
      </c>
      <c r="B15" s="27" t="inlineStr">
        <is>
          <t>鬼丸國綱</t>
        </is>
      </c>
      <c r="C15" s="52" t="inlineStr">
        <is>
          <t>SR</t>
        </is>
      </c>
      <c r="D15" s="52" t="inlineStr">
        <is>
          <t>weapon</t>
        </is>
      </c>
      <c r="E15" s="52" t="n"/>
      <c r="F15" s="68">
        <f>"1,1"</f>
        <v/>
      </c>
      <c r="G15" s="31" t="inlineStr">
        <is>
          <t>56,16,13,2,1</t>
        </is>
      </c>
      <c r="H15" s="52" t="n"/>
      <c r="I15" s="52" t="n">
        <v>110002</v>
      </c>
      <c r="J15" s="52" t="n">
        <v>210013</v>
      </c>
      <c r="K15" s="52" t="n">
        <v>310013</v>
      </c>
      <c r="L15" s="55" t="n">
        <v>2</v>
      </c>
      <c r="M15" s="52" t="n"/>
      <c r="N15" s="52" t="n">
        <v>555</v>
      </c>
      <c r="O15" s="52" t="n">
        <v>70</v>
      </c>
      <c r="P15" s="52" t="n">
        <v>17</v>
      </c>
      <c r="Q15" s="52" t="n">
        <v>50</v>
      </c>
      <c r="R15" s="52" t="n">
        <v>39</v>
      </c>
      <c r="S15" s="52" t="n">
        <v>84</v>
      </c>
      <c r="T15" s="52" t="n">
        <v>10</v>
      </c>
      <c r="U15" s="69" t="n"/>
      <c r="V15" s="70">
        <f>N15*0.5+O15+P15+Q15+R15+S15+T15*5</f>
        <v/>
      </c>
      <c r="W15" s="135" t="n"/>
      <c r="X15" s="135" t="n">
        <v>9113</v>
      </c>
      <c r="Y15" s="21">
        <f>IF(C15="SSR",30,IF(C15="SR",10,IF(C15="R",5)))</f>
        <v/>
      </c>
      <c r="Z15" s="135">
        <f>IF(C15="SSR",IF(P15&gt;O15,"901","900"),IF(C15="SR",IF(P15&gt;O15,"902","903" ),IF(C15="R",IF(P15&gt;O15,"904","905" ))))</f>
        <v/>
      </c>
      <c r="AA15" s="135" t="n">
        <v>900</v>
      </c>
      <c r="AB15" s="135">
        <f>J15</f>
        <v/>
      </c>
      <c r="AC15" s="135">
        <f>AB15</f>
        <v/>
      </c>
      <c r="AD15" s="135">
        <f>AC15</f>
        <v/>
      </c>
      <c r="AE15" s="135">
        <f>AD15</f>
        <v/>
      </c>
      <c r="AF15" s="135">
        <f>AD15</f>
        <v/>
      </c>
      <c r="AG15" s="135">
        <f>K15</f>
        <v/>
      </c>
      <c r="AH15" s="135">
        <f>AG15</f>
        <v/>
      </c>
      <c r="AI15" s="135">
        <f>AH15</f>
        <v/>
      </c>
      <c r="AJ15" s="135">
        <f>AI15</f>
        <v/>
      </c>
      <c r="AK15" s="135">
        <f>AI15</f>
        <v/>
      </c>
    </row>
    <row r="16" ht="16.5" customHeight="1" s="142">
      <c r="A16" s="52" t="n">
        <v>10014</v>
      </c>
      <c r="B16" s="27" t="inlineStr">
        <is>
          <t>阿隆戴特</t>
        </is>
      </c>
      <c r="C16" s="52" t="inlineStr">
        <is>
          <t>SR</t>
        </is>
      </c>
      <c r="D16" s="52" t="inlineStr">
        <is>
          <t>weapon</t>
        </is>
      </c>
      <c r="E16" s="52" t="n"/>
      <c r="F16" s="68">
        <f>"1,1"</f>
        <v/>
      </c>
      <c r="G16" s="31" t="inlineStr">
        <is>
          <t>56,16,13,4,52</t>
        </is>
      </c>
      <c r="H16" s="52" t="n"/>
      <c r="I16" s="52" t="n">
        <v>110002</v>
      </c>
      <c r="J16" s="52" t="n">
        <v>210014</v>
      </c>
      <c r="K16" s="52" t="n">
        <v>310014</v>
      </c>
      <c r="L16" s="55" t="n">
        <v>3</v>
      </c>
      <c r="M16" s="52" t="n"/>
      <c r="N16" s="52" t="n">
        <v>570</v>
      </c>
      <c r="O16" s="52" t="n">
        <v>68</v>
      </c>
      <c r="P16" s="52" t="n">
        <v>16</v>
      </c>
      <c r="Q16" s="52" t="n">
        <v>53</v>
      </c>
      <c r="R16" s="52" t="n">
        <v>31</v>
      </c>
      <c r="S16" s="52" t="n">
        <v>85</v>
      </c>
      <c r="T16" s="52" t="n">
        <v>10</v>
      </c>
      <c r="U16" s="69" t="n"/>
      <c r="V16" s="70">
        <f>N16*0.5+O16+P16+Q16+R16+S16+T16*5</f>
        <v/>
      </c>
      <c r="W16" s="135" t="n"/>
      <c r="X16" s="135" t="n">
        <v>9114</v>
      </c>
      <c r="Y16" s="21">
        <f>IF(C16="SSR",30,IF(C16="SR",10,IF(C16="R",5)))</f>
        <v/>
      </c>
      <c r="Z16" s="135">
        <f>IF(C16="SSR",IF(P16&gt;O16,"901","900"),IF(C16="SR",IF(P16&gt;O16,"902","903" ),IF(C16="R",IF(P16&gt;O16,"904","905" ))))</f>
        <v/>
      </c>
      <c r="AA16" s="135" t="n">
        <v>900</v>
      </c>
      <c r="AB16" s="135">
        <f>J16</f>
        <v/>
      </c>
      <c r="AC16" s="135">
        <f>AB16</f>
        <v/>
      </c>
      <c r="AD16" s="135">
        <f>AC16</f>
        <v/>
      </c>
      <c r="AE16" s="135">
        <f>AD16</f>
        <v/>
      </c>
      <c r="AF16" s="135">
        <f>AD16</f>
        <v/>
      </c>
      <c r="AG16" s="135">
        <f>K16</f>
        <v/>
      </c>
      <c r="AH16" s="135">
        <f>AG16</f>
        <v/>
      </c>
      <c r="AI16" s="135">
        <f>AH16</f>
        <v/>
      </c>
      <c r="AJ16" s="135">
        <f>AI16</f>
        <v/>
      </c>
      <c r="AK16" s="135">
        <f>AI16</f>
        <v/>
      </c>
    </row>
    <row r="17" ht="16.5" customHeight="1" s="142">
      <c r="A17" s="52" t="n">
        <v>10015</v>
      </c>
      <c r="B17" s="27" t="inlineStr">
        <is>
          <t>哈迪斯之盔</t>
        </is>
      </c>
      <c r="C17" s="52" t="inlineStr">
        <is>
          <t>SR</t>
        </is>
      </c>
      <c r="D17" s="52" t="inlineStr">
        <is>
          <t>weapon</t>
        </is>
      </c>
      <c r="E17" s="52" t="n"/>
      <c r="F17" s="68">
        <f>"1,1"</f>
        <v/>
      </c>
      <c r="G17" s="31" t="inlineStr">
        <is>
          <t>58,17,15,51,10</t>
        </is>
      </c>
      <c r="H17" s="52" t="n"/>
      <c r="I17" s="52" t="n">
        <v>110011</v>
      </c>
      <c r="J17" s="52" t="n">
        <v>210015</v>
      </c>
      <c r="K17" s="52" t="n">
        <v>310015</v>
      </c>
      <c r="L17" s="55" t="n">
        <v>1</v>
      </c>
      <c r="M17" s="52" t="n"/>
      <c r="N17" s="52" t="n">
        <v>795</v>
      </c>
      <c r="O17" s="52" t="n">
        <v>55</v>
      </c>
      <c r="P17" s="52" t="n">
        <v>12</v>
      </c>
      <c r="Q17" s="52" t="n">
        <v>69</v>
      </c>
      <c r="R17" s="52" t="n">
        <v>51</v>
      </c>
      <c r="S17" s="52" t="n">
        <v>167</v>
      </c>
      <c r="T17" s="52" t="n">
        <v>9</v>
      </c>
      <c r="U17" s="69" t="n"/>
      <c r="V17" s="70">
        <f>N17*0.5+O17+P17+Q17+R17+S17+T17*5</f>
        <v/>
      </c>
      <c r="W17" s="135" t="n"/>
      <c r="X17" s="135" t="n">
        <v>9115</v>
      </c>
      <c r="Y17" s="21">
        <f>IF(C17="SSR",30,IF(C17="SR",10,IF(C17="R",5)))</f>
        <v/>
      </c>
      <c r="Z17" s="135">
        <f>IF(C17="SSR",IF(P17&gt;O17,"901","900"),IF(C17="SR",IF(P17&gt;O17,"902","903" ),IF(C17="R",IF(P17&gt;O17,"904","905" ))))</f>
        <v/>
      </c>
      <c r="AA17" s="135" t="n">
        <v>900</v>
      </c>
      <c r="AB17" s="135">
        <f>J17</f>
        <v/>
      </c>
      <c r="AC17" s="135">
        <f>AB17</f>
        <v/>
      </c>
      <c r="AD17" s="135">
        <f>AC17</f>
        <v/>
      </c>
      <c r="AE17" s="135">
        <f>AD17</f>
        <v/>
      </c>
      <c r="AF17" s="135">
        <f>AD17</f>
        <v/>
      </c>
      <c r="AG17" s="135">
        <f>K17</f>
        <v/>
      </c>
      <c r="AH17" s="135">
        <f>AG17</f>
        <v/>
      </c>
      <c r="AI17" s="135">
        <f>AH17</f>
        <v/>
      </c>
      <c r="AJ17" s="135">
        <f>AI17</f>
        <v/>
      </c>
      <c r="AK17" s="135">
        <f>AI17</f>
        <v/>
      </c>
    </row>
    <row r="18" ht="16.5" customHeight="1" s="142">
      <c r="A18" s="52" t="n">
        <v>10016</v>
      </c>
      <c r="B18" s="27" t="inlineStr">
        <is>
          <t>封印之書</t>
        </is>
      </c>
      <c r="C18" s="52" t="inlineStr">
        <is>
          <t>SR</t>
        </is>
      </c>
      <c r="D18" s="52" t="inlineStr">
        <is>
          <t>weapon</t>
        </is>
      </c>
      <c r="E18" s="52" t="n"/>
      <c r="F18" s="68">
        <f>"1,1"</f>
        <v/>
      </c>
      <c r="G18" s="31" t="inlineStr">
        <is>
          <t>58,17,51,20</t>
        </is>
      </c>
      <c r="H18" s="52" t="n"/>
      <c r="I18" s="52" t="n">
        <v>110011</v>
      </c>
      <c r="J18" s="52">
        <f>J17+1</f>
        <v/>
      </c>
      <c r="K18" s="52">
        <f>K17+1</f>
        <v/>
      </c>
      <c r="L18" s="55" t="n">
        <v>3</v>
      </c>
      <c r="M18" s="52" t="n"/>
      <c r="N18" s="52" t="n">
        <v>510</v>
      </c>
      <c r="O18" s="52" t="n">
        <v>15</v>
      </c>
      <c r="P18" s="52" t="n">
        <v>69</v>
      </c>
      <c r="Q18" s="52" t="n">
        <v>32</v>
      </c>
      <c r="R18" s="52" t="n">
        <v>42</v>
      </c>
      <c r="S18" s="52" t="n">
        <v>174</v>
      </c>
      <c r="T18" s="52" t="n">
        <v>11</v>
      </c>
      <c r="U18" s="69" t="n"/>
      <c r="V18" s="70">
        <f>N18*0.5+O18+P18+Q18+R18+S18+T18*5</f>
        <v/>
      </c>
      <c r="W18" s="135" t="n"/>
      <c r="X18" s="135" t="n">
        <v>9116</v>
      </c>
      <c r="Y18" s="21">
        <f>IF(C18="SSR",30,IF(C18="SR",10,IF(C18="R",5)))</f>
        <v/>
      </c>
      <c r="Z18" s="135">
        <f>IF(C18="SSR",IF(P18&gt;O18,"901","900"),IF(C18="SR",IF(P18&gt;O18,"902","903" ),IF(C18="R",IF(P18&gt;O18,"904","905" ))))</f>
        <v/>
      </c>
      <c r="AA18" s="135" t="n">
        <v>900</v>
      </c>
      <c r="AB18" s="135">
        <f>J18</f>
        <v/>
      </c>
      <c r="AC18" s="135">
        <f>AB18</f>
        <v/>
      </c>
      <c r="AD18" s="135">
        <f>AC18</f>
        <v/>
      </c>
      <c r="AE18" s="135">
        <f>AD18</f>
        <v/>
      </c>
      <c r="AF18" s="135">
        <f>AD18</f>
        <v/>
      </c>
      <c r="AG18" s="135">
        <f>K18</f>
        <v/>
      </c>
      <c r="AH18" s="135">
        <f>AG18</f>
        <v/>
      </c>
      <c r="AI18" s="135">
        <f>AH18</f>
        <v/>
      </c>
      <c r="AJ18" s="135">
        <f>AI18</f>
        <v/>
      </c>
      <c r="AK18" s="135">
        <f>AI18</f>
        <v/>
      </c>
    </row>
    <row r="19" ht="16.5" customHeight="1" s="142">
      <c r="A19" s="52" t="n">
        <v>10017</v>
      </c>
      <c r="B19" s="27" t="inlineStr">
        <is>
          <t>永恆聖鏡</t>
        </is>
      </c>
      <c r="C19" s="52" t="inlineStr">
        <is>
          <t>SR</t>
        </is>
      </c>
      <c r="D19" s="52" t="inlineStr">
        <is>
          <t>weapon</t>
        </is>
      </c>
      <c r="E19" s="52" t="n"/>
      <c r="F19" s="68">
        <f>"1,1"</f>
        <v/>
      </c>
      <c r="G19" s="31" t="inlineStr">
        <is>
          <t>57,17,15,52,10</t>
        </is>
      </c>
      <c r="H19" s="52" t="n"/>
      <c r="I19" s="52" t="n">
        <v>110012</v>
      </c>
      <c r="J19" s="52">
        <f>J18+1</f>
        <v/>
      </c>
      <c r="K19" s="52">
        <f>K18+1</f>
        <v/>
      </c>
      <c r="L19" s="55" t="n">
        <v>3</v>
      </c>
      <c r="M19" s="52" t="n"/>
      <c r="N19" s="52" t="n">
        <v>615</v>
      </c>
      <c r="O19" s="47" t="n">
        <v>12</v>
      </c>
      <c r="P19" s="52" t="n">
        <v>66</v>
      </c>
      <c r="Q19" s="52" t="n">
        <v>36</v>
      </c>
      <c r="R19" s="52" t="n">
        <v>35</v>
      </c>
      <c r="S19" s="52" t="n">
        <v>83</v>
      </c>
      <c r="T19" s="52" t="n">
        <v>12</v>
      </c>
      <c r="U19" s="69" t="n"/>
      <c r="V19" s="70">
        <f>N19*0.5+O19+P19+Q19+R19+S19+T19*5</f>
        <v/>
      </c>
      <c r="W19" s="135" t="n"/>
      <c r="X19" s="135" t="n">
        <v>9117</v>
      </c>
      <c r="Y19" s="21">
        <f>IF(C19="SSR",30,IF(C19="SR",10,IF(C19="R",5)))</f>
        <v/>
      </c>
      <c r="Z19" s="135">
        <f>IF(C19="SSR",IF(P19&gt;O19,"901","900"),IF(C19="SR",IF(P19&gt;O19,"902","903" ),IF(C19="R",IF(P19&gt;O19,"904","905" ))))</f>
        <v/>
      </c>
      <c r="AA19" s="135" t="n">
        <v>900</v>
      </c>
      <c r="AB19" s="135">
        <f>J19</f>
        <v/>
      </c>
      <c r="AC19" s="135">
        <f>AB19</f>
        <v/>
      </c>
      <c r="AD19" s="135">
        <f>AC19</f>
        <v/>
      </c>
      <c r="AE19" s="135">
        <f>AD19</f>
        <v/>
      </c>
      <c r="AF19" s="135">
        <f>AD19</f>
        <v/>
      </c>
      <c r="AG19" s="135">
        <f>K19</f>
        <v/>
      </c>
      <c r="AH19" s="135">
        <f>AG19</f>
        <v/>
      </c>
      <c r="AI19" s="135">
        <f>AH19</f>
        <v/>
      </c>
      <c r="AJ19" s="135">
        <f>AI19</f>
        <v/>
      </c>
      <c r="AK19" s="135">
        <f>AI19</f>
        <v/>
      </c>
    </row>
    <row r="20" ht="16.5" customHeight="1" s="142">
      <c r="A20" s="52" t="n">
        <v>10018</v>
      </c>
      <c r="B20" s="27" t="inlineStr">
        <is>
          <t>熔岩之鼎</t>
        </is>
      </c>
      <c r="C20" s="52" t="inlineStr">
        <is>
          <t>SR</t>
        </is>
      </c>
      <c r="D20" s="52" t="inlineStr">
        <is>
          <t>weapon</t>
        </is>
      </c>
      <c r="E20" s="52" t="n"/>
      <c r="F20" s="68">
        <f>"1,1"</f>
        <v/>
      </c>
      <c r="G20" s="31" t="inlineStr">
        <is>
          <t>57,17,13,18,53</t>
        </is>
      </c>
      <c r="H20" s="52" t="n"/>
      <c r="I20" s="52" t="n">
        <v>110012</v>
      </c>
      <c r="J20" s="52">
        <f>J19+1</f>
        <v/>
      </c>
      <c r="K20" s="52">
        <f>K19+1</f>
        <v/>
      </c>
      <c r="L20" s="55" t="n">
        <v>2</v>
      </c>
      <c r="M20" s="52" t="n"/>
      <c r="N20" s="52" t="n">
        <v>530</v>
      </c>
      <c r="O20" s="52" t="n">
        <v>15</v>
      </c>
      <c r="P20" s="52" t="n">
        <v>57</v>
      </c>
      <c r="Q20" s="52" t="n">
        <v>32</v>
      </c>
      <c r="R20" s="52" t="n">
        <v>42</v>
      </c>
      <c r="S20" s="52" t="n">
        <v>174</v>
      </c>
      <c r="T20" s="52" t="n">
        <v>8</v>
      </c>
      <c r="U20" s="69" t="n"/>
      <c r="V20" s="70">
        <f>N20*0.5+O20+P20+Q20+R20+S20+T20*5</f>
        <v/>
      </c>
      <c r="W20" s="135" t="n"/>
      <c r="X20" s="135" t="n">
        <v>9118</v>
      </c>
      <c r="Y20" s="21">
        <f>IF(C20="SSR",30,IF(C20="SR",10,IF(C20="R",5)))</f>
        <v/>
      </c>
      <c r="Z20" s="135">
        <f>IF(C20="SSR",IF(P20&gt;O20,"901","900"),IF(C20="SR",IF(P20&gt;O20,"902","903" ),IF(C20="R",IF(P20&gt;O20,"904","905" ))))</f>
        <v/>
      </c>
      <c r="AA20" s="135" t="n">
        <v>900</v>
      </c>
      <c r="AB20" s="135">
        <f>J20</f>
        <v/>
      </c>
      <c r="AC20" s="135">
        <f>AB20</f>
        <v/>
      </c>
      <c r="AD20" s="135">
        <f>AC20</f>
        <v/>
      </c>
      <c r="AE20" s="135">
        <f>AD20</f>
        <v/>
      </c>
      <c r="AF20" s="135">
        <f>AD20</f>
        <v/>
      </c>
      <c r="AG20" s="135">
        <f>K20</f>
        <v/>
      </c>
      <c r="AH20" s="135">
        <f>AG20</f>
        <v/>
      </c>
      <c r="AI20" s="135">
        <f>AH20</f>
        <v/>
      </c>
      <c r="AJ20" s="135">
        <f>AI20</f>
        <v/>
      </c>
      <c r="AK20" s="135">
        <f>AI20</f>
        <v/>
      </c>
    </row>
    <row r="21" ht="16.5" customHeight="1" s="142">
      <c r="A21" s="52" t="n">
        <v>10019</v>
      </c>
      <c r="B21" s="27" t="inlineStr">
        <is>
          <t>布里歐納克</t>
        </is>
      </c>
      <c r="C21" s="52" t="inlineStr">
        <is>
          <t>SR</t>
        </is>
      </c>
      <c r="D21" s="52" t="inlineStr">
        <is>
          <t>weapon</t>
        </is>
      </c>
      <c r="E21" s="52" t="n"/>
      <c r="F21" s="68">
        <f>"1,1"</f>
        <v/>
      </c>
      <c r="G21" s="31" t="inlineStr">
        <is>
          <t>57,17,13,6,6</t>
        </is>
      </c>
      <c r="H21" s="52" t="n"/>
      <c r="I21" s="52" t="n">
        <v>110011</v>
      </c>
      <c r="J21" s="52">
        <f>J20+1</f>
        <v/>
      </c>
      <c r="K21" s="52">
        <f>K20+1</f>
        <v/>
      </c>
      <c r="L21" s="55" t="n">
        <v>1</v>
      </c>
      <c r="M21" s="52" t="n"/>
      <c r="N21" s="52" t="n">
        <v>565</v>
      </c>
      <c r="O21" s="52" t="n">
        <v>18</v>
      </c>
      <c r="P21" s="52" t="n">
        <v>61</v>
      </c>
      <c r="Q21" s="52" t="n">
        <v>32</v>
      </c>
      <c r="R21" s="52" t="n">
        <v>42</v>
      </c>
      <c r="S21" s="52" t="n">
        <v>161</v>
      </c>
      <c r="T21" s="52" t="n">
        <v>9</v>
      </c>
      <c r="U21" s="69" t="n"/>
      <c r="V21" s="70">
        <f>N21*0.5+O21+P21+Q21+R21+S21+T21*5</f>
        <v/>
      </c>
      <c r="W21" s="135" t="n"/>
      <c r="X21" s="135" t="n">
        <v>9119</v>
      </c>
      <c r="Y21" s="21">
        <f>IF(C21="SSR",30,IF(C21="SR",10,IF(C21="R",5)))</f>
        <v/>
      </c>
      <c r="Z21" s="135">
        <f>IF(C21="SSR",IF(P21&gt;O21,"901","900"),IF(C21="SR",IF(P21&gt;O21,"902","903" ),IF(C21="R",IF(P21&gt;O21,"904","905" ))))</f>
        <v/>
      </c>
      <c r="AA21" s="135" t="n">
        <v>900</v>
      </c>
      <c r="AB21" s="135">
        <f>J21</f>
        <v/>
      </c>
      <c r="AC21" s="135">
        <f>AB21</f>
        <v/>
      </c>
      <c r="AD21" s="135">
        <f>AC21</f>
        <v/>
      </c>
      <c r="AE21" s="135">
        <f>AD21</f>
        <v/>
      </c>
      <c r="AF21" s="135">
        <f>AD21</f>
        <v/>
      </c>
      <c r="AG21" s="135">
        <f>K21</f>
        <v/>
      </c>
      <c r="AH21" s="135">
        <f>AG21</f>
        <v/>
      </c>
      <c r="AI21" s="135">
        <f>AH21</f>
        <v/>
      </c>
      <c r="AJ21" s="135">
        <f>AI21</f>
        <v/>
      </c>
      <c r="AK21" s="135">
        <f>AI21</f>
        <v/>
      </c>
    </row>
    <row r="22" ht="16.5" customHeight="1" s="142">
      <c r="A22" s="52" t="n">
        <v>10020</v>
      </c>
      <c r="B22" s="27" t="inlineStr">
        <is>
          <t>美杜莎之盾</t>
        </is>
      </c>
      <c r="C22" s="52" t="inlineStr">
        <is>
          <t>SR</t>
        </is>
      </c>
      <c r="D22" s="52" t="inlineStr">
        <is>
          <t>weapon</t>
        </is>
      </c>
      <c r="E22" s="52" t="n"/>
      <c r="F22" s="68">
        <f>"1,1"</f>
        <v/>
      </c>
      <c r="G22" s="31" t="inlineStr">
        <is>
          <t>59,17,15,20,9</t>
        </is>
      </c>
      <c r="H22" s="52" t="n"/>
      <c r="I22" s="52" t="n">
        <v>110011</v>
      </c>
      <c r="J22" s="52">
        <f>J21+1</f>
        <v/>
      </c>
      <c r="K22" s="52">
        <f>K21+1</f>
        <v/>
      </c>
      <c r="L22" s="55" t="n">
        <v>3</v>
      </c>
      <c r="M22" s="52" t="n"/>
      <c r="N22" s="52" t="n">
        <v>730</v>
      </c>
      <c r="O22" s="52" t="n">
        <v>16</v>
      </c>
      <c r="P22" s="52" t="n">
        <v>49</v>
      </c>
      <c r="Q22" s="52" t="n">
        <v>53</v>
      </c>
      <c r="R22" s="52" t="n">
        <v>57</v>
      </c>
      <c r="S22" s="52" t="n">
        <v>153</v>
      </c>
      <c r="T22" s="52" t="n">
        <v>9</v>
      </c>
      <c r="U22" s="69" t="n"/>
      <c r="V22" s="70">
        <f>N22*0.5+O22+P22+Q22+R22+S22+T22*5</f>
        <v/>
      </c>
      <c r="W22" s="135" t="n"/>
      <c r="X22" s="135" t="n">
        <v>9120</v>
      </c>
      <c r="Y22" s="21">
        <f>IF(C22="SSR",30,IF(C22="SR",10,IF(C22="R",5)))</f>
        <v/>
      </c>
      <c r="Z22" s="135">
        <f>IF(C22="SSR",IF(P22&gt;O22,"901","900"),IF(C22="SR",IF(P22&gt;O22,"902","903" ),IF(C22="R",IF(P22&gt;O22,"904","905" ))))</f>
        <v/>
      </c>
      <c r="AA22" s="135" t="n">
        <v>900</v>
      </c>
      <c r="AB22" s="135">
        <f>J22</f>
        <v/>
      </c>
      <c r="AC22" s="135">
        <f>AB22</f>
        <v/>
      </c>
      <c r="AD22" s="135">
        <f>AC22</f>
        <v/>
      </c>
      <c r="AE22" s="135">
        <f>AD22</f>
        <v/>
      </c>
      <c r="AF22" s="135">
        <f>AD22</f>
        <v/>
      </c>
      <c r="AG22" s="135">
        <f>K22</f>
        <v/>
      </c>
      <c r="AH22" s="135">
        <f>AG22</f>
        <v/>
      </c>
      <c r="AI22" s="135">
        <f>AH22</f>
        <v/>
      </c>
      <c r="AJ22" s="135">
        <f>AI22</f>
        <v/>
      </c>
      <c r="AK22" s="135">
        <f>AI22</f>
        <v/>
      </c>
    </row>
    <row r="23" ht="16.5" customHeight="1" s="142">
      <c r="A23" s="52" t="n">
        <v>10021</v>
      </c>
      <c r="B23" s="27" t="inlineStr">
        <is>
          <t>赫格尼之劍</t>
        </is>
      </c>
      <c r="C23" s="52" t="inlineStr">
        <is>
          <t>SR</t>
        </is>
      </c>
      <c r="D23" s="52" t="inlineStr">
        <is>
          <t>weapon</t>
        </is>
      </c>
      <c r="E23" s="52" t="n"/>
      <c r="F23" s="68">
        <f>"1,1"</f>
        <v/>
      </c>
      <c r="G23" s="31" t="inlineStr">
        <is>
          <t>58,16,13,51,4</t>
        </is>
      </c>
      <c r="H23" s="52" t="n"/>
      <c r="I23" s="52" t="n">
        <v>110002</v>
      </c>
      <c r="J23" s="52">
        <f>J22+1</f>
        <v/>
      </c>
      <c r="K23" s="52">
        <f>K22+1</f>
        <v/>
      </c>
      <c r="L23" s="55" t="n">
        <v>1</v>
      </c>
      <c r="M23" s="52" t="n"/>
      <c r="N23" s="52" t="n">
        <v>590</v>
      </c>
      <c r="O23" s="52" t="n">
        <v>57</v>
      </c>
      <c r="P23" s="52" t="n">
        <v>12</v>
      </c>
      <c r="Q23" s="52" t="n">
        <v>42</v>
      </c>
      <c r="R23" s="52" t="n">
        <v>27</v>
      </c>
      <c r="S23" s="52" t="n">
        <v>87</v>
      </c>
      <c r="T23" s="52" t="n">
        <v>10</v>
      </c>
      <c r="U23" s="69" t="n"/>
      <c r="V23" s="70">
        <f>N23*0.5+O23+P23+Q23+R23+S23+T23*5</f>
        <v/>
      </c>
      <c r="W23" s="135" t="n"/>
      <c r="X23" s="135" t="n">
        <v>9121</v>
      </c>
      <c r="Y23" s="21">
        <f>IF(C23="SSR",30,IF(C23="SR",10,IF(C23="R",5)))</f>
        <v/>
      </c>
      <c r="Z23" s="135">
        <f>IF(C23="SSR",IF(P23&gt;O23,"901","900"),IF(C23="SR",IF(P23&gt;O23,"902","903" ),IF(C23="R",IF(P23&gt;O23,"904","905" ))))</f>
        <v/>
      </c>
      <c r="AA23" s="135" t="n">
        <v>900</v>
      </c>
      <c r="AB23" s="135">
        <f>J23</f>
        <v/>
      </c>
      <c r="AC23" s="135">
        <f>AB23</f>
        <v/>
      </c>
      <c r="AD23" s="135">
        <f>AC23</f>
        <v/>
      </c>
      <c r="AE23" s="135">
        <f>AD23</f>
        <v/>
      </c>
      <c r="AF23" s="135">
        <f>AD23</f>
        <v/>
      </c>
      <c r="AG23" s="135">
        <f>K23</f>
        <v/>
      </c>
      <c r="AH23" s="135">
        <f>AG23</f>
        <v/>
      </c>
      <c r="AI23" s="135">
        <f>AH23</f>
        <v/>
      </c>
      <c r="AJ23" s="135">
        <f>AI23</f>
        <v/>
      </c>
      <c r="AK23" s="135">
        <f>AI23</f>
        <v/>
      </c>
    </row>
    <row r="24" ht="16.5" customHeight="1" s="142">
      <c r="A24" s="52" t="n">
        <v>10022</v>
      </c>
      <c r="B24" s="27" t="inlineStr">
        <is>
          <t>堅鐵長矛</t>
        </is>
      </c>
      <c r="C24" s="52" t="inlineStr">
        <is>
          <t>R</t>
        </is>
      </c>
      <c r="D24" s="52" t="inlineStr">
        <is>
          <t>weapon</t>
        </is>
      </c>
      <c r="E24" s="52" t="n"/>
      <c r="F24" s="68">
        <f>"1,1"</f>
        <v/>
      </c>
      <c r="G24" s="31" t="inlineStr">
        <is>
          <t>16,13,4</t>
        </is>
      </c>
      <c r="H24" s="52" t="n"/>
      <c r="I24" s="52" t="n">
        <v>110001</v>
      </c>
      <c r="J24" s="52">
        <f>J23+1</f>
        <v/>
      </c>
      <c r="K24" s="52">
        <f>K23+1</f>
        <v/>
      </c>
      <c r="L24" s="55" t="n">
        <v>2</v>
      </c>
      <c r="M24" s="52" t="n"/>
      <c r="N24" s="52" t="n">
        <v>500</v>
      </c>
      <c r="O24" s="52" t="n">
        <v>48</v>
      </c>
      <c r="P24" s="52" t="n">
        <v>10</v>
      </c>
      <c r="Q24" s="52" t="n">
        <v>36</v>
      </c>
      <c r="R24" s="52" t="n">
        <v>23</v>
      </c>
      <c r="S24" s="52" t="n">
        <v>48</v>
      </c>
      <c r="T24" s="52" t="n">
        <v>8</v>
      </c>
      <c r="U24" s="69" t="n"/>
      <c r="V24" s="70">
        <f>N24*0.5+O24+P24+Q24+R24+S24+T24*5</f>
        <v/>
      </c>
      <c r="W24" s="135" t="n"/>
      <c r="X24" s="135" t="n">
        <v>9122</v>
      </c>
      <c r="Y24" s="21">
        <f>IF(C24="SSR",30,IF(C24="SR",10,IF(C24="R",5)))</f>
        <v/>
      </c>
      <c r="Z24" s="135">
        <f>IF(C24="SSR",IF(P24&gt;O24,"901","900"),IF(C24="SR",IF(P24&gt;O24,"902","903" ),IF(C24="R",IF(P24&gt;O24,"904","905" ))))</f>
        <v/>
      </c>
      <c r="AA24" s="135" t="n">
        <v>900</v>
      </c>
      <c r="AB24" s="135">
        <f>J24</f>
        <v/>
      </c>
      <c r="AC24" s="135">
        <f>AB24</f>
        <v/>
      </c>
      <c r="AD24" s="135">
        <f>AC24</f>
        <v/>
      </c>
      <c r="AE24" s="135">
        <f>AD24</f>
        <v/>
      </c>
      <c r="AF24" s="135">
        <f>AD24</f>
        <v/>
      </c>
      <c r="AG24" s="135">
        <f>K24</f>
        <v/>
      </c>
      <c r="AH24" s="135">
        <f>AG24</f>
        <v/>
      </c>
      <c r="AI24" s="135">
        <f>AH24</f>
        <v/>
      </c>
      <c r="AJ24" s="135">
        <f>AI24</f>
        <v/>
      </c>
      <c r="AK24" s="135">
        <f>AI24</f>
        <v/>
      </c>
    </row>
    <row r="25" ht="16.5" customHeight="1" s="142">
      <c r="A25" s="52" t="n">
        <v>10023</v>
      </c>
      <c r="B25" s="27" t="inlineStr">
        <is>
          <t>尖刺短刀</t>
        </is>
      </c>
      <c r="C25" s="52" t="inlineStr">
        <is>
          <t>R</t>
        </is>
      </c>
      <c r="D25" s="52" t="inlineStr">
        <is>
          <t>weapon</t>
        </is>
      </c>
      <c r="E25" s="52" t="n"/>
      <c r="F25" s="68">
        <f>"1,1"</f>
        <v/>
      </c>
      <c r="G25" s="31" t="inlineStr">
        <is>
          <t>16,13,2</t>
        </is>
      </c>
      <c r="H25" s="52" t="n"/>
      <c r="I25" s="52" t="n">
        <v>110002</v>
      </c>
      <c r="J25" s="52">
        <f>J24+1</f>
        <v/>
      </c>
      <c r="K25" s="52">
        <f>K24+1</f>
        <v/>
      </c>
      <c r="L25" s="55" t="n">
        <v>1</v>
      </c>
      <c r="M25" s="52" t="n"/>
      <c r="N25" s="52" t="n">
        <v>480</v>
      </c>
      <c r="O25" s="52" t="n">
        <v>51</v>
      </c>
      <c r="P25" s="52" t="n">
        <v>12</v>
      </c>
      <c r="Q25" s="52" t="n">
        <v>33</v>
      </c>
      <c r="R25" s="52" t="n">
        <v>27</v>
      </c>
      <c r="S25" s="52" t="n">
        <v>54</v>
      </c>
      <c r="T25" s="52" t="n">
        <v>9</v>
      </c>
      <c r="U25" s="69" t="n"/>
      <c r="V25" s="70">
        <f>N25*0.5+O25+P25+Q25+R25+S25+T25*5</f>
        <v/>
      </c>
      <c r="W25" s="135" t="n"/>
      <c r="X25" s="135" t="n">
        <v>9123</v>
      </c>
      <c r="Y25" s="21">
        <f>IF(C25="SSR",30,IF(C25="SR",10,IF(C25="R",5)))</f>
        <v/>
      </c>
      <c r="Z25" s="135">
        <f>IF(C25="SSR",IF(P25&gt;O25,"901","900"),IF(C25="SR",IF(P25&gt;O25,"902","903" ),IF(C25="R",IF(P25&gt;O25,"904","905" ))))</f>
        <v/>
      </c>
      <c r="AA25" s="135" t="n">
        <v>900</v>
      </c>
      <c r="AB25" s="135">
        <f>J25</f>
        <v/>
      </c>
      <c r="AC25" s="135">
        <f>AB25</f>
        <v/>
      </c>
      <c r="AD25" s="135">
        <f>AC25</f>
        <v/>
      </c>
      <c r="AE25" s="135">
        <f>AD25</f>
        <v/>
      </c>
      <c r="AF25" s="135">
        <f>AD25</f>
        <v/>
      </c>
      <c r="AG25" s="135">
        <f>K25</f>
        <v/>
      </c>
      <c r="AH25" s="135">
        <f>AG25</f>
        <v/>
      </c>
      <c r="AI25" s="135">
        <f>AH25</f>
        <v/>
      </c>
      <c r="AJ25" s="135">
        <f>AI25</f>
        <v/>
      </c>
      <c r="AK25" s="135">
        <f>AI25</f>
        <v/>
      </c>
    </row>
    <row r="26" ht="16.5" customHeight="1" s="142">
      <c r="A26" s="52" t="n">
        <v>10024</v>
      </c>
      <c r="B26" s="27" t="inlineStr">
        <is>
          <t>學徒法杖</t>
        </is>
      </c>
      <c r="C26" s="52" t="inlineStr">
        <is>
          <t>R</t>
        </is>
      </c>
      <c r="D26" s="52" t="inlineStr">
        <is>
          <t>weapon</t>
        </is>
      </c>
      <c r="E26" s="52" t="n"/>
      <c r="F26" s="68">
        <f>"1,1"</f>
        <v/>
      </c>
      <c r="G26" s="31" t="inlineStr">
        <is>
          <t>61,17,6</t>
        </is>
      </c>
      <c r="H26" s="52" t="n"/>
      <c r="I26" s="52" t="n">
        <v>110011</v>
      </c>
      <c r="J26" s="52">
        <f>J25+1</f>
        <v/>
      </c>
      <c r="K26" s="52">
        <f>K25+1</f>
        <v/>
      </c>
      <c r="L26" s="55" t="n">
        <v>3</v>
      </c>
      <c r="M26" s="52" t="n"/>
      <c r="N26" s="52" t="n">
        <v>460</v>
      </c>
      <c r="O26" s="52" t="n">
        <v>15</v>
      </c>
      <c r="P26" s="52" t="n">
        <v>55</v>
      </c>
      <c r="Q26" s="52" t="n">
        <v>19</v>
      </c>
      <c r="R26" s="52" t="n">
        <v>37</v>
      </c>
      <c r="S26" s="52" t="n">
        <v>110</v>
      </c>
      <c r="T26" s="52" t="n">
        <v>7</v>
      </c>
      <c r="U26" s="69" t="n"/>
      <c r="V26" s="70">
        <f>N26*0.5+O26+P26+Q26+R26+S26+T26*5</f>
        <v/>
      </c>
      <c r="W26" s="135" t="n"/>
      <c r="X26" s="135" t="n">
        <v>9124</v>
      </c>
      <c r="Y26" s="21">
        <f>IF(C26="SSR",30,IF(C26="SR",10,IF(C26="R",5)))</f>
        <v/>
      </c>
      <c r="Z26" s="135">
        <f>IF(C26="SSR",IF(P26&gt;O26,"901","900"),IF(C26="SR",IF(P26&gt;O26,"902","903" ),IF(C26="R",IF(P26&gt;O26,"904","905" ))))</f>
        <v/>
      </c>
      <c r="AA26" s="135" t="n">
        <v>900</v>
      </c>
      <c r="AB26" s="135">
        <f>J26</f>
        <v/>
      </c>
      <c r="AC26" s="135">
        <f>AB26</f>
        <v/>
      </c>
      <c r="AD26" s="135">
        <f>AC26</f>
        <v/>
      </c>
      <c r="AE26" s="135">
        <f>AD26</f>
        <v/>
      </c>
      <c r="AF26" s="135">
        <f>AD26</f>
        <v/>
      </c>
      <c r="AG26" s="135">
        <f>K26</f>
        <v/>
      </c>
      <c r="AH26" s="135">
        <f>AG26</f>
        <v/>
      </c>
      <c r="AI26" s="135">
        <f>AH26</f>
        <v/>
      </c>
      <c r="AJ26" s="135">
        <f>AI26</f>
        <v/>
      </c>
      <c r="AK26" s="135">
        <f>AI26</f>
        <v/>
      </c>
    </row>
    <row r="27" ht="16.5" customHeight="1" s="142">
      <c r="A27" s="52" t="n">
        <v>10025</v>
      </c>
      <c r="B27" s="27" t="inlineStr">
        <is>
          <t>枯木魔杖</t>
        </is>
      </c>
      <c r="C27" s="52" t="inlineStr">
        <is>
          <t>R</t>
        </is>
      </c>
      <c r="D27" s="52" t="inlineStr">
        <is>
          <t>weapon</t>
        </is>
      </c>
      <c r="E27" s="52" t="n"/>
      <c r="F27" s="68">
        <f>"1,1"</f>
        <v/>
      </c>
      <c r="G27" s="31" t="inlineStr">
        <is>
          <t>58,17,20,14,53</t>
        </is>
      </c>
      <c r="H27" s="52" t="n"/>
      <c r="I27" s="52" t="n">
        <v>110011</v>
      </c>
      <c r="J27" s="52">
        <f>J26+1</f>
        <v/>
      </c>
      <c r="K27" s="52">
        <f>K26+1</f>
        <v/>
      </c>
      <c r="L27" s="55" t="n">
        <v>2</v>
      </c>
      <c r="M27" s="52" t="n"/>
      <c r="N27" s="52" t="n">
        <v>475</v>
      </c>
      <c r="O27" s="52" t="n">
        <v>15</v>
      </c>
      <c r="P27" s="52" t="n">
        <v>49</v>
      </c>
      <c r="Q27" s="52" t="n">
        <v>28</v>
      </c>
      <c r="R27" s="52" t="n">
        <v>39</v>
      </c>
      <c r="S27" s="52" t="n">
        <v>87</v>
      </c>
      <c r="T27" s="52" t="n">
        <v>7</v>
      </c>
      <c r="U27" s="69" t="n"/>
      <c r="V27" s="70">
        <f>N27*0.5+O27+P27+Q27+R27+S27+T27*5</f>
        <v/>
      </c>
      <c r="W27" s="135" t="n"/>
      <c r="X27" s="135" t="n">
        <v>9125</v>
      </c>
      <c r="Y27" s="21">
        <f>IF(C27="SSR",30,IF(C27="SR",10,IF(C27="R",5)))</f>
        <v/>
      </c>
      <c r="Z27" s="135">
        <f>IF(C27="SSR",IF(P27&gt;O27,"901","900"),IF(C27="SR",IF(P27&gt;O27,"902","903" ),IF(C27="R",IF(P27&gt;O27,"904","905" ))))</f>
        <v/>
      </c>
      <c r="AA27" s="135" t="n">
        <v>900</v>
      </c>
      <c r="AB27" s="135">
        <f>J27</f>
        <v/>
      </c>
      <c r="AC27" s="135">
        <f>AB27</f>
        <v/>
      </c>
      <c r="AD27" s="135">
        <f>AC27</f>
        <v/>
      </c>
      <c r="AE27" s="135">
        <f>AD27</f>
        <v/>
      </c>
      <c r="AF27" s="135">
        <f>AD27</f>
        <v/>
      </c>
      <c r="AG27" s="135">
        <f>K27</f>
        <v/>
      </c>
      <c r="AH27" s="135">
        <f>AG27</f>
        <v/>
      </c>
      <c r="AI27" s="135">
        <f>AH27</f>
        <v/>
      </c>
      <c r="AJ27" s="135">
        <f>AI27</f>
        <v/>
      </c>
      <c r="AK27" s="135">
        <f>AI27</f>
        <v/>
      </c>
    </row>
    <row r="28" ht="16.5" customHeight="1" s="142">
      <c r="A28" s="52" t="n">
        <v>10026</v>
      </c>
      <c r="B28" s="27" t="inlineStr">
        <is>
          <t>十字堅盾</t>
        </is>
      </c>
      <c r="C28" s="52" t="inlineStr">
        <is>
          <t>R</t>
        </is>
      </c>
      <c r="D28" s="52" t="inlineStr">
        <is>
          <t>weapon</t>
        </is>
      </c>
      <c r="E28" s="52" t="n"/>
      <c r="F28" s="68">
        <f>"1,1"</f>
        <v/>
      </c>
      <c r="G28" s="31" t="inlineStr">
        <is>
          <t>59,16,15,9,11</t>
        </is>
      </c>
      <c r="H28" s="52" t="n"/>
      <c r="I28" s="52" t="n">
        <v>110002</v>
      </c>
      <c r="J28" s="52">
        <f>J27+1</f>
        <v/>
      </c>
      <c r="K28" s="52">
        <f>K27+1</f>
        <v/>
      </c>
      <c r="L28" s="55" t="n">
        <v>1</v>
      </c>
      <c r="M28" s="52" t="n"/>
      <c r="N28" s="52" t="n">
        <v>680</v>
      </c>
      <c r="O28" s="52" t="n">
        <v>44</v>
      </c>
      <c r="P28" s="47" t="n">
        <v>11</v>
      </c>
      <c r="Q28" s="52" t="n">
        <v>55</v>
      </c>
      <c r="R28" s="52" t="n">
        <v>43</v>
      </c>
      <c r="S28" s="52" t="n">
        <v>56</v>
      </c>
      <c r="T28" s="52" t="n">
        <v>6</v>
      </c>
      <c r="U28" s="69" t="n"/>
      <c r="V28" s="70">
        <f>N28*0.5+O28+P28+Q28+R28+S28+T28*5</f>
        <v/>
      </c>
      <c r="W28" s="135" t="n"/>
      <c r="X28" s="135" t="n">
        <v>9126</v>
      </c>
      <c r="Y28" s="21">
        <f>IF(C28="SSR",30,IF(C28="SR",10,IF(C28="R",5)))</f>
        <v/>
      </c>
      <c r="Z28" s="135">
        <f>IF(C28="SSR",IF(P28&gt;O28,"901","900"),IF(C28="SR",IF(P28&gt;O28,"902","903" ),IF(C28="R",IF(P28&gt;O28,"904","905" ))))</f>
        <v/>
      </c>
      <c r="AA28" s="135" t="n">
        <v>900</v>
      </c>
      <c r="AB28" s="135">
        <f>J28</f>
        <v/>
      </c>
      <c r="AC28" s="135">
        <f>AB28</f>
        <v/>
      </c>
      <c r="AD28" s="135">
        <f>AC28</f>
        <v/>
      </c>
      <c r="AE28" s="135">
        <f>AD28</f>
        <v/>
      </c>
      <c r="AF28" s="135">
        <f>AD28</f>
        <v/>
      </c>
      <c r="AG28" s="135">
        <f>K28</f>
        <v/>
      </c>
      <c r="AH28" s="135">
        <f>AG28</f>
        <v/>
      </c>
      <c r="AI28" s="135">
        <f>AH28</f>
        <v/>
      </c>
      <c r="AJ28" s="135">
        <f>AI28</f>
        <v/>
      </c>
      <c r="AK28" s="135">
        <f>AI28</f>
        <v/>
      </c>
    </row>
    <row r="29" ht="16.5" customHeight="1" s="142">
      <c r="A29" s="52" t="n">
        <v>10027</v>
      </c>
      <c r="B29" s="27" t="inlineStr">
        <is>
          <t>獵人之弓</t>
        </is>
      </c>
      <c r="C29" s="52" t="inlineStr">
        <is>
          <t>R</t>
        </is>
      </c>
      <c r="D29" s="52" t="inlineStr">
        <is>
          <t>weapon</t>
        </is>
      </c>
      <c r="E29" s="52" t="n"/>
      <c r="F29" s="68">
        <f>"1,1"</f>
        <v/>
      </c>
      <c r="G29" s="31" t="inlineStr">
        <is>
          <t>16,13,1</t>
        </is>
      </c>
      <c r="H29" s="52" t="n"/>
      <c r="I29" s="52" t="n">
        <v>110001</v>
      </c>
      <c r="J29" s="52">
        <f>J28+1</f>
        <v/>
      </c>
      <c r="K29" s="52">
        <f>K28+1</f>
        <v/>
      </c>
      <c r="L29" s="55" t="n">
        <v>2</v>
      </c>
      <c r="M29" s="52" t="n"/>
      <c r="N29" s="52" t="n">
        <v>490</v>
      </c>
      <c r="O29" s="52" t="n">
        <v>51</v>
      </c>
      <c r="P29" s="52" t="n">
        <v>9</v>
      </c>
      <c r="Q29" s="52" t="n">
        <v>33</v>
      </c>
      <c r="R29" s="52" t="n">
        <v>29</v>
      </c>
      <c r="S29" s="52" t="n">
        <v>51</v>
      </c>
      <c r="T29" s="52" t="n">
        <v>10</v>
      </c>
      <c r="U29" s="69" t="n"/>
      <c r="V29" s="70">
        <f>N29*0.5+O29+P29+Q29+R29+S29+T29*5</f>
        <v/>
      </c>
      <c r="W29" s="135" t="n"/>
      <c r="X29" s="135" t="n">
        <v>9127</v>
      </c>
      <c r="Y29" s="21">
        <f>IF(C29="SSR",30,IF(C29="SR",10,IF(C29="R",5)))</f>
        <v/>
      </c>
      <c r="Z29" s="135">
        <f>IF(C29="SSR",IF(P29&gt;O29,"901","900"),IF(C29="SR",IF(P29&gt;O29,"902","903" ),IF(C29="R",IF(P29&gt;O29,"904","905" ))))</f>
        <v/>
      </c>
      <c r="AA29" s="135" t="n">
        <v>900</v>
      </c>
      <c r="AB29" s="135">
        <f>J29</f>
        <v/>
      </c>
      <c r="AC29" s="135">
        <f>AB29</f>
        <v/>
      </c>
      <c r="AD29" s="135">
        <f>AC29</f>
        <v/>
      </c>
      <c r="AE29" s="135">
        <f>AD29</f>
        <v/>
      </c>
      <c r="AF29" s="135">
        <f>AD29</f>
        <v/>
      </c>
      <c r="AG29" s="135">
        <f>K29</f>
        <v/>
      </c>
      <c r="AH29" s="135">
        <f>AG29</f>
        <v/>
      </c>
      <c r="AI29" s="135">
        <f>AH29</f>
        <v/>
      </c>
      <c r="AJ29" s="135">
        <f>AI29</f>
        <v/>
      </c>
      <c r="AK29" s="135">
        <f>AI29</f>
        <v/>
      </c>
    </row>
    <row r="30" ht="16.5" customHeight="1" s="142">
      <c r="A30" s="52" t="n">
        <v>10028</v>
      </c>
      <c r="B30" s="27" t="inlineStr">
        <is>
          <t>修行者法球</t>
        </is>
      </c>
      <c r="C30" s="52" t="inlineStr">
        <is>
          <t>R</t>
        </is>
      </c>
      <c r="D30" s="52" t="inlineStr">
        <is>
          <t>weapon</t>
        </is>
      </c>
      <c r="E30" s="52" t="n"/>
      <c r="F30" s="68">
        <f>"1,1"</f>
        <v/>
      </c>
      <c r="G30" s="31" t="inlineStr">
        <is>
          <t>60,17,14,8</t>
        </is>
      </c>
      <c r="H30" s="52" t="n"/>
      <c r="I30" s="52" t="n">
        <v>110011</v>
      </c>
      <c r="J30" s="52">
        <f>J29+1</f>
        <v/>
      </c>
      <c r="K30" s="52">
        <f>K29+1</f>
        <v/>
      </c>
      <c r="L30" s="55" t="n">
        <v>1</v>
      </c>
      <c r="M30" s="52" t="n"/>
      <c r="N30" s="52" t="n">
        <v>475</v>
      </c>
      <c r="O30" s="52" t="n">
        <v>9</v>
      </c>
      <c r="P30" s="52" t="n">
        <v>52</v>
      </c>
      <c r="Q30" s="52" t="n">
        <v>29</v>
      </c>
      <c r="R30" s="52" t="n">
        <v>33</v>
      </c>
      <c r="S30" s="52" t="n">
        <v>94</v>
      </c>
      <c r="T30" s="52" t="n">
        <v>9</v>
      </c>
      <c r="U30" s="69" t="n"/>
      <c r="V30" s="70">
        <f>N30*0.5+O30+P30+Q30+R30+S30+T30*5</f>
        <v/>
      </c>
      <c r="W30" s="135" t="n"/>
      <c r="X30" s="135" t="n">
        <v>9128</v>
      </c>
      <c r="Y30" s="21">
        <f>IF(C30="SSR",30,IF(C30="SR",10,IF(C30="R",5)))</f>
        <v/>
      </c>
      <c r="Z30" s="135">
        <f>IF(C30="SSR",IF(P30&gt;O30,"901","900"),IF(C30="SR",IF(P30&gt;O30,"902","903" ),IF(C30="R",IF(P30&gt;O30,"904","905" ))))</f>
        <v/>
      </c>
      <c r="AA30" s="135" t="n">
        <v>900</v>
      </c>
      <c r="AB30" s="135">
        <f>J30</f>
        <v/>
      </c>
      <c r="AC30" s="135">
        <f>AB30</f>
        <v/>
      </c>
      <c r="AD30" s="135">
        <f>AC30</f>
        <v/>
      </c>
      <c r="AE30" s="135">
        <f>AD30</f>
        <v/>
      </c>
      <c r="AF30" s="135">
        <f>AD30</f>
        <v/>
      </c>
      <c r="AG30" s="135">
        <f>K30</f>
        <v/>
      </c>
      <c r="AH30" s="135">
        <f>AG30</f>
        <v/>
      </c>
      <c r="AI30" s="135">
        <f>AH30</f>
        <v/>
      </c>
      <c r="AJ30" s="135">
        <f>AI30</f>
        <v/>
      </c>
      <c r="AK30" s="135">
        <f>AI30</f>
        <v/>
      </c>
    </row>
    <row r="31" ht="16.5" customHeight="1" s="142">
      <c r="A31" s="52" t="n">
        <v>10029</v>
      </c>
      <c r="B31" s="27" t="inlineStr">
        <is>
          <t>迴旋鏈刃</t>
        </is>
      </c>
      <c r="C31" s="52" t="inlineStr">
        <is>
          <t>R</t>
        </is>
      </c>
      <c r="D31" s="52" t="inlineStr">
        <is>
          <t>weapon</t>
        </is>
      </c>
      <c r="E31" s="52" t="n"/>
      <c r="F31" s="68">
        <f>"1,1"</f>
        <v/>
      </c>
      <c r="G31" s="31" t="inlineStr">
        <is>
          <t>60,16,20</t>
        </is>
      </c>
      <c r="H31" s="52" t="n"/>
      <c r="I31" s="52" t="n">
        <v>110001</v>
      </c>
      <c r="J31" s="52">
        <f>J30+1</f>
        <v/>
      </c>
      <c r="K31" s="52">
        <f>K30+1</f>
        <v/>
      </c>
      <c r="L31" s="55" t="n">
        <v>2</v>
      </c>
      <c r="M31" s="52" t="n"/>
      <c r="N31" s="52" t="n">
        <v>450</v>
      </c>
      <c r="O31" s="52" t="n">
        <v>53</v>
      </c>
      <c r="P31" s="52" t="n">
        <v>9</v>
      </c>
      <c r="Q31" s="52" t="n">
        <v>33</v>
      </c>
      <c r="R31" s="52" t="n">
        <v>21</v>
      </c>
      <c r="S31" s="52" t="n">
        <v>57</v>
      </c>
      <c r="T31" s="52" t="n">
        <v>8</v>
      </c>
      <c r="U31" s="69" t="n"/>
      <c r="V31" s="70">
        <f>N31*0.5+O31+P31+Q31+R31+S31+T31*5</f>
        <v/>
      </c>
      <c r="W31" s="135" t="n"/>
      <c r="X31" s="135" t="n">
        <v>9129</v>
      </c>
      <c r="Y31" s="21">
        <f>IF(C31="SSR",30,IF(C31="SR",10,IF(C31="R",5)))</f>
        <v/>
      </c>
      <c r="Z31" s="135">
        <f>IF(C31="SSR",IF(P31&gt;O31,"901","900"),IF(C31="SR",IF(P31&gt;O31,"902","903" ),IF(C31="R",IF(P31&gt;O31,"904","905" ))))</f>
        <v/>
      </c>
      <c r="AA31" s="135" t="n">
        <v>900</v>
      </c>
      <c r="AB31" s="135">
        <f>J31</f>
        <v/>
      </c>
      <c r="AC31" s="135">
        <f>AB31</f>
        <v/>
      </c>
      <c r="AD31" s="135">
        <f>AC31</f>
        <v/>
      </c>
      <c r="AE31" s="135">
        <f>AD31</f>
        <v/>
      </c>
      <c r="AF31" s="135">
        <f>AD31</f>
        <v/>
      </c>
      <c r="AG31" s="135">
        <f>K31</f>
        <v/>
      </c>
      <c r="AH31" s="135">
        <f>AG31</f>
        <v/>
      </c>
      <c r="AI31" s="135">
        <f>AH31</f>
        <v/>
      </c>
      <c r="AJ31" s="135">
        <f>AI31</f>
        <v/>
      </c>
      <c r="AK31" s="135">
        <f>AI31</f>
        <v/>
      </c>
    </row>
    <row r="32" ht="16.5" customHeight="1" s="142">
      <c r="A32" s="52" t="n">
        <v>10030</v>
      </c>
      <c r="B32" s="27" t="inlineStr">
        <is>
          <t>晨星鎚</t>
        </is>
      </c>
      <c r="C32" s="52" t="inlineStr">
        <is>
          <t>R</t>
        </is>
      </c>
      <c r="D32" s="52" t="inlineStr">
        <is>
          <t>weapon</t>
        </is>
      </c>
      <c r="E32" s="52" t="n"/>
      <c r="F32" s="68">
        <f>"1,1"</f>
        <v/>
      </c>
      <c r="G32" s="31" t="inlineStr">
        <is>
          <t>58,17,15,10</t>
        </is>
      </c>
      <c r="H32" s="52" t="n"/>
      <c r="I32" s="52" t="n">
        <v>110012</v>
      </c>
      <c r="J32" s="52">
        <f>J31+1</f>
        <v/>
      </c>
      <c r="K32" s="52">
        <f>K31+1</f>
        <v/>
      </c>
      <c r="L32" s="55" t="n">
        <v>1</v>
      </c>
      <c r="M32" s="52" t="n"/>
      <c r="N32" s="52" t="n">
        <v>665</v>
      </c>
      <c r="O32" s="52" t="n">
        <v>10</v>
      </c>
      <c r="P32" s="47" t="n">
        <v>41</v>
      </c>
      <c r="Q32" s="52" t="n">
        <v>37</v>
      </c>
      <c r="R32" s="52" t="n">
        <v>55</v>
      </c>
      <c r="S32" s="52" t="n">
        <v>82</v>
      </c>
      <c r="T32" s="52" t="n">
        <v>7</v>
      </c>
      <c r="U32" s="69" t="n"/>
      <c r="V32" s="70">
        <f>N32*0.5+O32+P32+Q32+R32+S32+T32*5</f>
        <v/>
      </c>
      <c r="W32" s="135" t="n"/>
      <c r="X32" s="135" t="n">
        <v>9130</v>
      </c>
      <c r="Y32" s="21">
        <f>IF(C32="SSR",30,IF(C32="SR",10,IF(C32="R",5)))</f>
        <v/>
      </c>
      <c r="Z32" s="135">
        <f>IF(C32="SSR",IF(P32&gt;O32,"901","900"),IF(C32="SR",IF(P32&gt;O32,"902","903" ),IF(C32="R",IF(P32&gt;O32,"904","905" ))))</f>
        <v/>
      </c>
      <c r="AA32" s="135" t="n">
        <v>900</v>
      </c>
      <c r="AB32" s="135">
        <f>J32</f>
        <v/>
      </c>
      <c r="AC32" s="135">
        <f>AB32</f>
        <v/>
      </c>
      <c r="AD32" s="135">
        <f>AC32</f>
        <v/>
      </c>
      <c r="AE32" s="135">
        <f>AD32</f>
        <v/>
      </c>
      <c r="AF32" s="135">
        <f>AD32</f>
        <v/>
      </c>
      <c r="AG32" s="135">
        <f>K32</f>
        <v/>
      </c>
      <c r="AH32" s="135">
        <f>AG32</f>
        <v/>
      </c>
      <c r="AI32" s="135">
        <f>AH32</f>
        <v/>
      </c>
      <c r="AJ32" s="135">
        <f>AI32</f>
        <v/>
      </c>
      <c r="AK32" s="135">
        <f>AI32</f>
        <v/>
      </c>
    </row>
    <row r="33" ht="16.5" customHeight="1" s="142">
      <c r="A33" s="52" t="n">
        <v>10031</v>
      </c>
      <c r="B33" s="27" t="inlineStr">
        <is>
          <t>戰鬥者長劍</t>
        </is>
      </c>
      <c r="C33" s="52" t="inlineStr">
        <is>
          <t>R</t>
        </is>
      </c>
      <c r="D33" s="52" t="inlineStr">
        <is>
          <t>weapon</t>
        </is>
      </c>
      <c r="E33" s="52" t="n"/>
      <c r="F33" s="68">
        <f>"1,1"</f>
        <v/>
      </c>
      <c r="G33" s="31" t="inlineStr">
        <is>
          <t>16,2,1</t>
        </is>
      </c>
      <c r="H33" s="52" t="n"/>
      <c r="I33" s="52" t="n">
        <v>110001</v>
      </c>
      <c r="J33" s="52">
        <f>J32+1</f>
        <v/>
      </c>
      <c r="K33" s="52">
        <f>K32+1</f>
        <v/>
      </c>
      <c r="L33" s="55" t="n">
        <v>3</v>
      </c>
      <c r="M33" s="52" t="n"/>
      <c r="N33" s="52" t="n">
        <v>500</v>
      </c>
      <c r="O33" s="52" t="n">
        <v>49</v>
      </c>
      <c r="P33" s="52" t="n">
        <v>8</v>
      </c>
      <c r="Q33" s="52" t="n">
        <v>33</v>
      </c>
      <c r="R33" s="52" t="n">
        <v>21</v>
      </c>
      <c r="S33" s="52" t="n">
        <v>54</v>
      </c>
      <c r="T33" s="52" t="n">
        <v>9</v>
      </c>
      <c r="U33" s="69" t="n"/>
      <c r="V33" s="70">
        <f>N33*0.5+O33+P33+Q33+R33+S33+T33*5</f>
        <v/>
      </c>
      <c r="W33" s="135" t="n"/>
      <c r="X33" s="135" t="n">
        <v>9127</v>
      </c>
      <c r="Y33" s="21">
        <f>IF(C33="SSR",30,IF(C33="SR",10,IF(C33="R",5)))</f>
        <v/>
      </c>
      <c r="Z33" s="135">
        <f>IF(C33="SSR",IF(P33&gt;O33,"901","900"),IF(C33="SR",IF(P33&gt;O33,"902","903" ),IF(C33="R",IF(P33&gt;O33,"904","905" ))))</f>
        <v/>
      </c>
      <c r="AA33" s="135" t="n">
        <v>900</v>
      </c>
      <c r="AB33" s="135">
        <f>J33</f>
        <v/>
      </c>
      <c r="AC33" s="135">
        <f>AB33</f>
        <v/>
      </c>
      <c r="AD33" s="135">
        <f>AC33</f>
        <v/>
      </c>
      <c r="AE33" s="135">
        <f>AD33</f>
        <v/>
      </c>
      <c r="AF33" s="135">
        <f>AD33</f>
        <v/>
      </c>
      <c r="AG33" s="135">
        <f>K33</f>
        <v/>
      </c>
      <c r="AH33" s="135">
        <f>AG33</f>
        <v/>
      </c>
      <c r="AI33" s="135">
        <f>AH33</f>
        <v/>
      </c>
      <c r="AJ33" s="135">
        <f>AI33</f>
        <v/>
      </c>
      <c r="AK33" s="135">
        <f>AI33</f>
        <v/>
      </c>
    </row>
    <row r="34" ht="16.5" customHeight="1" s="142">
      <c r="F34" s="71" t="n"/>
      <c r="G34" s="30" t="n"/>
      <c r="U34" s="65" t="n"/>
      <c r="AB34" s="45" t="n"/>
    </row>
    <row r="35" ht="14.25" customHeight="1" s="142">
      <c r="A35" s="48" t="inlineStr">
        <is>
          <t>角色id</t>
        </is>
      </c>
      <c r="B35" s="48" t="inlineStr">
        <is>
          <t>角色名稱</t>
        </is>
      </c>
      <c r="C35" s="40" t="inlineStr">
        <is>
          <t>rare</t>
        </is>
      </c>
      <c r="D35" s="40" t="inlineStr">
        <is>
          <t>type</t>
        </is>
      </c>
      <c r="E35" s="48" t="inlineStr">
        <is>
          <t>體系</t>
        </is>
      </c>
      <c r="F35" s="50" t="inlineStr">
        <is>
          <t>equipment_type</t>
        </is>
      </c>
      <c r="G35" s="40" t="inlineStr">
        <is>
          <t>tag</t>
        </is>
      </c>
      <c r="H35" s="40" t="inlineStr">
        <is>
          <t>resist_buff</t>
        </is>
      </c>
      <c r="I35" s="40" t="inlineStr">
        <is>
          <t>skill0_id</t>
        </is>
      </c>
      <c r="J35" s="40" t="inlineStr">
        <is>
          <t>skill1_id</t>
        </is>
      </c>
      <c r="K35" s="40" t="inlineStr">
        <is>
          <t>skill2_id</t>
        </is>
      </c>
      <c r="L35" s="40" t="inlineStr">
        <is>
          <t>element</t>
        </is>
      </c>
      <c r="M35" s="40" t="inlineStr">
        <is>
          <t>role_ addition</t>
        </is>
      </c>
      <c r="N35" s="40" t="inlineStr">
        <is>
          <t>HP</t>
        </is>
      </c>
      <c r="O35" s="40" t="inlineStr">
        <is>
          <t>ATK</t>
        </is>
      </c>
      <c r="P35" s="40" t="inlineStr">
        <is>
          <t>MATK</t>
        </is>
      </c>
      <c r="Q35" s="40" t="inlineStr">
        <is>
          <t>DEF</t>
        </is>
      </c>
      <c r="R35" s="40" t="inlineStr">
        <is>
          <t>MDEF</t>
        </is>
      </c>
      <c r="S35" s="40" t="inlineStr">
        <is>
          <t>MP</t>
        </is>
      </c>
      <c r="T35" s="40" t="inlineStr">
        <is>
          <t>AGI</t>
        </is>
      </c>
      <c r="U35" s="66" t="inlineStr">
        <is>
          <t>重生回合數</t>
        </is>
      </c>
      <c r="V35" s="135" t="inlineStr">
        <is>
          <t>#六維</t>
        </is>
      </c>
      <c r="W35" s="40" t="inlineStr">
        <is>
          <t>capture_rate</t>
        </is>
      </c>
      <c r="X35" s="40" t="inlineStr">
        <is>
          <t>exchange_id</t>
        </is>
      </c>
      <c r="Y35" s="67" t="inlineStr">
        <is>
          <t>exchange_amount</t>
        </is>
      </c>
      <c r="Z35" s="135" t="inlineStr">
        <is>
          <t>star_refine_id</t>
        </is>
      </c>
      <c r="AA35" s="135" t="inlineStr">
        <is>
          <t>star_cost_id</t>
        </is>
      </c>
      <c r="AB35" s="135" t="inlineStr">
        <is>
          <t>star1_skill1</t>
        </is>
      </c>
      <c r="AC35" s="135" t="inlineStr">
        <is>
          <t>star2_skill1</t>
        </is>
      </c>
      <c r="AD35" s="135" t="inlineStr">
        <is>
          <t>star3_skill1</t>
        </is>
      </c>
      <c r="AE35" s="135" t="inlineStr">
        <is>
          <t>star4_skill1</t>
        </is>
      </c>
      <c r="AF35" s="135" t="inlineStr">
        <is>
          <t>star5_skill1</t>
        </is>
      </c>
      <c r="AG35" s="135" t="inlineStr">
        <is>
          <t>star1_skill2</t>
        </is>
      </c>
      <c r="AH35" s="135" t="inlineStr">
        <is>
          <t>star2_skill2</t>
        </is>
      </c>
      <c r="AI35" s="135" t="inlineStr">
        <is>
          <t>star3_skill2</t>
        </is>
      </c>
      <c r="AJ35" s="135" t="inlineStr">
        <is>
          <t>star4_skill2</t>
        </is>
      </c>
      <c r="AK35" s="135" t="inlineStr">
        <is>
          <t>star5_skill2</t>
        </is>
      </c>
    </row>
    <row r="36" ht="14.25" customHeight="1" s="142">
      <c r="A36" s="52" t="n">
        <v>90001</v>
      </c>
      <c r="B36" s="143" t="inlineStr">
        <is>
          <t xml:space="preserve">劍士 </t>
        </is>
      </c>
      <c r="C36" s="52" t="inlineStr">
        <is>
          <t>R</t>
        </is>
      </c>
      <c r="D36" s="52" t="inlineStr">
        <is>
          <t>role</t>
        </is>
      </c>
      <c r="E36" s="143" t="inlineStr">
        <is>
          <t>物攻</t>
        </is>
      </c>
      <c r="F36" s="52" t="inlineStr">
        <is>
          <t>2,3,4,5,6,7</t>
        </is>
      </c>
      <c r="G36" s="52" t="n"/>
      <c r="H36" s="72">
        <f>"1001,1002,1003,1004,1005,2001,2002,2003,2004,2005,1997"</f>
        <v/>
      </c>
      <c r="I36" s="52" t="n">
        <v>110001</v>
      </c>
      <c r="J36" s="52">
        <f>A36+800000</f>
        <v/>
      </c>
      <c r="K36" s="52">
        <f>J36+100000</f>
        <v/>
      </c>
      <c r="L36" s="52" t="n"/>
      <c r="M36" s="52">
        <f>"{1.1},{1.1},{0.3},{1},{0.3}"</f>
        <v/>
      </c>
      <c r="N36" s="52" t="n">
        <v>500</v>
      </c>
      <c r="O36" s="52" t="n">
        <v>99</v>
      </c>
      <c r="P36" s="52" t="n">
        <v>35</v>
      </c>
      <c r="Q36" s="52" t="n">
        <v>75</v>
      </c>
      <c r="R36" s="52" t="n">
        <v>47</v>
      </c>
      <c r="S36" s="52" t="n"/>
      <c r="T36" s="52" t="n">
        <v>11</v>
      </c>
      <c r="U36" s="69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  <c r="AG36" s="52" t="n"/>
      <c r="AH36" s="52" t="n"/>
      <c r="AI36" s="52" t="n"/>
      <c r="AJ36" s="52" t="n"/>
      <c r="AK36" s="52" t="n"/>
    </row>
    <row r="37" ht="14.25" customHeight="1" s="142">
      <c r="A37" s="52" t="n">
        <v>90002</v>
      </c>
      <c r="B37" s="143" t="inlineStr">
        <is>
          <t xml:space="preserve">戰士 </t>
        </is>
      </c>
      <c r="C37" s="52" t="inlineStr">
        <is>
          <t>R</t>
        </is>
      </c>
      <c r="D37" s="52" t="inlineStr">
        <is>
          <t>role</t>
        </is>
      </c>
      <c r="E37" s="143" t="inlineStr">
        <is>
          <t>物防</t>
        </is>
      </c>
      <c r="F37" s="52" t="inlineStr">
        <is>
          <t>2,3,4,5,6,7</t>
        </is>
      </c>
      <c r="G37" s="52" t="n"/>
      <c r="H37" s="72">
        <f>"1001,1002,1003,1004,1005,2001,2002,2003,2004,2005,1997"</f>
        <v/>
      </c>
      <c r="I37" s="52" t="n">
        <v>110001</v>
      </c>
      <c r="J37" s="52">
        <f>A37+800000</f>
        <v/>
      </c>
      <c r="K37" s="52">
        <f>J37+100000</f>
        <v/>
      </c>
      <c r="L37" s="52" t="n"/>
      <c r="M37" s="52">
        <f>"{1.5},{0.7},{0.3},{1.2},{1}"</f>
        <v/>
      </c>
      <c r="N37" s="52" t="n">
        <v>680</v>
      </c>
      <c r="O37" s="52" t="n">
        <v>80</v>
      </c>
      <c r="P37" s="52" t="n">
        <v>20</v>
      </c>
      <c r="Q37" s="52" t="n">
        <v>82</v>
      </c>
      <c r="R37" s="52" t="n">
        <v>77</v>
      </c>
      <c r="S37" s="52" t="n"/>
      <c r="T37" s="52" t="n">
        <v>10</v>
      </c>
      <c r="U37" s="69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  <c r="AG37" s="52" t="n"/>
      <c r="AH37" s="52" t="n"/>
      <c r="AI37" s="52" t="n"/>
      <c r="AJ37" s="52" t="n"/>
      <c r="AK37" s="52" t="n"/>
    </row>
    <row r="38" ht="14.25" customHeight="1" s="142">
      <c r="A38" s="52" t="n">
        <v>90003</v>
      </c>
      <c r="B38" s="143" t="inlineStr">
        <is>
          <t xml:space="preserve">弓劍手 </t>
        </is>
      </c>
      <c r="C38" s="52" t="inlineStr">
        <is>
          <t>R</t>
        </is>
      </c>
      <c r="D38" s="52" t="inlineStr">
        <is>
          <t>role</t>
        </is>
      </c>
      <c r="E38" s="143" t="inlineStr">
        <is>
          <t>物攻</t>
        </is>
      </c>
      <c r="F38" s="52" t="inlineStr">
        <is>
          <t>2,3,4,5,6,7</t>
        </is>
      </c>
      <c r="G38" s="52" t="n"/>
      <c r="H38" s="72">
        <f>"1001,1002,1003,1004,1005,2001,2002,2003,2004,2005,1997"</f>
        <v/>
      </c>
      <c r="I38" s="52" t="n">
        <v>110001</v>
      </c>
      <c r="J38" s="52">
        <f>A38+800000</f>
        <v/>
      </c>
      <c r="K38" s="52">
        <f>J38+100000</f>
        <v/>
      </c>
      <c r="L38" s="52" t="n"/>
      <c r="M38" s="52">
        <f>"{0.7},{1.4},{0.3},{0.3},{0.4}"</f>
        <v/>
      </c>
      <c r="N38" s="52" t="n">
        <v>490</v>
      </c>
      <c r="O38" s="52" t="n">
        <v>99</v>
      </c>
      <c r="P38" s="52" t="n">
        <v>35</v>
      </c>
      <c r="Q38" s="52" t="n">
        <v>63</v>
      </c>
      <c r="R38" s="52" t="n">
        <v>56</v>
      </c>
      <c r="S38" s="52" t="n"/>
      <c r="T38" s="52" t="n">
        <v>12</v>
      </c>
      <c r="U38" s="69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  <c r="AG38" s="52" t="n"/>
      <c r="AH38" s="52" t="n"/>
      <c r="AI38" s="52" t="n"/>
      <c r="AJ38" s="52" t="n"/>
      <c r="AK38" s="52" t="n"/>
    </row>
    <row r="39" ht="14.25" customHeight="1" s="142">
      <c r="A39" s="52" t="n">
        <v>90004</v>
      </c>
      <c r="B39" s="143" t="inlineStr">
        <is>
          <t>盜賊</t>
        </is>
      </c>
      <c r="C39" s="52" t="inlineStr">
        <is>
          <t>R</t>
        </is>
      </c>
      <c r="D39" s="52" t="inlineStr">
        <is>
          <t>role</t>
        </is>
      </c>
      <c r="E39" s="143" t="inlineStr">
        <is>
          <t>魔防</t>
        </is>
      </c>
      <c r="F39" s="52" t="inlineStr">
        <is>
          <t>2,3,4,5,6,7</t>
        </is>
      </c>
      <c r="G39" s="52" t="n"/>
      <c r="H39" s="72">
        <f>"1001,1002,1003,1004,1005,2001,2002,2003,2004,2005,1997"</f>
        <v/>
      </c>
      <c r="I39" s="52" t="n">
        <v>110001</v>
      </c>
      <c r="J39" s="52">
        <f>A39+800000</f>
        <v/>
      </c>
      <c r="K39" s="52">
        <f>J39+100000</f>
        <v/>
      </c>
      <c r="L39" s="52" t="n"/>
      <c r="M39" s="52">
        <f>"{0.8},{1.3},{0.3},{0.3},{0.3}"</f>
        <v/>
      </c>
      <c r="N39" s="52" t="n">
        <v>475</v>
      </c>
      <c r="O39" s="52" t="n">
        <v>50</v>
      </c>
      <c r="P39" s="52" t="n">
        <v>97</v>
      </c>
      <c r="Q39" s="52" t="n">
        <v>54</v>
      </c>
      <c r="R39" s="52" t="n">
        <v>48</v>
      </c>
      <c r="S39" s="52" t="n"/>
      <c r="T39" s="52" t="n">
        <v>13</v>
      </c>
      <c r="U39" s="69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  <c r="AG39" s="52" t="n"/>
      <c r="AH39" s="52" t="n"/>
      <c r="AI39" s="52" t="n"/>
      <c r="AJ39" s="52" t="n"/>
      <c r="AK39" s="52" t="n"/>
    </row>
    <row r="40" ht="14.25" customHeight="1" s="142">
      <c r="A40" s="52" t="n">
        <v>90005</v>
      </c>
      <c r="B40" s="143" t="inlineStr">
        <is>
          <t>魔法師</t>
        </is>
      </c>
      <c r="C40" s="52" t="inlineStr">
        <is>
          <t>R</t>
        </is>
      </c>
      <c r="D40" s="52" t="inlineStr">
        <is>
          <t>role</t>
        </is>
      </c>
      <c r="E40" s="143" t="inlineStr">
        <is>
          <t>魔攻</t>
        </is>
      </c>
      <c r="F40" s="52" t="inlineStr">
        <is>
          <t>2,3,4,5,6,7</t>
        </is>
      </c>
      <c r="G40" s="52" t="n"/>
      <c r="H40" s="72">
        <f>"1001,1002,1003,1004,1005,2001,2002,2003,2004,2005,1997"</f>
        <v/>
      </c>
      <c r="I40" s="52" t="n">
        <v>110011</v>
      </c>
      <c r="J40" s="52">
        <f>A40+800000</f>
        <v/>
      </c>
      <c r="K40" s="52">
        <f>J40+100000</f>
        <v/>
      </c>
      <c r="L40" s="52" t="n"/>
      <c r="M40" s="52">
        <f>"{1},{0.3},{1.1},{1},{0.3}"</f>
        <v/>
      </c>
      <c r="N40" s="52" t="n">
        <v>475</v>
      </c>
      <c r="O40" s="52" t="n">
        <v>20</v>
      </c>
      <c r="P40" s="52" t="n">
        <v>101</v>
      </c>
      <c r="Q40" s="52" t="n">
        <v>51</v>
      </c>
      <c r="R40" s="52" t="n">
        <v>72</v>
      </c>
      <c r="S40" s="52" t="n"/>
      <c r="T40" s="52" t="n">
        <v>11</v>
      </c>
      <c r="U40" s="69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  <c r="AG40" s="52" t="n"/>
      <c r="AH40" s="52" t="n"/>
      <c r="AI40" s="52" t="n"/>
      <c r="AJ40" s="52" t="n"/>
      <c r="AK40" s="52" t="n"/>
    </row>
    <row r="41" ht="14.25" customHeight="1" s="142">
      <c r="A41" s="52" t="n">
        <v>90006</v>
      </c>
      <c r="B41" s="143" t="inlineStr">
        <is>
          <t>實習祭司</t>
        </is>
      </c>
      <c r="C41" s="52" t="inlineStr">
        <is>
          <t>R</t>
        </is>
      </c>
      <c r="D41" s="52" t="inlineStr">
        <is>
          <t>role</t>
        </is>
      </c>
      <c r="E41" s="143" t="inlineStr">
        <is>
          <t>魔攻</t>
        </is>
      </c>
      <c r="F41" s="52" t="inlineStr">
        <is>
          <t>2,3,4,5,6,7</t>
        </is>
      </c>
      <c r="G41" s="52" t="n"/>
      <c r="H41" s="72">
        <f>"1001,1002,1003,1004,1005,2001,2002,2003,2004,2005,1997"</f>
        <v/>
      </c>
      <c r="I41" s="52" t="n">
        <v>110011</v>
      </c>
      <c r="J41" s="52">
        <f>A41+800000</f>
        <v/>
      </c>
      <c r="K41" s="52">
        <f>J41+100000</f>
        <v/>
      </c>
      <c r="L41" s="52" t="n"/>
      <c r="M41" s="52">
        <f>"{1.2},{0.3},{1.1},{1},{0.3}"</f>
        <v/>
      </c>
      <c r="N41" s="52" t="n">
        <v>530</v>
      </c>
      <c r="O41" s="52" t="n">
        <v>35</v>
      </c>
      <c r="P41" s="52" t="n">
        <v>99</v>
      </c>
      <c r="Q41" s="52" t="n">
        <v>67</v>
      </c>
      <c r="R41" s="52" t="n">
        <v>74</v>
      </c>
      <c r="S41" s="52" t="n"/>
      <c r="T41" s="52" t="n">
        <v>10</v>
      </c>
      <c r="U41" s="69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  <c r="AG41" s="52" t="n"/>
      <c r="AH41" s="52" t="n"/>
      <c r="AI41" s="52" t="n"/>
      <c r="AJ41" s="52" t="n"/>
      <c r="AK41" s="52" t="n"/>
    </row>
    <row r="42" ht="14.25" customHeight="1" s="142">
      <c r="A42" s="73" t="n">
        <v>90007</v>
      </c>
      <c r="B42" s="74" t="inlineStr">
        <is>
          <t>神劍使</t>
        </is>
      </c>
      <c r="C42" s="73" t="inlineStr">
        <is>
          <t>SSR</t>
        </is>
      </c>
      <c r="D42" s="73" t="inlineStr">
        <is>
          <t>role</t>
        </is>
      </c>
      <c r="E42" s="74" t="inlineStr">
        <is>
          <t>物攻</t>
        </is>
      </c>
      <c r="F42" s="73" t="inlineStr">
        <is>
          <t>2,3,4,5,6,7</t>
        </is>
      </c>
      <c r="G42" s="73" t="n"/>
      <c r="H42" s="75">
        <f>"1001,1002,1003,1004,1005,2001,2002,2003,2004,2005,1997"</f>
        <v/>
      </c>
      <c r="I42" s="73" t="n">
        <v>110004</v>
      </c>
      <c r="J42" s="73">
        <f>A42+800000</f>
        <v/>
      </c>
      <c r="K42" s="73">
        <f>J42+100000</f>
        <v/>
      </c>
      <c r="L42" s="73" t="n"/>
      <c r="M42" s="73" t="inlineStr">
        <is>
          <t>{1.7},{1.7},{0.9},{1.6},{0.9}</t>
        </is>
      </c>
      <c r="N42" s="73">
        <f>ROUND(N43*1.7,0)</f>
        <v/>
      </c>
      <c r="O42" s="73">
        <f>ROUND(O43*1.7,0)</f>
        <v/>
      </c>
      <c r="P42" s="73">
        <f>ROUND(P43*1.7,0)</f>
        <v/>
      </c>
      <c r="Q42" s="73">
        <f>ROUND(Q43*1.7,0)</f>
        <v/>
      </c>
      <c r="R42" s="73">
        <f>ROUND(R43*1.7,0)</f>
        <v/>
      </c>
      <c r="S42" s="73" t="n"/>
      <c r="T42" s="73" t="n">
        <v>14</v>
      </c>
      <c r="U42" s="76" t="n"/>
      <c r="V42" s="73" t="n"/>
      <c r="W42" s="73" t="n"/>
      <c r="X42" s="73" t="n"/>
      <c r="Y42" s="73" t="n"/>
      <c r="Z42" s="73" t="n"/>
      <c r="AA42" s="73" t="n"/>
      <c r="AB42" s="73" t="n"/>
      <c r="AC42" s="73" t="n"/>
      <c r="AD42" s="73" t="n"/>
      <c r="AE42" s="73" t="n"/>
      <c r="AF42" s="73" t="n"/>
      <c r="AG42" s="73" t="n"/>
      <c r="AH42" s="73" t="n"/>
      <c r="AI42" s="73" t="n"/>
      <c r="AJ42" s="73" t="n"/>
      <c r="AK42" s="73" t="n"/>
    </row>
    <row r="43" ht="14.25" customHeight="1" s="142">
      <c r="A43" s="52">
        <f>A42+1</f>
        <v/>
      </c>
      <c r="B43" s="143" t="inlineStr">
        <is>
          <t>劍豪</t>
        </is>
      </c>
      <c r="C43" s="52" t="inlineStr">
        <is>
          <t>SR</t>
        </is>
      </c>
      <c r="D43" s="52" t="inlineStr">
        <is>
          <t>role</t>
        </is>
      </c>
      <c r="E43" s="143" t="inlineStr">
        <is>
          <t>物攻</t>
        </is>
      </c>
      <c r="F43" s="52" t="inlineStr">
        <is>
          <t>2,3,4,5,6,7</t>
        </is>
      </c>
      <c r="G43" s="52" t="n"/>
      <c r="H43" s="72">
        <f>"1001,1002,1003,1004,1005,2001,2002,2003,2004,2005,1997"</f>
        <v/>
      </c>
      <c r="I43" s="52" t="n">
        <v>110001</v>
      </c>
      <c r="J43" s="52" t="n">
        <v>890001</v>
      </c>
      <c r="K43" s="52" t="n">
        <v>990001</v>
      </c>
      <c r="L43" s="52" t="n"/>
      <c r="M43" s="52">
        <f>"{1.3},{1.3},{0.5},{1.2},{0.5}"</f>
        <v/>
      </c>
      <c r="N43" s="52">
        <f>ROUND(N36*1.7,0)</f>
        <v/>
      </c>
      <c r="O43" s="52">
        <f>ROUND(O36*1.7,0)</f>
        <v/>
      </c>
      <c r="P43" s="52">
        <f>ROUND(P36*1.7,0)</f>
        <v/>
      </c>
      <c r="Q43" s="52">
        <f>ROUND(Q36*1.7,0)</f>
        <v/>
      </c>
      <c r="R43" s="52">
        <f>ROUND(R36*1.7,0)</f>
        <v/>
      </c>
      <c r="S43" s="52" t="n"/>
      <c r="T43" s="52">
        <f>T36+1</f>
        <v/>
      </c>
      <c r="U43" s="69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</row>
    <row r="44" ht="14.25" customHeight="1" s="142">
      <c r="A44" s="52">
        <f>A43+1</f>
        <v/>
      </c>
      <c r="B44" s="143" t="inlineStr">
        <is>
          <t>狂戰士</t>
        </is>
      </c>
      <c r="C44" s="52" t="inlineStr">
        <is>
          <t>SR</t>
        </is>
      </c>
      <c r="D44" s="52" t="inlineStr">
        <is>
          <t>role</t>
        </is>
      </c>
      <c r="E44" s="143" t="inlineStr">
        <is>
          <t>物防</t>
        </is>
      </c>
      <c r="F44" s="52" t="inlineStr">
        <is>
          <t>2,3,4,5,6,7</t>
        </is>
      </c>
      <c r="G44" s="52" t="n"/>
      <c r="H44" s="72">
        <f>"1001,1002,1003,1004,1005,2001,2002,2003,2004,2005,1997"</f>
        <v/>
      </c>
      <c r="I44" s="52" t="n">
        <v>110001</v>
      </c>
      <c r="J44" s="52" t="n">
        <v>890002</v>
      </c>
      <c r="K44" s="52" t="n">
        <v>990002</v>
      </c>
      <c r="L44" s="52" t="n"/>
      <c r="M44" s="52">
        <f>"{1.7},{0.9},{0.5},{1.5},{1.2}"</f>
        <v/>
      </c>
      <c r="N44" s="52">
        <f>ROUND(N37*1.7,0)</f>
        <v/>
      </c>
      <c r="O44" s="52">
        <f>ROUND(O37*1.7,0)</f>
        <v/>
      </c>
      <c r="P44" s="52">
        <f>ROUND(P37*1.7,0)</f>
        <v/>
      </c>
      <c r="Q44" s="52">
        <f>ROUND(Q37*1.7,0)</f>
        <v/>
      </c>
      <c r="R44" s="52">
        <f>ROUND(R37*1.7,0)</f>
        <v/>
      </c>
      <c r="S44" s="52" t="n"/>
      <c r="T44" s="52">
        <f>T37+1</f>
        <v/>
      </c>
      <c r="U44" s="69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  <c r="AG44" s="52" t="n"/>
      <c r="AH44" s="52" t="n"/>
      <c r="AI44" s="52" t="n"/>
      <c r="AJ44" s="52" t="n"/>
      <c r="AK44" s="52" t="n"/>
    </row>
    <row r="45" ht="14.25" customHeight="1" s="142">
      <c r="A45" s="52">
        <f>A44+1</f>
        <v/>
      </c>
      <c r="B45" s="143" t="inlineStr">
        <is>
          <t>神射手</t>
        </is>
      </c>
      <c r="C45" s="52" t="inlineStr">
        <is>
          <t>SR</t>
        </is>
      </c>
      <c r="D45" s="52" t="inlineStr">
        <is>
          <t>role</t>
        </is>
      </c>
      <c r="E45" s="143" t="inlineStr">
        <is>
          <t>物攻</t>
        </is>
      </c>
      <c r="F45" s="52" t="inlineStr">
        <is>
          <t>2,3,4,5,6,7</t>
        </is>
      </c>
      <c r="G45" s="52" t="n"/>
      <c r="H45" s="72">
        <f>"1001,1002,1003,1004,1005,2001,2002,2003,2004,2005,1997"</f>
        <v/>
      </c>
      <c r="I45" s="52" t="n">
        <v>110001</v>
      </c>
      <c r="J45" s="52" t="n">
        <v>890003</v>
      </c>
      <c r="K45" s="52" t="n">
        <v>990003</v>
      </c>
      <c r="L45" s="52" t="n"/>
      <c r="M45" s="52">
        <f>"{0.9},{1.6},{0.5},{0.5},{0.6}"</f>
        <v/>
      </c>
      <c r="N45" s="52">
        <f>ROUND(N38*1.7,0)</f>
        <v/>
      </c>
      <c r="O45" s="52">
        <f>ROUND(O38*1.7,0)</f>
        <v/>
      </c>
      <c r="P45" s="52">
        <f>ROUND(P38*1.7,0)</f>
        <v/>
      </c>
      <c r="Q45" s="52">
        <f>ROUND(Q38*1.7,0)</f>
        <v/>
      </c>
      <c r="R45" s="52">
        <f>ROUND(R38*1.7,0)</f>
        <v/>
      </c>
      <c r="S45" s="52" t="n"/>
      <c r="T45" s="52">
        <f>T38+1</f>
        <v/>
      </c>
      <c r="U45" s="69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  <c r="AG45" s="52" t="n"/>
      <c r="AH45" s="52" t="n"/>
      <c r="AI45" s="52" t="n"/>
      <c r="AJ45" s="52" t="n"/>
      <c r="AK45" s="52" t="n"/>
    </row>
    <row r="46" ht="14.25" customHeight="1" s="142">
      <c r="A46" s="52">
        <f>A45+1</f>
        <v/>
      </c>
      <c r="B46" s="143" t="inlineStr">
        <is>
          <t>刺客</t>
        </is>
      </c>
      <c r="C46" s="52" t="inlineStr">
        <is>
          <t>SR</t>
        </is>
      </c>
      <c r="D46" s="52" t="inlineStr">
        <is>
          <t>role</t>
        </is>
      </c>
      <c r="E46" s="143" t="inlineStr">
        <is>
          <t>魔防</t>
        </is>
      </c>
      <c r="F46" s="52" t="inlineStr">
        <is>
          <t>2,3,4,5,6,7</t>
        </is>
      </c>
      <c r="G46" s="52" t="n"/>
      <c r="H46" s="72">
        <f>"1001,1002,1003,1004,1005,2001,2002,2003,2004,2005,1997"</f>
        <v/>
      </c>
      <c r="I46" s="52" t="n">
        <v>110001</v>
      </c>
      <c r="J46" s="52" t="n">
        <v>890004</v>
      </c>
      <c r="K46" s="52" t="n">
        <v>990004</v>
      </c>
      <c r="L46" s="52" t="n"/>
      <c r="M46" s="52">
        <f>"{1},{1.5},{0.5},{0.5},{0.5}"</f>
        <v/>
      </c>
      <c r="N46" s="52">
        <f>ROUND(N39*1.7,0)</f>
        <v/>
      </c>
      <c r="O46" s="52">
        <f>ROUND(O39*1.7,0)</f>
        <v/>
      </c>
      <c r="P46" s="52">
        <f>ROUND(P39*1.7,0)</f>
        <v/>
      </c>
      <c r="Q46" s="52">
        <f>ROUND(Q39*1.7,0)</f>
        <v/>
      </c>
      <c r="R46" s="52">
        <f>ROUND(R39*1.7,0)</f>
        <v/>
      </c>
      <c r="S46" s="52" t="n"/>
      <c r="T46" s="52">
        <f>T39+1</f>
        <v/>
      </c>
      <c r="U46" s="69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  <c r="AG46" s="52" t="n"/>
      <c r="AH46" s="52" t="n"/>
      <c r="AI46" s="52" t="n"/>
      <c r="AJ46" s="52" t="n"/>
      <c r="AK46" s="52" t="n"/>
    </row>
    <row r="47" ht="14.25" customHeight="1" s="142">
      <c r="A47" s="52">
        <f>A46+1</f>
        <v/>
      </c>
      <c r="B47" s="143" t="inlineStr">
        <is>
          <t>魔導士</t>
        </is>
      </c>
      <c r="C47" s="52" t="inlineStr">
        <is>
          <t>SR</t>
        </is>
      </c>
      <c r="D47" s="52" t="inlineStr">
        <is>
          <t>role</t>
        </is>
      </c>
      <c r="E47" s="143" t="inlineStr">
        <is>
          <t>魔攻</t>
        </is>
      </c>
      <c r="F47" s="52" t="inlineStr">
        <is>
          <t>2,3,4,5,6,7</t>
        </is>
      </c>
      <c r="G47" s="52" t="n"/>
      <c r="H47" s="72">
        <f>"1001,1002,1003,1004,1005,2001,2002,2003,2004,2005,1997"</f>
        <v/>
      </c>
      <c r="I47" s="52" t="n">
        <v>110011</v>
      </c>
      <c r="J47" s="52" t="n">
        <v>890005</v>
      </c>
      <c r="K47" s="52" t="n">
        <v>990005</v>
      </c>
      <c r="L47" s="52" t="n"/>
      <c r="M47" s="52">
        <f>"{1.2},{0.5},{1.3},{1.2},{0.5}"</f>
        <v/>
      </c>
      <c r="N47" s="52">
        <f>ROUND(N40*1.7,0)</f>
        <v/>
      </c>
      <c r="O47" s="52">
        <f>ROUND(O40*1.7,0)</f>
        <v/>
      </c>
      <c r="P47" s="52">
        <f>ROUND(P40*1.7,0)</f>
        <v/>
      </c>
      <c r="Q47" s="52">
        <f>ROUND(Q40*1.7,0)</f>
        <v/>
      </c>
      <c r="R47" s="52">
        <f>ROUND(R40*1.7,0)</f>
        <v/>
      </c>
      <c r="S47" s="52" t="n"/>
      <c r="T47" s="52">
        <f>T40+1</f>
        <v/>
      </c>
      <c r="U47" s="69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  <c r="AG47" s="52" t="n"/>
      <c r="AH47" s="52" t="n"/>
      <c r="AI47" s="52" t="n"/>
      <c r="AJ47" s="52" t="n"/>
      <c r="AK47" s="52" t="n"/>
    </row>
    <row r="48" ht="14.25" customHeight="1" s="142">
      <c r="A48" s="52">
        <f>A47+1</f>
        <v/>
      </c>
      <c r="B48" s="143" t="inlineStr">
        <is>
          <t>神官</t>
        </is>
      </c>
      <c r="C48" s="52" t="inlineStr">
        <is>
          <t>SR</t>
        </is>
      </c>
      <c r="D48" s="52" t="inlineStr">
        <is>
          <t>role</t>
        </is>
      </c>
      <c r="E48" s="143" t="inlineStr">
        <is>
          <t>魔攻</t>
        </is>
      </c>
      <c r="F48" s="52" t="inlineStr">
        <is>
          <t>2,3,4,5,6,7</t>
        </is>
      </c>
      <c r="G48" s="52" t="n"/>
      <c r="H48" s="72">
        <f>"1001,1002,1003,1004,1005,2001,2002,2003,2004,2005,1997"</f>
        <v/>
      </c>
      <c r="I48" s="52" t="n">
        <v>110011</v>
      </c>
      <c r="J48" s="52" t="n">
        <v>890006</v>
      </c>
      <c r="K48" s="52" t="n">
        <v>990006</v>
      </c>
      <c r="L48" s="52" t="n"/>
      <c r="M48" s="52">
        <f>"{1.5},{0.5},{1.3},{1.2},{0.5}"</f>
        <v/>
      </c>
      <c r="N48" s="52">
        <f>ROUND(N41*1.7,0)</f>
        <v/>
      </c>
      <c r="O48" s="52">
        <f>ROUND(O41*1.7,0)</f>
        <v/>
      </c>
      <c r="P48" s="52">
        <f>ROUND(P41*1.7,0)</f>
        <v/>
      </c>
      <c r="Q48" s="52">
        <f>ROUND(Q41*1.7,0)</f>
        <v/>
      </c>
      <c r="R48" s="52">
        <f>ROUND(R41*1.7,0)</f>
        <v/>
      </c>
      <c r="S48" s="52" t="n"/>
      <c r="T48" s="52">
        <f>T41+1</f>
        <v/>
      </c>
      <c r="U48" s="69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  <c r="AG48" s="52" t="n"/>
      <c r="AH48" s="52" t="n"/>
      <c r="AI48" s="52" t="n"/>
      <c r="AJ48" s="52" t="n"/>
      <c r="AK48" s="52" t="n"/>
    </row>
    <row r="49">
      <c r="U49" s="65" t="n"/>
    </row>
    <row r="50">
      <c r="U50" s="65" t="n"/>
    </row>
    <row r="51">
      <c r="U51" s="65" t="n"/>
    </row>
    <row r="52">
      <c r="U52" s="65" t="n"/>
    </row>
    <row r="53" ht="14.25" customHeight="1" s="142">
      <c r="A53" s="48" t="inlineStr">
        <is>
          <t>角色id</t>
        </is>
      </c>
      <c r="B53" s="48" t="inlineStr">
        <is>
          <t>角色名稱</t>
        </is>
      </c>
      <c r="C53" s="40" t="inlineStr">
        <is>
          <t>rare</t>
        </is>
      </c>
      <c r="D53" s="40" t="inlineStr">
        <is>
          <t>type</t>
        </is>
      </c>
      <c r="E53" s="48" t="inlineStr">
        <is>
          <t>體系</t>
        </is>
      </c>
      <c r="F53" s="50" t="inlineStr">
        <is>
          <t>equipment_type</t>
        </is>
      </c>
      <c r="G53" s="40" t="inlineStr">
        <is>
          <t>tag</t>
        </is>
      </c>
      <c r="H53" s="40" t="inlineStr">
        <is>
          <t>resist_buff</t>
        </is>
      </c>
      <c r="I53" s="40" t="inlineStr">
        <is>
          <t>skill0_id</t>
        </is>
      </c>
      <c r="J53" s="40" t="inlineStr">
        <is>
          <t>skill1_id</t>
        </is>
      </c>
      <c r="K53" s="40" t="inlineStr">
        <is>
          <t>skill2_id</t>
        </is>
      </c>
      <c r="L53" s="40" t="inlineStr">
        <is>
          <t>element</t>
        </is>
      </c>
      <c r="M53" s="40" t="inlineStr">
        <is>
          <t>role_ addition</t>
        </is>
      </c>
      <c r="N53" s="40" t="inlineStr">
        <is>
          <t>hp</t>
        </is>
      </c>
      <c r="O53" s="40" t="inlineStr">
        <is>
          <t>atk</t>
        </is>
      </c>
      <c r="P53" s="40" t="inlineStr">
        <is>
          <t>matk</t>
        </is>
      </c>
      <c r="Q53" s="40" t="inlineStr">
        <is>
          <t>def</t>
        </is>
      </c>
      <c r="R53" s="40" t="inlineStr">
        <is>
          <t>mdef</t>
        </is>
      </c>
      <c r="S53" s="40" t="inlineStr">
        <is>
          <t>mp</t>
        </is>
      </c>
      <c r="T53" s="40" t="inlineStr">
        <is>
          <t>agi</t>
        </is>
      </c>
      <c r="U53" s="66" t="inlineStr">
        <is>
          <t>重生回合數</t>
        </is>
      </c>
      <c r="V53" s="135" t="inlineStr">
        <is>
          <t>#六維</t>
        </is>
      </c>
      <c r="W53" s="40" t="inlineStr">
        <is>
          <t>capture_rate</t>
        </is>
      </c>
      <c r="X53" s="40" t="inlineStr">
        <is>
          <t>exchange_id</t>
        </is>
      </c>
      <c r="Y53" s="67" t="inlineStr">
        <is>
          <t>exchange_amount</t>
        </is>
      </c>
      <c r="Z53" s="135" t="inlineStr">
        <is>
          <t>star_refine_id</t>
        </is>
      </c>
      <c r="AA53" s="135" t="inlineStr">
        <is>
          <t>star_cost_id</t>
        </is>
      </c>
      <c r="AB53" s="135" t="inlineStr">
        <is>
          <t>star1_skill1</t>
        </is>
      </c>
      <c r="AC53" s="135" t="inlineStr">
        <is>
          <t>star2_skill1</t>
        </is>
      </c>
      <c r="AD53" s="135" t="inlineStr">
        <is>
          <t>star3_skill1</t>
        </is>
      </c>
      <c r="AE53" s="135" t="inlineStr">
        <is>
          <t>star4_skill1</t>
        </is>
      </c>
      <c r="AF53" s="135" t="inlineStr">
        <is>
          <t>star5_skill1</t>
        </is>
      </c>
      <c r="AG53" s="135" t="inlineStr">
        <is>
          <t>star1_skill2</t>
        </is>
      </c>
      <c r="AH53" s="135" t="inlineStr">
        <is>
          <t>star2_skill2</t>
        </is>
      </c>
      <c r="AI53" s="135" t="inlineStr">
        <is>
          <t>star3_skill2</t>
        </is>
      </c>
      <c r="AJ53" s="135" t="inlineStr">
        <is>
          <t>star4_skill2</t>
        </is>
      </c>
      <c r="AK53" s="135" t="inlineStr">
        <is>
          <t>star5_skill2</t>
        </is>
      </c>
    </row>
    <row r="54" ht="16.5" customHeight="1" s="142">
      <c r="A54" s="52" t="n">
        <v>40001</v>
      </c>
      <c r="B54" s="27" t="inlineStr">
        <is>
          <t>棕熊</t>
        </is>
      </c>
      <c r="C54" s="52" t="inlineStr">
        <is>
          <t>R</t>
        </is>
      </c>
      <c r="D54" s="52" t="inlineStr">
        <is>
          <t>monster</t>
        </is>
      </c>
      <c r="E54" s="52">
        <f>IF(O54&gt;P54,"物攻","魔攻")</f>
        <v/>
      </c>
      <c r="F54" s="68">
        <f>"1,1"</f>
        <v/>
      </c>
      <c r="G54" s="27" t="n">
        <v>62</v>
      </c>
      <c r="H54" s="52" t="n"/>
      <c r="I54" s="52" t="n">
        <v>110002</v>
      </c>
      <c r="J54" s="52" t="n">
        <v>400001</v>
      </c>
      <c r="K54" s="52" t="n">
        <v>410001</v>
      </c>
      <c r="L54" s="55" t="n">
        <v>2</v>
      </c>
      <c r="M54" s="52" t="n"/>
      <c r="N54" s="52" t="n">
        <v>550</v>
      </c>
      <c r="O54" s="52" t="n">
        <v>53</v>
      </c>
      <c r="P54" s="52" t="n">
        <v>9</v>
      </c>
      <c r="Q54" s="52" t="n">
        <v>33</v>
      </c>
      <c r="R54" s="52" t="n">
        <v>21</v>
      </c>
      <c r="S54" s="52" t="n">
        <v>57</v>
      </c>
      <c r="T54" s="52" t="n">
        <v>8</v>
      </c>
      <c r="U54" s="69" t="n"/>
      <c r="V54" s="70">
        <f>N54*0.5+O54+P54+Q54+R54+S54+T54*5</f>
        <v/>
      </c>
      <c r="W54" s="135">
        <f>IF(C54="R",0.08,IF(C54="SR",0.02,IF(C54="SSR",0.01)))</f>
        <v/>
      </c>
      <c r="X54" s="135" t="n"/>
      <c r="Y54" s="21" t="n"/>
      <c r="Z54" s="135">
        <f>IF(C54="SSR",IF(P54&gt;O54,"901","900"),IF(C54="SR",IF(P54&gt;O54,"902","903" ),IF(C54="R",IF(P54&gt;O54,"904","905" ))))</f>
        <v/>
      </c>
      <c r="AA54" s="135" t="n">
        <v>910</v>
      </c>
      <c r="AB54" s="135" t="n"/>
      <c r="AC54" s="135" t="n"/>
      <c r="AD54" s="135" t="n"/>
      <c r="AE54" s="135" t="n"/>
      <c r="AF54" s="135" t="n"/>
      <c r="AG54" s="135" t="n"/>
      <c r="AH54" s="135" t="n"/>
      <c r="AI54" s="135" t="n"/>
      <c r="AJ54" s="135" t="n"/>
      <c r="AK54" s="135" t="n"/>
    </row>
    <row r="55" ht="16.5" customHeight="1" s="142">
      <c r="A55" s="52" t="n">
        <v>40002</v>
      </c>
      <c r="B55" s="27" t="inlineStr">
        <is>
          <t>灰狼</t>
        </is>
      </c>
      <c r="C55" s="52" t="inlineStr">
        <is>
          <t>R</t>
        </is>
      </c>
      <c r="D55" s="52" t="inlineStr">
        <is>
          <t>monster</t>
        </is>
      </c>
      <c r="E55" s="52">
        <f>IF(O55&gt;P55,"物攻","魔攻")</f>
        <v/>
      </c>
      <c r="F55" s="68">
        <f>"1,1"</f>
        <v/>
      </c>
      <c r="G55" s="27" t="n">
        <v>62</v>
      </c>
      <c r="H55" s="52" t="n"/>
      <c r="I55" s="52" t="n">
        <v>110002</v>
      </c>
      <c r="J55" s="52" t="n">
        <v>400002</v>
      </c>
      <c r="K55" s="52" t="n">
        <v>410002</v>
      </c>
      <c r="L55" s="55" t="n">
        <v>1</v>
      </c>
      <c r="M55" s="52" t="n"/>
      <c r="N55" s="52" t="n">
        <v>430</v>
      </c>
      <c r="O55" s="52" t="n">
        <v>49</v>
      </c>
      <c r="P55" s="52" t="n">
        <v>11</v>
      </c>
      <c r="Q55" s="52" t="n">
        <v>36</v>
      </c>
      <c r="R55" s="52" t="n">
        <v>27</v>
      </c>
      <c r="S55" s="52" t="n">
        <v>57</v>
      </c>
      <c r="T55" s="52" t="n">
        <v>8</v>
      </c>
      <c r="U55" s="69" t="n"/>
      <c r="V55" s="70">
        <f>N55*0.5+O55+P55+Q55+R55+S55+T55*5</f>
        <v/>
      </c>
      <c r="W55" s="135">
        <f>IF(C55="R",0.08,IF(C55="SR",0.02,IF(C55="SSR",0.01)))</f>
        <v/>
      </c>
      <c r="X55" s="135" t="n"/>
      <c r="Y55" s="21" t="n"/>
      <c r="Z55" s="135">
        <f>IF(C55="SSR",IF(P55&gt;O55,"901","900"),IF(C55="SR",IF(P55&gt;O55,"902","903" ),IF(C55="R",IF(P55&gt;O55,"904","905" ))))</f>
        <v/>
      </c>
      <c r="AA55" s="135" t="n">
        <v>910</v>
      </c>
      <c r="AB55" s="135" t="n"/>
      <c r="AC55" s="135" t="n"/>
      <c r="AD55" s="135" t="n"/>
      <c r="AE55" s="135" t="n"/>
      <c r="AF55" s="135" t="n"/>
      <c r="AG55" s="135" t="n"/>
      <c r="AH55" s="135" t="n"/>
      <c r="AI55" s="135" t="n"/>
      <c r="AJ55" s="135" t="n"/>
      <c r="AK55" s="135" t="n"/>
    </row>
    <row r="56" ht="16.5" customHeight="1" s="142">
      <c r="A56" s="52" t="n">
        <v>40003</v>
      </c>
      <c r="B56" s="27" t="inlineStr">
        <is>
          <t>岩石怪</t>
        </is>
      </c>
      <c r="C56" s="52" t="inlineStr">
        <is>
          <t>R</t>
        </is>
      </c>
      <c r="D56" s="52" t="inlineStr">
        <is>
          <t>monster</t>
        </is>
      </c>
      <c r="E56" s="52">
        <f>IF(O56&gt;P56,"物攻","魔攻")</f>
        <v/>
      </c>
      <c r="F56" s="68">
        <f>"1,1"</f>
        <v/>
      </c>
      <c r="G56" s="27" t="n">
        <v>67</v>
      </c>
      <c r="H56" s="52" t="n"/>
      <c r="I56" s="52" t="n">
        <v>110001</v>
      </c>
      <c r="J56" s="52" t="n">
        <v>400003</v>
      </c>
      <c r="K56" s="52" t="n">
        <v>410003</v>
      </c>
      <c r="L56" s="55" t="n">
        <v>2</v>
      </c>
      <c r="M56" s="52" t="n"/>
      <c r="N56" s="52" t="n">
        <v>690</v>
      </c>
      <c r="O56" s="52" t="n">
        <v>44</v>
      </c>
      <c r="P56" s="52" t="n">
        <v>9</v>
      </c>
      <c r="Q56" s="52" t="n">
        <v>41</v>
      </c>
      <c r="R56" s="52" t="n">
        <v>31</v>
      </c>
      <c r="S56" s="52" t="n">
        <v>57</v>
      </c>
      <c r="T56" s="52" t="n">
        <v>8</v>
      </c>
      <c r="U56" s="69" t="n"/>
      <c r="V56" s="70">
        <f>N56*0.5+O56+P56+Q56+R56+S56+T56*5</f>
        <v/>
      </c>
      <c r="W56" s="135">
        <f>IF(C56="R",0.08,IF(C56="SR",0.02,IF(C56="SSR",0.01)))</f>
        <v/>
      </c>
      <c r="X56" s="135" t="n"/>
      <c r="Y56" s="21" t="n"/>
      <c r="Z56" s="135">
        <f>IF(C56="SSR",IF(P56&gt;O56,"901","900"),IF(C56="SR",IF(P56&gt;O56,"902","903" ),IF(C56="R",IF(P56&gt;O56,"904","905" ))))</f>
        <v/>
      </c>
      <c r="AA56" s="135" t="n">
        <v>910</v>
      </c>
      <c r="AB56" s="135" t="n"/>
      <c r="AC56" s="135" t="n"/>
      <c r="AD56" s="135" t="n"/>
      <c r="AE56" s="135" t="n"/>
      <c r="AF56" s="135" t="n"/>
      <c r="AG56" s="135" t="n"/>
      <c r="AH56" s="135" t="n"/>
      <c r="AI56" s="135" t="n"/>
      <c r="AJ56" s="135" t="n"/>
      <c r="AK56" s="135" t="n"/>
    </row>
    <row r="57" ht="16.5" customHeight="1" s="142">
      <c r="A57" s="52" t="n">
        <v>40004</v>
      </c>
      <c r="B57" s="27" t="inlineStr">
        <is>
          <t>尖牙兔</t>
        </is>
      </c>
      <c r="C57" s="52" t="inlineStr">
        <is>
          <t>R</t>
        </is>
      </c>
      <c r="D57" s="52" t="inlineStr">
        <is>
          <t>monster</t>
        </is>
      </c>
      <c r="E57" s="52">
        <f>IF(O57&gt;P57,"物攻","魔攻")</f>
        <v/>
      </c>
      <c r="F57" s="68">
        <f>"1,1"</f>
        <v/>
      </c>
      <c r="G57" s="27" t="n">
        <v>62</v>
      </c>
      <c r="H57" s="52" t="n"/>
      <c r="I57" s="52" t="n">
        <v>110002</v>
      </c>
      <c r="J57" s="52" t="n">
        <v>400004</v>
      </c>
      <c r="K57" s="52" t="n">
        <v>410004</v>
      </c>
      <c r="L57" s="55" t="n">
        <v>3</v>
      </c>
      <c r="M57" s="52" t="n"/>
      <c r="N57" s="52" t="n">
        <v>450</v>
      </c>
      <c r="O57" s="52" t="n">
        <v>57</v>
      </c>
      <c r="P57" s="52" t="n">
        <v>9</v>
      </c>
      <c r="Q57" s="52" t="n">
        <v>27</v>
      </c>
      <c r="R57" s="52" t="n">
        <v>23</v>
      </c>
      <c r="S57" s="52" t="n">
        <v>57</v>
      </c>
      <c r="T57" s="52" t="n">
        <v>8</v>
      </c>
      <c r="U57" s="69" t="n"/>
      <c r="V57" s="70">
        <f>N57*0.5+O57+P57+Q57+R57+S57+T57*5</f>
        <v/>
      </c>
      <c r="W57" s="135">
        <f>IF(C57="R",0.08,IF(C57="SR",0.02,IF(C57="SSR",0.01)))</f>
        <v/>
      </c>
      <c r="X57" s="135" t="n"/>
      <c r="Y57" s="21" t="n"/>
      <c r="Z57" s="135">
        <f>IF(C57="SSR",IF(P57&gt;O57,"901","900"),IF(C57="SR",IF(P57&gt;O57,"902","903" ),IF(C57="R",IF(P57&gt;O57,"904","905" ))))</f>
        <v/>
      </c>
      <c r="AA57" s="135" t="n">
        <v>910</v>
      </c>
      <c r="AB57" s="135" t="n"/>
      <c r="AC57" s="135" t="n"/>
      <c r="AD57" s="135" t="n"/>
      <c r="AE57" s="135" t="n"/>
      <c r="AF57" s="135" t="n"/>
      <c r="AG57" s="135" t="n"/>
      <c r="AH57" s="135" t="n"/>
      <c r="AI57" s="135" t="n"/>
      <c r="AJ57" s="135" t="n"/>
      <c r="AK57" s="135" t="n"/>
    </row>
    <row r="58" ht="16.5" customHeight="1" s="142">
      <c r="A58" s="52" t="n">
        <v>40005</v>
      </c>
      <c r="B58" s="27" t="inlineStr">
        <is>
          <t>樹精</t>
        </is>
      </c>
      <c r="C58" s="52" t="inlineStr">
        <is>
          <t>R</t>
        </is>
      </c>
      <c r="D58" s="52" t="inlineStr">
        <is>
          <t>monster</t>
        </is>
      </c>
      <c r="E58" s="52">
        <f>IF(O58&gt;P58,"物攻","魔攻")</f>
        <v/>
      </c>
      <c r="F58" s="68">
        <f>"1,1"</f>
        <v/>
      </c>
      <c r="G58" s="27" t="n">
        <v>64</v>
      </c>
      <c r="H58" s="52" t="n"/>
      <c r="I58" s="52" t="n">
        <v>110011</v>
      </c>
      <c r="J58" s="52" t="n">
        <v>400005</v>
      </c>
      <c r="K58" s="52" t="n">
        <v>410005</v>
      </c>
      <c r="L58" s="55" t="n">
        <v>2</v>
      </c>
      <c r="M58" s="52" t="n"/>
      <c r="N58" s="52" t="n">
        <v>480</v>
      </c>
      <c r="O58" s="52" t="n">
        <v>7</v>
      </c>
      <c r="P58" s="52" t="n">
        <v>43</v>
      </c>
      <c r="Q58" s="52" t="n">
        <v>20</v>
      </c>
      <c r="R58" s="52" t="n">
        <v>35</v>
      </c>
      <c r="S58" s="52" t="n">
        <v>57</v>
      </c>
      <c r="T58" s="52" t="n">
        <v>8</v>
      </c>
      <c r="U58" s="69" t="n"/>
      <c r="V58" s="70">
        <f>N58*0.5+O58+P58+Q58+R58+S58+T58*5</f>
        <v/>
      </c>
      <c r="W58" s="135">
        <f>IF(C58="R",0.08,IF(C58="SR",0.02,IF(C58="SSR",0.01)))</f>
        <v/>
      </c>
      <c r="X58" s="135" t="n"/>
      <c r="Y58" s="21" t="n"/>
      <c r="Z58" s="135">
        <f>IF(C58="SSR",IF(P58&gt;O58,"901","900"),IF(C58="SR",IF(P58&gt;O58,"902","903" ),IF(C58="R",IF(P58&gt;O58,"904","905" ))))</f>
        <v/>
      </c>
      <c r="AA58" s="135" t="n">
        <v>910</v>
      </c>
      <c r="AB58" s="135" t="n"/>
      <c r="AC58" s="135" t="n"/>
      <c r="AD58" s="135" t="n"/>
      <c r="AE58" s="135" t="n"/>
      <c r="AF58" s="135" t="n"/>
      <c r="AG58" s="135" t="n"/>
      <c r="AH58" s="135" t="n"/>
      <c r="AI58" s="135" t="n"/>
      <c r="AJ58" s="135" t="n"/>
      <c r="AK58" s="135" t="n"/>
    </row>
    <row r="59" ht="16.5" customHeight="1" s="142">
      <c r="A59" s="52" t="n">
        <v>40006</v>
      </c>
      <c r="B59" s="27" t="inlineStr">
        <is>
          <t>尖刺鼠</t>
        </is>
      </c>
      <c r="C59" s="52" t="inlineStr">
        <is>
          <t>R</t>
        </is>
      </c>
      <c r="D59" s="52" t="inlineStr">
        <is>
          <t>monster</t>
        </is>
      </c>
      <c r="E59" s="52">
        <f>IF(O59&gt;P59,"物攻","魔攻")</f>
        <v/>
      </c>
      <c r="F59" s="68">
        <f>"1,1"</f>
        <v/>
      </c>
      <c r="G59" s="27" t="n">
        <v>62</v>
      </c>
      <c r="H59" s="52" t="n"/>
      <c r="I59" s="52" t="n">
        <v>110001</v>
      </c>
      <c r="J59" s="52" t="n">
        <v>400006</v>
      </c>
      <c r="K59" s="52" t="n">
        <v>410006</v>
      </c>
      <c r="L59" s="55" t="n">
        <v>3</v>
      </c>
      <c r="M59" s="52" t="n"/>
      <c r="N59" s="52" t="n">
        <v>450</v>
      </c>
      <c r="O59" s="52" t="n">
        <v>46</v>
      </c>
      <c r="P59" s="52" t="n">
        <v>9</v>
      </c>
      <c r="Q59" s="52" t="n">
        <v>19</v>
      </c>
      <c r="R59" s="52" t="n">
        <v>19</v>
      </c>
      <c r="S59" s="52" t="n">
        <v>57</v>
      </c>
      <c r="T59" s="52" t="n">
        <v>8</v>
      </c>
      <c r="U59" s="69" t="n"/>
      <c r="V59" s="70">
        <f>N59*0.5+O59+P59+Q59+R59+S59+T59*5</f>
        <v/>
      </c>
      <c r="W59" s="135">
        <f>IF(C59="R",0.08,IF(C59="SR",0.02,IF(C59="SSR",0.01)))</f>
        <v/>
      </c>
      <c r="X59" s="135" t="n"/>
      <c r="Y59" s="21" t="n"/>
      <c r="Z59" s="135">
        <f>IF(C59="SSR",IF(P59&gt;O59,"901","900"),IF(C59="SR",IF(P59&gt;O59,"902","903" ),IF(C59="R",IF(P59&gt;O59,"904","905" ))))</f>
        <v/>
      </c>
      <c r="AA59" s="135" t="n">
        <v>910</v>
      </c>
      <c r="AB59" s="135" t="n"/>
      <c r="AC59" s="135" t="n"/>
      <c r="AD59" s="135" t="n"/>
      <c r="AE59" s="135" t="n"/>
      <c r="AF59" s="135" t="n"/>
      <c r="AG59" s="135" t="n"/>
      <c r="AH59" s="135" t="n"/>
      <c r="AI59" s="135" t="n"/>
      <c r="AJ59" s="135" t="n"/>
      <c r="AK59" s="135" t="n"/>
    </row>
    <row r="60" ht="16.5" customHeight="1" s="142">
      <c r="A60" s="52" t="n">
        <v>40007</v>
      </c>
      <c r="B60" s="27" t="inlineStr">
        <is>
          <t>符文龜</t>
        </is>
      </c>
      <c r="C60" s="52" t="inlineStr">
        <is>
          <t>R</t>
        </is>
      </c>
      <c r="D60" s="52" t="inlineStr">
        <is>
          <t>monster</t>
        </is>
      </c>
      <c r="E60" s="52">
        <f>IF(O60&gt;P60,"物攻","魔攻")</f>
        <v/>
      </c>
      <c r="F60" s="68">
        <f>"1,1"</f>
        <v/>
      </c>
      <c r="G60" s="27" t="n">
        <v>67</v>
      </c>
      <c r="H60" s="52" t="n"/>
      <c r="I60" s="52" t="n">
        <v>110012</v>
      </c>
      <c r="J60" s="52" t="n">
        <v>400007</v>
      </c>
      <c r="K60" s="52" t="n">
        <v>410007</v>
      </c>
      <c r="L60" s="55" t="n">
        <v>1</v>
      </c>
      <c r="M60" s="52" t="n"/>
      <c r="N60" s="52" t="n">
        <v>500</v>
      </c>
      <c r="O60" s="52" t="n">
        <v>3</v>
      </c>
      <c r="P60" s="52" t="n">
        <v>55</v>
      </c>
      <c r="Q60" s="52" t="n">
        <v>21</v>
      </c>
      <c r="R60" s="52" t="n">
        <v>38</v>
      </c>
      <c r="S60" s="52" t="n">
        <v>57</v>
      </c>
      <c r="T60" s="52" t="n">
        <v>8</v>
      </c>
      <c r="U60" s="69" t="n"/>
      <c r="V60" s="70">
        <f>N60*0.5+O60+P60+Q60+R60+S60+T60*5</f>
        <v/>
      </c>
      <c r="W60" s="135">
        <f>IF(C60="R",0.08,IF(C60="SR",0.02,IF(C60="SSR",0.01)))</f>
        <v/>
      </c>
      <c r="X60" s="135" t="n"/>
      <c r="Y60" s="21" t="n"/>
      <c r="Z60" s="135">
        <f>IF(C60="SSR",IF(P60&gt;O60,"901","900"),IF(C60="SR",IF(P60&gt;O60,"902","903" ),IF(C60="R",IF(P60&gt;O60,"904","905" ))))</f>
        <v/>
      </c>
      <c r="AA60" s="135" t="n">
        <v>910</v>
      </c>
      <c r="AB60" s="135" t="n"/>
      <c r="AC60" s="135" t="n"/>
      <c r="AD60" s="135" t="n"/>
      <c r="AE60" s="135" t="n"/>
      <c r="AF60" s="135" t="n"/>
      <c r="AG60" s="135" t="n"/>
      <c r="AH60" s="135" t="n"/>
      <c r="AI60" s="135" t="n"/>
      <c r="AJ60" s="135" t="n"/>
      <c r="AK60" s="135" t="n"/>
    </row>
    <row r="61" ht="16.5" customHeight="1" s="142">
      <c r="A61" s="52" t="n">
        <v>40008</v>
      </c>
      <c r="B61" s="27" t="inlineStr">
        <is>
          <t>利爪貓</t>
        </is>
      </c>
      <c r="C61" s="52" t="inlineStr">
        <is>
          <t>R</t>
        </is>
      </c>
      <c r="D61" s="52" t="inlineStr">
        <is>
          <t>monster</t>
        </is>
      </c>
      <c r="E61" s="52">
        <f>IF(O61&gt;P61,"物攻","魔攻")</f>
        <v/>
      </c>
      <c r="F61" s="68">
        <f>"1,1"</f>
        <v/>
      </c>
      <c r="G61" s="27" t="n">
        <v>62</v>
      </c>
      <c r="H61" s="52" t="n"/>
      <c r="I61" s="52" t="n">
        <v>110002</v>
      </c>
      <c r="J61" s="52" t="n">
        <v>400008</v>
      </c>
      <c r="K61" s="52" t="n">
        <v>410008</v>
      </c>
      <c r="L61" s="55" t="n">
        <v>1</v>
      </c>
      <c r="M61" s="52" t="n"/>
      <c r="N61" s="52" t="n">
        <v>470</v>
      </c>
      <c r="O61" s="52" t="n">
        <v>53</v>
      </c>
      <c r="P61" s="52" t="n">
        <v>9</v>
      </c>
      <c r="Q61" s="52" t="n">
        <v>33</v>
      </c>
      <c r="R61" s="52" t="n">
        <v>29</v>
      </c>
      <c r="S61" s="52" t="n">
        <v>57</v>
      </c>
      <c r="T61" s="52" t="n">
        <v>8</v>
      </c>
      <c r="U61" s="69" t="n"/>
      <c r="V61" s="70">
        <f>N61*0.5+O61+P61+Q61+R61+S61+T61*5</f>
        <v/>
      </c>
      <c r="W61" s="135">
        <f>IF(C61="R",0.08,IF(C61="SR",0.02,IF(C61="SSR",0.01)))</f>
        <v/>
      </c>
      <c r="X61" s="135" t="n"/>
      <c r="Y61" s="21" t="n"/>
      <c r="Z61" s="135">
        <f>IF(C61="SSR",IF(P61&gt;O61,"901","900"),IF(C61="SR",IF(P61&gt;O61,"902","903" ),IF(C61="R",IF(P61&gt;O61,"904","905" ))))</f>
        <v/>
      </c>
      <c r="AA61" s="135" t="n">
        <v>910</v>
      </c>
      <c r="AB61" s="135" t="n"/>
      <c r="AC61" s="135" t="n"/>
      <c r="AD61" s="135" t="n"/>
      <c r="AE61" s="135" t="n"/>
      <c r="AF61" s="135" t="n"/>
      <c r="AG61" s="135" t="n"/>
      <c r="AH61" s="135" t="n"/>
      <c r="AI61" s="135" t="n"/>
      <c r="AJ61" s="135" t="n"/>
      <c r="AK61" s="135" t="n"/>
    </row>
    <row r="62" ht="16.5" customHeight="1" s="142">
      <c r="A62" s="52" t="n">
        <v>40009</v>
      </c>
      <c r="B62" s="27" t="inlineStr">
        <is>
          <t>火焰雞</t>
        </is>
      </c>
      <c r="C62" s="52" t="inlineStr">
        <is>
          <t>R</t>
        </is>
      </c>
      <c r="D62" s="52" t="inlineStr">
        <is>
          <t>monster</t>
        </is>
      </c>
      <c r="E62" s="52">
        <f>IF(O62&gt;P62,"物攻","魔攻")</f>
        <v/>
      </c>
      <c r="F62" s="68">
        <f>"1,1"</f>
        <v/>
      </c>
      <c r="G62" s="27" t="n">
        <v>64</v>
      </c>
      <c r="H62" s="52" t="n"/>
      <c r="I62" s="52" t="n">
        <v>110011</v>
      </c>
      <c r="J62" s="52" t="n">
        <v>400009</v>
      </c>
      <c r="K62" s="52" t="n">
        <v>410009</v>
      </c>
      <c r="L62" s="55" t="n">
        <v>2</v>
      </c>
      <c r="M62" s="52" t="n"/>
      <c r="N62" s="52" t="n">
        <v>490</v>
      </c>
      <c r="O62" s="52" t="n">
        <v>12</v>
      </c>
      <c r="P62" s="52" t="n">
        <v>55</v>
      </c>
      <c r="Q62" s="52" t="n">
        <v>17</v>
      </c>
      <c r="R62" s="52" t="n">
        <v>37</v>
      </c>
      <c r="S62" s="52" t="n">
        <v>57</v>
      </c>
      <c r="T62" s="52" t="n">
        <v>8</v>
      </c>
      <c r="U62" s="69" t="n"/>
      <c r="V62" s="70">
        <f>N62*0.5+O62+P62+Q62+R62+S62+T62*5</f>
        <v/>
      </c>
      <c r="W62" s="135">
        <f>IF(C62="R",0.08,IF(C62="SR",0.02,IF(C62="SSR",0.01)))</f>
        <v/>
      </c>
      <c r="X62" s="135" t="n"/>
      <c r="Y62" s="21" t="n"/>
      <c r="Z62" s="135">
        <f>IF(C62="SSR",IF(P62&gt;O62,"901","900"),IF(C62="SR",IF(P62&gt;O62,"902","903" ),IF(C62="R",IF(P62&gt;O62,"904","905" ))))</f>
        <v/>
      </c>
      <c r="AA62" s="135" t="n">
        <v>910</v>
      </c>
      <c r="AB62" s="135" t="n"/>
      <c r="AC62" s="135" t="n"/>
      <c r="AD62" s="135" t="n"/>
      <c r="AE62" s="135" t="n"/>
      <c r="AF62" s="135" t="n"/>
      <c r="AG62" s="135" t="n"/>
      <c r="AH62" s="135" t="n"/>
      <c r="AI62" s="135" t="n"/>
      <c r="AJ62" s="135" t="n"/>
      <c r="AK62" s="135" t="n"/>
    </row>
    <row r="63" ht="16.5" customHeight="1" s="142">
      <c r="A63" s="52" t="n">
        <v>40010</v>
      </c>
      <c r="B63" s="27" t="inlineStr">
        <is>
          <t>草精</t>
        </is>
      </c>
      <c r="C63" s="52" t="inlineStr">
        <is>
          <t>R</t>
        </is>
      </c>
      <c r="D63" s="52" t="inlineStr">
        <is>
          <t>monster</t>
        </is>
      </c>
      <c r="E63" s="52">
        <f>IF(O63&gt;P63,"物攻","魔攻")</f>
        <v/>
      </c>
      <c r="F63" s="68">
        <f>"1,1"</f>
        <v/>
      </c>
      <c r="G63" s="27" t="n">
        <v>64</v>
      </c>
      <c r="H63" s="52" t="n"/>
      <c r="I63" s="52" t="n">
        <v>110012</v>
      </c>
      <c r="J63" s="52" t="n">
        <v>400010</v>
      </c>
      <c r="K63" s="52" t="n">
        <v>410010</v>
      </c>
      <c r="L63" s="55" t="n">
        <v>1</v>
      </c>
      <c r="M63" s="52" t="n"/>
      <c r="N63" s="52" t="n">
        <v>660</v>
      </c>
      <c r="O63" s="52" t="n">
        <v>15</v>
      </c>
      <c r="P63" s="52" t="n">
        <v>47</v>
      </c>
      <c r="Q63" s="52" t="n">
        <v>39</v>
      </c>
      <c r="R63" s="52" t="n">
        <v>27</v>
      </c>
      <c r="S63" s="52" t="n">
        <v>57</v>
      </c>
      <c r="T63" s="52" t="n">
        <v>8</v>
      </c>
      <c r="U63" s="69" t="n"/>
      <c r="V63" s="70">
        <f>N63*0.5+O63+P63+Q63+R63+S63+T63*5</f>
        <v/>
      </c>
      <c r="W63" s="135">
        <f>IF(C63="R",0.08,IF(C63="SR",0.02,IF(C63="SSR",0.01)))</f>
        <v/>
      </c>
      <c r="X63" s="135" t="n"/>
      <c r="Y63" s="21" t="n"/>
      <c r="Z63" s="135">
        <f>IF(C63="SSR",IF(P63&gt;O63,"901","900"),IF(C63="SR",IF(P63&gt;O63,"902","903" ),IF(C63="R",IF(P63&gt;O63,"904","905" ))))</f>
        <v/>
      </c>
      <c r="AA63" s="135" t="n">
        <v>910</v>
      </c>
      <c r="AB63" s="135" t="n"/>
      <c r="AC63" s="135" t="n"/>
      <c r="AD63" s="135" t="n"/>
      <c r="AE63" s="135" t="n"/>
      <c r="AF63" s="135" t="n"/>
      <c r="AG63" s="135" t="n"/>
      <c r="AH63" s="135" t="n"/>
      <c r="AI63" s="135" t="n"/>
      <c r="AJ63" s="135" t="n"/>
      <c r="AK63" s="135" t="n"/>
    </row>
    <row r="64" ht="16.5" customHeight="1" s="142">
      <c r="A64" s="52" t="n">
        <v>40011</v>
      </c>
      <c r="B64" s="137" t="inlineStr">
        <is>
          <t>天使史萊姆</t>
        </is>
      </c>
      <c r="C64" s="52" t="inlineStr">
        <is>
          <t>R</t>
        </is>
      </c>
      <c r="D64" s="52" t="inlineStr">
        <is>
          <t>monster</t>
        </is>
      </c>
      <c r="E64" s="52">
        <f>IF(O64&gt;P64,"物攻","魔攻")</f>
        <v/>
      </c>
      <c r="F64" s="68">
        <f>"1,1"</f>
        <v/>
      </c>
      <c r="G64" s="27" t="n">
        <v>63</v>
      </c>
      <c r="H64" s="52" t="n"/>
      <c r="I64" s="52" t="n">
        <v>110012</v>
      </c>
      <c r="J64" s="52" t="n">
        <v>400011</v>
      </c>
      <c r="K64" s="52" t="n">
        <v>410011</v>
      </c>
      <c r="L64" s="55" t="n">
        <v>1</v>
      </c>
      <c r="M64" s="52" t="n"/>
      <c r="N64" s="52" t="n">
        <v>760</v>
      </c>
      <c r="O64" s="52" t="n">
        <v>15</v>
      </c>
      <c r="P64" s="52" t="n">
        <v>40</v>
      </c>
      <c r="Q64" s="52" t="n">
        <v>20</v>
      </c>
      <c r="R64" s="52" t="n">
        <v>19</v>
      </c>
      <c r="S64" s="52" t="n">
        <v>57</v>
      </c>
      <c r="T64" s="52" t="n">
        <v>8</v>
      </c>
      <c r="U64" s="77" t="n">
        <v>5</v>
      </c>
      <c r="V64" s="70">
        <f>N64*0.5+O64+P64+Q64+R64+S64+T64*5</f>
        <v/>
      </c>
      <c r="W64" s="135">
        <f>IF(C64="R",0.08,IF(C64="SR",0.02,IF(C64="SSR",0.01)))</f>
        <v/>
      </c>
      <c r="X64" s="68" t="n"/>
      <c r="Y64" s="52" t="n"/>
      <c r="Z64" s="135">
        <f>IF(C64="SSR",IF(P64&gt;O64,"901","900"),IF(C64="SR",IF(P64&gt;O64,"902","903" ),IF(C64="R",IF(P64&gt;O64,"904","905" ))))</f>
        <v/>
      </c>
      <c r="AA64" s="135" t="n">
        <v>910</v>
      </c>
      <c r="AB64" s="68" t="n"/>
      <c r="AC64" s="52" t="n"/>
      <c r="AD64" s="68" t="n"/>
      <c r="AE64" s="52" t="n"/>
      <c r="AF64" s="68" t="n"/>
      <c r="AG64" s="52" t="n"/>
      <c r="AH64" s="68" t="n"/>
      <c r="AI64" s="52" t="n"/>
      <c r="AJ64" s="68" t="n"/>
      <c r="AK64" s="68" t="n"/>
    </row>
    <row r="65" ht="16.5" customHeight="1" s="142">
      <c r="A65" s="52" t="n">
        <v>40012</v>
      </c>
      <c r="B65" s="137" t="inlineStr">
        <is>
          <t>史萊姆</t>
        </is>
      </c>
      <c r="C65" s="52" t="inlineStr">
        <is>
          <t>R</t>
        </is>
      </c>
      <c r="D65" s="52" t="inlineStr">
        <is>
          <t>monster</t>
        </is>
      </c>
      <c r="E65" s="52">
        <f>IF(O65&gt;P65,"物攻","魔攻")</f>
        <v/>
      </c>
      <c r="F65" s="68">
        <f>"1,1"</f>
        <v/>
      </c>
      <c r="G65" s="27" t="n">
        <v>63</v>
      </c>
      <c r="H65" s="52" t="n"/>
      <c r="I65" s="52" t="n">
        <v>110012</v>
      </c>
      <c r="J65" s="52" t="n">
        <v>400011</v>
      </c>
      <c r="K65" s="52" t="n">
        <v>410011</v>
      </c>
      <c r="L65" s="55" t="n">
        <v>1</v>
      </c>
      <c r="M65" s="52" t="n"/>
      <c r="N65" s="52" t="n">
        <v>760</v>
      </c>
      <c r="O65" s="52" t="n">
        <v>15</v>
      </c>
      <c r="P65" s="52" t="n">
        <v>40</v>
      </c>
      <c r="Q65" s="52" t="n">
        <v>20</v>
      </c>
      <c r="R65" s="52" t="n">
        <v>19</v>
      </c>
      <c r="S65" s="52" t="n">
        <v>57</v>
      </c>
      <c r="T65" s="52" t="n">
        <v>8</v>
      </c>
      <c r="U65" s="77" t="n">
        <v>5</v>
      </c>
      <c r="V65" s="70">
        <f>N65*0.5+O65+P65+Q65+R65+S65+T65*5</f>
        <v/>
      </c>
      <c r="W65" s="135">
        <f>IF(C65="R",0.08,IF(C65="SR",0.02,IF(C65="SSR",0.01)))</f>
        <v/>
      </c>
      <c r="X65" s="68" t="n"/>
      <c r="Y65" s="52" t="n"/>
      <c r="Z65" s="135">
        <f>IF(C65="SSR",IF(P65&gt;O65,"901","900"),IF(C65="SR",IF(P65&gt;O65,"902","903" ),IF(C65="R",IF(P65&gt;O65,"904","905" ))))</f>
        <v/>
      </c>
      <c r="AA65" s="135" t="n">
        <v>910</v>
      </c>
      <c r="AB65" s="68" t="n"/>
      <c r="AC65" s="52" t="n"/>
      <c r="AD65" s="68" t="n"/>
      <c r="AE65" s="52" t="n"/>
      <c r="AF65" s="68" t="n"/>
      <c r="AG65" s="52" t="n"/>
      <c r="AH65" s="68" t="n"/>
      <c r="AI65" s="52" t="n"/>
      <c r="AJ65" s="68" t="n"/>
      <c r="AK65" s="68" t="n"/>
    </row>
    <row r="66" ht="16.5" customHeight="1" s="142">
      <c r="A66" s="52" t="n">
        <v>40013</v>
      </c>
      <c r="B66" s="137" t="inlineStr">
        <is>
          <t>冰凍史萊姆</t>
        </is>
      </c>
      <c r="C66" s="52" t="inlineStr">
        <is>
          <t>R</t>
        </is>
      </c>
      <c r="D66" s="52" t="inlineStr">
        <is>
          <t>monster</t>
        </is>
      </c>
      <c r="E66" s="52">
        <f>IF(O66&gt;P66,"物攻","魔攻")</f>
        <v/>
      </c>
      <c r="F66" s="68">
        <f>"1,1"</f>
        <v/>
      </c>
      <c r="G66" s="27" t="n">
        <v>63</v>
      </c>
      <c r="H66" s="52" t="n"/>
      <c r="I66" s="52" t="n">
        <v>110012</v>
      </c>
      <c r="J66" s="52" t="n">
        <v>400013</v>
      </c>
      <c r="K66" s="52" t="n">
        <v>410011</v>
      </c>
      <c r="L66" s="55" t="n">
        <v>1</v>
      </c>
      <c r="M66" s="52" t="n"/>
      <c r="N66" s="52" t="n">
        <v>710</v>
      </c>
      <c r="O66" s="52" t="n">
        <v>15</v>
      </c>
      <c r="P66" s="52" t="n">
        <v>44</v>
      </c>
      <c r="Q66" s="52" t="n">
        <v>18</v>
      </c>
      <c r="R66" s="52" t="n">
        <v>22</v>
      </c>
      <c r="S66" s="52" t="n">
        <v>57</v>
      </c>
      <c r="T66" s="52" t="n">
        <v>8</v>
      </c>
      <c r="U66" s="77" t="n">
        <v>5</v>
      </c>
      <c r="V66" s="70">
        <f>N66*0.5+O66+P66+Q66+R66+S66+T66*5</f>
        <v/>
      </c>
      <c r="W66" s="135">
        <f>IF(C66="R",0.08,IF(C66="SR",0.02,IF(C66="SSR",0.01)))</f>
        <v/>
      </c>
      <c r="X66" s="68" t="n"/>
      <c r="Y66" s="52" t="n"/>
      <c r="Z66" s="135">
        <f>IF(C66="SSR",IF(P66&gt;O66,"901","900"),IF(C66="SR",IF(P66&gt;O66,"902","903" ),IF(C66="R",IF(P66&gt;O66,"904","905" ))))</f>
        <v/>
      </c>
      <c r="AA66" s="135" t="n">
        <v>910</v>
      </c>
      <c r="AB66" s="68" t="n"/>
      <c r="AC66" s="52" t="n"/>
      <c r="AD66" s="68" t="n"/>
      <c r="AE66" s="52" t="n"/>
      <c r="AF66" s="68" t="n"/>
      <c r="AG66" s="52" t="n"/>
      <c r="AH66" s="68" t="n"/>
      <c r="AI66" s="52" t="n"/>
      <c r="AJ66" s="68" t="n"/>
      <c r="AK66" s="68" t="n"/>
    </row>
    <row r="67" ht="16.5" customHeight="1" s="142">
      <c r="A67" s="52" t="n">
        <v>40014</v>
      </c>
      <c r="B67" s="137" t="inlineStr">
        <is>
          <t>火焰史萊姆</t>
        </is>
      </c>
      <c r="C67" s="52" t="inlineStr">
        <is>
          <t>R</t>
        </is>
      </c>
      <c r="D67" s="52" t="inlineStr">
        <is>
          <t>monster</t>
        </is>
      </c>
      <c r="E67" s="52">
        <f>IF(O67&gt;P67,"物攻","魔攻")</f>
        <v/>
      </c>
      <c r="F67" s="68">
        <f>"1,1"</f>
        <v/>
      </c>
      <c r="G67" s="27" t="n">
        <v>63</v>
      </c>
      <c r="H67" s="52" t="n"/>
      <c r="I67" s="52" t="n">
        <v>110012</v>
      </c>
      <c r="J67" s="52" t="n">
        <v>400012</v>
      </c>
      <c r="K67" s="52" t="n">
        <v>410009</v>
      </c>
      <c r="L67" s="55" t="n">
        <v>2</v>
      </c>
      <c r="M67" s="52" t="n"/>
      <c r="N67" s="52" t="n">
        <v>720</v>
      </c>
      <c r="O67" s="52" t="n">
        <v>15</v>
      </c>
      <c r="P67" s="52" t="n">
        <v>48</v>
      </c>
      <c r="Q67" s="52" t="n">
        <v>22</v>
      </c>
      <c r="R67" s="52" t="n">
        <v>19</v>
      </c>
      <c r="S67" s="52" t="n">
        <v>57</v>
      </c>
      <c r="T67" s="52" t="n">
        <v>8</v>
      </c>
      <c r="U67" s="77" t="n">
        <v>5</v>
      </c>
      <c r="V67" s="70">
        <f>N67*0.5+O67+P67+Q67+R67+S67+T67*5</f>
        <v/>
      </c>
      <c r="W67" s="135">
        <f>IF(C67="R",0.08,IF(C67="SR",0.02,IF(C67="SSR",0.01)))</f>
        <v/>
      </c>
      <c r="X67" s="68" t="n"/>
      <c r="Y67" s="52" t="n"/>
      <c r="Z67" s="135">
        <f>IF(C67="SSR",IF(P67&gt;O67,"901","900"),IF(C67="SR",IF(P67&gt;O67,"902","903" ),IF(C67="R",IF(P67&gt;O67,"904","905" ))))</f>
        <v/>
      </c>
      <c r="AA67" s="135" t="n">
        <v>910</v>
      </c>
      <c r="AB67" s="68" t="n"/>
      <c r="AC67" s="52" t="n"/>
      <c r="AD67" s="68" t="n"/>
      <c r="AE67" s="52" t="n"/>
      <c r="AF67" s="68" t="n"/>
      <c r="AG67" s="52" t="n"/>
      <c r="AH67" s="68" t="n"/>
      <c r="AI67" s="52" t="n"/>
      <c r="AJ67" s="68" t="n"/>
      <c r="AK67" s="68" t="n"/>
    </row>
    <row r="68" ht="16.5" customHeight="1" s="142">
      <c r="A68" s="52" t="n">
        <v>40015</v>
      </c>
      <c r="B68" s="137" t="inlineStr">
        <is>
          <t>沼澤史萊姆</t>
        </is>
      </c>
      <c r="C68" s="52" t="inlineStr">
        <is>
          <t>R</t>
        </is>
      </c>
      <c r="D68" s="52" t="inlineStr">
        <is>
          <t>monster</t>
        </is>
      </c>
      <c r="E68" s="52">
        <f>IF(O68&gt;P68,"物攻","魔攻")</f>
        <v/>
      </c>
      <c r="F68" s="68">
        <f>"1,1"</f>
        <v/>
      </c>
      <c r="G68" s="27" t="n">
        <v>63</v>
      </c>
      <c r="H68" s="52" t="n"/>
      <c r="I68" s="52" t="n">
        <v>110011</v>
      </c>
      <c r="J68" s="52" t="n">
        <v>400014</v>
      </c>
      <c r="K68" s="52" t="n">
        <v>410006</v>
      </c>
      <c r="L68" s="55" t="n">
        <v>3</v>
      </c>
      <c r="M68" s="52" t="n"/>
      <c r="N68" s="52" t="n">
        <v>670</v>
      </c>
      <c r="O68" s="52" t="n">
        <v>49</v>
      </c>
      <c r="P68" s="52" t="n">
        <v>12</v>
      </c>
      <c r="Q68" s="52" t="n">
        <v>20</v>
      </c>
      <c r="R68" s="52" t="n">
        <v>19</v>
      </c>
      <c r="S68" s="52" t="n">
        <v>57</v>
      </c>
      <c r="T68" s="52" t="n">
        <v>8</v>
      </c>
      <c r="U68" s="77" t="n">
        <v>5</v>
      </c>
      <c r="V68" s="70">
        <f>N68*0.5+O68+P68+Q68+R68+S68+T68*5</f>
        <v/>
      </c>
      <c r="W68" s="135">
        <f>IF(C68="R",0.08,IF(C68="SR",0.02,IF(C68="SSR",0.01)))</f>
        <v/>
      </c>
      <c r="X68" s="68" t="n"/>
      <c r="Y68" s="52" t="n"/>
      <c r="Z68" s="135">
        <f>IF(C68="SSR",IF(P68&gt;O68,"901","900"),IF(C68="SR",IF(P68&gt;O68,"902","903" ),IF(C68="R",IF(P68&gt;O68,"904","905" ))))</f>
        <v/>
      </c>
      <c r="AA68" s="135" t="n">
        <v>910</v>
      </c>
      <c r="AB68" s="68" t="n"/>
      <c r="AC68" s="52" t="n"/>
      <c r="AD68" s="68" t="n"/>
      <c r="AE68" s="52" t="n"/>
      <c r="AF68" s="68" t="n"/>
      <c r="AG68" s="52" t="n"/>
      <c r="AH68" s="68" t="n"/>
      <c r="AI68" s="52" t="n"/>
      <c r="AJ68" s="68" t="n"/>
      <c r="AK68" s="68" t="n"/>
    </row>
    <row r="69" ht="16.5" customHeight="1" s="142">
      <c r="A69" s="52" t="n">
        <v>40016</v>
      </c>
      <c r="B69" s="137" t="inlineStr">
        <is>
          <t>金屬史萊姆</t>
        </is>
      </c>
      <c r="C69" s="52" t="inlineStr">
        <is>
          <t>R</t>
        </is>
      </c>
      <c r="D69" s="52" t="inlineStr">
        <is>
          <t>monster</t>
        </is>
      </c>
      <c r="E69" s="52">
        <f>IF(O69&gt;P69,"物攻","魔攻")</f>
        <v/>
      </c>
      <c r="F69" s="68">
        <f>"1,1"</f>
        <v/>
      </c>
      <c r="G69" s="27" t="n">
        <v>63</v>
      </c>
      <c r="H69" s="52" t="n"/>
      <c r="I69" s="52" t="n">
        <v>110001</v>
      </c>
      <c r="J69" s="52" t="n">
        <v>400015</v>
      </c>
      <c r="K69" s="52" t="n">
        <v>410012</v>
      </c>
      <c r="L69" s="55" t="n">
        <v>1</v>
      </c>
      <c r="M69" s="52" t="n"/>
      <c r="N69" s="52" t="n">
        <v>790</v>
      </c>
      <c r="O69" s="52" t="n">
        <v>45</v>
      </c>
      <c r="P69" s="52" t="n">
        <v>11</v>
      </c>
      <c r="Q69" s="52" t="n">
        <v>40</v>
      </c>
      <c r="R69" s="52" t="n">
        <v>32</v>
      </c>
      <c r="S69" s="52" t="n">
        <v>57</v>
      </c>
      <c r="T69" s="52" t="n">
        <v>8</v>
      </c>
      <c r="U69" s="77" t="n"/>
      <c r="V69" s="70">
        <f>N69*0.5+O69+P69+Q69+R69+S69+T69*5</f>
        <v/>
      </c>
      <c r="W69" s="135">
        <f>IF(C69="R",0.08,IF(C69="SR",0.02,IF(C69="SSR",0.01)))</f>
        <v/>
      </c>
      <c r="X69" s="68" t="n"/>
      <c r="Y69" s="52" t="n"/>
      <c r="Z69" s="135">
        <f>IF(C69="SSR",IF(P69&gt;O69,"901","900"),IF(C69="SR",IF(P69&gt;O69,"902","903" ),IF(C69="R",IF(P69&gt;O69,"904","905" ))))</f>
        <v/>
      </c>
      <c r="AA69" s="135" t="n">
        <v>910</v>
      </c>
      <c r="AB69" s="68" t="n"/>
      <c r="AC69" s="52" t="n"/>
      <c r="AD69" s="68" t="n"/>
      <c r="AE69" s="52" t="n"/>
      <c r="AF69" s="68" t="n"/>
      <c r="AG69" s="52" t="n"/>
      <c r="AH69" s="68" t="n"/>
      <c r="AI69" s="52" t="n"/>
      <c r="AJ69" s="68" t="n"/>
      <c r="AK69" s="68" t="n"/>
    </row>
    <row r="70" ht="16.5" customHeight="1" s="142">
      <c r="A70" s="52" t="n">
        <v>40017</v>
      </c>
      <c r="B70" s="27" t="inlineStr">
        <is>
          <t>活化魔導書</t>
        </is>
      </c>
      <c r="C70" s="52" t="inlineStr">
        <is>
          <t>R</t>
        </is>
      </c>
      <c r="D70" s="52" t="inlineStr">
        <is>
          <t>monster</t>
        </is>
      </c>
      <c r="E70" s="143" t="inlineStr">
        <is>
          <t>魔攻</t>
        </is>
      </c>
      <c r="F70" s="68" t="inlineStr">
        <is>
          <t>1,1</t>
        </is>
      </c>
      <c r="G70" s="27" t="n">
        <v>67</v>
      </c>
      <c r="H70" s="52" t="n"/>
      <c r="I70" s="52" t="n">
        <v>110011</v>
      </c>
      <c r="J70" s="52" t="n">
        <v>400011</v>
      </c>
      <c r="K70" s="52" t="n">
        <v>410019</v>
      </c>
      <c r="L70" s="135" t="n">
        <v>1</v>
      </c>
      <c r="M70" s="52" t="n"/>
      <c r="N70" s="52" t="n">
        <v>450</v>
      </c>
      <c r="O70" s="52" t="n">
        <v>9</v>
      </c>
      <c r="P70" s="52" t="n">
        <v>52</v>
      </c>
      <c r="Q70" s="52" t="n">
        <v>19</v>
      </c>
      <c r="R70" s="52" t="n">
        <v>33</v>
      </c>
      <c r="S70" s="52" t="n">
        <v>57</v>
      </c>
      <c r="T70" s="52" t="n">
        <v>8</v>
      </c>
      <c r="U70" s="77" t="n"/>
      <c r="V70" s="70" t="n">
        <v>435</v>
      </c>
      <c r="W70" s="135" t="n">
        <v>0.08</v>
      </c>
      <c r="X70" s="68" t="n"/>
      <c r="Y70" s="52" t="n"/>
      <c r="Z70" s="135" t="inlineStr">
        <is>
          <t>904</t>
        </is>
      </c>
      <c r="AA70" s="135" t="n">
        <v>910</v>
      </c>
      <c r="AB70" s="68" t="n"/>
      <c r="AC70" s="52" t="n"/>
      <c r="AD70" s="68" t="n"/>
      <c r="AE70" s="52" t="n"/>
      <c r="AF70" s="68" t="n"/>
      <c r="AG70" s="52" t="n"/>
      <c r="AH70" s="68" t="n"/>
      <c r="AI70" s="52" t="n"/>
      <c r="AJ70" s="68" t="n"/>
      <c r="AK70" s="68" t="n"/>
    </row>
    <row r="71" ht="16.5" customHeight="1" s="142">
      <c r="A71" s="52" t="n">
        <v>40018</v>
      </c>
      <c r="B71" s="27" t="inlineStr">
        <is>
          <t>魔導失控體</t>
        </is>
      </c>
      <c r="C71" s="52" t="inlineStr">
        <is>
          <t>R</t>
        </is>
      </c>
      <c r="D71" s="52" t="inlineStr">
        <is>
          <t>monster</t>
        </is>
      </c>
      <c r="E71" s="143" t="inlineStr">
        <is>
          <t>魔攻</t>
        </is>
      </c>
      <c r="F71" s="68" t="inlineStr">
        <is>
          <t>1,1</t>
        </is>
      </c>
      <c r="G71" s="27" t="n">
        <v>67</v>
      </c>
      <c r="H71" s="52" t="n"/>
      <c r="I71" s="52" t="n">
        <v>110012</v>
      </c>
      <c r="J71" s="52" t="n">
        <v>400012</v>
      </c>
      <c r="K71" s="52" t="n">
        <v>410021</v>
      </c>
      <c r="L71" s="135" t="n">
        <v>2</v>
      </c>
      <c r="M71" s="52" t="n"/>
      <c r="N71" s="52" t="n">
        <v>510</v>
      </c>
      <c r="O71" s="52" t="n">
        <v>11</v>
      </c>
      <c r="P71" s="52" t="n">
        <v>48</v>
      </c>
      <c r="Q71" s="52" t="n">
        <v>21</v>
      </c>
      <c r="R71" s="52" t="n">
        <v>29</v>
      </c>
      <c r="S71" s="52" t="n">
        <v>57</v>
      </c>
      <c r="T71" s="52" t="n">
        <v>8</v>
      </c>
      <c r="U71" s="77" t="n"/>
      <c r="V71" s="70" t="n">
        <v>461</v>
      </c>
      <c r="W71" s="135" t="n">
        <v>0.08</v>
      </c>
      <c r="X71" s="68" t="n"/>
      <c r="Y71" s="52" t="n"/>
      <c r="Z71" s="135" t="inlineStr">
        <is>
          <t>904</t>
        </is>
      </c>
      <c r="AA71" s="135" t="n">
        <v>910</v>
      </c>
      <c r="AB71" s="68" t="n"/>
      <c r="AC71" s="52" t="n"/>
      <c r="AD71" s="68" t="n"/>
      <c r="AE71" s="52" t="n"/>
      <c r="AF71" s="68" t="n"/>
      <c r="AG71" s="52" t="n"/>
      <c r="AH71" s="68" t="n"/>
      <c r="AI71" s="52" t="n"/>
      <c r="AJ71" s="68" t="n"/>
      <c r="AK71" s="68" t="n"/>
    </row>
    <row r="72" ht="16.5" customHeight="1" s="142">
      <c r="A72" s="52" t="n">
        <v>40019</v>
      </c>
      <c r="B72" s="27" t="inlineStr">
        <is>
          <t>魔能水晶獸</t>
        </is>
      </c>
      <c r="C72" s="52" t="inlineStr">
        <is>
          <t>R</t>
        </is>
      </c>
      <c r="D72" s="52" t="inlineStr">
        <is>
          <t>monster</t>
        </is>
      </c>
      <c r="E72" s="143" t="inlineStr">
        <is>
          <t>魔攻</t>
        </is>
      </c>
      <c r="F72" s="68" t="inlineStr">
        <is>
          <t>1,1</t>
        </is>
      </c>
      <c r="G72" s="27" t="n">
        <v>67</v>
      </c>
      <c r="H72" s="52" t="n"/>
      <c r="I72" s="52" t="n">
        <v>110011</v>
      </c>
      <c r="J72" s="52" t="n">
        <v>400013</v>
      </c>
      <c r="K72" s="52" t="n">
        <v>410001</v>
      </c>
      <c r="L72" s="135" t="n">
        <v>2</v>
      </c>
      <c r="M72" s="52" t="n"/>
      <c r="N72" s="52" t="n">
        <v>620</v>
      </c>
      <c r="O72" s="52" t="n">
        <v>14</v>
      </c>
      <c r="P72" s="52" t="n">
        <v>45</v>
      </c>
      <c r="Q72" s="52" t="n">
        <v>28</v>
      </c>
      <c r="R72" s="52" t="n">
        <v>36</v>
      </c>
      <c r="S72" s="52" t="n">
        <v>57</v>
      </c>
      <c r="T72" s="52" t="n">
        <v>8</v>
      </c>
      <c r="U72" s="77" t="n"/>
      <c r="V72" s="70" t="n">
        <v>530</v>
      </c>
      <c r="W72" s="135" t="n">
        <v>0.08</v>
      </c>
      <c r="X72" s="68" t="n"/>
      <c r="Y72" s="52" t="n"/>
      <c r="Z72" s="135" t="inlineStr">
        <is>
          <t>904</t>
        </is>
      </c>
      <c r="AA72" s="135" t="n">
        <v>910</v>
      </c>
      <c r="AB72" s="68" t="n"/>
      <c r="AC72" s="52" t="n"/>
      <c r="AD72" s="68" t="n"/>
      <c r="AE72" s="52" t="n"/>
      <c r="AF72" s="68" t="n"/>
      <c r="AG72" s="52" t="n"/>
      <c r="AH72" s="68" t="n"/>
      <c r="AI72" s="52" t="n"/>
      <c r="AJ72" s="68" t="n"/>
      <c r="AK72" s="68" t="n"/>
    </row>
    <row r="73" ht="16.5" customHeight="1" s="142">
      <c r="A73" s="52" t="n">
        <v>40020</v>
      </c>
      <c r="B73" s="27" t="inlineStr">
        <is>
          <t>闇影使魔</t>
        </is>
      </c>
      <c r="C73" s="52" t="inlineStr">
        <is>
          <t>R</t>
        </is>
      </c>
      <c r="D73" s="52" t="inlineStr">
        <is>
          <t>monster</t>
        </is>
      </c>
      <c r="E73" s="143" t="inlineStr">
        <is>
          <t>魔攻</t>
        </is>
      </c>
      <c r="F73" s="68" t="inlineStr">
        <is>
          <t>1,1</t>
        </is>
      </c>
      <c r="G73" s="27" t="n">
        <v>66</v>
      </c>
      <c r="H73" s="52" t="n"/>
      <c r="I73" s="52" t="n">
        <v>110012</v>
      </c>
      <c r="J73" s="52" t="n">
        <v>400019</v>
      </c>
      <c r="K73" s="52" t="n">
        <v>410019</v>
      </c>
      <c r="L73" s="135" t="n">
        <v>1</v>
      </c>
      <c r="M73" s="52" t="n"/>
      <c r="N73" s="52" t="n">
        <v>480</v>
      </c>
      <c r="O73" s="52" t="n">
        <v>12</v>
      </c>
      <c r="P73" s="52" t="n">
        <v>50</v>
      </c>
      <c r="Q73" s="52" t="n">
        <v>18</v>
      </c>
      <c r="R73" s="52" t="n">
        <v>28</v>
      </c>
      <c r="S73" s="52" t="n">
        <v>57</v>
      </c>
      <c r="T73" s="52" t="n">
        <v>8</v>
      </c>
      <c r="U73" s="77" t="n"/>
      <c r="V73" s="70" t="n">
        <v>445</v>
      </c>
      <c r="W73" s="135" t="n">
        <v>0.08</v>
      </c>
      <c r="X73" s="68" t="n"/>
      <c r="Y73" s="52" t="n"/>
      <c r="Z73" s="135" t="inlineStr">
        <is>
          <t>904</t>
        </is>
      </c>
      <c r="AA73" s="135" t="n">
        <v>910</v>
      </c>
      <c r="AB73" s="68" t="n"/>
      <c r="AC73" s="52" t="n"/>
      <c r="AD73" s="68" t="n"/>
      <c r="AE73" s="52" t="n"/>
      <c r="AF73" s="68" t="n"/>
      <c r="AG73" s="52" t="n"/>
      <c r="AH73" s="68" t="n"/>
      <c r="AI73" s="52" t="n"/>
      <c r="AJ73" s="68" t="n"/>
      <c r="AK73" s="68" t="n"/>
    </row>
    <row r="74" ht="16.5" customHeight="1" s="142">
      <c r="A74" s="52" t="n">
        <v>40021</v>
      </c>
      <c r="B74" s="27" t="inlineStr">
        <is>
          <t>失控魔像</t>
        </is>
      </c>
      <c r="C74" s="52" t="inlineStr">
        <is>
          <t>R</t>
        </is>
      </c>
      <c r="D74" s="52" t="inlineStr">
        <is>
          <t>monster</t>
        </is>
      </c>
      <c r="E74" s="143" t="inlineStr">
        <is>
          <t>物攻</t>
        </is>
      </c>
      <c r="F74" s="68" t="inlineStr">
        <is>
          <t>1,1</t>
        </is>
      </c>
      <c r="G74" s="27" t="n">
        <v>67</v>
      </c>
      <c r="H74" s="52" t="n"/>
      <c r="I74" s="52" t="n">
        <v>110001</v>
      </c>
      <c r="J74" s="52" t="n">
        <v>400001</v>
      </c>
      <c r="K74" s="52" t="n">
        <v>410020</v>
      </c>
      <c r="L74" s="135" t="n">
        <v>1</v>
      </c>
      <c r="M74" s="52" t="n"/>
      <c r="N74" s="52" t="n">
        <v>750</v>
      </c>
      <c r="O74" s="52" t="n">
        <v>46</v>
      </c>
      <c r="P74" s="52" t="n">
        <v>8</v>
      </c>
      <c r="Q74" s="52" t="n">
        <v>42</v>
      </c>
      <c r="R74" s="52" t="n">
        <v>22</v>
      </c>
      <c r="S74" s="52" t="n">
        <v>57</v>
      </c>
      <c r="T74" s="52" t="n">
        <v>8</v>
      </c>
      <c r="U74" s="77" t="n">
        <v>3</v>
      </c>
      <c r="V74" s="70" t="n">
        <v>590</v>
      </c>
      <c r="W74" s="135" t="n">
        <v>0.08</v>
      </c>
      <c r="X74" s="68" t="n"/>
      <c r="Y74" s="52" t="n"/>
      <c r="Z74" s="135" t="inlineStr">
        <is>
          <t>905</t>
        </is>
      </c>
      <c r="AA74" s="135" t="n">
        <v>910</v>
      </c>
      <c r="AB74" s="68" t="n"/>
      <c r="AC74" s="52" t="n"/>
      <c r="AD74" s="68" t="n"/>
      <c r="AE74" s="52" t="n"/>
      <c r="AF74" s="68" t="n"/>
      <c r="AG74" s="52" t="n"/>
      <c r="AH74" s="68" t="n"/>
      <c r="AI74" s="52" t="n"/>
      <c r="AJ74" s="68" t="n"/>
      <c r="AK74" s="68" t="n"/>
    </row>
    <row r="75" ht="16.5" customHeight="1" s="142">
      <c r="A75" s="52" t="n">
        <v>40022</v>
      </c>
      <c r="B75" s="27" t="inlineStr">
        <is>
          <t>失控冒險者</t>
        </is>
      </c>
      <c r="C75" s="52" t="inlineStr">
        <is>
          <t>R</t>
        </is>
      </c>
      <c r="D75" s="52" t="inlineStr">
        <is>
          <t>monster</t>
        </is>
      </c>
      <c r="E75" s="143" t="inlineStr">
        <is>
          <t>物攻</t>
        </is>
      </c>
      <c r="F75" s="68" t="inlineStr">
        <is>
          <t>1,1</t>
        </is>
      </c>
      <c r="G75" s="27" t="n">
        <v>68</v>
      </c>
      <c r="H75" s="52" t="n"/>
      <c r="I75" s="52" t="n">
        <v>110001</v>
      </c>
      <c r="J75" s="52" t="n">
        <v>400004</v>
      </c>
      <c r="K75" s="52" t="n">
        <v>410013</v>
      </c>
      <c r="L75" s="135" t="n">
        <v>3</v>
      </c>
      <c r="M75" s="52" t="n"/>
      <c r="N75" s="52" t="n">
        <v>550</v>
      </c>
      <c r="O75" s="52" t="n">
        <v>50</v>
      </c>
      <c r="P75" s="52" t="n">
        <v>10</v>
      </c>
      <c r="Q75" s="52" t="n">
        <v>32</v>
      </c>
      <c r="R75" s="52" t="n">
        <v>24</v>
      </c>
      <c r="S75" s="52" t="n">
        <v>57</v>
      </c>
      <c r="T75" s="52" t="n">
        <v>8</v>
      </c>
      <c r="U75" s="77" t="n"/>
      <c r="V75" s="70" t="n">
        <v>488</v>
      </c>
      <c r="W75" s="135" t="n">
        <v>0.08</v>
      </c>
      <c r="X75" s="68" t="n"/>
      <c r="Y75" s="52" t="n"/>
      <c r="Z75" s="135" t="inlineStr">
        <is>
          <t>905</t>
        </is>
      </c>
      <c r="AA75" s="135" t="n">
        <v>910</v>
      </c>
      <c r="AB75" s="68" t="n"/>
      <c r="AC75" s="52" t="n"/>
      <c r="AD75" s="68" t="n"/>
      <c r="AE75" s="52" t="n"/>
      <c r="AF75" s="68" t="n"/>
      <c r="AG75" s="52" t="n"/>
      <c r="AH75" s="68" t="n"/>
      <c r="AI75" s="52" t="n"/>
      <c r="AJ75" s="68" t="n"/>
      <c r="AK75" s="68" t="n"/>
    </row>
    <row r="76" ht="16.5" customHeight="1" s="142">
      <c r="A76" s="52" t="n">
        <v>40023</v>
      </c>
      <c r="B76" s="78" t="inlineStr">
        <is>
          <t>繃帶屍鬼</t>
        </is>
      </c>
      <c r="C76" s="52" t="inlineStr">
        <is>
          <t>R</t>
        </is>
      </c>
      <c r="D76" s="52" t="inlineStr">
        <is>
          <t>monster</t>
        </is>
      </c>
      <c r="E76" s="143" t="inlineStr">
        <is>
          <t>物攻</t>
        </is>
      </c>
      <c r="F76" s="68" t="inlineStr">
        <is>
          <t>1,1</t>
        </is>
      </c>
      <c r="G76" s="27" t="n">
        <v>65</v>
      </c>
      <c r="H76" s="52" t="n"/>
      <c r="I76" s="52" t="n">
        <v>110001</v>
      </c>
      <c r="J76" s="52" t="n">
        <v>400008</v>
      </c>
      <c r="K76" s="52" t="n">
        <v>410006</v>
      </c>
      <c r="L76" s="135" t="n">
        <v>1</v>
      </c>
      <c r="M76" s="52" t="n"/>
      <c r="N76" s="52" t="n">
        <v>580</v>
      </c>
      <c r="O76" s="52" t="n">
        <v>48</v>
      </c>
      <c r="P76" s="52" t="n">
        <v>9</v>
      </c>
      <c r="Q76" s="52" t="n">
        <v>30</v>
      </c>
      <c r="R76" s="52" t="n">
        <v>22</v>
      </c>
      <c r="S76" s="52" t="n">
        <v>57</v>
      </c>
      <c r="T76" s="52" t="n">
        <v>8</v>
      </c>
      <c r="U76" s="77" t="n"/>
      <c r="V76" s="70" t="n">
        <v>496</v>
      </c>
      <c r="W76" s="135" t="n">
        <v>0.08</v>
      </c>
      <c r="X76" s="68" t="n"/>
      <c r="Y76" s="52" t="n"/>
      <c r="Z76" s="135" t="inlineStr">
        <is>
          <t>905</t>
        </is>
      </c>
      <c r="AA76" s="135" t="n">
        <v>910</v>
      </c>
      <c r="AB76" s="68" t="n"/>
      <c r="AC76" s="52" t="n"/>
      <c r="AD76" s="68" t="n"/>
      <c r="AE76" s="52" t="n"/>
      <c r="AF76" s="68" t="n"/>
      <c r="AG76" s="52" t="n"/>
      <c r="AH76" s="68" t="n"/>
      <c r="AI76" s="52" t="n"/>
      <c r="AJ76" s="68" t="n"/>
      <c r="AK76" s="68" t="n"/>
    </row>
    <row r="77" ht="16.5" customHeight="1" s="142">
      <c r="A77" s="52" t="n">
        <v>40024</v>
      </c>
      <c r="B77" s="27" t="inlineStr">
        <is>
          <t>傭兵犬</t>
        </is>
      </c>
      <c r="C77" s="52" t="inlineStr">
        <is>
          <t>R</t>
        </is>
      </c>
      <c r="D77" s="52" t="inlineStr">
        <is>
          <t>monster</t>
        </is>
      </c>
      <c r="E77" s="143" t="inlineStr">
        <is>
          <t>物攻</t>
        </is>
      </c>
      <c r="F77" s="68" t="inlineStr">
        <is>
          <t>1,1</t>
        </is>
      </c>
      <c r="G77" s="27" t="n">
        <v>62</v>
      </c>
      <c r="H77" s="52" t="n"/>
      <c r="I77" s="52" t="n">
        <v>110002</v>
      </c>
      <c r="J77" s="52" t="n">
        <v>400008</v>
      </c>
      <c r="K77" s="52" t="n">
        <v>410017</v>
      </c>
      <c r="L77" s="135" t="n">
        <v>1</v>
      </c>
      <c r="M77" s="52" t="n"/>
      <c r="N77" s="52" t="n">
        <v>460</v>
      </c>
      <c r="O77" s="52" t="n">
        <v>52</v>
      </c>
      <c r="P77" s="52" t="n">
        <v>9</v>
      </c>
      <c r="Q77" s="52" t="n">
        <v>26</v>
      </c>
      <c r="R77" s="52" t="n">
        <v>21</v>
      </c>
      <c r="S77" s="52" t="n">
        <v>57</v>
      </c>
      <c r="T77" s="52" t="n">
        <v>8</v>
      </c>
      <c r="U77" s="77" t="n"/>
      <c r="V77" s="70" t="n">
        <v>435</v>
      </c>
      <c r="W77" s="135" t="n">
        <v>0.08</v>
      </c>
      <c r="X77" s="68" t="n"/>
      <c r="Y77" s="52" t="n"/>
      <c r="Z77" s="135" t="inlineStr">
        <is>
          <t>905</t>
        </is>
      </c>
      <c r="AA77" s="135" t="n">
        <v>910</v>
      </c>
      <c r="AB77" s="68" t="n"/>
      <c r="AC77" s="52" t="n"/>
      <c r="AD77" s="68" t="n"/>
      <c r="AE77" s="52" t="n"/>
      <c r="AF77" s="68" t="n"/>
      <c r="AG77" s="52" t="n"/>
      <c r="AH77" s="68" t="n"/>
      <c r="AI77" s="52" t="n"/>
      <c r="AJ77" s="68" t="n"/>
      <c r="AK77" s="68" t="n"/>
    </row>
    <row r="78" ht="16.5" customHeight="1" s="142">
      <c r="A78" s="52" t="n">
        <v>40025</v>
      </c>
      <c r="B78" s="27" t="inlineStr">
        <is>
          <t>盜匪斥候</t>
        </is>
      </c>
      <c r="C78" s="52" t="inlineStr">
        <is>
          <t>R</t>
        </is>
      </c>
      <c r="D78" s="52" t="inlineStr">
        <is>
          <t>monster</t>
        </is>
      </c>
      <c r="E78" s="143" t="inlineStr">
        <is>
          <t>物攻</t>
        </is>
      </c>
      <c r="F78" s="68" t="inlineStr">
        <is>
          <t>1,1</t>
        </is>
      </c>
      <c r="G78" s="27" t="n">
        <v>68</v>
      </c>
      <c r="H78" s="52" t="n"/>
      <c r="I78" s="52" t="n">
        <v>110002</v>
      </c>
      <c r="J78" s="52" t="n">
        <v>400002</v>
      </c>
      <c r="K78" s="52" t="n">
        <v>410013</v>
      </c>
      <c r="L78" s="135" t="n">
        <v>3</v>
      </c>
      <c r="M78" s="52" t="n"/>
      <c r="N78" s="52" t="n">
        <v>430</v>
      </c>
      <c r="O78" s="52" t="n">
        <v>54</v>
      </c>
      <c r="P78" s="52" t="n">
        <v>11</v>
      </c>
      <c r="Q78" s="52" t="n">
        <v>24</v>
      </c>
      <c r="R78" s="52" t="n">
        <v>19</v>
      </c>
      <c r="S78" s="52" t="n">
        <v>57</v>
      </c>
      <c r="T78" s="52" t="n">
        <v>8</v>
      </c>
      <c r="U78" s="77" t="n"/>
      <c r="V78" s="70" t="n">
        <v>420</v>
      </c>
      <c r="W78" s="135" t="n">
        <v>0.08</v>
      </c>
      <c r="X78" s="68" t="n"/>
      <c r="Y78" s="52" t="n"/>
      <c r="Z78" s="135" t="inlineStr">
        <is>
          <t>905</t>
        </is>
      </c>
      <c r="AA78" s="135" t="n">
        <v>910</v>
      </c>
      <c r="AB78" s="68" t="n"/>
      <c r="AC78" s="52" t="n"/>
      <c r="AD78" s="68" t="n"/>
      <c r="AE78" s="52" t="n"/>
      <c r="AF78" s="68" t="n"/>
      <c r="AG78" s="52" t="n"/>
      <c r="AH78" s="68" t="n"/>
      <c r="AI78" s="52" t="n"/>
      <c r="AJ78" s="68" t="n"/>
      <c r="AK78" s="68" t="n"/>
    </row>
    <row r="79" ht="16.5" customHeight="1" s="142">
      <c r="A79" s="52" t="n">
        <v>40026</v>
      </c>
      <c r="B79" s="27" t="inlineStr">
        <is>
          <t>魔化獵犬</t>
        </is>
      </c>
      <c r="C79" s="52" t="inlineStr">
        <is>
          <t>R</t>
        </is>
      </c>
      <c r="D79" s="52" t="inlineStr">
        <is>
          <t>monster</t>
        </is>
      </c>
      <c r="E79" s="143" t="inlineStr">
        <is>
          <t>物攻</t>
        </is>
      </c>
      <c r="F79" s="68" t="inlineStr">
        <is>
          <t>1,1</t>
        </is>
      </c>
      <c r="G79" s="27" t="n">
        <v>62</v>
      </c>
      <c r="H79" s="52" t="n"/>
      <c r="I79" s="52" t="n">
        <v>110002</v>
      </c>
      <c r="J79" s="52" t="n">
        <v>400008</v>
      </c>
      <c r="K79" s="52" t="n">
        <v>410006</v>
      </c>
      <c r="L79" s="135" t="n">
        <v>1</v>
      </c>
      <c r="M79" s="52" t="n"/>
      <c r="N79" s="52" t="n">
        <v>480</v>
      </c>
      <c r="O79" s="52" t="n">
        <v>53</v>
      </c>
      <c r="P79" s="52" t="n">
        <v>12</v>
      </c>
      <c r="Q79" s="52" t="n">
        <v>27</v>
      </c>
      <c r="R79" s="52" t="n">
        <v>23</v>
      </c>
      <c r="S79" s="52" t="n">
        <v>57</v>
      </c>
      <c r="T79" s="52" t="n">
        <v>8</v>
      </c>
      <c r="U79" s="77" t="n"/>
      <c r="V79" s="70" t="n">
        <v>452</v>
      </c>
      <c r="W79" s="135" t="n">
        <v>0.08</v>
      </c>
      <c r="X79" s="68" t="n"/>
      <c r="Y79" s="52" t="n"/>
      <c r="Z79" s="135" t="inlineStr">
        <is>
          <t>905</t>
        </is>
      </c>
      <c r="AA79" s="135" t="n">
        <v>910</v>
      </c>
      <c r="AB79" s="68" t="n"/>
      <c r="AC79" s="52" t="n"/>
      <c r="AD79" s="68" t="n"/>
      <c r="AE79" s="52" t="n"/>
      <c r="AF79" s="68" t="n"/>
      <c r="AG79" s="52" t="n"/>
      <c r="AH79" s="68" t="n"/>
      <c r="AI79" s="52" t="n"/>
      <c r="AJ79" s="68" t="n"/>
      <c r="AK79" s="68" t="n"/>
    </row>
    <row r="80" ht="16.5" customHeight="1" s="142">
      <c r="A80" s="52" t="n">
        <v>40027</v>
      </c>
      <c r="B80" s="27" t="inlineStr">
        <is>
          <t>黑市術士</t>
        </is>
      </c>
      <c r="C80" s="52" t="inlineStr">
        <is>
          <t>R</t>
        </is>
      </c>
      <c r="D80" s="52" t="inlineStr">
        <is>
          <t>monster</t>
        </is>
      </c>
      <c r="E80" s="143" t="inlineStr">
        <is>
          <t>魔攻</t>
        </is>
      </c>
      <c r="F80" s="68" t="inlineStr">
        <is>
          <t>1,1</t>
        </is>
      </c>
      <c r="G80" s="27" t="n">
        <v>68</v>
      </c>
      <c r="H80" s="52" t="n"/>
      <c r="I80" s="52" t="n">
        <v>110011</v>
      </c>
      <c r="J80" s="52" t="n">
        <v>400011</v>
      </c>
      <c r="K80" s="52" t="n">
        <v>410019</v>
      </c>
      <c r="L80" s="135" t="n">
        <v>3</v>
      </c>
      <c r="M80" s="52" t="n"/>
      <c r="N80" s="52" t="n">
        <v>490</v>
      </c>
      <c r="O80" s="52" t="n">
        <v>8</v>
      </c>
      <c r="P80" s="52" t="n">
        <v>51</v>
      </c>
      <c r="Q80" s="52" t="n">
        <v>18</v>
      </c>
      <c r="R80" s="52" t="n">
        <v>32</v>
      </c>
      <c r="S80" s="52" t="n">
        <v>57</v>
      </c>
      <c r="T80" s="52" t="n">
        <v>8</v>
      </c>
      <c r="U80" s="77" t="n"/>
      <c r="V80" s="70" t="n">
        <v>451</v>
      </c>
      <c r="W80" s="135" t="n">
        <v>0.08</v>
      </c>
      <c r="X80" s="68" t="n"/>
      <c r="Y80" s="52" t="n"/>
      <c r="Z80" s="135" t="inlineStr">
        <is>
          <t>904</t>
        </is>
      </c>
      <c r="AA80" s="135" t="n">
        <v>910</v>
      </c>
      <c r="AB80" s="68" t="n"/>
      <c r="AC80" s="52" t="n"/>
      <c r="AD80" s="68" t="n"/>
      <c r="AE80" s="52" t="n"/>
      <c r="AF80" s="68" t="n"/>
      <c r="AG80" s="52" t="n"/>
      <c r="AH80" s="68" t="n"/>
      <c r="AI80" s="52" t="n"/>
      <c r="AJ80" s="68" t="n"/>
      <c r="AK80" s="68" t="n"/>
    </row>
    <row r="81" ht="16.5" customHeight="1" s="142">
      <c r="A81" s="52" t="n">
        <v>40028</v>
      </c>
      <c r="B81" s="27" t="inlineStr">
        <is>
          <t>森林妖精</t>
        </is>
      </c>
      <c r="C81" s="52" t="inlineStr">
        <is>
          <t>R</t>
        </is>
      </c>
      <c r="D81" s="52" t="inlineStr">
        <is>
          <t>monster</t>
        </is>
      </c>
      <c r="E81" s="143" t="inlineStr">
        <is>
          <t>魔攻</t>
        </is>
      </c>
      <c r="F81" s="68" t="inlineStr">
        <is>
          <t>1,1</t>
        </is>
      </c>
      <c r="G81" s="27" t="n">
        <v>64</v>
      </c>
      <c r="H81" s="52" t="n"/>
      <c r="I81" s="52" t="n">
        <v>110012</v>
      </c>
      <c r="J81" s="52" t="n">
        <v>400005</v>
      </c>
      <c r="K81" s="52" t="n">
        <v>410016</v>
      </c>
      <c r="L81" s="135" t="n">
        <v>1</v>
      </c>
      <c r="M81" s="52" t="n"/>
      <c r="N81" s="52" t="n">
        <v>450</v>
      </c>
      <c r="O81" s="52" t="n">
        <v>10</v>
      </c>
      <c r="P81" s="52" t="n">
        <v>46</v>
      </c>
      <c r="Q81" s="52" t="n">
        <v>17</v>
      </c>
      <c r="R81" s="52" t="n">
        <v>34</v>
      </c>
      <c r="S81" s="52" t="n">
        <v>57</v>
      </c>
      <c r="T81" s="52" t="n">
        <v>8</v>
      </c>
      <c r="U81" s="77" t="n"/>
      <c r="V81" s="70" t="n">
        <v>429</v>
      </c>
      <c r="W81" s="135" t="n">
        <v>0.08</v>
      </c>
      <c r="X81" s="68" t="n"/>
      <c r="Y81" s="52" t="n"/>
      <c r="Z81" s="135" t="inlineStr">
        <is>
          <t>904</t>
        </is>
      </c>
      <c r="AA81" s="135" t="n">
        <v>910</v>
      </c>
      <c r="AB81" s="68" t="n"/>
      <c r="AC81" s="52" t="n"/>
      <c r="AD81" s="68" t="n"/>
      <c r="AE81" s="52" t="n"/>
      <c r="AF81" s="68" t="n"/>
      <c r="AG81" s="52" t="n"/>
      <c r="AH81" s="68" t="n"/>
      <c r="AI81" s="52" t="n"/>
      <c r="AJ81" s="68" t="n"/>
      <c r="AK81" s="68" t="n"/>
    </row>
    <row r="82" ht="16.5" customHeight="1" s="142">
      <c r="A82" s="52" t="n">
        <v>40029</v>
      </c>
      <c r="B82" s="27" t="inlineStr">
        <is>
          <t>毒藤獸</t>
        </is>
      </c>
      <c r="C82" s="52" t="inlineStr">
        <is>
          <t>R</t>
        </is>
      </c>
      <c r="D82" s="52" t="inlineStr">
        <is>
          <t>monster</t>
        </is>
      </c>
      <c r="E82" s="143" t="inlineStr">
        <is>
          <t>物攻</t>
        </is>
      </c>
      <c r="F82" s="68" t="inlineStr">
        <is>
          <t>1,1</t>
        </is>
      </c>
      <c r="G82" s="27" t="n">
        <v>64</v>
      </c>
      <c r="H82" s="52" t="n"/>
      <c r="I82" s="52" t="n">
        <v>110002</v>
      </c>
      <c r="J82" s="52" t="n">
        <v>400014</v>
      </c>
      <c r="K82" s="52" t="n">
        <v>410006</v>
      </c>
      <c r="L82" s="135" t="n">
        <v>2</v>
      </c>
      <c r="M82" s="52" t="n"/>
      <c r="N82" s="52" t="n">
        <v>680</v>
      </c>
      <c r="O82" s="52" t="n">
        <v>48</v>
      </c>
      <c r="P82" s="52" t="n">
        <v>11</v>
      </c>
      <c r="Q82" s="52" t="n">
        <v>35</v>
      </c>
      <c r="R82" s="52" t="n">
        <v>27</v>
      </c>
      <c r="S82" s="52" t="n">
        <v>57</v>
      </c>
      <c r="T82" s="52" t="n">
        <v>8</v>
      </c>
      <c r="U82" s="77" t="n"/>
      <c r="V82" s="70" t="n">
        <v>558</v>
      </c>
      <c r="W82" s="135" t="n">
        <v>0.08</v>
      </c>
      <c r="X82" s="68" t="n"/>
      <c r="Y82" s="52" t="n"/>
      <c r="Z82" s="135" t="inlineStr">
        <is>
          <t>905</t>
        </is>
      </c>
      <c r="AA82" s="135" t="n">
        <v>910</v>
      </c>
      <c r="AB82" s="68" t="n"/>
      <c r="AC82" s="52" t="n"/>
      <c r="AD82" s="68" t="n"/>
      <c r="AE82" s="52" t="n"/>
      <c r="AF82" s="68" t="n"/>
      <c r="AG82" s="52" t="n"/>
      <c r="AH82" s="68" t="n"/>
      <c r="AI82" s="52" t="n"/>
      <c r="AJ82" s="68" t="n"/>
      <c r="AK82" s="68" t="n"/>
    </row>
    <row r="83" ht="16.5" customHeight="1" s="142">
      <c r="A83" s="52" t="n">
        <v>40030</v>
      </c>
      <c r="B83" s="27" t="inlineStr">
        <is>
          <t>木靈</t>
        </is>
      </c>
      <c r="C83" s="52" t="inlineStr">
        <is>
          <t>R</t>
        </is>
      </c>
      <c r="D83" s="52" t="inlineStr">
        <is>
          <t>monster</t>
        </is>
      </c>
      <c r="E83" s="143" t="inlineStr">
        <is>
          <t>魔攻</t>
        </is>
      </c>
      <c r="F83" s="68" t="inlineStr">
        <is>
          <t>1,1</t>
        </is>
      </c>
      <c r="G83" s="27" t="n">
        <v>64</v>
      </c>
      <c r="H83" s="52" t="n"/>
      <c r="I83" s="52" t="n">
        <v>110011</v>
      </c>
      <c r="J83" s="52" t="n">
        <v>400007</v>
      </c>
      <c r="K83" s="52" t="n">
        <v>410016</v>
      </c>
      <c r="L83" s="135" t="n">
        <v>1</v>
      </c>
      <c r="M83" s="52" t="n"/>
      <c r="N83" s="52" t="n">
        <v>520</v>
      </c>
      <c r="O83" s="52" t="n">
        <v>9</v>
      </c>
      <c r="P83" s="52" t="n">
        <v>43</v>
      </c>
      <c r="Q83" s="52" t="n">
        <v>22</v>
      </c>
      <c r="R83" s="52" t="n">
        <v>30</v>
      </c>
      <c r="S83" s="52" t="n">
        <v>57</v>
      </c>
      <c r="T83" s="52" t="n">
        <v>8</v>
      </c>
      <c r="U83" s="77" t="n"/>
      <c r="V83" s="70" t="n">
        <v>461</v>
      </c>
      <c r="W83" s="135" t="n">
        <v>0.08</v>
      </c>
      <c r="X83" s="68" t="n"/>
      <c r="Y83" s="52" t="n"/>
      <c r="Z83" s="135" t="inlineStr">
        <is>
          <t>904</t>
        </is>
      </c>
      <c r="AA83" s="135" t="n">
        <v>910</v>
      </c>
      <c r="AB83" s="68" t="n"/>
      <c r="AC83" s="52" t="n"/>
      <c r="AD83" s="68" t="n"/>
      <c r="AE83" s="52" t="n"/>
      <c r="AF83" s="68" t="n"/>
      <c r="AG83" s="52" t="n"/>
      <c r="AH83" s="68" t="n"/>
      <c r="AI83" s="52" t="n"/>
      <c r="AJ83" s="68" t="n"/>
      <c r="AK83" s="68" t="n"/>
    </row>
    <row r="84" ht="16.5" customHeight="1" s="142">
      <c r="A84" s="52" t="n">
        <v>40031</v>
      </c>
      <c r="B84" s="27" t="inlineStr">
        <is>
          <t>狼群</t>
        </is>
      </c>
      <c r="C84" s="52" t="inlineStr">
        <is>
          <t>R</t>
        </is>
      </c>
      <c r="D84" s="52" t="inlineStr">
        <is>
          <t>monster</t>
        </is>
      </c>
      <c r="E84" s="143" t="inlineStr">
        <is>
          <t>物攻</t>
        </is>
      </c>
      <c r="F84" s="68" t="inlineStr">
        <is>
          <t>1,1</t>
        </is>
      </c>
      <c r="G84" s="27" t="n">
        <v>62</v>
      </c>
      <c r="H84" s="52" t="n"/>
      <c r="I84" s="52" t="n">
        <v>110002</v>
      </c>
      <c r="J84" s="52" t="n">
        <v>400004</v>
      </c>
      <c r="K84" s="52" t="n">
        <v>410013</v>
      </c>
      <c r="L84" s="135" t="n">
        <v>3</v>
      </c>
      <c r="M84" s="52" t="n"/>
      <c r="N84" s="52" t="n">
        <v>470</v>
      </c>
      <c r="O84" s="52" t="n">
        <v>51</v>
      </c>
      <c r="P84" s="52" t="n">
        <v>9</v>
      </c>
      <c r="Q84" s="52" t="n">
        <v>28</v>
      </c>
      <c r="R84" s="52" t="n">
        <v>20</v>
      </c>
      <c r="S84" s="52" t="n">
        <v>57</v>
      </c>
      <c r="T84" s="52" t="n">
        <v>8</v>
      </c>
      <c r="U84" s="77" t="n">
        <v>3</v>
      </c>
      <c r="V84" s="70" t="n">
        <v>440</v>
      </c>
      <c r="W84" s="135" t="n">
        <v>0.08</v>
      </c>
      <c r="X84" s="68" t="n"/>
      <c r="Y84" s="52" t="n"/>
      <c r="Z84" s="135" t="inlineStr">
        <is>
          <t>905</t>
        </is>
      </c>
      <c r="AA84" s="135" t="n">
        <v>910</v>
      </c>
      <c r="AB84" s="68" t="n"/>
      <c r="AC84" s="52" t="n"/>
      <c r="AD84" s="68" t="n"/>
      <c r="AE84" s="52" t="n"/>
      <c r="AF84" s="68" t="n"/>
      <c r="AG84" s="52" t="n"/>
      <c r="AH84" s="68" t="n"/>
      <c r="AI84" s="52" t="n"/>
      <c r="AJ84" s="68" t="n"/>
      <c r="AK84" s="68" t="n"/>
    </row>
    <row r="85" ht="16.5" customHeight="1" s="142">
      <c r="A85" s="52" t="n">
        <v>40032</v>
      </c>
      <c r="B85" s="79" t="inlineStr">
        <is>
          <t>黑翼鴉人</t>
        </is>
      </c>
      <c r="C85" s="52" t="inlineStr">
        <is>
          <t>R</t>
        </is>
      </c>
      <c r="D85" s="52" t="inlineStr">
        <is>
          <t>monster</t>
        </is>
      </c>
      <c r="E85" s="143" t="inlineStr">
        <is>
          <t>物攻</t>
        </is>
      </c>
      <c r="F85" s="68" t="inlineStr">
        <is>
          <t>1,1</t>
        </is>
      </c>
      <c r="G85" s="27" t="n">
        <v>68</v>
      </c>
      <c r="H85" s="52" t="n"/>
      <c r="I85" s="52" t="n">
        <v>110001</v>
      </c>
      <c r="J85" s="52" t="n">
        <v>400002</v>
      </c>
      <c r="K85" s="52" t="n">
        <v>410002</v>
      </c>
      <c r="L85" s="135" t="n">
        <v>1</v>
      </c>
      <c r="M85" s="52" t="n"/>
      <c r="N85" s="52" t="n">
        <v>450</v>
      </c>
      <c r="O85" s="52" t="n">
        <v>54</v>
      </c>
      <c r="P85" s="52" t="n">
        <v>10</v>
      </c>
      <c r="Q85" s="52" t="n">
        <v>24</v>
      </c>
      <c r="R85" s="52" t="n">
        <v>18</v>
      </c>
      <c r="S85" s="52" t="n">
        <v>57</v>
      </c>
      <c r="T85" s="52" t="n">
        <v>8</v>
      </c>
      <c r="U85" s="77" t="n"/>
      <c r="V85" s="70" t="n">
        <v>428</v>
      </c>
      <c r="W85" s="135" t="n">
        <v>0.08</v>
      </c>
      <c r="X85" s="68" t="n"/>
      <c r="Y85" s="52" t="n"/>
      <c r="Z85" s="135" t="inlineStr">
        <is>
          <t>905</t>
        </is>
      </c>
      <c r="AA85" s="135" t="n">
        <v>910</v>
      </c>
      <c r="AB85" s="68" t="n"/>
      <c r="AC85" s="52" t="n"/>
      <c r="AD85" s="68" t="n"/>
      <c r="AE85" s="52" t="n"/>
      <c r="AF85" s="68" t="n"/>
      <c r="AG85" s="52" t="n"/>
      <c r="AH85" s="68" t="n"/>
      <c r="AI85" s="52" t="n"/>
      <c r="AJ85" s="68" t="n"/>
      <c r="AK85" s="68" t="n"/>
    </row>
    <row r="86" ht="16.5" customHeight="1" s="142">
      <c r="A86" s="52" t="n">
        <v>40033</v>
      </c>
      <c r="B86" s="27" t="inlineStr">
        <is>
          <t>樹人幼體</t>
        </is>
      </c>
      <c r="C86" s="52" t="inlineStr">
        <is>
          <t>R</t>
        </is>
      </c>
      <c r="D86" s="52" t="inlineStr">
        <is>
          <t>monster</t>
        </is>
      </c>
      <c r="E86" s="143" t="inlineStr">
        <is>
          <t>物攻</t>
        </is>
      </c>
      <c r="F86" s="68" t="inlineStr">
        <is>
          <t>1,1</t>
        </is>
      </c>
      <c r="G86" s="27" t="n">
        <v>64</v>
      </c>
      <c r="H86" s="52" t="n"/>
      <c r="I86" s="52" t="n">
        <v>110001</v>
      </c>
      <c r="J86" s="52" t="n">
        <v>400001</v>
      </c>
      <c r="K86" s="52" t="n">
        <v>410005</v>
      </c>
      <c r="L86" s="135" t="n">
        <v>1</v>
      </c>
      <c r="M86" s="52" t="n"/>
      <c r="N86" s="52" t="n">
        <v>710</v>
      </c>
      <c r="O86" s="52" t="n">
        <v>45</v>
      </c>
      <c r="P86" s="52" t="n">
        <v>10</v>
      </c>
      <c r="Q86" s="52" t="n">
        <v>38</v>
      </c>
      <c r="R86" s="52" t="n">
        <v>25</v>
      </c>
      <c r="S86" s="52" t="n">
        <v>57</v>
      </c>
      <c r="T86" s="52" t="n">
        <v>8</v>
      </c>
      <c r="U86" s="77" t="n">
        <v>5</v>
      </c>
      <c r="V86" s="70" t="n">
        <v>570</v>
      </c>
      <c r="W86" s="135" t="n">
        <v>0.08</v>
      </c>
      <c r="X86" s="68" t="n"/>
      <c r="Y86" s="52" t="n"/>
      <c r="Z86" s="135" t="inlineStr">
        <is>
          <t>905</t>
        </is>
      </c>
      <c r="AA86" s="135" t="n">
        <v>910</v>
      </c>
      <c r="AB86" s="68" t="n"/>
      <c r="AC86" s="52" t="n"/>
      <c r="AD86" s="68" t="n"/>
      <c r="AE86" s="52" t="n"/>
      <c r="AF86" s="68" t="n"/>
      <c r="AG86" s="52" t="n"/>
      <c r="AH86" s="68" t="n"/>
      <c r="AI86" s="52" t="n"/>
      <c r="AJ86" s="68" t="n"/>
      <c r="AK86" s="68" t="n"/>
    </row>
    <row r="87" ht="16.5" customHeight="1" s="142">
      <c r="A87" s="52" t="n">
        <v>40034</v>
      </c>
      <c r="B87" s="27" t="inlineStr">
        <is>
          <t>魔導書靈</t>
        </is>
      </c>
      <c r="C87" s="52" t="inlineStr">
        <is>
          <t>R</t>
        </is>
      </c>
      <c r="D87" s="52" t="inlineStr">
        <is>
          <t>monster</t>
        </is>
      </c>
      <c r="E87" s="143" t="inlineStr">
        <is>
          <t>魔攻</t>
        </is>
      </c>
      <c r="F87" s="68" t="inlineStr">
        <is>
          <t>1,1</t>
        </is>
      </c>
      <c r="G87" s="27" t="n">
        <v>67</v>
      </c>
      <c r="H87" s="52" t="n"/>
      <c r="I87" s="52" t="n">
        <v>110012</v>
      </c>
      <c r="J87" s="52" t="n">
        <v>400012</v>
      </c>
      <c r="K87" s="52" t="n">
        <v>410021</v>
      </c>
      <c r="L87" s="135" t="n">
        <v>2</v>
      </c>
      <c r="M87" s="52" t="n"/>
      <c r="N87" s="52" t="n">
        <v>460</v>
      </c>
      <c r="O87" s="52" t="n">
        <v>8</v>
      </c>
      <c r="P87" s="52" t="n">
        <v>54</v>
      </c>
      <c r="Q87" s="52" t="n">
        <v>19</v>
      </c>
      <c r="R87" s="52" t="n">
        <v>35</v>
      </c>
      <c r="S87" s="52" t="n">
        <v>57</v>
      </c>
      <c r="T87" s="52" t="n">
        <v>8</v>
      </c>
      <c r="U87" s="77" t="n"/>
      <c r="V87" s="70" t="n">
        <v>443</v>
      </c>
      <c r="W87" s="135" t="n">
        <v>0.08</v>
      </c>
      <c r="X87" s="68" t="n"/>
      <c r="Y87" s="52" t="n"/>
      <c r="Z87" s="135" t="inlineStr">
        <is>
          <t>904</t>
        </is>
      </c>
      <c r="AA87" s="135" t="n">
        <v>910</v>
      </c>
      <c r="AB87" s="68" t="n"/>
      <c r="AC87" s="52" t="n"/>
      <c r="AD87" s="68" t="n"/>
      <c r="AE87" s="52" t="n"/>
      <c r="AF87" s="68" t="n"/>
      <c r="AG87" s="52" t="n"/>
      <c r="AH87" s="68" t="n"/>
      <c r="AI87" s="52" t="n"/>
      <c r="AJ87" s="68" t="n"/>
      <c r="AK87" s="68" t="n"/>
    </row>
    <row r="88" ht="16.5" customHeight="1" s="142">
      <c r="A88" s="52" t="n">
        <v>40035</v>
      </c>
      <c r="B88" s="27" t="inlineStr">
        <is>
          <t>暗影刺客</t>
        </is>
      </c>
      <c r="C88" s="52" t="inlineStr">
        <is>
          <t>R</t>
        </is>
      </c>
      <c r="D88" s="52" t="inlineStr">
        <is>
          <t>monster</t>
        </is>
      </c>
      <c r="E88" s="143" t="inlineStr">
        <is>
          <t>魔攻</t>
        </is>
      </c>
      <c r="F88" s="68" t="inlineStr">
        <is>
          <t>1,1</t>
        </is>
      </c>
      <c r="G88" s="27" t="n">
        <v>66</v>
      </c>
      <c r="H88" s="52" t="n"/>
      <c r="I88" s="52" t="n">
        <v>110011</v>
      </c>
      <c r="J88" s="52" t="n">
        <v>400019</v>
      </c>
      <c r="K88" s="52" t="n">
        <v>410022</v>
      </c>
      <c r="L88" s="135" t="n">
        <v>1</v>
      </c>
      <c r="M88" s="52" t="n"/>
      <c r="N88" s="52" t="n">
        <v>440</v>
      </c>
      <c r="O88" s="52" t="n">
        <v>11</v>
      </c>
      <c r="P88" s="52" t="n">
        <v>49</v>
      </c>
      <c r="Q88" s="52" t="n">
        <v>17</v>
      </c>
      <c r="R88" s="52" t="n">
        <v>31</v>
      </c>
      <c r="S88" s="52" t="n">
        <v>57</v>
      </c>
      <c r="T88" s="52" t="n">
        <v>8</v>
      </c>
      <c r="U88" s="77" t="n"/>
      <c r="V88" s="70" t="n">
        <v>425</v>
      </c>
      <c r="W88" s="135" t="n">
        <v>0.08</v>
      </c>
      <c r="X88" s="68" t="n"/>
      <c r="Y88" s="52" t="n"/>
      <c r="Z88" s="135" t="inlineStr">
        <is>
          <t>904</t>
        </is>
      </c>
      <c r="AA88" s="135" t="n">
        <v>910</v>
      </c>
      <c r="AB88" s="68" t="n"/>
      <c r="AC88" s="52" t="n"/>
      <c r="AD88" s="68" t="n"/>
      <c r="AE88" s="52" t="n"/>
      <c r="AF88" s="68" t="n"/>
      <c r="AG88" s="52" t="n"/>
      <c r="AH88" s="68" t="n"/>
      <c r="AI88" s="52" t="n"/>
      <c r="AJ88" s="68" t="n"/>
      <c r="AK88" s="68" t="n"/>
    </row>
    <row r="89" ht="16.5" customHeight="1" s="142">
      <c r="A89" s="52" t="n">
        <v>40036</v>
      </c>
      <c r="B89" s="27" t="inlineStr">
        <is>
          <t>水晶傀儡</t>
        </is>
      </c>
      <c r="C89" s="52" t="inlineStr">
        <is>
          <t>R</t>
        </is>
      </c>
      <c r="D89" s="52" t="inlineStr">
        <is>
          <t>monster</t>
        </is>
      </c>
      <c r="E89" s="143" t="inlineStr">
        <is>
          <t>物攻</t>
        </is>
      </c>
      <c r="F89" s="68" t="inlineStr">
        <is>
          <t>1,1</t>
        </is>
      </c>
      <c r="G89" s="27" t="n">
        <v>67</v>
      </c>
      <c r="H89" s="52" t="n"/>
      <c r="I89" s="52" t="n">
        <v>110001</v>
      </c>
      <c r="J89" s="52" t="n">
        <v>400001</v>
      </c>
      <c r="K89" s="52" t="n">
        <v>410001</v>
      </c>
      <c r="L89" s="135" t="n">
        <v>2</v>
      </c>
      <c r="M89" s="52" t="n"/>
      <c r="N89" s="52" t="n">
        <v>730</v>
      </c>
      <c r="O89" s="52" t="n">
        <v>47</v>
      </c>
      <c r="P89" s="52" t="n">
        <v>8</v>
      </c>
      <c r="Q89" s="52" t="n">
        <v>40</v>
      </c>
      <c r="R89" s="52" t="n">
        <v>30</v>
      </c>
      <c r="S89" s="52" t="n">
        <v>57</v>
      </c>
      <c r="T89" s="52" t="n">
        <v>8</v>
      </c>
      <c r="U89" s="77" t="n"/>
      <c r="V89" s="70" t="n">
        <v>587</v>
      </c>
      <c r="W89" s="135" t="n">
        <v>0.08</v>
      </c>
      <c r="X89" s="68" t="n"/>
      <c r="Y89" s="52" t="n"/>
      <c r="Z89" s="135" t="inlineStr">
        <is>
          <t>905</t>
        </is>
      </c>
      <c r="AA89" s="135" t="n">
        <v>910</v>
      </c>
      <c r="AB89" s="68" t="n"/>
      <c r="AC89" s="52" t="n"/>
      <c r="AD89" s="68" t="n"/>
      <c r="AE89" s="52" t="n"/>
      <c r="AF89" s="68" t="n"/>
      <c r="AG89" s="52" t="n"/>
      <c r="AH89" s="68" t="n"/>
      <c r="AI89" s="52" t="n"/>
      <c r="AJ89" s="68" t="n"/>
      <c r="AK89" s="68" t="n"/>
    </row>
    <row r="90" ht="16.5" customHeight="1" s="142">
      <c r="A90" s="52" t="n">
        <v>40037</v>
      </c>
      <c r="B90" s="27" t="inlineStr">
        <is>
          <t>幻術妖</t>
        </is>
      </c>
      <c r="C90" s="52" t="inlineStr">
        <is>
          <t>R</t>
        </is>
      </c>
      <c r="D90" s="52" t="inlineStr">
        <is>
          <t>monster</t>
        </is>
      </c>
      <c r="E90" s="143" t="inlineStr">
        <is>
          <t>魔攻</t>
        </is>
      </c>
      <c r="F90" s="68" t="inlineStr">
        <is>
          <t>1,1</t>
        </is>
      </c>
      <c r="G90" s="27" t="n">
        <v>68</v>
      </c>
      <c r="H90" s="52" t="n"/>
      <c r="I90" s="52" t="n">
        <v>110012</v>
      </c>
      <c r="J90" s="52" t="n">
        <v>400019</v>
      </c>
      <c r="K90" s="52" t="n">
        <v>410019</v>
      </c>
      <c r="L90" s="135" t="n">
        <v>3</v>
      </c>
      <c r="M90" s="52" t="n"/>
      <c r="N90" s="52" t="n">
        <v>440</v>
      </c>
      <c r="O90" s="52" t="n">
        <v>11</v>
      </c>
      <c r="P90" s="52" t="n">
        <v>49</v>
      </c>
      <c r="Q90" s="52" t="n">
        <v>17</v>
      </c>
      <c r="R90" s="52" t="n">
        <v>31</v>
      </c>
      <c r="S90" s="52" t="n">
        <v>57</v>
      </c>
      <c r="T90" s="52" t="n">
        <v>8</v>
      </c>
      <c r="U90" s="77" t="n"/>
      <c r="V90" s="70" t="n">
        <v>425</v>
      </c>
      <c r="W90" s="135" t="n">
        <v>0.08</v>
      </c>
      <c r="X90" s="68" t="n"/>
      <c r="Y90" s="52" t="n"/>
      <c r="Z90" s="135" t="inlineStr">
        <is>
          <t>904</t>
        </is>
      </c>
      <c r="AA90" s="135" t="n">
        <v>910</v>
      </c>
      <c r="AB90" s="68" t="n"/>
      <c r="AC90" s="52" t="n"/>
      <c r="AD90" s="68" t="n"/>
      <c r="AE90" s="52" t="n"/>
      <c r="AF90" s="68" t="n"/>
      <c r="AG90" s="52" t="n"/>
      <c r="AH90" s="68" t="n"/>
      <c r="AI90" s="52" t="n"/>
      <c r="AJ90" s="68" t="n"/>
      <c r="AK90" s="68" t="n"/>
    </row>
    <row r="91" ht="16.5" customHeight="1" s="142">
      <c r="A91" s="52" t="n">
        <v>40038</v>
      </c>
      <c r="B91" s="27" t="inlineStr">
        <is>
          <t>失控術士</t>
        </is>
      </c>
      <c r="C91" s="52" t="inlineStr">
        <is>
          <t>R</t>
        </is>
      </c>
      <c r="D91" s="52" t="inlineStr">
        <is>
          <t>monster</t>
        </is>
      </c>
      <c r="E91" s="143" t="inlineStr">
        <is>
          <t>魔攻</t>
        </is>
      </c>
      <c r="F91" s="68" t="inlineStr">
        <is>
          <t>1,1</t>
        </is>
      </c>
      <c r="G91" s="27" t="n">
        <v>68</v>
      </c>
      <c r="H91" s="52" t="n"/>
      <c r="I91" s="52" t="n">
        <v>110011</v>
      </c>
      <c r="J91" s="52" t="n">
        <v>400012</v>
      </c>
      <c r="K91" s="52" t="n">
        <v>410021</v>
      </c>
      <c r="L91" s="135" t="n">
        <v>2</v>
      </c>
      <c r="M91" s="52" t="n"/>
      <c r="N91" s="52" t="n">
        <v>500</v>
      </c>
      <c r="O91" s="52" t="n">
        <v>10</v>
      </c>
      <c r="P91" s="52" t="n">
        <v>53</v>
      </c>
      <c r="Q91" s="52" t="n">
        <v>19</v>
      </c>
      <c r="R91" s="52" t="n">
        <v>28</v>
      </c>
      <c r="S91" s="52" t="n">
        <v>57</v>
      </c>
      <c r="T91" s="52" t="n">
        <v>8</v>
      </c>
      <c r="U91" s="77" t="n"/>
      <c r="V91" s="70" t="n">
        <v>457</v>
      </c>
      <c r="W91" s="135" t="n">
        <v>0.08</v>
      </c>
      <c r="X91" s="68" t="n"/>
      <c r="Y91" s="52" t="n"/>
      <c r="Z91" s="135" t="inlineStr">
        <is>
          <t>904</t>
        </is>
      </c>
      <c r="AA91" s="135" t="n">
        <v>910</v>
      </c>
      <c r="AB91" s="68" t="n"/>
      <c r="AC91" s="52" t="n"/>
      <c r="AD91" s="68" t="n"/>
      <c r="AE91" s="52" t="n"/>
      <c r="AF91" s="68" t="n"/>
      <c r="AG91" s="52" t="n"/>
      <c r="AH91" s="68" t="n"/>
      <c r="AI91" s="52" t="n"/>
      <c r="AJ91" s="68" t="n"/>
      <c r="AK91" s="68" t="n"/>
    </row>
    <row r="92" ht="16.5" customHeight="1" s="142">
      <c r="A92" s="52" t="n">
        <v>40039</v>
      </c>
      <c r="B92" s="27" t="inlineStr">
        <is>
          <t>元素精靈</t>
        </is>
      </c>
      <c r="C92" s="52" t="inlineStr">
        <is>
          <t>R</t>
        </is>
      </c>
      <c r="D92" s="52" t="inlineStr">
        <is>
          <t>monster</t>
        </is>
      </c>
      <c r="E92" s="143" t="inlineStr">
        <is>
          <t>魔攻</t>
        </is>
      </c>
      <c r="F92" s="68" t="inlineStr">
        <is>
          <t>1,1</t>
        </is>
      </c>
      <c r="G92" s="27" t="n">
        <v>64</v>
      </c>
      <c r="H92" s="52" t="n"/>
      <c r="I92" s="52" t="n">
        <v>110012</v>
      </c>
      <c r="J92" s="52" t="n">
        <v>400013</v>
      </c>
      <c r="K92" s="52" t="n">
        <v>410021</v>
      </c>
      <c r="L92" s="135" t="n">
        <v>2</v>
      </c>
      <c r="M92" s="52" t="n"/>
      <c r="N92" s="52" t="n">
        <v>480</v>
      </c>
      <c r="O92" s="52" t="n">
        <v>9</v>
      </c>
      <c r="P92" s="52" t="n">
        <v>50</v>
      </c>
      <c r="Q92" s="52" t="n">
        <v>18</v>
      </c>
      <c r="R92" s="52" t="n">
        <v>33</v>
      </c>
      <c r="S92" s="52" t="n">
        <v>57</v>
      </c>
      <c r="T92" s="52" t="n">
        <v>8</v>
      </c>
      <c r="U92" s="77" t="n"/>
      <c r="V92" s="70" t="n">
        <v>447</v>
      </c>
      <c r="W92" s="135" t="n">
        <v>0.08</v>
      </c>
      <c r="X92" s="68" t="n"/>
      <c r="Y92" s="52" t="n"/>
      <c r="Z92" s="135" t="inlineStr">
        <is>
          <t>904</t>
        </is>
      </c>
      <c r="AA92" s="135" t="n">
        <v>910</v>
      </c>
      <c r="AB92" s="68" t="n"/>
      <c r="AC92" s="52" t="n"/>
      <c r="AD92" s="68" t="n"/>
      <c r="AE92" s="52" t="n"/>
      <c r="AF92" s="68" t="n"/>
      <c r="AG92" s="52" t="n"/>
      <c r="AH92" s="68" t="n"/>
      <c r="AI92" s="52" t="n"/>
      <c r="AJ92" s="68" t="n"/>
      <c r="AK92" s="68" t="n"/>
    </row>
    <row r="93" ht="16.5" customHeight="1" s="142">
      <c r="A93" s="52" t="n">
        <v>40040</v>
      </c>
      <c r="B93" s="27" t="inlineStr">
        <is>
          <t>魔法傀儡</t>
        </is>
      </c>
      <c r="C93" s="52" t="inlineStr">
        <is>
          <t>SR</t>
        </is>
      </c>
      <c r="D93" s="52" t="inlineStr">
        <is>
          <t>monster</t>
        </is>
      </c>
      <c r="E93" s="143" t="inlineStr">
        <is>
          <t>魔攻</t>
        </is>
      </c>
      <c r="F93" s="68" t="inlineStr">
        <is>
          <t>1,1</t>
        </is>
      </c>
      <c r="G93" s="27" t="n">
        <v>67</v>
      </c>
      <c r="H93" s="52" t="n"/>
      <c r="I93" s="52" t="n">
        <v>110011</v>
      </c>
      <c r="J93" s="52" t="n">
        <v>400015</v>
      </c>
      <c r="K93" s="52" t="n">
        <v>410020</v>
      </c>
      <c r="L93" s="135" t="n">
        <v>3</v>
      </c>
      <c r="M93" s="52" t="n"/>
      <c r="N93" s="52" t="n">
        <v>980</v>
      </c>
      <c r="O93" s="52" t="n">
        <v>15</v>
      </c>
      <c r="P93" s="52" t="n">
        <v>65</v>
      </c>
      <c r="Q93" s="52" t="n">
        <v>45</v>
      </c>
      <c r="R93" s="52" t="n">
        <v>52</v>
      </c>
      <c r="S93" s="52" t="n">
        <v>75</v>
      </c>
      <c r="T93" s="52" t="n">
        <v>10</v>
      </c>
      <c r="U93" s="77" t="n"/>
      <c r="V93" s="70" t="n">
        <v>792</v>
      </c>
      <c r="W93" s="135" t="n">
        <v>0.02</v>
      </c>
      <c r="X93" s="68" t="n"/>
      <c r="Y93" s="52" t="n"/>
      <c r="Z93" s="135" t="inlineStr">
        <is>
          <t>902</t>
        </is>
      </c>
      <c r="AA93" s="135" t="n">
        <v>910</v>
      </c>
      <c r="AB93" s="68" t="n"/>
      <c r="AC93" s="52" t="n"/>
      <c r="AD93" s="68" t="n"/>
      <c r="AE93" s="52" t="n"/>
      <c r="AF93" s="68" t="n"/>
      <c r="AG93" s="52" t="n"/>
      <c r="AH93" s="68" t="n"/>
      <c r="AI93" s="52" t="n"/>
      <c r="AJ93" s="68" t="n"/>
      <c r="AK93" s="68" t="n"/>
    </row>
    <row r="94" ht="16.5" customHeight="1" s="142">
      <c r="A94" s="52" t="n">
        <v>40041</v>
      </c>
      <c r="B94" s="27" t="inlineStr">
        <is>
          <t>禁術學徒</t>
        </is>
      </c>
      <c r="C94" s="52" t="inlineStr">
        <is>
          <t>SR</t>
        </is>
      </c>
      <c r="D94" s="52" t="inlineStr">
        <is>
          <t>monster</t>
        </is>
      </c>
      <c r="E94" s="143" t="inlineStr">
        <is>
          <t>魔攻</t>
        </is>
      </c>
      <c r="F94" s="68" t="inlineStr">
        <is>
          <t>1,1</t>
        </is>
      </c>
      <c r="G94" s="27" t="n">
        <v>68</v>
      </c>
      <c r="H94" s="52" t="n"/>
      <c r="I94" s="52" t="n">
        <v>110012</v>
      </c>
      <c r="J94" s="52" t="n">
        <v>400018</v>
      </c>
      <c r="K94" s="52" t="n">
        <v>410024</v>
      </c>
      <c r="L94" s="135" t="n">
        <v>1</v>
      </c>
      <c r="M94" s="52" t="n"/>
      <c r="N94" s="52" t="n">
        <v>720</v>
      </c>
      <c r="O94" s="52" t="n">
        <v>14</v>
      </c>
      <c r="P94" s="52" t="n">
        <v>78</v>
      </c>
      <c r="Q94" s="52" t="n">
        <v>26</v>
      </c>
      <c r="R94" s="52" t="n">
        <v>46</v>
      </c>
      <c r="S94" s="52" t="n">
        <v>75</v>
      </c>
      <c r="T94" s="52" t="n">
        <v>10</v>
      </c>
      <c r="U94" s="77" t="n"/>
      <c r="V94" s="70" t="n">
        <v>649</v>
      </c>
      <c r="W94" s="135" t="n">
        <v>0.02</v>
      </c>
      <c r="X94" s="68" t="n"/>
      <c r="Y94" s="52" t="n"/>
      <c r="Z94" s="135" t="inlineStr">
        <is>
          <t>902</t>
        </is>
      </c>
      <c r="AA94" s="135" t="n">
        <v>910</v>
      </c>
      <c r="AB94" s="68" t="n"/>
      <c r="AC94" s="52" t="n"/>
      <c r="AD94" s="68" t="n"/>
      <c r="AE94" s="52" t="n"/>
      <c r="AF94" s="68" t="n"/>
      <c r="AG94" s="52" t="n"/>
      <c r="AH94" s="68" t="n"/>
      <c r="AI94" s="52" t="n"/>
      <c r="AJ94" s="68" t="n"/>
      <c r="AK94" s="68" t="n"/>
    </row>
    <row r="95" ht="16.5" customHeight="1" s="142">
      <c r="A95" s="52" t="n">
        <v>40042</v>
      </c>
      <c r="B95" s="27" t="inlineStr">
        <is>
          <t>光獸</t>
        </is>
      </c>
      <c r="C95" s="52" t="inlineStr">
        <is>
          <t>SR</t>
        </is>
      </c>
      <c r="D95" s="52" t="inlineStr">
        <is>
          <t>monster</t>
        </is>
      </c>
      <c r="E95" s="143" t="inlineStr">
        <is>
          <t>魔攻</t>
        </is>
      </c>
      <c r="F95" s="68" t="inlineStr">
        <is>
          <t>1,1</t>
        </is>
      </c>
      <c r="G95" s="27" t="n">
        <v>64</v>
      </c>
      <c r="H95" s="52" t="n"/>
      <c r="I95" s="52" t="n">
        <v>110011</v>
      </c>
      <c r="J95" s="52" t="n">
        <v>400020</v>
      </c>
      <c r="K95" s="52" t="n">
        <v>410021</v>
      </c>
      <c r="L95" s="135" t="n">
        <v>3</v>
      </c>
      <c r="M95" s="52" t="n"/>
      <c r="N95" s="52" t="n">
        <v>680</v>
      </c>
      <c r="O95" s="52" t="n">
        <v>16</v>
      </c>
      <c r="P95" s="52" t="n">
        <v>74</v>
      </c>
      <c r="Q95" s="52" t="n">
        <v>24</v>
      </c>
      <c r="R95" s="52" t="n">
        <v>42</v>
      </c>
      <c r="S95" s="52" t="n">
        <v>75</v>
      </c>
      <c r="T95" s="52" t="n">
        <v>10</v>
      </c>
      <c r="U95" s="77" t="n"/>
      <c r="V95" s="70" t="n">
        <v>621</v>
      </c>
      <c r="W95" s="135" t="n">
        <v>0.02</v>
      </c>
      <c r="X95" s="68" t="n"/>
      <c r="Y95" s="52" t="n"/>
      <c r="Z95" s="135" t="inlineStr">
        <is>
          <t>902</t>
        </is>
      </c>
      <c r="AA95" s="135" t="n">
        <v>910</v>
      </c>
      <c r="AB95" s="68" t="n"/>
      <c r="AC95" s="52" t="n"/>
      <c r="AD95" s="68" t="n"/>
      <c r="AE95" s="52" t="n"/>
      <c r="AF95" s="68" t="n"/>
      <c r="AG95" s="52" t="n"/>
      <c r="AH95" s="68" t="n"/>
      <c r="AI95" s="52" t="n"/>
      <c r="AJ95" s="68" t="n"/>
      <c r="AK95" s="68" t="n"/>
    </row>
    <row r="96" ht="16.5" customHeight="1" s="142">
      <c r="A96" s="52" t="n">
        <v>40043</v>
      </c>
      <c r="B96" s="27" t="inlineStr">
        <is>
          <t>魔能幽魂</t>
        </is>
      </c>
      <c r="C96" s="52" t="inlineStr">
        <is>
          <t>SR</t>
        </is>
      </c>
      <c r="D96" s="52" t="inlineStr">
        <is>
          <t>monster</t>
        </is>
      </c>
      <c r="E96" s="143" t="inlineStr">
        <is>
          <t>魔攻</t>
        </is>
      </c>
      <c r="F96" s="68" t="inlineStr">
        <is>
          <t>1,1</t>
        </is>
      </c>
      <c r="G96" s="27" t="n">
        <v>65</v>
      </c>
      <c r="H96" s="52" t="n"/>
      <c r="I96" s="52" t="n">
        <v>110012</v>
      </c>
      <c r="J96" s="52" t="n">
        <v>400018</v>
      </c>
      <c r="K96" s="52" t="n">
        <v>410024</v>
      </c>
      <c r="L96" s="135" t="n">
        <v>3</v>
      </c>
      <c r="M96" s="52" t="n"/>
      <c r="N96" s="52" t="n">
        <v>650</v>
      </c>
      <c r="O96" s="52" t="n">
        <v>13</v>
      </c>
      <c r="P96" s="52" t="n">
        <v>76</v>
      </c>
      <c r="Q96" s="52" t="n">
        <v>22</v>
      </c>
      <c r="R96" s="52" t="n">
        <v>48</v>
      </c>
      <c r="S96" s="52" t="n">
        <v>75</v>
      </c>
      <c r="T96" s="52" t="n">
        <v>10</v>
      </c>
      <c r="U96" s="77" t="n"/>
      <c r="V96" s="70" t="n">
        <v>609</v>
      </c>
      <c r="W96" s="135" t="n">
        <v>0.02</v>
      </c>
      <c r="X96" s="68" t="n"/>
      <c r="Y96" s="52" t="n"/>
      <c r="Z96" s="135" t="inlineStr">
        <is>
          <t>902</t>
        </is>
      </c>
      <c r="AA96" s="135" t="n">
        <v>910</v>
      </c>
      <c r="AB96" s="68" t="n"/>
      <c r="AC96" s="52" t="n"/>
      <c r="AD96" s="68" t="n"/>
      <c r="AE96" s="52" t="n"/>
      <c r="AF96" s="68" t="n"/>
      <c r="AG96" s="52" t="n"/>
      <c r="AH96" s="68" t="n"/>
      <c r="AI96" s="52" t="n"/>
      <c r="AJ96" s="68" t="n"/>
      <c r="AK96" s="68" t="n"/>
    </row>
    <row r="97" ht="16.5" customHeight="1" s="142">
      <c r="A97" s="52" t="n">
        <v>40044</v>
      </c>
      <c r="B97" s="27" t="inlineStr">
        <is>
          <t>異界召喚獸</t>
        </is>
      </c>
      <c r="C97" s="52" t="inlineStr">
        <is>
          <t>SR</t>
        </is>
      </c>
      <c r="D97" s="52" t="inlineStr">
        <is>
          <t>monster</t>
        </is>
      </c>
      <c r="E97" s="143" t="inlineStr">
        <is>
          <t>物攻</t>
        </is>
      </c>
      <c r="F97" s="68" t="inlineStr">
        <is>
          <t>1,1</t>
        </is>
      </c>
      <c r="G97" s="27" t="n">
        <v>66</v>
      </c>
      <c r="H97" s="52" t="n"/>
      <c r="I97" s="52" t="n">
        <v>110001</v>
      </c>
      <c r="J97" s="52" t="n">
        <v>400023</v>
      </c>
      <c r="K97" s="52" t="n">
        <v>410025</v>
      </c>
      <c r="L97" s="135" t="n">
        <v>2</v>
      </c>
      <c r="M97" s="52" t="n"/>
      <c r="N97" s="52" t="n">
        <v>880</v>
      </c>
      <c r="O97" s="52" t="n">
        <v>72</v>
      </c>
      <c r="P97" s="52" t="n">
        <v>16</v>
      </c>
      <c r="Q97" s="52" t="n">
        <v>45</v>
      </c>
      <c r="R97" s="52" t="n">
        <v>38</v>
      </c>
      <c r="S97" s="52" t="n">
        <v>75</v>
      </c>
      <c r="T97" s="52" t="n">
        <v>10</v>
      </c>
      <c r="U97" s="77" t="n">
        <v>4</v>
      </c>
      <c r="V97" s="70" t="n">
        <v>736</v>
      </c>
      <c r="W97" s="135" t="n">
        <v>0.02</v>
      </c>
      <c r="X97" s="68" t="n"/>
      <c r="Y97" s="52" t="n"/>
      <c r="Z97" s="135" t="inlineStr">
        <is>
          <t>903</t>
        </is>
      </c>
      <c r="AA97" s="135" t="n">
        <v>910</v>
      </c>
      <c r="AB97" s="68" t="n"/>
      <c r="AC97" s="52" t="n"/>
      <c r="AD97" s="68" t="n"/>
      <c r="AE97" s="52" t="n"/>
      <c r="AF97" s="68" t="n"/>
      <c r="AG97" s="52" t="n"/>
      <c r="AH97" s="68" t="n"/>
      <c r="AI97" s="52" t="n"/>
      <c r="AJ97" s="68" t="n"/>
      <c r="AK97" s="68" t="n"/>
    </row>
    <row r="98" ht="16.5" customHeight="1" s="142">
      <c r="A98" s="52" t="n">
        <v>40045</v>
      </c>
      <c r="B98" s="138" t="inlineStr">
        <is>
          <t>黑炎修士</t>
        </is>
      </c>
      <c r="C98" s="52" t="inlineStr">
        <is>
          <t>SR</t>
        </is>
      </c>
      <c r="D98" s="52" t="inlineStr">
        <is>
          <t>monster</t>
        </is>
      </c>
      <c r="E98" s="143" t="inlineStr">
        <is>
          <t>物攻</t>
        </is>
      </c>
      <c r="F98" s="68" t="inlineStr">
        <is>
          <t>1,1</t>
        </is>
      </c>
      <c r="G98" s="27" t="n">
        <v>68</v>
      </c>
      <c r="H98" s="52" t="n"/>
      <c r="I98" s="52" t="n">
        <v>110002</v>
      </c>
      <c r="J98" s="52" t="n">
        <v>400022</v>
      </c>
      <c r="K98" s="52" t="n">
        <v>410026</v>
      </c>
      <c r="L98" s="135" t="n">
        <v>2</v>
      </c>
      <c r="M98" s="52" t="n"/>
      <c r="N98" s="52" t="n">
        <v>920</v>
      </c>
      <c r="O98" s="52" t="n">
        <v>70</v>
      </c>
      <c r="P98" s="52" t="n">
        <v>12</v>
      </c>
      <c r="Q98" s="52" t="n">
        <v>52</v>
      </c>
      <c r="R98" s="52" t="n">
        <v>42</v>
      </c>
      <c r="S98" s="52" t="n">
        <v>75</v>
      </c>
      <c r="T98" s="52" t="n">
        <v>10</v>
      </c>
      <c r="U98" s="77" t="n"/>
      <c r="V98" s="70" t="n">
        <v>761</v>
      </c>
      <c r="W98" s="135" t="n">
        <v>0.02</v>
      </c>
      <c r="X98" s="68" t="n"/>
      <c r="Y98" s="52" t="n"/>
      <c r="Z98" s="135" t="inlineStr">
        <is>
          <t>903</t>
        </is>
      </c>
      <c r="AA98" s="135" t="n">
        <v>910</v>
      </c>
      <c r="AB98" s="68" t="n"/>
      <c r="AC98" s="52" t="n"/>
      <c r="AD98" s="68" t="n"/>
      <c r="AE98" s="52" t="n"/>
      <c r="AF98" s="68" t="n"/>
      <c r="AG98" s="52" t="n"/>
      <c r="AH98" s="68" t="n"/>
      <c r="AI98" s="52" t="n"/>
      <c r="AJ98" s="68" t="n"/>
      <c r="AK98" s="68" t="n"/>
    </row>
    <row r="99" ht="16.5" customHeight="1" s="142">
      <c r="A99" s="52" t="n">
        <v>40046</v>
      </c>
      <c r="B99" s="27" t="inlineStr">
        <is>
          <t>狂熱信徒</t>
        </is>
      </c>
      <c r="C99" s="52" t="inlineStr">
        <is>
          <t>SR</t>
        </is>
      </c>
      <c r="D99" s="52" t="inlineStr">
        <is>
          <t>monster</t>
        </is>
      </c>
      <c r="E99" s="143" t="inlineStr">
        <is>
          <t>魔攻</t>
        </is>
      </c>
      <c r="F99" s="68" t="inlineStr">
        <is>
          <t>1,1</t>
        </is>
      </c>
      <c r="G99" s="27" t="n">
        <v>68</v>
      </c>
      <c r="H99" s="52" t="n"/>
      <c r="I99" s="52" t="n">
        <v>110011</v>
      </c>
      <c r="J99" s="52" t="n">
        <v>400012</v>
      </c>
      <c r="K99" s="52" t="n">
        <v>410019</v>
      </c>
      <c r="L99" s="135" t="n">
        <v>3</v>
      </c>
      <c r="M99" s="52" t="n"/>
      <c r="N99" s="52" t="n">
        <v>690</v>
      </c>
      <c r="O99" s="52" t="n">
        <v>16</v>
      </c>
      <c r="P99" s="52" t="n">
        <v>73</v>
      </c>
      <c r="Q99" s="52" t="n">
        <v>25</v>
      </c>
      <c r="R99" s="52" t="n">
        <v>40</v>
      </c>
      <c r="S99" s="52" t="n">
        <v>75</v>
      </c>
      <c r="T99" s="52" t="n">
        <v>10</v>
      </c>
      <c r="U99" s="77" t="n"/>
      <c r="V99" s="70" t="n">
        <v>624</v>
      </c>
      <c r="W99" s="135" t="n">
        <v>0.02</v>
      </c>
      <c r="X99" s="68" t="n"/>
      <c r="Y99" s="52" t="n"/>
      <c r="Z99" s="135" t="inlineStr">
        <is>
          <t>902</t>
        </is>
      </c>
      <c r="AA99" s="135" t="n">
        <v>910</v>
      </c>
      <c r="AB99" s="68" t="n"/>
      <c r="AC99" s="52" t="n"/>
      <c r="AD99" s="68" t="n"/>
      <c r="AE99" s="52" t="n"/>
      <c r="AF99" s="68" t="n"/>
      <c r="AG99" s="52" t="n"/>
      <c r="AH99" s="68" t="n"/>
      <c r="AI99" s="52" t="n"/>
      <c r="AJ99" s="68" t="n"/>
      <c r="AK99" s="68" t="n"/>
    </row>
    <row r="100" ht="16.5" customHeight="1" s="142">
      <c r="A100" s="52" t="n">
        <v>40047</v>
      </c>
      <c r="B100" s="27" t="inlineStr">
        <is>
          <t>墮光騎士</t>
        </is>
      </c>
      <c r="C100" s="52" t="inlineStr">
        <is>
          <t>SR</t>
        </is>
      </c>
      <c r="D100" s="52" t="inlineStr">
        <is>
          <t>monster</t>
        </is>
      </c>
      <c r="E100" s="143" t="inlineStr">
        <is>
          <t>物攻</t>
        </is>
      </c>
      <c r="F100" s="68" t="inlineStr">
        <is>
          <t>1,1</t>
        </is>
      </c>
      <c r="G100" s="27" t="n">
        <v>69</v>
      </c>
      <c r="H100" s="52" t="n"/>
      <c r="I100" s="52" t="n">
        <v>110001</v>
      </c>
      <c r="J100" s="52" t="n">
        <v>400002</v>
      </c>
      <c r="K100" s="52" t="n">
        <v>410013</v>
      </c>
      <c r="L100" s="135" t="n">
        <v>1</v>
      </c>
      <c r="M100" s="52" t="n"/>
      <c r="N100" s="52" t="n">
        <v>660</v>
      </c>
      <c r="O100" s="52" t="n">
        <v>79</v>
      </c>
      <c r="P100" s="52" t="n">
        <v>15</v>
      </c>
      <c r="Q100" s="52" t="n">
        <v>28</v>
      </c>
      <c r="R100" s="52" t="n">
        <v>30</v>
      </c>
      <c r="S100" s="52" t="n">
        <v>75</v>
      </c>
      <c r="T100" s="52" t="n">
        <v>10</v>
      </c>
      <c r="U100" s="77" t="n"/>
      <c r="V100" s="70" t="n">
        <v>607</v>
      </c>
      <c r="W100" s="135" t="n">
        <v>0.02</v>
      </c>
      <c r="X100" s="68" t="n"/>
      <c r="Y100" s="52" t="n"/>
      <c r="Z100" s="135" t="inlineStr">
        <is>
          <t>903</t>
        </is>
      </c>
      <c r="AA100" s="135" t="n">
        <v>910</v>
      </c>
      <c r="AB100" s="68" t="n"/>
      <c r="AC100" s="52" t="n"/>
      <c r="AD100" s="68" t="n"/>
      <c r="AE100" s="52" t="n"/>
      <c r="AF100" s="68" t="n"/>
      <c r="AG100" s="52" t="n"/>
      <c r="AH100" s="68" t="n"/>
      <c r="AI100" s="52" t="n"/>
      <c r="AJ100" s="68" t="n"/>
      <c r="AK100" s="68" t="n"/>
    </row>
    <row r="101" ht="16.5" customHeight="1" s="142">
      <c r="A101" s="52" t="n">
        <v>40048</v>
      </c>
      <c r="B101" s="27" t="inlineStr">
        <is>
          <t>神殿騎士</t>
        </is>
      </c>
      <c r="C101" s="52" t="inlineStr">
        <is>
          <t>SR</t>
        </is>
      </c>
      <c r="D101" s="52" t="inlineStr">
        <is>
          <t>monster</t>
        </is>
      </c>
      <c r="E101" s="143" t="inlineStr">
        <is>
          <t>魔攻</t>
        </is>
      </c>
      <c r="F101" s="68" t="inlineStr">
        <is>
          <t>1,1</t>
        </is>
      </c>
      <c r="G101" s="27" t="n">
        <v>69</v>
      </c>
      <c r="H101" s="52" t="n"/>
      <c r="I101" s="52" t="n">
        <v>110012</v>
      </c>
      <c r="J101" s="52" t="n">
        <v>400011</v>
      </c>
      <c r="K101" s="52" t="n">
        <v>410021</v>
      </c>
      <c r="L101" s="135" t="n">
        <v>3</v>
      </c>
      <c r="M101" s="52" t="n"/>
      <c r="N101" s="52" t="n">
        <v>1050</v>
      </c>
      <c r="O101" s="52" t="n">
        <v>18</v>
      </c>
      <c r="P101" s="52" t="n">
        <v>62</v>
      </c>
      <c r="Q101" s="52" t="n">
        <v>30</v>
      </c>
      <c r="R101" s="52" t="n">
        <v>32</v>
      </c>
      <c r="S101" s="52" t="n">
        <v>75</v>
      </c>
      <c r="T101" s="52" t="n">
        <v>10</v>
      </c>
      <c r="U101" s="77" t="n"/>
      <c r="V101" s="70" t="n">
        <v>792</v>
      </c>
      <c r="W101" s="135" t="n">
        <v>0.02</v>
      </c>
      <c r="X101" s="68" t="n"/>
      <c r="Y101" s="52" t="n"/>
      <c r="Z101" s="135" t="inlineStr">
        <is>
          <t>902</t>
        </is>
      </c>
      <c r="AA101" s="135" t="n">
        <v>910</v>
      </c>
      <c r="AB101" s="68" t="n"/>
      <c r="AC101" s="52" t="n"/>
      <c r="AD101" s="68" t="n"/>
      <c r="AE101" s="52" t="n"/>
      <c r="AF101" s="68" t="n"/>
      <c r="AG101" s="52" t="n"/>
      <c r="AH101" s="68" t="n"/>
      <c r="AI101" s="52" t="n"/>
      <c r="AJ101" s="68" t="n"/>
      <c r="AK101" s="68" t="n"/>
    </row>
    <row r="102" ht="16.5" customHeight="1" s="142">
      <c r="A102" s="52" t="n">
        <v>40049</v>
      </c>
      <c r="B102" s="27" t="inlineStr">
        <is>
          <t>聖光獅</t>
        </is>
      </c>
      <c r="C102" s="52" t="inlineStr">
        <is>
          <t>SR</t>
        </is>
      </c>
      <c r="D102" s="52" t="inlineStr">
        <is>
          <t>monster</t>
        </is>
      </c>
      <c r="E102" s="143" t="inlineStr">
        <is>
          <t>物攻</t>
        </is>
      </c>
      <c r="F102" s="68" t="inlineStr">
        <is>
          <t>1,1</t>
        </is>
      </c>
      <c r="G102" s="27" t="n">
        <v>69</v>
      </c>
      <c r="H102" s="52" t="n"/>
      <c r="I102" s="52" t="n">
        <v>110002</v>
      </c>
      <c r="J102" s="52" t="n">
        <v>400022</v>
      </c>
      <c r="K102" s="52" t="n">
        <v>410018</v>
      </c>
      <c r="L102" s="135" t="n">
        <v>3</v>
      </c>
      <c r="M102" s="52" t="n"/>
      <c r="N102" s="52" t="n">
        <v>750</v>
      </c>
      <c r="O102" s="52" t="n">
        <v>74</v>
      </c>
      <c r="P102" s="52" t="n">
        <v>13</v>
      </c>
      <c r="Q102" s="52" t="n">
        <v>36</v>
      </c>
      <c r="R102" s="52" t="n">
        <v>39</v>
      </c>
      <c r="S102" s="52" t="n">
        <v>75</v>
      </c>
      <c r="T102" s="52" t="n">
        <v>10</v>
      </c>
      <c r="U102" s="77" t="n"/>
      <c r="V102" s="70" t="n">
        <v>662</v>
      </c>
      <c r="W102" s="135" t="n">
        <v>0.02</v>
      </c>
      <c r="X102" s="68" t="n"/>
      <c r="Y102" s="52" t="n"/>
      <c r="Z102" s="135" t="inlineStr">
        <is>
          <t>903</t>
        </is>
      </c>
      <c r="AA102" s="135" t="n">
        <v>910</v>
      </c>
      <c r="AB102" s="68" t="n"/>
      <c r="AC102" s="52" t="n"/>
      <c r="AD102" s="68" t="n"/>
      <c r="AE102" s="52" t="n"/>
      <c r="AF102" s="68" t="n"/>
      <c r="AG102" s="52" t="n"/>
      <c r="AH102" s="68" t="n"/>
      <c r="AI102" s="52" t="n"/>
      <c r="AJ102" s="68" t="n"/>
      <c r="AK102" s="68" t="n"/>
    </row>
    <row r="103" ht="16.5" customHeight="1" s="142">
      <c r="A103" s="52" t="n">
        <v>40050</v>
      </c>
      <c r="B103" s="27" t="inlineStr">
        <is>
          <t>聖堂亡魂</t>
        </is>
      </c>
      <c r="C103" s="52" t="inlineStr">
        <is>
          <t>SR</t>
        </is>
      </c>
      <c r="D103" s="52" t="inlineStr">
        <is>
          <t>monster</t>
        </is>
      </c>
      <c r="E103" s="143" t="inlineStr">
        <is>
          <t>魔攻</t>
        </is>
      </c>
      <c r="F103" s="68" t="inlineStr">
        <is>
          <t>1,1</t>
        </is>
      </c>
      <c r="G103" s="27" t="n">
        <v>65</v>
      </c>
      <c r="H103" s="52" t="n"/>
      <c r="I103" s="52" t="n">
        <v>110011</v>
      </c>
      <c r="J103" s="52" t="n">
        <v>400015</v>
      </c>
      <c r="K103" s="52" t="n">
        <v>410018</v>
      </c>
      <c r="L103" s="135" t="n">
        <v>1</v>
      </c>
      <c r="M103" s="52" t="n"/>
      <c r="N103" s="52" t="n">
        <v>950</v>
      </c>
      <c r="O103" s="52" t="n">
        <v>15</v>
      </c>
      <c r="P103" s="52" t="n">
        <v>64</v>
      </c>
      <c r="Q103" s="52" t="n">
        <v>42</v>
      </c>
      <c r="R103" s="52" t="n">
        <v>50</v>
      </c>
      <c r="S103" s="52" t="n">
        <v>75</v>
      </c>
      <c r="T103" s="52" t="n">
        <v>10</v>
      </c>
      <c r="U103" s="77" t="n"/>
      <c r="V103" s="70" t="n">
        <v>771</v>
      </c>
      <c r="W103" s="135" t="n">
        <v>0.02</v>
      </c>
      <c r="X103" s="68" t="n"/>
      <c r="Y103" s="52" t="n"/>
      <c r="Z103" s="135" t="inlineStr">
        <is>
          <t>902</t>
        </is>
      </c>
      <c r="AA103" s="135" t="n">
        <v>910</v>
      </c>
      <c r="AB103" s="68" t="n"/>
      <c r="AC103" s="52" t="n"/>
      <c r="AD103" s="68" t="n"/>
      <c r="AE103" s="52" t="n"/>
      <c r="AF103" s="68" t="n"/>
      <c r="AG103" s="52" t="n"/>
      <c r="AH103" s="68" t="n"/>
      <c r="AI103" s="52" t="n"/>
      <c r="AJ103" s="68" t="n"/>
      <c r="AK103" s="68" t="n"/>
    </row>
    <row r="104" ht="16.5" customHeight="1" s="142">
      <c r="A104" s="52" t="n">
        <v>40051</v>
      </c>
      <c r="B104" s="27" t="inlineStr">
        <is>
          <t>雪狼</t>
        </is>
      </c>
      <c r="C104" s="52" t="inlineStr">
        <is>
          <t>SR</t>
        </is>
      </c>
      <c r="D104" s="52" t="inlineStr">
        <is>
          <t>monster</t>
        </is>
      </c>
      <c r="E104" s="143" t="inlineStr">
        <is>
          <t>魔攻</t>
        </is>
      </c>
      <c r="F104" s="68" t="inlineStr">
        <is>
          <t>1,1</t>
        </is>
      </c>
      <c r="G104" s="27" t="n">
        <v>62</v>
      </c>
      <c r="H104" s="52" t="n"/>
      <c r="I104" s="52" t="n">
        <v>110012</v>
      </c>
      <c r="J104" s="52" t="n">
        <v>400013</v>
      </c>
      <c r="K104" s="52" t="n">
        <v>410029</v>
      </c>
      <c r="L104" s="135" t="n">
        <v>3</v>
      </c>
      <c r="M104" s="52" t="n"/>
      <c r="N104" s="52" t="n">
        <v>710</v>
      </c>
      <c r="O104" s="52" t="n">
        <v>17</v>
      </c>
      <c r="P104" s="52" t="n">
        <v>80</v>
      </c>
      <c r="Q104" s="52" t="n">
        <v>25</v>
      </c>
      <c r="R104" s="52" t="n">
        <v>44</v>
      </c>
      <c r="S104" s="52" t="n">
        <v>75</v>
      </c>
      <c r="T104" s="52" t="n">
        <v>10</v>
      </c>
      <c r="U104" s="77" t="n"/>
      <c r="V104" s="70" t="n">
        <v>646</v>
      </c>
      <c r="W104" s="135" t="n">
        <v>0.02</v>
      </c>
      <c r="X104" s="68" t="n"/>
      <c r="Y104" s="52" t="n"/>
      <c r="Z104" s="135" t="inlineStr">
        <is>
          <t>902</t>
        </is>
      </c>
      <c r="AA104" s="135" t="n">
        <v>910</v>
      </c>
      <c r="AB104" s="68" t="n"/>
      <c r="AC104" s="52" t="n"/>
      <c r="AD104" s="68" t="n"/>
      <c r="AE104" s="52" t="n"/>
      <c r="AF104" s="68" t="n"/>
      <c r="AG104" s="52" t="n"/>
      <c r="AH104" s="68" t="n"/>
      <c r="AI104" s="52" t="n"/>
      <c r="AJ104" s="68" t="n"/>
      <c r="AK104" s="68" t="n"/>
    </row>
    <row r="105" ht="16.5" customHeight="1" s="142">
      <c r="A105" s="52" t="n">
        <v>40052</v>
      </c>
      <c r="B105" s="27" t="inlineStr">
        <is>
          <t>聖骸兵</t>
        </is>
      </c>
      <c r="C105" s="52" t="inlineStr">
        <is>
          <t>SR</t>
        </is>
      </c>
      <c r="D105" s="52" t="inlineStr">
        <is>
          <t>monster</t>
        </is>
      </c>
      <c r="E105" s="143" t="inlineStr">
        <is>
          <t>物攻</t>
        </is>
      </c>
      <c r="F105" s="68" t="inlineStr">
        <is>
          <t>1,1</t>
        </is>
      </c>
      <c r="G105" s="27" t="n">
        <v>67</v>
      </c>
      <c r="H105" s="52" t="n"/>
      <c r="I105" s="52" t="n">
        <v>110001</v>
      </c>
      <c r="J105" s="52" t="n">
        <v>400029</v>
      </c>
      <c r="K105" s="52" t="n">
        <v>410026</v>
      </c>
      <c r="L105" s="135" t="n">
        <v>2</v>
      </c>
      <c r="M105" s="52" t="n"/>
      <c r="N105" s="52" t="n">
        <v>850</v>
      </c>
      <c r="O105" s="52" t="n">
        <v>71</v>
      </c>
      <c r="P105" s="52" t="n">
        <v>14</v>
      </c>
      <c r="Q105" s="52" t="n">
        <v>48</v>
      </c>
      <c r="R105" s="52" t="n">
        <v>34</v>
      </c>
      <c r="S105" s="52" t="n">
        <v>75</v>
      </c>
      <c r="T105" s="52" t="n">
        <v>10</v>
      </c>
      <c r="U105" s="77" t="n"/>
      <c r="V105" s="70" t="n">
        <v>717</v>
      </c>
      <c r="W105" s="135" t="n">
        <v>0.02</v>
      </c>
      <c r="X105" s="68" t="n"/>
      <c r="Y105" s="52" t="n"/>
      <c r="Z105" s="135" t="inlineStr">
        <is>
          <t>903</t>
        </is>
      </c>
      <c r="AA105" s="135" t="n">
        <v>910</v>
      </c>
      <c r="AB105" s="68" t="n"/>
      <c r="AC105" s="52" t="n"/>
      <c r="AD105" s="68" t="n"/>
      <c r="AE105" s="52" t="n"/>
      <c r="AF105" s="68" t="n"/>
      <c r="AG105" s="52" t="n"/>
      <c r="AH105" s="68" t="n"/>
      <c r="AI105" s="52" t="n"/>
      <c r="AJ105" s="68" t="n"/>
      <c r="AK105" s="68" t="n"/>
    </row>
    <row r="106" ht="16.5" customHeight="1" s="142">
      <c r="A106" s="52" t="n">
        <v>40053</v>
      </c>
      <c r="B106" s="27" t="inlineStr">
        <is>
          <t>赤焰妖</t>
        </is>
      </c>
      <c r="C106" s="52" t="inlineStr">
        <is>
          <t>SR</t>
        </is>
      </c>
      <c r="D106" s="52" t="inlineStr">
        <is>
          <t>monster</t>
        </is>
      </c>
      <c r="E106" s="143" t="inlineStr">
        <is>
          <t>魔攻</t>
        </is>
      </c>
      <c r="F106" s="68" t="inlineStr">
        <is>
          <t>1,1</t>
        </is>
      </c>
      <c r="G106" s="27" t="n">
        <v>64</v>
      </c>
      <c r="H106" s="52" t="n"/>
      <c r="I106" s="52" t="n">
        <v>110011</v>
      </c>
      <c r="J106" s="52" t="n">
        <v>400009</v>
      </c>
      <c r="K106" s="52" t="n">
        <v>410027</v>
      </c>
      <c r="L106" s="135" t="n">
        <v>2</v>
      </c>
      <c r="M106" s="52" t="n"/>
      <c r="N106" s="52" t="n">
        <v>730</v>
      </c>
      <c r="O106" s="52" t="n">
        <v>14</v>
      </c>
      <c r="P106" s="52" t="n">
        <v>77</v>
      </c>
      <c r="Q106" s="52" t="n">
        <v>27</v>
      </c>
      <c r="R106" s="52" t="n">
        <v>45</v>
      </c>
      <c r="S106" s="52" t="n">
        <v>75</v>
      </c>
      <c r="T106" s="52" t="n">
        <v>10</v>
      </c>
      <c r="U106" s="77" t="n"/>
      <c r="V106" s="70" t="n">
        <v>653</v>
      </c>
      <c r="W106" s="135" t="n">
        <v>0.02</v>
      </c>
      <c r="X106" s="68" t="n"/>
      <c r="Y106" s="52" t="n"/>
      <c r="Z106" s="135" t="inlineStr">
        <is>
          <t>902</t>
        </is>
      </c>
      <c r="AA106" s="135" t="n">
        <v>910</v>
      </c>
      <c r="AB106" s="68" t="n"/>
      <c r="AC106" s="52" t="n"/>
      <c r="AD106" s="68" t="n"/>
      <c r="AE106" s="52" t="n"/>
      <c r="AF106" s="68" t="n"/>
      <c r="AG106" s="52" t="n"/>
      <c r="AH106" s="68" t="n"/>
      <c r="AI106" s="52" t="n"/>
      <c r="AJ106" s="68" t="n"/>
      <c r="AK106" s="68" t="n"/>
    </row>
    <row r="107" ht="16.5" customHeight="1" s="142">
      <c r="A107" s="52" t="n">
        <v>40054</v>
      </c>
      <c r="B107" s="27" t="inlineStr">
        <is>
          <t>誓約亡魂</t>
        </is>
      </c>
      <c r="C107" s="52" t="inlineStr">
        <is>
          <t>SR</t>
        </is>
      </c>
      <c r="D107" s="52" t="inlineStr">
        <is>
          <t>monster</t>
        </is>
      </c>
      <c r="E107" s="143" t="inlineStr">
        <is>
          <t>物攻</t>
        </is>
      </c>
      <c r="F107" s="68" t="inlineStr">
        <is>
          <t>1,1</t>
        </is>
      </c>
      <c r="G107" s="27" t="n">
        <v>65</v>
      </c>
      <c r="H107" s="52" t="n"/>
      <c r="I107" s="52" t="n">
        <v>110002</v>
      </c>
      <c r="J107" s="52" t="n">
        <v>400022</v>
      </c>
      <c r="K107" s="52" t="n">
        <v>410026</v>
      </c>
      <c r="L107" s="135" t="n">
        <v>3</v>
      </c>
      <c r="M107" s="52" t="n"/>
      <c r="N107" s="52" t="n">
        <v>940</v>
      </c>
      <c r="O107" s="52" t="n">
        <v>69</v>
      </c>
      <c r="P107" s="52" t="n">
        <v>15</v>
      </c>
      <c r="Q107" s="52" t="n">
        <v>55</v>
      </c>
      <c r="R107" s="52" t="n">
        <v>45</v>
      </c>
      <c r="S107" s="52" t="n">
        <v>75</v>
      </c>
      <c r="T107" s="52" t="n">
        <v>10</v>
      </c>
      <c r="U107" s="77" t="n"/>
      <c r="V107" s="70" t="n">
        <v>779</v>
      </c>
      <c r="W107" s="135" t="n">
        <v>0.02</v>
      </c>
      <c r="X107" s="68" t="n"/>
      <c r="Y107" s="52" t="n"/>
      <c r="Z107" s="135" t="inlineStr">
        <is>
          <t>903</t>
        </is>
      </c>
      <c r="AA107" s="135" t="n">
        <v>910</v>
      </c>
      <c r="AB107" s="68" t="n"/>
      <c r="AC107" s="52" t="n"/>
      <c r="AD107" s="68" t="n"/>
      <c r="AE107" s="52" t="n"/>
      <c r="AF107" s="68" t="n"/>
      <c r="AG107" s="52" t="n"/>
      <c r="AH107" s="68" t="n"/>
      <c r="AI107" s="52" t="n"/>
      <c r="AJ107" s="68" t="n"/>
      <c r="AK107" s="68" t="n"/>
    </row>
    <row r="108" ht="16.5" customHeight="1" s="142">
      <c r="A108" s="52" t="n">
        <v>40055</v>
      </c>
      <c r="B108" s="27" t="inlineStr">
        <is>
          <t>鬼火</t>
        </is>
      </c>
      <c r="C108" s="52" t="inlineStr">
        <is>
          <t>SR</t>
        </is>
      </c>
      <c r="D108" s="52" t="inlineStr">
        <is>
          <t>monster</t>
        </is>
      </c>
      <c r="E108" s="143" t="inlineStr">
        <is>
          <t>魔攻</t>
        </is>
      </c>
      <c r="F108" s="68" t="inlineStr">
        <is>
          <t>1,1</t>
        </is>
      </c>
      <c r="G108" s="27" t="n">
        <v>65</v>
      </c>
      <c r="H108" s="52" t="n"/>
      <c r="I108" s="52" t="n">
        <v>110012</v>
      </c>
      <c r="J108" s="52" t="n">
        <v>400009</v>
      </c>
      <c r="K108" s="52" t="n">
        <v>410027</v>
      </c>
      <c r="L108" s="135" t="n">
        <v>2</v>
      </c>
      <c r="M108" s="52" t="n"/>
      <c r="N108" s="52" t="n">
        <v>820</v>
      </c>
      <c r="O108" s="52" t="n">
        <v>12</v>
      </c>
      <c r="P108" s="52" t="n">
        <v>75</v>
      </c>
      <c r="Q108" s="52" t="n">
        <v>44</v>
      </c>
      <c r="R108" s="52" t="n">
        <v>36</v>
      </c>
      <c r="S108" s="52" t="n">
        <v>75</v>
      </c>
      <c r="T108" s="52" t="n">
        <v>10</v>
      </c>
      <c r="U108" s="77" t="n"/>
      <c r="V108" s="70" t="n">
        <v>702</v>
      </c>
      <c r="W108" s="135" t="n">
        <v>0.02</v>
      </c>
      <c r="X108" s="68" t="n"/>
      <c r="Y108" s="52" t="n"/>
      <c r="Z108" s="135" t="inlineStr">
        <is>
          <t>902</t>
        </is>
      </c>
      <c r="AA108" s="135" t="n">
        <v>910</v>
      </c>
      <c r="AB108" s="68" t="n"/>
      <c r="AC108" s="52" t="n"/>
      <c r="AD108" s="68" t="n"/>
      <c r="AE108" s="52" t="n"/>
      <c r="AF108" s="68" t="n"/>
      <c r="AG108" s="52" t="n"/>
      <c r="AH108" s="68" t="n"/>
      <c r="AI108" s="52" t="n"/>
      <c r="AJ108" s="68" t="n"/>
      <c r="AK108" s="68" t="n"/>
    </row>
    <row r="109" ht="16.5" customHeight="1" s="142">
      <c r="A109" s="52" t="n">
        <v>40056</v>
      </c>
      <c r="B109" s="27" t="inlineStr">
        <is>
          <t>骷髏戰士</t>
        </is>
      </c>
      <c r="C109" s="52" t="inlineStr">
        <is>
          <t>SR</t>
        </is>
      </c>
      <c r="D109" s="52" t="inlineStr">
        <is>
          <t>monster</t>
        </is>
      </c>
      <c r="E109" s="143" t="inlineStr">
        <is>
          <t>物攻</t>
        </is>
      </c>
      <c r="F109" s="68" t="inlineStr">
        <is>
          <t>1,1</t>
        </is>
      </c>
      <c r="G109" s="27" t="n">
        <v>65</v>
      </c>
      <c r="H109" s="52" t="n"/>
      <c r="I109" s="52" t="n">
        <v>110001</v>
      </c>
      <c r="J109" s="52" t="n">
        <v>400016</v>
      </c>
      <c r="K109" s="52" t="n">
        <v>410006</v>
      </c>
      <c r="L109" s="135" t="n">
        <v>3</v>
      </c>
      <c r="M109" s="52" t="n"/>
      <c r="N109" s="52" t="n">
        <v>790</v>
      </c>
      <c r="O109" s="52" t="n">
        <v>77</v>
      </c>
      <c r="P109" s="52" t="n">
        <v>13</v>
      </c>
      <c r="Q109" s="52" t="n">
        <v>37</v>
      </c>
      <c r="R109" s="52" t="n">
        <v>34</v>
      </c>
      <c r="S109" s="52" t="n">
        <v>75</v>
      </c>
      <c r="T109" s="52" t="n">
        <v>10</v>
      </c>
      <c r="U109" s="77" t="n"/>
      <c r="V109" s="70" t="n">
        <v>681</v>
      </c>
      <c r="W109" s="135" t="n">
        <v>0.02</v>
      </c>
      <c r="X109" s="68" t="n"/>
      <c r="Y109" s="52" t="n"/>
      <c r="Z109" s="135" t="inlineStr">
        <is>
          <t>903</t>
        </is>
      </c>
      <c r="AA109" s="135" t="n">
        <v>910</v>
      </c>
      <c r="AB109" s="68" t="n"/>
      <c r="AC109" s="52" t="n"/>
      <c r="AD109" s="68" t="n"/>
      <c r="AE109" s="52" t="n"/>
      <c r="AF109" s="68" t="n"/>
      <c r="AG109" s="52" t="n"/>
      <c r="AH109" s="68" t="n"/>
      <c r="AI109" s="52" t="n"/>
      <c r="AJ109" s="68" t="n"/>
      <c r="AK109" s="68" t="n"/>
    </row>
    <row r="110" ht="16.5" customHeight="1" s="142">
      <c r="A110" s="52" t="n">
        <v>40057</v>
      </c>
      <c r="B110" s="138" t="inlineStr">
        <is>
          <t>暗黑鳥人</t>
        </is>
      </c>
      <c r="C110" s="52" t="inlineStr">
        <is>
          <t>SR</t>
        </is>
      </c>
      <c r="D110" s="52" t="inlineStr">
        <is>
          <t>monster</t>
        </is>
      </c>
      <c r="E110" s="143" t="inlineStr">
        <is>
          <t>魔攻</t>
        </is>
      </c>
      <c r="F110" s="68" t="inlineStr">
        <is>
          <t>1,1</t>
        </is>
      </c>
      <c r="G110" s="27" t="n">
        <v>62</v>
      </c>
      <c r="H110" s="52" t="n"/>
      <c r="I110" s="52" t="n">
        <v>110011</v>
      </c>
      <c r="J110" s="52" t="n">
        <v>400018</v>
      </c>
      <c r="K110" s="52" t="n">
        <v>410019</v>
      </c>
      <c r="L110" s="135" t="n">
        <v>3</v>
      </c>
      <c r="M110" s="52" t="n"/>
      <c r="N110" s="52" t="n">
        <v>760</v>
      </c>
      <c r="O110" s="52" t="n">
        <v>15</v>
      </c>
      <c r="P110" s="52" t="n">
        <v>72</v>
      </c>
      <c r="Q110" s="52" t="n">
        <v>32</v>
      </c>
      <c r="R110" s="52" t="n">
        <v>41</v>
      </c>
      <c r="S110" s="52" t="n">
        <v>75</v>
      </c>
      <c r="T110" s="52" t="n">
        <v>10</v>
      </c>
      <c r="U110" s="77" t="n"/>
      <c r="V110" s="70" t="n">
        <v>665</v>
      </c>
      <c r="W110" s="135" t="n">
        <v>0.02</v>
      </c>
      <c r="X110" s="68" t="n"/>
      <c r="Y110" s="52" t="n"/>
      <c r="Z110" s="135" t="inlineStr">
        <is>
          <t>902</t>
        </is>
      </c>
      <c r="AA110" s="135" t="n">
        <v>910</v>
      </c>
      <c r="AB110" s="68" t="n"/>
      <c r="AC110" s="52" t="n"/>
      <c r="AD110" s="68" t="n"/>
      <c r="AE110" s="52" t="n"/>
      <c r="AF110" s="68" t="n"/>
      <c r="AG110" s="52" t="n"/>
      <c r="AH110" s="68" t="n"/>
      <c r="AI110" s="52" t="n"/>
      <c r="AJ110" s="68" t="n"/>
      <c r="AK110" s="68" t="n"/>
    </row>
    <row r="111" ht="16.5" customHeight="1" s="142">
      <c r="A111" s="52" t="n">
        <v>40058</v>
      </c>
      <c r="B111" s="27" t="inlineStr">
        <is>
          <t>火岩魔像</t>
        </is>
      </c>
      <c r="C111" s="52" t="inlineStr">
        <is>
          <t>SR</t>
        </is>
      </c>
      <c r="D111" s="52" t="inlineStr">
        <is>
          <t>monster</t>
        </is>
      </c>
      <c r="E111" s="143" t="inlineStr">
        <is>
          <t>物攻</t>
        </is>
      </c>
      <c r="F111" s="68" t="inlineStr">
        <is>
          <t>1,1</t>
        </is>
      </c>
      <c r="G111" s="27" t="n">
        <v>67</v>
      </c>
      <c r="H111" s="52" t="n"/>
      <c r="I111" s="52" t="n">
        <v>110001</v>
      </c>
      <c r="J111" s="52" t="n">
        <v>400008</v>
      </c>
      <c r="K111" s="52" t="n">
        <v>410017</v>
      </c>
      <c r="L111" s="135" t="n">
        <v>2</v>
      </c>
      <c r="M111" s="52" t="n"/>
      <c r="N111" s="52" t="n">
        <v>670</v>
      </c>
      <c r="O111" s="52" t="n">
        <v>78</v>
      </c>
      <c r="P111" s="52" t="n">
        <v>16</v>
      </c>
      <c r="Q111" s="52" t="n">
        <v>31</v>
      </c>
      <c r="R111" s="52" t="n">
        <v>29</v>
      </c>
      <c r="S111" s="52" t="n">
        <v>75</v>
      </c>
      <c r="T111" s="52" t="n">
        <v>10</v>
      </c>
      <c r="U111" s="77" t="n">
        <v>3</v>
      </c>
      <c r="V111" s="70" t="n">
        <v>614</v>
      </c>
      <c r="W111" s="135" t="n">
        <v>0.02</v>
      </c>
      <c r="X111" s="68" t="n"/>
      <c r="Y111" s="52" t="n"/>
      <c r="Z111" s="135" t="inlineStr">
        <is>
          <t>903</t>
        </is>
      </c>
      <c r="AA111" s="135" t="n">
        <v>910</v>
      </c>
      <c r="AB111" s="68" t="n"/>
      <c r="AC111" s="52" t="n"/>
      <c r="AD111" s="68" t="n"/>
      <c r="AE111" s="52" t="n"/>
      <c r="AF111" s="68" t="n"/>
      <c r="AG111" s="52" t="n"/>
      <c r="AH111" s="68" t="n"/>
      <c r="AI111" s="52" t="n"/>
      <c r="AJ111" s="68" t="n"/>
      <c r="AK111" s="68" t="n"/>
    </row>
    <row r="112" ht="16.5" customHeight="1" s="142">
      <c r="A112" s="52" t="n">
        <v>40059</v>
      </c>
      <c r="B112" s="27" t="inlineStr">
        <is>
          <t>炎翼蝙蝠</t>
        </is>
      </c>
      <c r="C112" s="52" t="inlineStr">
        <is>
          <t>SR</t>
        </is>
      </c>
      <c r="D112" s="52" t="inlineStr">
        <is>
          <t>monster</t>
        </is>
      </c>
      <c r="E112" s="143" t="inlineStr">
        <is>
          <t>物攻</t>
        </is>
      </c>
      <c r="F112" s="68" t="inlineStr">
        <is>
          <t>1,1</t>
        </is>
      </c>
      <c r="G112" s="27" t="n">
        <v>62</v>
      </c>
      <c r="H112" s="52" t="n"/>
      <c r="I112" s="52" t="n">
        <v>110002</v>
      </c>
      <c r="J112" s="52" t="n">
        <v>400002</v>
      </c>
      <c r="K112" s="52" t="n">
        <v>410009</v>
      </c>
      <c r="L112" s="135" t="n">
        <v>2</v>
      </c>
      <c r="M112" s="52" t="n"/>
      <c r="N112" s="52" t="n">
        <v>740</v>
      </c>
      <c r="O112" s="52" t="n">
        <v>81</v>
      </c>
      <c r="P112" s="52" t="n">
        <v>14</v>
      </c>
      <c r="Q112" s="52" t="n">
        <v>33</v>
      </c>
      <c r="R112" s="52" t="n">
        <v>28</v>
      </c>
      <c r="S112" s="52" t="n">
        <v>75</v>
      </c>
      <c r="T112" s="52" t="n">
        <v>10</v>
      </c>
      <c r="U112" s="77" t="n"/>
      <c r="V112" s="70" t="n">
        <v>651</v>
      </c>
      <c r="W112" s="135" t="n">
        <v>0.02</v>
      </c>
      <c r="X112" s="68" t="n"/>
      <c r="Y112" s="52" t="n"/>
      <c r="Z112" s="135" t="inlineStr">
        <is>
          <t>903</t>
        </is>
      </c>
      <c r="AA112" s="135" t="n">
        <v>910</v>
      </c>
      <c r="AB112" s="68" t="n"/>
      <c r="AC112" s="52" t="n"/>
      <c r="AD112" s="68" t="n"/>
      <c r="AE112" s="52" t="n"/>
      <c r="AF112" s="68" t="n"/>
      <c r="AG112" s="52" t="n"/>
      <c r="AH112" s="68" t="n"/>
      <c r="AI112" s="52" t="n"/>
      <c r="AJ112" s="68" t="n"/>
      <c r="AK112" s="68" t="n"/>
    </row>
    <row r="113" ht="16.5" customHeight="1" s="142">
      <c r="A113" s="52" t="n">
        <v>40060</v>
      </c>
      <c r="B113" s="27" t="inlineStr">
        <is>
          <t>靈魂收割者</t>
        </is>
      </c>
      <c r="C113" s="52" t="inlineStr">
        <is>
          <t>SR</t>
        </is>
      </c>
      <c r="D113" s="52" t="inlineStr">
        <is>
          <t>monster</t>
        </is>
      </c>
      <c r="E113" s="143" t="inlineStr">
        <is>
          <t>魔攻</t>
        </is>
      </c>
      <c r="F113" s="68" t="inlineStr">
        <is>
          <t>1,1</t>
        </is>
      </c>
      <c r="G113" s="27" t="n">
        <v>65</v>
      </c>
      <c r="H113" s="52" t="n"/>
      <c r="I113" s="52" t="n">
        <v>110011</v>
      </c>
      <c r="J113" s="52" t="n">
        <v>400009</v>
      </c>
      <c r="K113" s="52" t="n">
        <v>410024</v>
      </c>
      <c r="L113" s="135" t="n">
        <v>2</v>
      </c>
      <c r="M113" s="52" t="n"/>
      <c r="N113" s="52" t="n">
        <v>690</v>
      </c>
      <c r="O113" s="52" t="n">
        <v>13</v>
      </c>
      <c r="P113" s="52" t="n">
        <v>79</v>
      </c>
      <c r="Q113" s="52" t="n">
        <v>24</v>
      </c>
      <c r="R113" s="52" t="n">
        <v>43</v>
      </c>
      <c r="S113" s="52" t="n">
        <v>75</v>
      </c>
      <c r="T113" s="52" t="n">
        <v>10</v>
      </c>
      <c r="U113" s="77" t="n"/>
      <c r="V113" s="70" t="n">
        <v>629</v>
      </c>
      <c r="W113" s="135" t="n">
        <v>0.02</v>
      </c>
      <c r="X113" s="68" t="n"/>
      <c r="Y113" s="52" t="n"/>
      <c r="Z113" s="135" t="inlineStr">
        <is>
          <t>902</t>
        </is>
      </c>
      <c r="AA113" s="135" t="n">
        <v>910</v>
      </c>
      <c r="AB113" s="68" t="n"/>
      <c r="AC113" s="52" t="n"/>
      <c r="AD113" s="68" t="n"/>
      <c r="AE113" s="52" t="n"/>
      <c r="AF113" s="68" t="n"/>
      <c r="AG113" s="52" t="n"/>
      <c r="AH113" s="68" t="n"/>
      <c r="AI113" s="52" t="n"/>
      <c r="AJ113" s="68" t="n"/>
      <c r="AK113" s="68" t="n"/>
    </row>
    <row r="114" ht="16.5" customHeight="1" s="142">
      <c r="A114" s="52" t="n">
        <v>40061</v>
      </c>
      <c r="B114" s="27" t="inlineStr">
        <is>
          <t>冰甲熊</t>
        </is>
      </c>
      <c r="C114" s="52" t="inlineStr">
        <is>
          <t>SR</t>
        </is>
      </c>
      <c r="D114" s="52" t="inlineStr">
        <is>
          <t>monster</t>
        </is>
      </c>
      <c r="E114" s="143" t="inlineStr">
        <is>
          <t>物攻</t>
        </is>
      </c>
      <c r="F114" s="68" t="inlineStr">
        <is>
          <t>1,1</t>
        </is>
      </c>
      <c r="G114" s="27" t="n">
        <v>62</v>
      </c>
      <c r="H114" s="52" t="n"/>
      <c r="I114" s="52" t="n">
        <v>110001</v>
      </c>
      <c r="J114" s="52" t="n">
        <v>400002</v>
      </c>
      <c r="K114" s="52" t="n">
        <v>410028</v>
      </c>
      <c r="L114" s="135" t="n">
        <v>3</v>
      </c>
      <c r="M114" s="52" t="n"/>
      <c r="N114" s="52" t="n">
        <v>800</v>
      </c>
      <c r="O114" s="52" t="n">
        <v>73</v>
      </c>
      <c r="P114" s="52" t="n">
        <v>12</v>
      </c>
      <c r="Q114" s="52" t="n">
        <v>46</v>
      </c>
      <c r="R114" s="52" t="n">
        <v>32</v>
      </c>
      <c r="S114" s="52" t="n">
        <v>75</v>
      </c>
      <c r="T114" s="52" t="n">
        <v>10</v>
      </c>
      <c r="U114" s="77" t="n"/>
      <c r="V114" s="70" t="n">
        <v>688</v>
      </c>
      <c r="W114" s="135" t="n">
        <v>0.02</v>
      </c>
      <c r="X114" s="68" t="n"/>
      <c r="Y114" s="52" t="n"/>
      <c r="Z114" s="135" t="inlineStr">
        <is>
          <t>903</t>
        </is>
      </c>
      <c r="AA114" s="135" t="n">
        <v>910</v>
      </c>
      <c r="AB114" s="68" t="n"/>
      <c r="AC114" s="52" t="n"/>
      <c r="AD114" s="68" t="n"/>
      <c r="AE114" s="52" t="n"/>
      <c r="AF114" s="68" t="n"/>
      <c r="AG114" s="52" t="n"/>
      <c r="AH114" s="68" t="n"/>
      <c r="AI114" s="52" t="n"/>
      <c r="AJ114" s="68" t="n"/>
      <c r="AK114" s="68" t="n"/>
    </row>
    <row r="115" ht="16.5" customHeight="1" s="142">
      <c r="A115" s="52" t="n">
        <v>40062</v>
      </c>
      <c r="B115" s="27" t="inlineStr">
        <is>
          <t>寒冰精靈</t>
        </is>
      </c>
      <c r="C115" s="52" t="inlineStr">
        <is>
          <t>SR</t>
        </is>
      </c>
      <c r="D115" s="52" t="inlineStr">
        <is>
          <t>monster</t>
        </is>
      </c>
      <c r="E115" s="143" t="inlineStr">
        <is>
          <t>魔攻</t>
        </is>
      </c>
      <c r="F115" s="68" t="inlineStr">
        <is>
          <t>1,1</t>
        </is>
      </c>
      <c r="G115" s="27" t="n">
        <v>64</v>
      </c>
      <c r="H115" s="52" t="n"/>
      <c r="I115" s="52" t="n">
        <v>110012</v>
      </c>
      <c r="J115" s="52" t="n">
        <v>400013</v>
      </c>
      <c r="K115" s="52" t="n">
        <v>410021</v>
      </c>
      <c r="L115" s="135" t="n">
        <v>3</v>
      </c>
      <c r="M115" s="52" t="n"/>
      <c r="N115" s="52" t="n">
        <v>620</v>
      </c>
      <c r="O115" s="52" t="n">
        <v>12</v>
      </c>
      <c r="P115" s="52" t="n">
        <v>75</v>
      </c>
      <c r="Q115" s="52" t="n">
        <v>20</v>
      </c>
      <c r="R115" s="52" t="n">
        <v>47</v>
      </c>
      <c r="S115" s="52" t="n">
        <v>75</v>
      </c>
      <c r="T115" s="52" t="n">
        <v>10</v>
      </c>
      <c r="U115" s="77" t="n"/>
      <c r="V115" s="70" t="n">
        <v>589</v>
      </c>
      <c r="W115" s="135" t="n">
        <v>0.02</v>
      </c>
      <c r="X115" s="68" t="n"/>
      <c r="Y115" s="52" t="n"/>
      <c r="Z115" s="135" t="inlineStr">
        <is>
          <t>902</t>
        </is>
      </c>
      <c r="AA115" s="135" t="n">
        <v>910</v>
      </c>
      <c r="AB115" s="68" t="n"/>
      <c r="AC115" s="52" t="n"/>
      <c r="AD115" s="68" t="n"/>
      <c r="AE115" s="52" t="n"/>
      <c r="AF115" s="68" t="n"/>
      <c r="AG115" s="52" t="n"/>
      <c r="AH115" s="68" t="n"/>
      <c r="AI115" s="52" t="n"/>
      <c r="AJ115" s="68" t="n"/>
      <c r="AK115" s="68" t="n"/>
    </row>
    <row r="116" ht="16.5" customHeight="1" s="142">
      <c r="A116" s="52" t="n">
        <v>40063</v>
      </c>
      <c r="B116" s="27" t="inlineStr">
        <is>
          <t>深淵魔兵</t>
        </is>
      </c>
      <c r="C116" s="52" t="inlineStr">
        <is>
          <t>SR</t>
        </is>
      </c>
      <c r="D116" s="52" t="inlineStr">
        <is>
          <t>monster</t>
        </is>
      </c>
      <c r="E116" s="143" t="inlineStr">
        <is>
          <t>物攻</t>
        </is>
      </c>
      <c r="F116" s="68" t="inlineStr">
        <is>
          <t>1,1</t>
        </is>
      </c>
      <c r="G116" s="27" t="n">
        <v>66</v>
      </c>
      <c r="H116" s="52" t="n"/>
      <c r="I116" s="52" t="n">
        <v>110001</v>
      </c>
      <c r="J116" s="52" t="n">
        <v>400001</v>
      </c>
      <c r="K116" s="52" t="n">
        <v>410017</v>
      </c>
      <c r="L116" s="135" t="n">
        <v>3</v>
      </c>
      <c r="M116" s="52" t="n"/>
      <c r="N116" s="52" t="n">
        <v>890</v>
      </c>
      <c r="O116" s="52" t="n">
        <v>76</v>
      </c>
      <c r="P116" s="52" t="n">
        <v>13</v>
      </c>
      <c r="Q116" s="52" t="n">
        <v>42</v>
      </c>
      <c r="R116" s="52" t="n">
        <v>36</v>
      </c>
      <c r="S116" s="52" t="n">
        <v>75</v>
      </c>
      <c r="T116" s="52" t="n">
        <v>10</v>
      </c>
      <c r="U116" s="77" t="n"/>
      <c r="V116" s="70" t="n">
        <v>737</v>
      </c>
      <c r="W116" s="135" t="n">
        <v>0.02</v>
      </c>
      <c r="X116" s="68" t="n"/>
      <c r="Y116" s="52" t="n"/>
      <c r="Z116" s="135" t="inlineStr">
        <is>
          <t>903</t>
        </is>
      </c>
      <c r="AA116" s="135" t="n">
        <v>910</v>
      </c>
      <c r="AB116" s="68" t="n"/>
      <c r="AC116" s="52" t="n"/>
      <c r="AD116" s="68" t="n"/>
      <c r="AE116" s="52" t="n"/>
      <c r="AF116" s="68" t="n"/>
      <c r="AG116" s="52" t="n"/>
      <c r="AH116" s="68" t="n"/>
      <c r="AI116" s="52" t="n"/>
      <c r="AJ116" s="68" t="n"/>
      <c r="AK116" s="68" t="n"/>
    </row>
    <row r="117" ht="16.5" customHeight="1" s="142">
      <c r="A117" s="52" t="n">
        <v>40064</v>
      </c>
      <c r="B117" s="27" t="inlineStr">
        <is>
          <t>雪原巨魔</t>
        </is>
      </c>
      <c r="C117" s="52" t="inlineStr">
        <is>
          <t>SR</t>
        </is>
      </c>
      <c r="D117" s="52" t="inlineStr">
        <is>
          <t>monster</t>
        </is>
      </c>
      <c r="E117" s="143" t="inlineStr">
        <is>
          <t>物攻</t>
        </is>
      </c>
      <c r="F117" s="68" t="inlineStr">
        <is>
          <t>1,1</t>
        </is>
      </c>
      <c r="G117" s="27" t="n">
        <v>62</v>
      </c>
      <c r="H117" s="52" t="n"/>
      <c r="I117" s="52" t="n">
        <v>110002</v>
      </c>
      <c r="J117" s="52" t="n">
        <v>400001</v>
      </c>
      <c r="K117" s="52" t="n">
        <v>410023</v>
      </c>
      <c r="L117" s="135" t="n">
        <v>3</v>
      </c>
      <c r="M117" s="52" t="n"/>
      <c r="N117" s="52" t="n">
        <v>680</v>
      </c>
      <c r="O117" s="52" t="n">
        <v>79</v>
      </c>
      <c r="P117" s="52" t="n">
        <v>15</v>
      </c>
      <c r="Q117" s="52" t="n">
        <v>29</v>
      </c>
      <c r="R117" s="52" t="n">
        <v>27</v>
      </c>
      <c r="S117" s="52" t="n">
        <v>75</v>
      </c>
      <c r="T117" s="52" t="n">
        <v>10</v>
      </c>
      <c r="U117" s="77" t="n"/>
      <c r="V117" s="70" t="n">
        <v>615</v>
      </c>
      <c r="W117" s="135" t="n">
        <v>0.02</v>
      </c>
      <c r="X117" s="68" t="n"/>
      <c r="Y117" s="52" t="n"/>
      <c r="Z117" s="135" t="inlineStr">
        <is>
          <t>903</t>
        </is>
      </c>
      <c r="AA117" s="135" t="n">
        <v>910</v>
      </c>
      <c r="AB117" s="68" t="n"/>
      <c r="AC117" s="52" t="n"/>
      <c r="AD117" s="68" t="n"/>
      <c r="AE117" s="52" t="n"/>
      <c r="AF117" s="68" t="n"/>
      <c r="AG117" s="52" t="n"/>
      <c r="AH117" s="68" t="n"/>
      <c r="AI117" s="52" t="n"/>
      <c r="AJ117" s="68" t="n"/>
      <c r="AK117" s="68" t="n"/>
    </row>
    <row r="118" ht="16.5" customHeight="1" s="142">
      <c r="A118" s="52" t="n">
        <v>40065</v>
      </c>
      <c r="B118" s="27" t="inlineStr">
        <is>
          <t>浪人武士</t>
        </is>
      </c>
      <c r="C118" s="52" t="inlineStr">
        <is>
          <t>SR</t>
        </is>
      </c>
      <c r="D118" s="52" t="inlineStr">
        <is>
          <t>monster</t>
        </is>
      </c>
      <c r="E118" s="143" t="inlineStr">
        <is>
          <t>物攻</t>
        </is>
      </c>
      <c r="F118" s="68" t="inlineStr">
        <is>
          <t>1,1</t>
        </is>
      </c>
      <c r="G118" s="27" t="n">
        <v>68</v>
      </c>
      <c r="H118" s="52" t="n"/>
      <c r="I118" s="52" t="n">
        <v>110001</v>
      </c>
      <c r="J118" s="52" t="n">
        <v>400034</v>
      </c>
      <c r="K118" s="52" t="n">
        <v>410031</v>
      </c>
      <c r="L118" s="135" t="n">
        <v>1</v>
      </c>
      <c r="M118" s="52" t="n"/>
      <c r="N118" s="52" t="n">
        <v>1020</v>
      </c>
      <c r="O118" s="52" t="n">
        <v>68</v>
      </c>
      <c r="P118" s="52" t="n">
        <v>17</v>
      </c>
      <c r="Q118" s="52" t="n">
        <v>56</v>
      </c>
      <c r="R118" s="52" t="n">
        <v>40</v>
      </c>
      <c r="S118" s="52" t="n">
        <v>75</v>
      </c>
      <c r="T118" s="52" t="n">
        <v>10</v>
      </c>
      <c r="U118" s="77" t="n"/>
      <c r="V118" s="70" t="n">
        <v>816</v>
      </c>
      <c r="W118" s="135" t="n">
        <v>0.02</v>
      </c>
      <c r="X118" s="68" t="n"/>
      <c r="Y118" s="52" t="n"/>
      <c r="Z118" s="135" t="inlineStr">
        <is>
          <t>903</t>
        </is>
      </c>
      <c r="AA118" s="135" t="n">
        <v>910</v>
      </c>
      <c r="AB118" s="68" t="n"/>
      <c r="AC118" s="52" t="n"/>
      <c r="AD118" s="68" t="n"/>
      <c r="AE118" s="52" t="n"/>
      <c r="AF118" s="68" t="n"/>
      <c r="AG118" s="52" t="n"/>
      <c r="AH118" s="68" t="n"/>
      <c r="AI118" s="52" t="n"/>
      <c r="AJ118" s="68" t="n"/>
      <c r="AK118" s="68" t="n"/>
    </row>
    <row r="119" ht="16.5" customHeight="1" s="142">
      <c r="A119" s="52" t="n">
        <v>40066</v>
      </c>
      <c r="B119" s="27" t="inlineStr">
        <is>
          <t>亡靈法師</t>
        </is>
      </c>
      <c r="C119" s="52" t="inlineStr">
        <is>
          <t>SR</t>
        </is>
      </c>
      <c r="D119" s="52" t="inlineStr">
        <is>
          <t>monster</t>
        </is>
      </c>
      <c r="E119" s="143" t="inlineStr">
        <is>
          <t>魔攻</t>
        </is>
      </c>
      <c r="F119" s="68" t="inlineStr">
        <is>
          <t>1,1</t>
        </is>
      </c>
      <c r="G119" s="27" t="n">
        <v>65</v>
      </c>
      <c r="H119" s="52" t="n"/>
      <c r="I119" s="52" t="n">
        <v>110011</v>
      </c>
      <c r="J119" s="52" t="n">
        <v>400009</v>
      </c>
      <c r="K119" s="52" t="n">
        <v>410024</v>
      </c>
      <c r="L119" s="135" t="n">
        <v>1</v>
      </c>
      <c r="M119" s="52" t="n"/>
      <c r="N119" s="52" t="n">
        <v>640</v>
      </c>
      <c r="O119" s="52" t="n">
        <v>16</v>
      </c>
      <c r="P119" s="52" t="n">
        <v>71</v>
      </c>
      <c r="Q119" s="52" t="n">
        <v>22</v>
      </c>
      <c r="R119" s="52" t="n">
        <v>38</v>
      </c>
      <c r="S119" s="52" t="n">
        <v>75</v>
      </c>
      <c r="T119" s="52" t="n">
        <v>10</v>
      </c>
      <c r="U119" s="77" t="n"/>
      <c r="V119" s="70" t="n">
        <v>592</v>
      </c>
      <c r="W119" s="135" t="n">
        <v>0.02</v>
      </c>
      <c r="X119" s="68" t="n"/>
      <c r="Y119" s="52" t="n"/>
      <c r="Z119" s="135" t="inlineStr">
        <is>
          <t>902</t>
        </is>
      </c>
      <c r="AA119" s="135" t="n">
        <v>910</v>
      </c>
      <c r="AB119" s="68" t="n"/>
      <c r="AC119" s="52" t="n"/>
      <c r="AD119" s="68" t="n"/>
      <c r="AE119" s="52" t="n"/>
      <c r="AF119" s="68" t="n"/>
      <c r="AG119" s="52" t="n"/>
      <c r="AH119" s="68" t="n"/>
      <c r="AI119" s="52" t="n"/>
      <c r="AJ119" s="68" t="n"/>
      <c r="AK119" s="68" t="n"/>
    </row>
    <row r="120" ht="16.5" customHeight="1" s="142">
      <c r="A120" s="52" t="n">
        <v>40067</v>
      </c>
      <c r="B120" s="27" t="inlineStr">
        <is>
          <t>食屍鬼</t>
        </is>
      </c>
      <c r="C120" s="52" t="inlineStr">
        <is>
          <t>SR</t>
        </is>
      </c>
      <c r="D120" s="52" t="inlineStr">
        <is>
          <t>monster</t>
        </is>
      </c>
      <c r="E120" s="143" t="inlineStr">
        <is>
          <t>物攻</t>
        </is>
      </c>
      <c r="F120" s="68" t="inlineStr">
        <is>
          <t>1,1</t>
        </is>
      </c>
      <c r="G120" s="27" t="n">
        <v>65</v>
      </c>
      <c r="H120" s="52" t="n"/>
      <c r="I120" s="52" t="n">
        <v>110002</v>
      </c>
      <c r="J120" s="52" t="n">
        <v>400036</v>
      </c>
      <c r="K120" s="52" t="n">
        <v>410020</v>
      </c>
      <c r="L120" s="135" t="n">
        <v>2</v>
      </c>
      <c r="M120" s="52" t="n"/>
      <c r="N120" s="52" t="n">
        <v>1080</v>
      </c>
      <c r="O120" s="52" t="n">
        <v>65</v>
      </c>
      <c r="P120" s="52" t="n">
        <v>11</v>
      </c>
      <c r="Q120" s="52" t="n">
        <v>60</v>
      </c>
      <c r="R120" s="52" t="n">
        <v>35</v>
      </c>
      <c r="S120" s="52" t="n">
        <v>75</v>
      </c>
      <c r="T120" s="52" t="n">
        <v>10</v>
      </c>
      <c r="U120" s="77" t="n"/>
      <c r="V120" s="70" t="n">
        <v>836</v>
      </c>
      <c r="W120" s="135" t="n">
        <v>0.02</v>
      </c>
      <c r="X120" s="68" t="n"/>
      <c r="Y120" s="52" t="n"/>
      <c r="Z120" s="135" t="inlineStr">
        <is>
          <t>903</t>
        </is>
      </c>
      <c r="AA120" s="135" t="n">
        <v>910</v>
      </c>
      <c r="AB120" s="68" t="n"/>
      <c r="AC120" s="52" t="n"/>
      <c r="AD120" s="68" t="n"/>
      <c r="AE120" s="52" t="n"/>
      <c r="AF120" s="68" t="n"/>
      <c r="AG120" s="52" t="n"/>
      <c r="AH120" s="68" t="n"/>
      <c r="AI120" s="52" t="n"/>
      <c r="AJ120" s="68" t="n"/>
      <c r="AK120" s="68" t="n"/>
    </row>
    <row r="121" ht="16.5" customHeight="1" s="142">
      <c r="A121" s="52" t="n">
        <v>40068</v>
      </c>
      <c r="B121" s="138" t="inlineStr">
        <is>
          <t>深淵曼陀羅</t>
        </is>
      </c>
      <c r="C121" s="52" t="inlineStr">
        <is>
          <t>SR</t>
        </is>
      </c>
      <c r="D121" s="52" t="inlineStr">
        <is>
          <t>monster</t>
        </is>
      </c>
      <c r="E121" s="143" t="inlineStr">
        <is>
          <t>魔攻</t>
        </is>
      </c>
      <c r="F121" s="68" t="inlineStr">
        <is>
          <t>1,1</t>
        </is>
      </c>
      <c r="G121" s="27" t="n">
        <v>66</v>
      </c>
      <c r="H121" s="52" t="n"/>
      <c r="I121" s="52" t="n">
        <v>110012</v>
      </c>
      <c r="J121" s="52" t="n">
        <v>400007</v>
      </c>
      <c r="K121" s="52" t="n">
        <v>410019</v>
      </c>
      <c r="L121" s="135" t="n">
        <v>1</v>
      </c>
      <c r="M121" s="52" t="n"/>
      <c r="N121" s="52" t="n">
        <v>670</v>
      </c>
      <c r="O121" s="52" t="n">
        <v>15</v>
      </c>
      <c r="P121" s="52" t="n">
        <v>76</v>
      </c>
      <c r="Q121" s="52" t="n">
        <v>23</v>
      </c>
      <c r="R121" s="52" t="n">
        <v>44</v>
      </c>
      <c r="S121" s="52" t="n">
        <v>75</v>
      </c>
      <c r="T121" s="52" t="n">
        <v>10</v>
      </c>
      <c r="U121" s="77" t="n"/>
      <c r="V121" s="70" t="n">
        <v>618</v>
      </c>
      <c r="W121" s="135" t="n">
        <v>0.02</v>
      </c>
      <c r="X121" s="68" t="n"/>
      <c r="Y121" s="52" t="n"/>
      <c r="Z121" s="135" t="inlineStr">
        <is>
          <t>902</t>
        </is>
      </c>
      <c r="AA121" s="135" t="n">
        <v>910</v>
      </c>
      <c r="AB121" s="68" t="n"/>
      <c r="AC121" s="52" t="n"/>
      <c r="AD121" s="68" t="n"/>
      <c r="AE121" s="52" t="n"/>
      <c r="AF121" s="68" t="n"/>
      <c r="AG121" s="52" t="n"/>
      <c r="AH121" s="68" t="n"/>
      <c r="AI121" s="52" t="n"/>
      <c r="AJ121" s="68" t="n"/>
      <c r="AK121" s="68" t="n"/>
    </row>
    <row r="122" ht="16.5" customHeight="1" s="142">
      <c r="A122" s="52" t="n">
        <v>40069</v>
      </c>
      <c r="B122" s="27" t="inlineStr">
        <is>
          <t>惡魔統領</t>
        </is>
      </c>
      <c r="C122" s="52" t="inlineStr">
        <is>
          <t>SR</t>
        </is>
      </c>
      <c r="D122" s="52" t="inlineStr">
        <is>
          <t>monster</t>
        </is>
      </c>
      <c r="E122" s="143" t="inlineStr">
        <is>
          <t>物攻</t>
        </is>
      </c>
      <c r="F122" s="68" t="inlineStr">
        <is>
          <t>1,1</t>
        </is>
      </c>
      <c r="G122" s="27" t="n">
        <v>66</v>
      </c>
      <c r="H122" s="52" t="n"/>
      <c r="I122" s="52" t="n">
        <v>110001</v>
      </c>
      <c r="J122" s="52" t="n">
        <v>400008</v>
      </c>
      <c r="K122" s="52" t="n">
        <v>410025</v>
      </c>
      <c r="L122" s="135" t="n">
        <v>3</v>
      </c>
      <c r="M122" s="52" t="n"/>
      <c r="N122" s="52" t="n">
        <v>690</v>
      </c>
      <c r="O122" s="52" t="n">
        <v>77</v>
      </c>
      <c r="P122" s="52" t="n">
        <v>14</v>
      </c>
      <c r="Q122" s="52" t="n">
        <v>30</v>
      </c>
      <c r="R122" s="52" t="n">
        <v>28</v>
      </c>
      <c r="S122" s="52" t="n">
        <v>75</v>
      </c>
      <c r="T122" s="52" t="n">
        <v>10</v>
      </c>
      <c r="U122" s="77" t="n">
        <v>7</v>
      </c>
      <c r="V122" s="70" t="n">
        <v>619</v>
      </c>
      <c r="W122" s="135" t="n">
        <v>0.02</v>
      </c>
      <c r="X122" s="68" t="n"/>
      <c r="Y122" s="52" t="n"/>
      <c r="Z122" s="135" t="inlineStr">
        <is>
          <t>903</t>
        </is>
      </c>
      <c r="AA122" s="135" t="n">
        <v>910</v>
      </c>
      <c r="AB122" s="68" t="n"/>
      <c r="AC122" s="52" t="n"/>
      <c r="AD122" s="68" t="n"/>
      <c r="AE122" s="52" t="n"/>
      <c r="AF122" s="68" t="n"/>
      <c r="AG122" s="52" t="n"/>
      <c r="AH122" s="68" t="n"/>
      <c r="AI122" s="52" t="n"/>
      <c r="AJ122" s="68" t="n"/>
      <c r="AK122" s="68" t="n"/>
    </row>
    <row r="123" ht="16.5" customHeight="1" s="142">
      <c r="A123" s="52" t="n">
        <v>40070</v>
      </c>
      <c r="B123" s="27" t="inlineStr">
        <is>
          <t>地獄使者</t>
        </is>
      </c>
      <c r="C123" s="52" t="inlineStr">
        <is>
          <t>SR</t>
        </is>
      </c>
      <c r="D123" s="52" t="inlineStr">
        <is>
          <t>monster</t>
        </is>
      </c>
      <c r="E123" s="143" t="inlineStr">
        <is>
          <t>物攻</t>
        </is>
      </c>
      <c r="F123" s="68" t="inlineStr">
        <is>
          <t>1,1</t>
        </is>
      </c>
      <c r="G123" s="27" t="n">
        <v>66</v>
      </c>
      <c r="H123" s="52" t="n"/>
      <c r="I123" s="52" t="n">
        <v>110002</v>
      </c>
      <c r="J123" s="52" t="n">
        <v>400002</v>
      </c>
      <c r="K123" s="52" t="n">
        <v>410006</v>
      </c>
      <c r="L123" s="135" t="n">
        <v>1</v>
      </c>
      <c r="M123" s="52" t="n"/>
      <c r="N123" s="52" t="n">
        <v>960</v>
      </c>
      <c r="O123" s="52" t="n">
        <v>71</v>
      </c>
      <c r="P123" s="52" t="n">
        <v>13</v>
      </c>
      <c r="Q123" s="52" t="n">
        <v>54</v>
      </c>
      <c r="R123" s="52" t="n">
        <v>41</v>
      </c>
      <c r="S123" s="52" t="n">
        <v>75</v>
      </c>
      <c r="T123" s="52" t="n">
        <v>10</v>
      </c>
      <c r="U123" s="77" t="n"/>
      <c r="V123" s="70" t="n">
        <v>784</v>
      </c>
      <c r="W123" s="135" t="n">
        <v>0.02</v>
      </c>
      <c r="X123" s="68" t="n"/>
      <c r="Y123" s="52" t="n"/>
      <c r="Z123" s="135" t="inlineStr">
        <is>
          <t>903</t>
        </is>
      </c>
      <c r="AA123" s="135" t="n">
        <v>910</v>
      </c>
      <c r="AB123" s="68" t="n"/>
      <c r="AC123" s="52" t="n"/>
      <c r="AD123" s="68" t="n"/>
      <c r="AE123" s="52" t="n"/>
      <c r="AF123" s="68" t="n"/>
      <c r="AG123" s="52" t="n"/>
      <c r="AH123" s="68" t="n"/>
      <c r="AI123" s="52" t="n"/>
      <c r="AJ123" s="68" t="n"/>
      <c r="AK123" s="68" t="n"/>
    </row>
    <row r="124" ht="16.5" customHeight="1" s="142">
      <c r="A124" s="52" t="n">
        <v>40071</v>
      </c>
      <c r="B124" s="27" t="inlineStr">
        <is>
          <t>深淵狐影</t>
        </is>
      </c>
      <c r="C124" s="52" t="inlineStr">
        <is>
          <t>SR</t>
        </is>
      </c>
      <c r="D124" s="52" t="inlineStr">
        <is>
          <t>monster</t>
        </is>
      </c>
      <c r="E124" s="143" t="inlineStr">
        <is>
          <t>魔攻</t>
        </is>
      </c>
      <c r="F124" s="68" t="inlineStr">
        <is>
          <t>1,1</t>
        </is>
      </c>
      <c r="G124" s="27" t="n">
        <v>66</v>
      </c>
      <c r="H124" s="52" t="n"/>
      <c r="I124" s="52" t="n">
        <v>110011</v>
      </c>
      <c r="J124" s="52" t="n">
        <v>400019</v>
      </c>
      <c r="K124" s="52" t="n">
        <v>410022</v>
      </c>
      <c r="L124" s="135" t="n">
        <v>1</v>
      </c>
      <c r="M124" s="52" t="n"/>
      <c r="N124" s="52" t="n">
        <v>660</v>
      </c>
      <c r="O124" s="52" t="n">
        <v>12</v>
      </c>
      <c r="P124" s="52" t="n">
        <v>74</v>
      </c>
      <c r="Q124" s="52" t="n">
        <v>21</v>
      </c>
      <c r="R124" s="52" t="n">
        <v>46</v>
      </c>
      <c r="S124" s="52" t="n">
        <v>75</v>
      </c>
      <c r="T124" s="52" t="n">
        <v>10</v>
      </c>
      <c r="U124" s="77" t="n"/>
      <c r="V124" s="70" t="n">
        <v>608</v>
      </c>
      <c r="W124" s="135" t="n">
        <v>0.02</v>
      </c>
      <c r="X124" s="68" t="n"/>
      <c r="Y124" s="52" t="n"/>
      <c r="Z124" s="135" t="inlineStr">
        <is>
          <t>902</t>
        </is>
      </c>
      <c r="AA124" s="135" t="n">
        <v>910</v>
      </c>
      <c r="AB124" s="68" t="n"/>
      <c r="AC124" s="52" t="n"/>
      <c r="AD124" s="68" t="n"/>
      <c r="AE124" s="52" t="n"/>
      <c r="AF124" s="68" t="n"/>
      <c r="AG124" s="52" t="n"/>
      <c r="AH124" s="68" t="n"/>
      <c r="AI124" s="52" t="n"/>
      <c r="AJ124" s="68" t="n"/>
      <c r="AK124" s="68" t="n"/>
    </row>
    <row r="125" ht="16.5" customHeight="1" s="142">
      <c r="A125" s="52" t="n">
        <v>40072</v>
      </c>
      <c r="B125" s="27" t="inlineStr">
        <is>
          <t>深淵巨獸</t>
        </is>
      </c>
      <c r="C125" s="52" t="inlineStr">
        <is>
          <t>SR</t>
        </is>
      </c>
      <c r="D125" s="52" t="inlineStr">
        <is>
          <t>monster</t>
        </is>
      </c>
      <c r="E125" s="143" t="inlineStr">
        <is>
          <t>物攻</t>
        </is>
      </c>
      <c r="F125" s="68" t="inlineStr">
        <is>
          <t>1,1</t>
        </is>
      </c>
      <c r="G125" s="27" t="n">
        <v>66</v>
      </c>
      <c r="H125" s="52" t="n"/>
      <c r="I125" s="52" t="n">
        <v>110001</v>
      </c>
      <c r="J125" s="52" t="n">
        <v>400023</v>
      </c>
      <c r="K125" s="52" t="n">
        <v>410017</v>
      </c>
      <c r="L125" s="135" t="n">
        <v>1</v>
      </c>
      <c r="M125" s="52" t="n"/>
      <c r="N125" s="52" t="n">
        <v>1040</v>
      </c>
      <c r="O125" s="52" t="n">
        <v>67</v>
      </c>
      <c r="P125" s="52" t="n">
        <v>14</v>
      </c>
      <c r="Q125" s="52" t="n">
        <v>55</v>
      </c>
      <c r="R125" s="52" t="n">
        <v>38</v>
      </c>
      <c r="S125" s="52" t="n">
        <v>75</v>
      </c>
      <c r="T125" s="52" t="n">
        <v>10</v>
      </c>
      <c r="U125" s="77" t="n"/>
      <c r="V125" s="70" t="n">
        <v>819</v>
      </c>
      <c r="W125" s="135" t="n">
        <v>0.02</v>
      </c>
      <c r="X125" s="68" t="n"/>
      <c r="Y125" s="52" t="n"/>
      <c r="Z125" s="135" t="inlineStr">
        <is>
          <t>903</t>
        </is>
      </c>
      <c r="AA125" s="135" t="n">
        <v>910</v>
      </c>
      <c r="AB125" s="68" t="n"/>
      <c r="AC125" s="52" t="n"/>
      <c r="AD125" s="68" t="n"/>
      <c r="AE125" s="52" t="n"/>
      <c r="AF125" s="68" t="n"/>
      <c r="AG125" s="52" t="n"/>
      <c r="AH125" s="68" t="n"/>
      <c r="AI125" s="52" t="n"/>
      <c r="AJ125" s="68" t="n"/>
      <c r="AK125" s="68" t="n"/>
    </row>
    <row r="126" ht="16.5" customHeight="1" s="142">
      <c r="A126" s="52" t="n">
        <v>40073</v>
      </c>
      <c r="B126" s="27" t="inlineStr">
        <is>
          <t>虛空眼球</t>
        </is>
      </c>
      <c r="C126" s="52" t="inlineStr">
        <is>
          <t>SR</t>
        </is>
      </c>
      <c r="D126" s="52" t="inlineStr">
        <is>
          <t>monster</t>
        </is>
      </c>
      <c r="E126" s="143" t="inlineStr">
        <is>
          <t>魔攻</t>
        </is>
      </c>
      <c r="F126" s="68" t="inlineStr">
        <is>
          <t>1,1</t>
        </is>
      </c>
      <c r="G126" s="27" t="n">
        <v>66</v>
      </c>
      <c r="H126" s="52" t="n"/>
      <c r="I126" s="52" t="n">
        <v>110011</v>
      </c>
      <c r="J126" s="52" t="n">
        <v>400021</v>
      </c>
      <c r="K126" s="52" t="n">
        <v>410022</v>
      </c>
      <c r="L126" s="135" t="n">
        <v>1</v>
      </c>
      <c r="M126" s="52" t="n"/>
      <c r="N126" s="52" t="n">
        <v>700</v>
      </c>
      <c r="O126" s="52" t="n">
        <v>14</v>
      </c>
      <c r="P126" s="52" t="n">
        <v>78</v>
      </c>
      <c r="Q126" s="52" t="n">
        <v>26</v>
      </c>
      <c r="R126" s="52" t="n">
        <v>48</v>
      </c>
      <c r="S126" s="52" t="n">
        <v>75</v>
      </c>
      <c r="T126" s="52" t="n">
        <v>10</v>
      </c>
      <c r="U126" s="77" t="n">
        <v>3</v>
      </c>
      <c r="V126" s="70" t="n">
        <v>641</v>
      </c>
      <c r="W126" s="135" t="n">
        <v>0.02</v>
      </c>
      <c r="X126" s="68" t="n"/>
      <c r="Y126" s="52" t="n"/>
      <c r="Z126" s="135" t="inlineStr">
        <is>
          <t>902</t>
        </is>
      </c>
      <c r="AA126" s="135" t="n">
        <v>910</v>
      </c>
      <c r="AB126" s="68" t="n"/>
      <c r="AC126" s="52" t="n"/>
      <c r="AD126" s="68" t="n"/>
      <c r="AE126" s="52" t="n"/>
      <c r="AF126" s="68" t="n"/>
      <c r="AG126" s="52" t="n"/>
      <c r="AH126" s="68" t="n"/>
      <c r="AI126" s="52" t="n"/>
      <c r="AJ126" s="68" t="n"/>
    </row>
    <row r="127" ht="16.5" customHeight="1" s="142">
      <c r="A127" s="52" t="n">
        <v>40074</v>
      </c>
      <c r="B127" s="27" t="inlineStr">
        <is>
          <t>光蝕史萊姆</t>
        </is>
      </c>
      <c r="C127" s="52" t="inlineStr">
        <is>
          <t>SR</t>
        </is>
      </c>
      <c r="D127" s="52" t="inlineStr">
        <is>
          <t>monster</t>
        </is>
      </c>
      <c r="E127" s="143" t="inlineStr">
        <is>
          <t>魔攻</t>
        </is>
      </c>
      <c r="F127" s="68" t="inlineStr">
        <is>
          <t>1,1</t>
        </is>
      </c>
      <c r="G127" s="27" t="n">
        <v>63</v>
      </c>
      <c r="H127" s="52" t="n"/>
      <c r="I127" s="52" t="n">
        <v>110012</v>
      </c>
      <c r="J127" s="52" t="n">
        <v>400024</v>
      </c>
      <c r="K127" s="52" t="n">
        <v>410027</v>
      </c>
      <c r="L127" s="135" t="n">
        <v>1</v>
      </c>
      <c r="M127" s="52" t="n"/>
      <c r="N127" s="52" t="n">
        <v>780</v>
      </c>
      <c r="O127" s="52" t="n">
        <v>15</v>
      </c>
      <c r="P127" s="52" t="n">
        <v>74</v>
      </c>
      <c r="Q127" s="52" t="n">
        <v>30</v>
      </c>
      <c r="R127" s="52" t="n">
        <v>44</v>
      </c>
      <c r="S127" s="52" t="n">
        <v>75</v>
      </c>
      <c r="T127" s="52" t="n">
        <v>10</v>
      </c>
      <c r="U127" s="77" t="n"/>
      <c r="V127" s="70" t="n">
        <v>678</v>
      </c>
      <c r="W127" s="135" t="n">
        <v>0.02</v>
      </c>
      <c r="X127" s="68" t="n"/>
      <c r="Y127" s="52" t="n"/>
      <c r="Z127" s="135" t="inlineStr">
        <is>
          <t>902</t>
        </is>
      </c>
      <c r="AA127" s="135" t="n">
        <v>910</v>
      </c>
      <c r="AB127" s="68" t="n"/>
      <c r="AC127" s="52" t="n"/>
      <c r="AD127" s="68" t="n"/>
      <c r="AE127" s="52" t="n"/>
      <c r="AF127" s="68" t="n"/>
      <c r="AG127" s="52" t="n"/>
      <c r="AH127" s="68" t="n"/>
      <c r="AI127" s="52" t="n"/>
      <c r="AJ127" s="68" t="n"/>
    </row>
    <row r="128" ht="16.5" customHeight="1" s="142">
      <c r="A128" s="52" t="n">
        <v>40075</v>
      </c>
      <c r="B128" s="27" t="inlineStr">
        <is>
          <t>祈禱傀儡</t>
        </is>
      </c>
      <c r="C128" s="52" t="inlineStr">
        <is>
          <t>SR</t>
        </is>
      </c>
      <c r="D128" s="52" t="inlineStr">
        <is>
          <t>monster</t>
        </is>
      </c>
      <c r="E128" s="143" t="inlineStr">
        <is>
          <t>魔攻</t>
        </is>
      </c>
      <c r="F128" s="68" t="inlineStr">
        <is>
          <t>1,1</t>
        </is>
      </c>
      <c r="G128" s="27" t="n">
        <v>67</v>
      </c>
      <c r="H128" s="52" t="n"/>
      <c r="I128" s="52" t="n">
        <v>110011</v>
      </c>
      <c r="J128" s="52" t="n">
        <v>400012</v>
      </c>
      <c r="K128" s="52" t="n">
        <v>410018</v>
      </c>
      <c r="L128" s="135" t="n">
        <v>1</v>
      </c>
      <c r="M128" s="52" t="n"/>
      <c r="N128" s="52" t="n">
        <v>850</v>
      </c>
      <c r="O128" s="52" t="n">
        <v>13</v>
      </c>
      <c r="P128" s="52" t="n">
        <v>68</v>
      </c>
      <c r="Q128" s="52" t="n">
        <v>35</v>
      </c>
      <c r="R128" s="52" t="n">
        <v>50</v>
      </c>
      <c r="S128" s="52" t="n">
        <v>75</v>
      </c>
      <c r="T128" s="52" t="n">
        <v>10</v>
      </c>
      <c r="U128" s="77" t="n">
        <v>3</v>
      </c>
      <c r="V128" s="70" t="n">
        <v>716</v>
      </c>
      <c r="W128" s="135" t="n">
        <v>0.02</v>
      </c>
      <c r="X128" s="68" t="n"/>
      <c r="Y128" s="52" t="n"/>
      <c r="Z128" s="135" t="inlineStr">
        <is>
          <t>902</t>
        </is>
      </c>
      <c r="AA128" s="135" t="n">
        <v>910</v>
      </c>
      <c r="AB128" s="68" t="n"/>
      <c r="AC128" s="52" t="n"/>
      <c r="AD128" s="68" t="n"/>
      <c r="AE128" s="52" t="n"/>
      <c r="AF128" s="68" t="n"/>
      <c r="AG128" s="52" t="n"/>
      <c r="AH128" s="68" t="n"/>
      <c r="AI128" s="52" t="n"/>
      <c r="AJ128" s="68" t="n"/>
    </row>
    <row r="129" ht="16.5" customHeight="1" s="142">
      <c r="A129" s="52" t="n">
        <v>40076</v>
      </c>
      <c r="B129" s="27" t="inlineStr">
        <is>
          <t>墮落天使</t>
        </is>
      </c>
      <c r="C129" s="52" t="inlineStr">
        <is>
          <t>SR</t>
        </is>
      </c>
      <c r="D129" s="52" t="inlineStr">
        <is>
          <t>monster</t>
        </is>
      </c>
      <c r="E129" s="143" t="inlineStr">
        <is>
          <t>魔攻</t>
        </is>
      </c>
      <c r="F129" s="68" t="inlineStr">
        <is>
          <t>1,1</t>
        </is>
      </c>
      <c r="G129" s="27" t="n">
        <v>65</v>
      </c>
      <c r="H129" s="52" t="n"/>
      <c r="I129" s="52" t="n">
        <v>110012</v>
      </c>
      <c r="J129" s="52" t="n">
        <v>400028</v>
      </c>
      <c r="K129" s="52" t="n">
        <v>410029</v>
      </c>
      <c r="L129" s="135" t="n">
        <v>1</v>
      </c>
      <c r="M129" s="52" t="n"/>
      <c r="N129" s="52" t="n">
        <v>900</v>
      </c>
      <c r="O129" s="52" t="n">
        <v>18</v>
      </c>
      <c r="P129" s="52" t="n">
        <v>85</v>
      </c>
      <c r="Q129" s="52" t="n">
        <v>40</v>
      </c>
      <c r="R129" s="52" t="n">
        <v>48</v>
      </c>
      <c r="S129" s="52" t="n">
        <v>75</v>
      </c>
      <c r="T129" s="52" t="n">
        <v>10</v>
      </c>
      <c r="U129" s="77" t="n"/>
      <c r="V129" s="70" t="n">
        <v>766</v>
      </c>
      <c r="W129" s="135" t="n">
        <v>0.02</v>
      </c>
      <c r="X129" s="68" t="n"/>
      <c r="Y129" s="52" t="n"/>
      <c r="Z129" s="135" t="inlineStr">
        <is>
          <t>902</t>
        </is>
      </c>
      <c r="AA129" s="135" t="n">
        <v>910</v>
      </c>
      <c r="AB129" s="68" t="n"/>
      <c r="AC129" s="52" t="n"/>
      <c r="AD129" s="68" t="n"/>
      <c r="AE129" s="52" t="n"/>
      <c r="AF129" s="68" t="n"/>
      <c r="AG129" s="52" t="n"/>
      <c r="AH129" s="68" t="n"/>
      <c r="AI129" s="52" t="n"/>
      <c r="AJ129" s="68" t="n"/>
    </row>
    <row r="130" ht="16.5" customHeight="1" s="142">
      <c r="A130" s="52" t="n">
        <v>40077</v>
      </c>
      <c r="B130" s="27" t="inlineStr">
        <is>
          <t>聖槍侍衛</t>
        </is>
      </c>
      <c r="C130" s="52" t="inlineStr">
        <is>
          <t>SR</t>
        </is>
      </c>
      <c r="D130" s="52" t="inlineStr">
        <is>
          <t>monster</t>
        </is>
      </c>
      <c r="E130" s="143" t="inlineStr">
        <is>
          <t>物攻</t>
        </is>
      </c>
      <c r="F130" s="68" t="inlineStr">
        <is>
          <t>1,1</t>
        </is>
      </c>
      <c r="G130" s="27" t="n">
        <v>69</v>
      </c>
      <c r="H130" s="52" t="n"/>
      <c r="I130" s="52" t="n">
        <v>110001</v>
      </c>
      <c r="J130" s="52" t="n">
        <v>400002</v>
      </c>
      <c r="K130" s="52" t="n">
        <v>410013</v>
      </c>
      <c r="L130" s="135" t="n">
        <v>1</v>
      </c>
      <c r="M130" s="52" t="n"/>
      <c r="N130" s="52" t="n">
        <v>960</v>
      </c>
      <c r="O130" s="52" t="n">
        <v>74</v>
      </c>
      <c r="P130" s="52" t="n">
        <v>15</v>
      </c>
      <c r="Q130" s="52" t="n">
        <v>52</v>
      </c>
      <c r="R130" s="52" t="n">
        <v>38</v>
      </c>
      <c r="S130" s="52" t="n">
        <v>75</v>
      </c>
      <c r="T130" s="52" t="n">
        <v>10</v>
      </c>
      <c r="U130" s="77" t="n"/>
      <c r="V130" s="70" t="n">
        <v>784</v>
      </c>
      <c r="W130" s="135" t="n">
        <v>0.02</v>
      </c>
      <c r="X130" s="68" t="n"/>
      <c r="Y130" s="52" t="n"/>
      <c r="Z130" s="135" t="inlineStr">
        <is>
          <t>903</t>
        </is>
      </c>
      <c r="AA130" s="135" t="n">
        <v>910</v>
      </c>
      <c r="AB130" s="68" t="n"/>
      <c r="AC130" s="52" t="n"/>
      <c r="AD130" s="68" t="n"/>
      <c r="AE130" s="52" t="n"/>
      <c r="AF130" s="68" t="n"/>
      <c r="AG130" s="52" t="n"/>
      <c r="AH130" s="68" t="n"/>
      <c r="AI130" s="52" t="n"/>
      <c r="AJ130" s="68" t="n"/>
    </row>
    <row r="131" ht="16.5" customHeight="1" s="142">
      <c r="A131" s="52" t="n">
        <v>40078</v>
      </c>
      <c r="B131" s="27" t="inlineStr">
        <is>
          <t>神殿獵犬</t>
        </is>
      </c>
      <c r="C131" s="52" t="inlineStr">
        <is>
          <t>SR</t>
        </is>
      </c>
      <c r="D131" s="52" t="inlineStr">
        <is>
          <t>monster</t>
        </is>
      </c>
      <c r="E131" s="143" t="inlineStr">
        <is>
          <t>物攻</t>
        </is>
      </c>
      <c r="F131" s="68" t="inlineStr">
        <is>
          <t>1,1</t>
        </is>
      </c>
      <c r="G131" s="27" t="n">
        <v>62</v>
      </c>
      <c r="H131" s="52" t="n"/>
      <c r="I131" s="52" t="n">
        <v>110002</v>
      </c>
      <c r="J131" s="52" t="n">
        <v>400004</v>
      </c>
      <c r="K131" s="52" t="n">
        <v>410006</v>
      </c>
      <c r="L131" s="135" t="n">
        <v>1</v>
      </c>
      <c r="M131" s="52" t="n"/>
      <c r="N131" s="52" t="n">
        <v>700</v>
      </c>
      <c r="O131" s="52" t="n">
        <v>80</v>
      </c>
      <c r="P131" s="52" t="n">
        <v>12</v>
      </c>
      <c r="Q131" s="52" t="n">
        <v>30</v>
      </c>
      <c r="R131" s="52" t="n">
        <v>26</v>
      </c>
      <c r="S131" s="52" t="n">
        <v>75</v>
      </c>
      <c r="T131" s="52" t="n">
        <v>10</v>
      </c>
      <c r="U131" s="77" t="n"/>
      <c r="V131" s="70" t="n">
        <v>623</v>
      </c>
      <c r="W131" s="135" t="n">
        <v>0.02</v>
      </c>
      <c r="X131" s="68" t="n"/>
      <c r="Y131" s="52" t="n"/>
      <c r="Z131" s="135" t="inlineStr">
        <is>
          <t>903</t>
        </is>
      </c>
      <c r="AA131" s="135" t="n">
        <v>910</v>
      </c>
      <c r="AB131" s="68" t="n"/>
      <c r="AC131" s="52" t="n"/>
      <c r="AD131" s="68" t="n"/>
      <c r="AE131" s="52" t="n"/>
      <c r="AF131" s="68" t="n"/>
      <c r="AG131" s="52" t="n"/>
      <c r="AH131" s="68" t="n"/>
      <c r="AI131" s="52" t="n"/>
      <c r="AJ131" s="68" t="n"/>
    </row>
    <row r="132" ht="16.5" customHeight="1" s="142">
      <c r="A132" s="52" t="n">
        <v>40079</v>
      </c>
      <c r="B132" s="27" t="inlineStr">
        <is>
          <t>妖狐</t>
        </is>
      </c>
      <c r="C132" s="52" t="inlineStr">
        <is>
          <t>SR</t>
        </is>
      </c>
      <c r="D132" s="52" t="inlineStr">
        <is>
          <t>monster</t>
        </is>
      </c>
      <c r="E132" s="143" t="inlineStr">
        <is>
          <t>魔攻</t>
        </is>
      </c>
      <c r="F132" s="68" t="inlineStr">
        <is>
          <t>1,1</t>
        </is>
      </c>
      <c r="G132" s="27" t="n">
        <v>64</v>
      </c>
      <c r="H132" s="52" t="n"/>
      <c r="I132" s="52" t="n">
        <v>110011</v>
      </c>
      <c r="J132" s="52" t="n">
        <v>400009</v>
      </c>
      <c r="K132" s="52" t="n">
        <v>410027</v>
      </c>
      <c r="L132" s="135" t="n">
        <v>2</v>
      </c>
      <c r="M132" s="52" t="n"/>
      <c r="N132" s="52" t="n">
        <v>680</v>
      </c>
      <c r="O132" s="52" t="n">
        <v>13</v>
      </c>
      <c r="P132" s="52" t="n">
        <v>79</v>
      </c>
      <c r="Q132" s="52" t="n">
        <v>24</v>
      </c>
      <c r="R132" s="52" t="n">
        <v>46</v>
      </c>
      <c r="S132" s="52" t="n">
        <v>75</v>
      </c>
      <c r="T132" s="52" t="n">
        <v>10</v>
      </c>
      <c r="U132" s="77" t="n"/>
      <c r="V132" s="70" t="n">
        <v>627</v>
      </c>
      <c r="W132" s="135" t="n">
        <v>0.02</v>
      </c>
      <c r="X132" s="68" t="n"/>
      <c r="Y132" s="52" t="n"/>
      <c r="Z132" s="135" t="inlineStr">
        <is>
          <t>902</t>
        </is>
      </c>
      <c r="AA132" s="135" t="n">
        <v>910</v>
      </c>
      <c r="AB132" s="68" t="n"/>
      <c r="AC132" s="52" t="n"/>
      <c r="AD132" s="68" t="n"/>
      <c r="AE132" s="52" t="n"/>
      <c r="AF132" s="68" t="n"/>
      <c r="AG132" s="52" t="n"/>
      <c r="AH132" s="68" t="n"/>
      <c r="AI132" s="52" t="n"/>
      <c r="AJ132" s="68" t="n"/>
    </row>
    <row r="133" ht="16.5" customHeight="1" s="142">
      <c r="A133" s="52" t="n">
        <v>40080</v>
      </c>
      <c r="B133" s="27" t="inlineStr">
        <is>
          <t>骸骨武者</t>
        </is>
      </c>
      <c r="C133" s="52" t="inlineStr">
        <is>
          <t>SR</t>
        </is>
      </c>
      <c r="D133" s="52" t="inlineStr">
        <is>
          <t>monster</t>
        </is>
      </c>
      <c r="E133" s="143" t="inlineStr">
        <is>
          <t>物攻</t>
        </is>
      </c>
      <c r="F133" s="68" t="inlineStr">
        <is>
          <t>1,1</t>
        </is>
      </c>
      <c r="G133" s="27" t="n">
        <v>65</v>
      </c>
      <c r="H133" s="52" t="n"/>
      <c r="I133" s="52" t="n">
        <v>110001</v>
      </c>
      <c r="J133" s="52" t="n">
        <v>400016</v>
      </c>
      <c r="K133" s="52" t="n">
        <v>410023</v>
      </c>
      <c r="L133" s="135" t="n">
        <v>1</v>
      </c>
      <c r="M133" s="52" t="n"/>
      <c r="N133" s="52" t="n">
        <v>880</v>
      </c>
      <c r="O133" s="52" t="n">
        <v>72</v>
      </c>
      <c r="P133" s="52" t="n">
        <v>13</v>
      </c>
      <c r="Q133" s="52" t="n">
        <v>48</v>
      </c>
      <c r="R133" s="52" t="n">
        <v>32</v>
      </c>
      <c r="S133" s="52" t="n">
        <v>75</v>
      </c>
      <c r="T133" s="52" t="n">
        <v>10</v>
      </c>
      <c r="U133" s="77" t="n">
        <v>5</v>
      </c>
      <c r="V133" s="70" t="n">
        <v>730</v>
      </c>
      <c r="W133" s="135" t="n">
        <v>0.02</v>
      </c>
      <c r="X133" s="68" t="n"/>
      <c r="Y133" s="52" t="n"/>
      <c r="Z133" s="135" t="inlineStr">
        <is>
          <t>903</t>
        </is>
      </c>
      <c r="AA133" s="135" t="n">
        <v>910</v>
      </c>
      <c r="AB133" s="68" t="n"/>
      <c r="AC133" s="52" t="n"/>
      <c r="AD133" s="68" t="n"/>
      <c r="AE133" s="52" t="n"/>
      <c r="AF133" s="68" t="n"/>
      <c r="AG133" s="52" t="n"/>
      <c r="AH133" s="68" t="n"/>
      <c r="AI133" s="52" t="n"/>
      <c r="AJ133" s="68" t="n"/>
    </row>
    <row r="134" ht="16.5" customHeight="1" s="142">
      <c r="A134" s="52" t="n">
        <v>40081</v>
      </c>
      <c r="B134" s="27" t="inlineStr">
        <is>
          <t>山鬼</t>
        </is>
      </c>
      <c r="C134" s="52" t="inlineStr">
        <is>
          <t>SR</t>
        </is>
      </c>
      <c r="D134" s="52" t="inlineStr">
        <is>
          <t>monster</t>
        </is>
      </c>
      <c r="E134" s="143" t="inlineStr">
        <is>
          <t>物攻</t>
        </is>
      </c>
      <c r="F134" s="68" t="inlineStr">
        <is>
          <t>1,1</t>
        </is>
      </c>
      <c r="G134" s="27" t="n">
        <v>62</v>
      </c>
      <c r="H134" s="52" t="n"/>
      <c r="I134" s="52" t="n">
        <v>110001</v>
      </c>
      <c r="J134" s="52" t="n">
        <v>400034</v>
      </c>
      <c r="K134" s="52" t="n">
        <v>410011</v>
      </c>
      <c r="L134" s="135" t="n">
        <v>1</v>
      </c>
      <c r="M134" s="52" t="n"/>
      <c r="N134" s="52" t="n">
        <v>1080</v>
      </c>
      <c r="O134" s="52" t="n">
        <v>78</v>
      </c>
      <c r="P134" s="52" t="n">
        <v>14</v>
      </c>
      <c r="Q134" s="52" t="n">
        <v>58</v>
      </c>
      <c r="R134" s="52" t="n">
        <v>34</v>
      </c>
      <c r="S134" s="52" t="n">
        <v>75</v>
      </c>
      <c r="T134" s="52" t="n">
        <v>10</v>
      </c>
      <c r="U134" s="77" t="n"/>
      <c r="V134" s="70" t="n">
        <v>849</v>
      </c>
      <c r="W134" s="135" t="n">
        <v>0.02</v>
      </c>
      <c r="X134" s="68" t="n"/>
      <c r="Y134" s="52" t="n"/>
      <c r="Z134" s="135" t="inlineStr">
        <is>
          <t>903</t>
        </is>
      </c>
      <c r="AA134" s="135" t="n">
        <v>910</v>
      </c>
      <c r="AB134" s="68" t="n"/>
      <c r="AC134" s="52" t="n"/>
      <c r="AD134" s="68" t="n"/>
      <c r="AE134" s="52" t="n"/>
      <c r="AF134" s="68" t="n"/>
      <c r="AG134" s="52" t="n"/>
      <c r="AH134" s="68" t="n"/>
      <c r="AI134" s="52" t="n"/>
      <c r="AJ134" s="68" t="n"/>
    </row>
    <row r="135" ht="16.5" customHeight="1" s="142">
      <c r="A135" s="52" t="n">
        <v>40082</v>
      </c>
      <c r="B135" s="27" t="inlineStr">
        <is>
          <t>火山魔犬</t>
        </is>
      </c>
      <c r="C135" s="52" t="inlineStr">
        <is>
          <t>SR</t>
        </is>
      </c>
      <c r="D135" s="52" t="inlineStr">
        <is>
          <t>monster</t>
        </is>
      </c>
      <c r="E135" s="143" t="inlineStr">
        <is>
          <t>物攻</t>
        </is>
      </c>
      <c r="F135" s="68" t="inlineStr">
        <is>
          <t>1,1</t>
        </is>
      </c>
      <c r="G135" s="27" t="n">
        <v>62</v>
      </c>
      <c r="H135" s="52" t="n"/>
      <c r="I135" s="52" t="n">
        <v>110002</v>
      </c>
      <c r="J135" s="52" t="n">
        <v>400002</v>
      </c>
      <c r="K135" s="52" t="n">
        <v>410028</v>
      </c>
      <c r="L135" s="135" t="n">
        <v>2</v>
      </c>
      <c r="M135" s="52" t="n"/>
      <c r="N135" s="52" t="n">
        <v>720</v>
      </c>
      <c r="O135" s="52" t="n">
        <v>82</v>
      </c>
      <c r="P135" s="52" t="n">
        <v>13</v>
      </c>
      <c r="Q135" s="52" t="n">
        <v>33</v>
      </c>
      <c r="R135" s="52" t="n">
        <v>27</v>
      </c>
      <c r="S135" s="52" t="n">
        <v>75</v>
      </c>
      <c r="T135" s="52" t="n">
        <v>10</v>
      </c>
      <c r="U135" s="77" t="n"/>
      <c r="V135" s="70" t="n">
        <v>640</v>
      </c>
      <c r="W135" s="135" t="n">
        <v>0.02</v>
      </c>
      <c r="X135" s="68" t="n"/>
      <c r="Y135" s="52" t="n"/>
      <c r="Z135" s="135" t="inlineStr">
        <is>
          <t>903</t>
        </is>
      </c>
      <c r="AA135" s="135" t="n">
        <v>910</v>
      </c>
      <c r="AB135" s="68" t="n"/>
      <c r="AC135" s="52" t="n"/>
      <c r="AD135" s="68" t="n"/>
      <c r="AE135" s="52" t="n"/>
      <c r="AF135" s="68" t="n"/>
      <c r="AG135" s="52" t="n"/>
      <c r="AH135" s="68" t="n"/>
      <c r="AI135" s="52" t="n"/>
      <c r="AJ135" s="68" t="n"/>
    </row>
    <row r="136" ht="16.5" customHeight="1" s="142">
      <c r="A136" s="52" t="n">
        <v>40083</v>
      </c>
      <c r="B136" s="27" t="inlineStr">
        <is>
          <t>熔岩獸</t>
        </is>
      </c>
      <c r="C136" s="52" t="inlineStr">
        <is>
          <t>SR</t>
        </is>
      </c>
      <c r="D136" s="52" t="inlineStr">
        <is>
          <t>monster</t>
        </is>
      </c>
      <c r="E136" s="143" t="inlineStr">
        <is>
          <t>物攻</t>
        </is>
      </c>
      <c r="F136" s="68" t="inlineStr">
        <is>
          <t>1,1</t>
        </is>
      </c>
      <c r="G136" s="27" t="n">
        <v>67</v>
      </c>
      <c r="H136" s="52" t="n"/>
      <c r="I136" s="52" t="n">
        <v>110001</v>
      </c>
      <c r="J136" s="52" t="n">
        <v>400031</v>
      </c>
      <c r="K136" s="52" t="n">
        <v>410009</v>
      </c>
      <c r="L136" s="135" t="n">
        <v>2</v>
      </c>
      <c r="M136" s="52" t="n"/>
      <c r="N136" s="52" t="n">
        <v>1050</v>
      </c>
      <c r="O136" s="52" t="n">
        <v>70</v>
      </c>
      <c r="P136" s="52" t="n">
        <v>14</v>
      </c>
      <c r="Q136" s="52" t="n">
        <v>58</v>
      </c>
      <c r="R136" s="52" t="n">
        <v>40</v>
      </c>
      <c r="S136" s="52" t="n">
        <v>75</v>
      </c>
      <c r="T136" s="52" t="n">
        <v>10</v>
      </c>
      <c r="U136" s="77" t="n">
        <v>3</v>
      </c>
      <c r="V136" s="70" t="n">
        <v>832</v>
      </c>
      <c r="W136" s="135" t="n">
        <v>0.02</v>
      </c>
      <c r="X136" s="68" t="n"/>
      <c r="Y136" s="52" t="n"/>
      <c r="Z136" s="135" t="inlineStr">
        <is>
          <t>903</t>
        </is>
      </c>
      <c r="AA136" s="135" t="n">
        <v>910</v>
      </c>
      <c r="AB136" s="68" t="n"/>
      <c r="AC136" s="52" t="n"/>
      <c r="AD136" s="68" t="n"/>
      <c r="AE136" s="52" t="n"/>
      <c r="AF136" s="68" t="n"/>
      <c r="AG136" s="52" t="n"/>
      <c r="AH136" s="68" t="n"/>
      <c r="AI136" s="52" t="n"/>
      <c r="AJ136" s="68" t="n"/>
    </row>
    <row r="137" ht="16.5" customHeight="1" s="142">
      <c r="A137" s="52" t="n">
        <v>40084</v>
      </c>
      <c r="B137" s="27" t="inlineStr">
        <is>
          <t>冰霜魔犬</t>
        </is>
      </c>
      <c r="C137" s="52" t="inlineStr">
        <is>
          <t>SR</t>
        </is>
      </c>
      <c r="D137" s="52" t="inlineStr">
        <is>
          <t>monster</t>
        </is>
      </c>
      <c r="E137" s="143" t="inlineStr">
        <is>
          <t>物攻</t>
        </is>
      </c>
      <c r="F137" s="68" t="inlineStr">
        <is>
          <t>1,1</t>
        </is>
      </c>
      <c r="G137" s="27" t="n">
        <v>62</v>
      </c>
      <c r="H137" s="52" t="n"/>
      <c r="I137" s="52" t="n">
        <v>110002</v>
      </c>
      <c r="J137" s="52" t="n">
        <v>400002</v>
      </c>
      <c r="K137" s="52" t="n">
        <v>410004</v>
      </c>
      <c r="L137" s="135" t="n">
        <v>3</v>
      </c>
      <c r="M137" s="52" t="n"/>
      <c r="N137" s="52" t="n">
        <v>690</v>
      </c>
      <c r="O137" s="52" t="n">
        <v>80</v>
      </c>
      <c r="P137" s="52" t="n">
        <v>13</v>
      </c>
      <c r="Q137" s="52" t="n">
        <v>28</v>
      </c>
      <c r="R137" s="52" t="n">
        <v>33</v>
      </c>
      <c r="S137" s="52" t="n">
        <v>75</v>
      </c>
      <c r="T137" s="52" t="n">
        <v>10</v>
      </c>
      <c r="U137" s="77" t="n"/>
      <c r="V137" s="70" t="n">
        <v>624</v>
      </c>
      <c r="W137" s="135" t="n">
        <v>0.02</v>
      </c>
      <c r="X137" s="68" t="n"/>
      <c r="Y137" s="52" t="n"/>
      <c r="Z137" s="135" t="inlineStr">
        <is>
          <t>903</t>
        </is>
      </c>
      <c r="AA137" s="135" t="n">
        <v>910</v>
      </c>
      <c r="AB137" s="68" t="n"/>
      <c r="AC137" s="52" t="n"/>
      <c r="AD137" s="68" t="n"/>
      <c r="AE137" s="52" t="n"/>
      <c r="AF137" s="68" t="n"/>
      <c r="AG137" s="52" t="n"/>
      <c r="AH137" s="68" t="n"/>
      <c r="AI137" s="52" t="n"/>
      <c r="AJ137" s="68" t="n"/>
    </row>
    <row r="138" ht="16.5" customHeight="1" s="142">
      <c r="A138" s="52" t="n">
        <v>40085</v>
      </c>
      <c r="B138" s="27" t="inlineStr">
        <is>
          <t>冥界騎士</t>
        </is>
      </c>
      <c r="C138" s="52" t="inlineStr">
        <is>
          <t>SR</t>
        </is>
      </c>
      <c r="D138" s="52" t="inlineStr">
        <is>
          <t>monster</t>
        </is>
      </c>
      <c r="E138" s="143" t="inlineStr">
        <is>
          <t>物攻</t>
        </is>
      </c>
      <c r="F138" s="68" t="inlineStr">
        <is>
          <t>1,1</t>
        </is>
      </c>
      <c r="G138" s="27" t="n">
        <v>65</v>
      </c>
      <c r="H138" s="52" t="n"/>
      <c r="I138" s="52" t="n">
        <v>110001</v>
      </c>
      <c r="J138" s="52" t="n">
        <v>400026</v>
      </c>
      <c r="K138" s="52" t="n">
        <v>410025</v>
      </c>
      <c r="L138" s="135" t="n">
        <v>1</v>
      </c>
      <c r="M138" s="52" t="n"/>
      <c r="N138" s="52" t="n">
        <v>1000</v>
      </c>
      <c r="O138" s="52" t="n">
        <v>68</v>
      </c>
      <c r="P138" s="52" t="n">
        <v>16</v>
      </c>
      <c r="Q138" s="52" t="n">
        <v>60</v>
      </c>
      <c r="R138" s="52" t="n">
        <v>42</v>
      </c>
      <c r="S138" s="52" t="n">
        <v>75</v>
      </c>
      <c r="T138" s="52" t="n">
        <v>10</v>
      </c>
      <c r="U138" s="77" t="n"/>
      <c r="V138" s="70" t="n">
        <v>811</v>
      </c>
      <c r="W138" s="135" t="n">
        <v>0.02</v>
      </c>
      <c r="X138" s="68" t="n"/>
      <c r="Y138" s="52" t="n"/>
      <c r="Z138" s="135" t="inlineStr">
        <is>
          <t>903</t>
        </is>
      </c>
      <c r="AA138" s="135" t="n">
        <v>910</v>
      </c>
      <c r="AB138" s="68" t="n"/>
      <c r="AC138" s="52" t="n"/>
      <c r="AD138" s="68" t="n"/>
      <c r="AE138" s="52" t="n"/>
      <c r="AF138" s="68" t="n"/>
      <c r="AG138" s="52" t="n"/>
      <c r="AH138" s="68" t="n"/>
      <c r="AI138" s="52" t="n"/>
      <c r="AJ138" s="68" t="n"/>
    </row>
    <row r="139" ht="16.5" customHeight="1" s="142">
      <c r="A139" s="52" t="n">
        <v>40086</v>
      </c>
      <c r="B139" s="27" t="inlineStr">
        <is>
          <t>瘟疫使者</t>
        </is>
      </c>
      <c r="C139" s="52" t="inlineStr">
        <is>
          <t>SR</t>
        </is>
      </c>
      <c r="D139" s="52" t="inlineStr">
        <is>
          <t>monster</t>
        </is>
      </c>
      <c r="E139" s="143" t="inlineStr">
        <is>
          <t>魔攻</t>
        </is>
      </c>
      <c r="F139" s="68" t="inlineStr">
        <is>
          <t>1,1</t>
        </is>
      </c>
      <c r="G139" s="27" t="n">
        <v>65</v>
      </c>
      <c r="H139" s="52" t="n"/>
      <c r="I139" s="52" t="n">
        <v>110011</v>
      </c>
      <c r="J139" s="52" t="n">
        <v>400007</v>
      </c>
      <c r="K139" s="52" t="n">
        <v>410021</v>
      </c>
      <c r="L139" s="135" t="n">
        <v>1</v>
      </c>
      <c r="M139" s="52" t="n"/>
      <c r="N139" s="52" t="n">
        <v>780</v>
      </c>
      <c r="O139" s="52" t="n">
        <v>15</v>
      </c>
      <c r="P139" s="52" t="n">
        <v>82</v>
      </c>
      <c r="Q139" s="52" t="n">
        <v>32</v>
      </c>
      <c r="R139" s="52" t="n">
        <v>52</v>
      </c>
      <c r="S139" s="52" t="n">
        <v>75</v>
      </c>
      <c r="T139" s="52" t="n">
        <v>10</v>
      </c>
      <c r="U139" s="77" t="n"/>
      <c r="V139" s="70" t="n">
        <v>696</v>
      </c>
      <c r="W139" s="135" t="n">
        <v>0.02</v>
      </c>
      <c r="X139" s="68" t="n"/>
      <c r="Y139" s="52" t="n"/>
      <c r="Z139" s="135" t="inlineStr">
        <is>
          <t>902</t>
        </is>
      </c>
      <c r="AA139" s="135" t="n">
        <v>910</v>
      </c>
      <c r="AB139" s="68" t="n"/>
      <c r="AC139" s="52" t="n"/>
      <c r="AD139" s="68" t="n"/>
      <c r="AE139" s="52" t="n"/>
      <c r="AF139" s="68" t="n"/>
      <c r="AG139" s="52" t="n"/>
      <c r="AH139" s="68" t="n"/>
      <c r="AI139" s="52" t="n"/>
      <c r="AJ139" s="68" t="n"/>
    </row>
    <row r="140" ht="16.5" customHeight="1" s="142">
      <c r="A140" s="52" t="n">
        <v>40087</v>
      </c>
      <c r="B140" s="27" t="inlineStr">
        <is>
          <t>地獄獵犬</t>
        </is>
      </c>
      <c r="C140" s="52" t="inlineStr">
        <is>
          <t>SR</t>
        </is>
      </c>
      <c r="D140" s="52" t="inlineStr">
        <is>
          <t>monster</t>
        </is>
      </c>
      <c r="E140" s="143" t="inlineStr">
        <is>
          <t>物攻</t>
        </is>
      </c>
      <c r="F140" s="68" t="inlineStr">
        <is>
          <t>1,1</t>
        </is>
      </c>
      <c r="G140" s="27" t="n">
        <v>62</v>
      </c>
      <c r="H140" s="52" t="n"/>
      <c r="I140" s="52" t="n">
        <v>110002</v>
      </c>
      <c r="J140" s="52" t="n">
        <v>400036</v>
      </c>
      <c r="K140" s="52" t="n">
        <v>410031</v>
      </c>
      <c r="L140" s="135" t="n">
        <v>2</v>
      </c>
      <c r="M140" s="52" t="n"/>
      <c r="N140" s="52" t="n">
        <v>760</v>
      </c>
      <c r="O140" s="52" t="n">
        <v>85</v>
      </c>
      <c r="P140" s="52" t="n">
        <v>14</v>
      </c>
      <c r="Q140" s="52" t="n">
        <v>34</v>
      </c>
      <c r="R140" s="52" t="n">
        <v>30</v>
      </c>
      <c r="S140" s="52" t="n">
        <v>75</v>
      </c>
      <c r="T140" s="52" t="n">
        <v>10</v>
      </c>
      <c r="U140" s="77" t="n"/>
      <c r="V140" s="70" t="n">
        <v>668</v>
      </c>
      <c r="W140" s="135" t="n">
        <v>0.02</v>
      </c>
      <c r="X140" s="68" t="n"/>
      <c r="Y140" s="52" t="n"/>
      <c r="Z140" s="135" t="inlineStr">
        <is>
          <t>903</t>
        </is>
      </c>
      <c r="AA140" s="135" t="n">
        <v>910</v>
      </c>
      <c r="AB140" s="68" t="n"/>
      <c r="AC140" s="52" t="n"/>
      <c r="AD140" s="68" t="n"/>
      <c r="AE140" s="52" t="n"/>
      <c r="AF140" s="68" t="n"/>
      <c r="AG140" s="52" t="n"/>
      <c r="AH140" s="68" t="n"/>
      <c r="AI140" s="52" t="n"/>
      <c r="AJ140" s="68" t="n"/>
    </row>
    <row r="141" ht="16.5" customHeight="1" s="142">
      <c r="A141" s="47" t="n"/>
      <c r="B141" s="30" t="n"/>
      <c r="C141" s="47" t="n"/>
      <c r="D141" s="47" t="n"/>
      <c r="E141" s="83" t="n"/>
      <c r="F141" s="71" t="n"/>
      <c r="G141" s="30" t="n"/>
      <c r="H141" s="47" t="n"/>
      <c r="I141" s="47" t="n"/>
      <c r="J141" s="47" t="n"/>
      <c r="K141" s="47" t="n"/>
      <c r="L141" s="45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132" t="n"/>
      <c r="V141" s="133" t="n"/>
      <c r="W141" s="45" t="n"/>
      <c r="X141" s="71" t="n"/>
      <c r="Y141" s="47" t="n"/>
      <c r="Z141" s="45" t="n"/>
      <c r="AA141" s="45" t="n"/>
      <c r="AB141" s="71" t="n"/>
      <c r="AC141" s="47" t="n"/>
      <c r="AD141" s="71" t="n"/>
      <c r="AE141" s="47" t="n"/>
      <c r="AF141" s="71" t="n"/>
      <c r="AG141" s="47" t="n"/>
      <c r="AH141" s="71" t="n"/>
      <c r="AI141" s="47" t="n"/>
      <c r="AJ141" s="71" t="n"/>
      <c r="AK141" s="71" t="n"/>
    </row>
    <row r="142" ht="16.5" customHeight="1" s="142">
      <c r="A142" s="47" t="n"/>
      <c r="B142" s="30" t="n"/>
      <c r="C142" s="47" t="n"/>
      <c r="D142" s="47" t="n"/>
      <c r="E142" s="83" t="n"/>
      <c r="F142" s="71" t="n"/>
      <c r="G142" s="30" t="n"/>
      <c r="H142" s="47" t="n"/>
      <c r="I142" s="47" t="n"/>
      <c r="J142" s="47" t="n"/>
      <c r="K142" s="47" t="n"/>
      <c r="L142" s="45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132" t="n"/>
      <c r="V142" s="133" t="n"/>
      <c r="W142" s="45" t="n"/>
      <c r="X142" s="71" t="n"/>
      <c r="Y142" s="47" t="n"/>
      <c r="Z142" s="45" t="n"/>
      <c r="AA142" s="45" t="n"/>
      <c r="AB142" s="71" t="n"/>
      <c r="AC142" s="47" t="n"/>
      <c r="AD142" s="71" t="n"/>
      <c r="AE142" s="47" t="n"/>
      <c r="AF142" s="71" t="n"/>
      <c r="AG142" s="47" t="n"/>
      <c r="AH142" s="71" t="n"/>
      <c r="AI142" s="47" t="n"/>
      <c r="AJ142" s="71" t="n"/>
      <c r="AK142" s="71" t="n"/>
    </row>
    <row r="143" ht="16.5" customHeight="1" s="142">
      <c r="A143" s="47" t="n"/>
      <c r="B143" s="30" t="n"/>
      <c r="C143" s="47" t="n"/>
      <c r="D143" s="47" t="n"/>
      <c r="E143" s="83" t="n"/>
      <c r="F143" s="71" t="n"/>
      <c r="G143" s="30" t="n"/>
      <c r="H143" s="47" t="n"/>
      <c r="I143" s="47" t="n"/>
      <c r="J143" s="47" t="n"/>
      <c r="K143" s="47" t="n"/>
      <c r="L143" s="45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132" t="n"/>
      <c r="V143" s="133" t="n"/>
      <c r="W143" s="45" t="n"/>
      <c r="X143" s="71" t="n"/>
      <c r="Y143" s="47" t="n"/>
      <c r="Z143" s="45" t="n"/>
      <c r="AA143" s="45" t="n"/>
      <c r="AB143" s="71" t="n"/>
      <c r="AC143" s="47" t="n"/>
      <c r="AD143" s="71" t="n"/>
      <c r="AE143" s="47" t="n"/>
      <c r="AF143" s="71" t="n"/>
      <c r="AG143" s="47" t="n"/>
      <c r="AH143" s="71" t="n"/>
      <c r="AI143" s="47" t="n"/>
      <c r="AJ143" s="71" t="n"/>
      <c r="AK143" s="71" t="n"/>
    </row>
    <row r="144" ht="14.25" customHeight="1" s="142">
      <c r="A144" s="48" t="inlineStr">
        <is>
          <t>角色id</t>
        </is>
      </c>
      <c r="B144" s="48" t="inlineStr">
        <is>
          <t>角色名稱</t>
        </is>
      </c>
      <c r="C144" s="40" t="inlineStr">
        <is>
          <t>rare</t>
        </is>
      </c>
      <c r="D144" s="40" t="inlineStr">
        <is>
          <t>type</t>
        </is>
      </c>
      <c r="E144" s="48" t="inlineStr">
        <is>
          <t>體系</t>
        </is>
      </c>
      <c r="F144" s="50" t="inlineStr">
        <is>
          <t>equipment_type</t>
        </is>
      </c>
      <c r="G144" s="40" t="inlineStr">
        <is>
          <t>tag</t>
        </is>
      </c>
      <c r="H144" s="40" t="inlineStr">
        <is>
          <t>resist_buff</t>
        </is>
      </c>
      <c r="I144" s="40" t="inlineStr">
        <is>
          <t>skill0_id</t>
        </is>
      </c>
      <c r="J144" s="40" t="inlineStr">
        <is>
          <t>skill1_id</t>
        </is>
      </c>
      <c r="K144" s="40" t="inlineStr">
        <is>
          <t>skill2_id</t>
        </is>
      </c>
      <c r="L144" s="40" t="inlineStr">
        <is>
          <t>element</t>
        </is>
      </c>
      <c r="M144" s="40" t="inlineStr">
        <is>
          <t>role_ addition</t>
        </is>
      </c>
      <c r="N144" s="40" t="inlineStr">
        <is>
          <t>hp</t>
        </is>
      </c>
      <c r="O144" s="40" t="inlineStr">
        <is>
          <t>atk</t>
        </is>
      </c>
      <c r="P144" s="40" t="inlineStr">
        <is>
          <t>matk</t>
        </is>
      </c>
      <c r="Q144" s="40" t="inlineStr">
        <is>
          <t>def</t>
        </is>
      </c>
      <c r="R144" s="40" t="inlineStr">
        <is>
          <t>mdef</t>
        </is>
      </c>
      <c r="S144" s="40" t="inlineStr">
        <is>
          <t>mp</t>
        </is>
      </c>
      <c r="T144" s="40" t="inlineStr">
        <is>
          <t>agi</t>
        </is>
      </c>
      <c r="U144" s="66" t="inlineStr">
        <is>
          <t>重生回合數</t>
        </is>
      </c>
      <c r="V144" s="135" t="inlineStr">
        <is>
          <t>#六維</t>
        </is>
      </c>
      <c r="W144" s="40" t="inlineStr">
        <is>
          <t>capture_rate</t>
        </is>
      </c>
      <c r="X144" s="40" t="inlineStr">
        <is>
          <t>exchange_id</t>
        </is>
      </c>
      <c r="Y144" s="67" t="inlineStr">
        <is>
          <t>exchange_amount</t>
        </is>
      </c>
      <c r="Z144" s="135" t="inlineStr">
        <is>
          <t>star_refine_id</t>
        </is>
      </c>
      <c r="AA144" s="135" t="inlineStr">
        <is>
          <t>star_cost_id</t>
        </is>
      </c>
      <c r="AB144" s="135" t="inlineStr">
        <is>
          <t>star1_skill1</t>
        </is>
      </c>
      <c r="AC144" s="135" t="inlineStr">
        <is>
          <t>star2_skill1</t>
        </is>
      </c>
      <c r="AD144" s="135" t="inlineStr">
        <is>
          <t>star3_skill1</t>
        </is>
      </c>
      <c r="AE144" s="135" t="inlineStr">
        <is>
          <t>star4_skill1</t>
        </is>
      </c>
      <c r="AF144" s="135" t="inlineStr">
        <is>
          <t>star5_skill1</t>
        </is>
      </c>
      <c r="AG144" s="135" t="inlineStr">
        <is>
          <t>star1_skill2</t>
        </is>
      </c>
      <c r="AH144" s="135" t="inlineStr">
        <is>
          <t>star2_skill2</t>
        </is>
      </c>
      <c r="AI144" s="135" t="inlineStr">
        <is>
          <t>star3_skill2</t>
        </is>
      </c>
      <c r="AJ144" s="135" t="inlineStr">
        <is>
          <t>star4_skill2</t>
        </is>
      </c>
      <c r="AK144" s="135" t="inlineStr">
        <is>
          <t>star5_skill2</t>
        </is>
      </c>
    </row>
    <row r="145" ht="15" customHeight="1" s="142">
      <c r="A145" s="52" t="n">
        <v>50000</v>
      </c>
      <c r="B145" s="134" t="inlineStr">
        <is>
          <t>魔王</t>
        </is>
      </c>
      <c r="C145" s="52" t="inlineStr">
        <is>
          <t>SSR</t>
        </is>
      </c>
      <c r="D145" s="52" t="inlineStr">
        <is>
          <t>monster</t>
        </is>
      </c>
      <c r="E145" s="143" t="inlineStr">
        <is>
          <t>魔攻</t>
        </is>
      </c>
      <c r="F145" s="52" t="n"/>
      <c r="G145" s="52" t="n">
        <v>66</v>
      </c>
      <c r="H145" s="31" t="inlineStr">
        <is>
          <t>2001,2002,2003,2004,2005,2006,2007,2008,2009,2010,2011,2012,5001,5002,5003,5004,5005,5006</t>
        </is>
      </c>
      <c r="I145" s="52" t="n">
        <v>110011</v>
      </c>
      <c r="J145" s="135" t="n">
        <v>400017</v>
      </c>
      <c r="K145" s="135" t="n">
        <v>410030</v>
      </c>
      <c r="L145" s="135" t="n">
        <v>1</v>
      </c>
      <c r="M145" s="52" t="n"/>
      <c r="N145" s="52" t="n">
        <v>660</v>
      </c>
      <c r="O145" s="52" t="n">
        <v>14</v>
      </c>
      <c r="P145" s="52" t="n">
        <v>97</v>
      </c>
      <c r="Q145" s="52" t="n">
        <v>32</v>
      </c>
      <c r="R145" s="52" t="n">
        <v>55</v>
      </c>
      <c r="S145" s="52" t="n">
        <v>900</v>
      </c>
      <c r="T145" s="52" t="n">
        <v>19</v>
      </c>
      <c r="U145" s="69" t="n"/>
      <c r="V145" s="70" t="n">
        <v>3450</v>
      </c>
      <c r="W145" s="52" t="n"/>
      <c r="X145" s="52" t="n"/>
      <c r="Y145" s="52" t="n"/>
      <c r="Z145" s="52" t="n"/>
      <c r="AA145" s="52" t="n"/>
      <c r="AB145" s="52" t="n"/>
      <c r="AC145" s="52" t="n"/>
      <c r="AD145" s="52" t="n"/>
      <c r="AE145" s="52" t="n"/>
      <c r="AF145" s="52" t="n"/>
      <c r="AG145" s="52" t="n"/>
      <c r="AH145" s="52" t="n"/>
      <c r="AI145" s="52" t="n"/>
      <c r="AJ145" s="52" t="n"/>
      <c r="AK145" s="52" t="n"/>
    </row>
    <row r="146" ht="14.25" customHeight="1" s="142">
      <c r="A146" s="52" t="n">
        <v>50001</v>
      </c>
      <c r="B146" s="137" t="inlineStr">
        <is>
          <t>巨型狼王</t>
        </is>
      </c>
      <c r="C146" s="52" t="inlineStr">
        <is>
          <t>SR</t>
        </is>
      </c>
      <c r="D146" s="52" t="inlineStr">
        <is>
          <t>monster</t>
        </is>
      </c>
      <c r="E146" s="52">
        <f>IF(O146&gt;P146,"物攻","魔攻")</f>
        <v/>
      </c>
      <c r="F146" s="52" t="n"/>
      <c r="G146" s="52" t="n">
        <v>62</v>
      </c>
      <c r="H146" s="27">
        <f>"2001,2002,2003,2004,2005,2006,2007,2008,2009,2010,2011,2012,5001,5002,5003,5004,5005,5006"</f>
        <v/>
      </c>
      <c r="I146" s="52" t="n">
        <v>110001</v>
      </c>
      <c r="J146" s="135" t="n">
        <v>400016</v>
      </c>
      <c r="K146" s="135" t="n">
        <v>410013</v>
      </c>
      <c r="L146" s="135" t="n">
        <v>3</v>
      </c>
      <c r="M146" s="52" t="n"/>
      <c r="N146" s="52" t="n">
        <v>1050</v>
      </c>
      <c r="O146" s="52" t="n">
        <v>77</v>
      </c>
      <c r="P146" s="52" t="n">
        <v>11</v>
      </c>
      <c r="Q146" s="52" t="n">
        <v>55</v>
      </c>
      <c r="R146" s="52" t="n">
        <v>37</v>
      </c>
      <c r="S146" s="52" t="n">
        <v>300</v>
      </c>
      <c r="T146" s="52" t="n">
        <v>15</v>
      </c>
      <c r="U146" s="69" t="n"/>
      <c r="V146" s="70">
        <f>N146*0.5+O146+P146+Q146+R146+S146+T146*5</f>
        <v/>
      </c>
      <c r="W146" s="52" t="n"/>
      <c r="X146" s="52" t="n"/>
      <c r="Y146" s="52" t="n"/>
      <c r="Z146" s="52" t="n"/>
      <c r="AA146" s="52" t="n"/>
      <c r="AB146" s="52" t="n"/>
      <c r="AC146" s="52" t="n"/>
      <c r="AD146" s="52" t="n"/>
      <c r="AE146" s="52" t="n"/>
      <c r="AF146" s="52" t="n"/>
      <c r="AG146" s="52" t="n"/>
      <c r="AH146" s="52" t="n"/>
      <c r="AI146" s="52" t="n"/>
      <c r="AJ146" s="52" t="n"/>
      <c r="AK146" s="52" t="n"/>
    </row>
    <row r="147" ht="14.25" customHeight="1" s="142">
      <c r="A147" s="52" t="n">
        <v>50002</v>
      </c>
      <c r="B147" s="137" t="inlineStr">
        <is>
          <t>史萊姆國王</t>
        </is>
      </c>
      <c r="C147" s="52" t="inlineStr">
        <is>
          <t>SR</t>
        </is>
      </c>
      <c r="D147" s="52" t="inlineStr">
        <is>
          <t>monster</t>
        </is>
      </c>
      <c r="E147" s="52">
        <f>IF(O147&gt;P147,"物攻","魔攻")</f>
        <v/>
      </c>
      <c r="F147" s="52" t="n"/>
      <c r="G147" s="52" t="n">
        <v>63</v>
      </c>
      <c r="H147" s="27">
        <f>"2001,2002,2003,2004,2005,2006,2007,2008,2009,2010,2011,2012,5001,5002,5003,5004,5005,5006"</f>
        <v/>
      </c>
      <c r="I147" s="52" t="n">
        <v>110001</v>
      </c>
      <c r="J147" s="135" t="n">
        <v>400017</v>
      </c>
      <c r="K147" s="135" t="n">
        <v>410014</v>
      </c>
      <c r="L147" s="135" t="n">
        <v>1</v>
      </c>
      <c r="M147" s="52" t="n"/>
      <c r="N147" s="52" t="n">
        <v>2200</v>
      </c>
      <c r="O147" s="52" t="n">
        <v>10</v>
      </c>
      <c r="P147" s="52" t="n">
        <v>85</v>
      </c>
      <c r="Q147" s="52" t="n">
        <v>85</v>
      </c>
      <c r="R147" s="52" t="n">
        <v>55</v>
      </c>
      <c r="S147" s="52" t="n">
        <v>400</v>
      </c>
      <c r="T147" s="52" t="n">
        <v>10</v>
      </c>
      <c r="U147" s="69" t="n"/>
      <c r="V147" s="70">
        <f>N147*0.5+O147+P147+Q147+R147+S147+T147*5</f>
        <v/>
      </c>
      <c r="W147" s="52" t="n"/>
      <c r="X147" s="52" t="n"/>
      <c r="Y147" s="52" t="n"/>
      <c r="Z147" s="52" t="n"/>
      <c r="AA147" s="52" t="n"/>
      <c r="AB147" s="52" t="n"/>
      <c r="AC147" s="52" t="n"/>
      <c r="AD147" s="52" t="n"/>
      <c r="AE147" s="52" t="n"/>
      <c r="AF147" s="52" t="n"/>
      <c r="AG147" s="52" t="n"/>
      <c r="AH147" s="52" t="n"/>
      <c r="AI147" s="52" t="n"/>
      <c r="AJ147" s="52" t="n"/>
      <c r="AK147" s="52" t="n"/>
    </row>
    <row r="148" ht="14.25" customHeight="1" s="142">
      <c r="A148" s="52" t="n">
        <v>50003</v>
      </c>
      <c r="B148" s="137" t="inlineStr">
        <is>
          <t>伊芙莉特</t>
        </is>
      </c>
      <c r="C148" s="52" t="inlineStr">
        <is>
          <t>SR</t>
        </is>
      </c>
      <c r="D148" s="52" t="inlineStr">
        <is>
          <t>monster</t>
        </is>
      </c>
      <c r="E148" s="143" t="inlineStr">
        <is>
          <t>物攻</t>
        </is>
      </c>
      <c r="F148" s="52" t="n"/>
      <c r="G148" s="52" t="n">
        <v>64</v>
      </c>
      <c r="H148" s="31" t="inlineStr">
        <is>
          <t>2001,2002,2003,2004,2005,2006,2007,2008,2009,2010,2011,2012,5001,5002,5003,5004,5005,5006</t>
        </is>
      </c>
      <c r="I148" s="52" t="n">
        <v>110001</v>
      </c>
      <c r="J148" s="135" t="n">
        <v>400031</v>
      </c>
      <c r="K148" s="135" t="n">
        <v>410009</v>
      </c>
      <c r="L148" s="135" t="n">
        <v>2</v>
      </c>
      <c r="M148" s="52" t="n"/>
      <c r="N148" s="52" t="n">
        <v>1950</v>
      </c>
      <c r="O148" s="52" t="n">
        <v>105</v>
      </c>
      <c r="P148" s="52" t="n">
        <v>11</v>
      </c>
      <c r="Q148" s="52" t="n">
        <v>65</v>
      </c>
      <c r="R148" s="52" t="n">
        <v>75</v>
      </c>
      <c r="S148" s="52" t="n">
        <v>500</v>
      </c>
      <c r="T148" s="52" t="n">
        <v>19</v>
      </c>
      <c r="U148" s="69" t="n"/>
      <c r="V148" s="70" t="n">
        <v>1826</v>
      </c>
      <c r="W148" s="52" t="n"/>
      <c r="X148" s="52" t="n"/>
      <c r="Y148" s="52" t="n"/>
      <c r="Z148" s="52" t="n"/>
      <c r="AA148" s="52" t="n"/>
      <c r="AB148" s="52" t="n"/>
      <c r="AC148" s="52" t="n"/>
      <c r="AD148" s="52" t="n"/>
      <c r="AE148" s="52" t="n"/>
      <c r="AF148" s="52" t="n"/>
      <c r="AG148" s="52" t="n"/>
      <c r="AH148" s="52" t="n"/>
      <c r="AI148" s="52" t="n"/>
      <c r="AJ148" s="52" t="n"/>
      <c r="AK148" s="52" t="n"/>
    </row>
    <row r="149" ht="14.25" customHeight="1" s="142">
      <c r="A149" s="52" t="n">
        <v>50004</v>
      </c>
      <c r="B149" s="137" t="inlineStr">
        <is>
          <t>影之竊賊</t>
        </is>
      </c>
      <c r="C149" s="52" t="inlineStr">
        <is>
          <t>SR</t>
        </is>
      </c>
      <c r="D149" s="52" t="inlineStr">
        <is>
          <t>monster</t>
        </is>
      </c>
      <c r="E149" s="143" t="inlineStr">
        <is>
          <t>物攻</t>
        </is>
      </c>
      <c r="F149" s="52" t="n"/>
      <c r="G149" s="52" t="n">
        <v>68</v>
      </c>
      <c r="H149" s="31" t="inlineStr">
        <is>
          <t>2001,2002,2003,2004,2005,2006,2007,2008,2009,2010,2011,2012,5001,5002,5003,5004,5005,5006</t>
        </is>
      </c>
      <c r="I149" s="52" t="n">
        <v>110001</v>
      </c>
      <c r="J149" s="135" t="n">
        <v>400026</v>
      </c>
      <c r="K149" s="135" t="n">
        <v>410002</v>
      </c>
      <c r="L149" s="135" t="n">
        <v>3</v>
      </c>
      <c r="M149" s="52" t="n"/>
      <c r="N149" s="52" t="n">
        <v>1500</v>
      </c>
      <c r="O149" s="52" t="n">
        <v>140</v>
      </c>
      <c r="P149" s="52" t="n">
        <v>15</v>
      </c>
      <c r="Q149" s="52" t="n">
        <v>45</v>
      </c>
      <c r="R149" s="52" t="n">
        <v>50</v>
      </c>
      <c r="S149" s="52" t="n">
        <v>420</v>
      </c>
      <c r="T149" s="52" t="n">
        <v>34</v>
      </c>
      <c r="U149" s="69" t="n"/>
      <c r="V149" s="70" t="n">
        <v>1590</v>
      </c>
      <c r="W149" s="52" t="n"/>
      <c r="X149" s="52" t="n"/>
      <c r="Y149" s="52" t="n"/>
      <c r="Z149" s="52" t="n"/>
      <c r="AA149" s="52" t="n"/>
      <c r="AB149" s="52" t="n"/>
      <c r="AC149" s="52" t="n"/>
      <c r="AD149" s="52" t="n"/>
      <c r="AE149" s="52" t="n"/>
      <c r="AF149" s="52" t="n"/>
      <c r="AG149" s="52" t="n"/>
      <c r="AH149" s="52" t="n"/>
      <c r="AI149" s="52" t="n"/>
      <c r="AJ149" s="52" t="n"/>
      <c r="AK149" s="52" t="n"/>
    </row>
    <row r="150" ht="14.25" customHeight="1" s="142">
      <c r="A150" s="52" t="n">
        <v>50005</v>
      </c>
      <c r="B150" s="137" t="inlineStr">
        <is>
          <t>黑市首領</t>
        </is>
      </c>
      <c r="C150" s="52" t="inlineStr">
        <is>
          <t>SR</t>
        </is>
      </c>
      <c r="D150" s="52" t="inlineStr">
        <is>
          <t>monster</t>
        </is>
      </c>
      <c r="E150" s="143" t="inlineStr">
        <is>
          <t>物攻</t>
        </is>
      </c>
      <c r="F150" s="52" t="n"/>
      <c r="G150" s="52" t="n">
        <v>66</v>
      </c>
      <c r="H150" s="31" t="inlineStr">
        <is>
          <t>2001,2002,2003,2004,2005,2006,2007,2008,2009,2010,2011,2012,5001,5002,5003,5004,5005,5006</t>
        </is>
      </c>
      <c r="I150" s="52" t="n">
        <v>110001</v>
      </c>
      <c r="J150" s="135" t="n">
        <v>400027</v>
      </c>
      <c r="K150" s="135" t="n">
        <v>410006</v>
      </c>
      <c r="L150" s="135" t="n">
        <v>3</v>
      </c>
      <c r="M150" s="52" t="n"/>
      <c r="N150" s="52" t="n">
        <v>1850</v>
      </c>
      <c r="O150" s="52" t="n">
        <v>115</v>
      </c>
      <c r="P150" s="52" t="n">
        <v>18</v>
      </c>
      <c r="Q150" s="52" t="n">
        <v>70</v>
      </c>
      <c r="R150" s="52" t="n">
        <v>60</v>
      </c>
      <c r="S150" s="52" t="n">
        <v>460</v>
      </c>
      <c r="T150" s="52" t="n">
        <v>20</v>
      </c>
      <c r="U150" s="69" t="n"/>
      <c r="V150" s="70" t="n">
        <v>1748</v>
      </c>
      <c r="W150" s="52" t="n"/>
      <c r="X150" s="52" t="n"/>
      <c r="Y150" s="52" t="n"/>
      <c r="Z150" s="52" t="n"/>
      <c r="AA150" s="52" t="n"/>
      <c r="AB150" s="52" t="n"/>
      <c r="AC150" s="52" t="n"/>
      <c r="AD150" s="52" t="n"/>
      <c r="AE150" s="52" t="n"/>
      <c r="AF150" s="52" t="n"/>
      <c r="AG150" s="52" t="n"/>
      <c r="AH150" s="52" t="n"/>
      <c r="AI150" s="52" t="n"/>
      <c r="AJ150" s="52" t="n"/>
      <c r="AK150" s="52" t="n"/>
    </row>
    <row r="151" ht="14.25" customHeight="1" s="142">
      <c r="A151" s="52" t="n">
        <v>50006</v>
      </c>
      <c r="B151" s="137" t="inlineStr">
        <is>
          <t>古樹之王</t>
        </is>
      </c>
      <c r="C151" s="52" t="inlineStr">
        <is>
          <t>SR</t>
        </is>
      </c>
      <c r="D151" s="52" t="inlineStr">
        <is>
          <t>monster</t>
        </is>
      </c>
      <c r="E151" s="143" t="inlineStr">
        <is>
          <t>魔攻</t>
        </is>
      </c>
      <c r="F151" s="52" t="n"/>
      <c r="G151" s="52" t="n">
        <v>64</v>
      </c>
      <c r="H151" s="31" t="inlineStr">
        <is>
          <t>2001,2002,2003,2004,2005,2006,2007,2008,2009,2010,2011,2012,5001,5002,5003,5004,5005,5006</t>
        </is>
      </c>
      <c r="I151" s="52" t="n">
        <v>110011</v>
      </c>
      <c r="J151" s="135" t="n">
        <v>400007</v>
      </c>
      <c r="K151" s="135" t="n">
        <v>410010</v>
      </c>
      <c r="L151" s="135" t="n">
        <v>1</v>
      </c>
      <c r="M151" s="52" t="n"/>
      <c r="N151" s="52" t="n">
        <v>2600</v>
      </c>
      <c r="O151" s="52" t="n">
        <v>20</v>
      </c>
      <c r="P151" s="52" t="n">
        <v>95</v>
      </c>
      <c r="Q151" s="52" t="n">
        <v>100</v>
      </c>
      <c r="R151" s="52" t="n">
        <v>95</v>
      </c>
      <c r="S151" s="52" t="n">
        <v>480</v>
      </c>
      <c r="T151" s="52" t="n">
        <v>12</v>
      </c>
      <c r="U151" s="69" t="n"/>
      <c r="V151" s="70" t="n">
        <v>2150</v>
      </c>
      <c r="W151" s="52" t="n"/>
      <c r="X151" s="52" t="n"/>
      <c r="Y151" s="52" t="n"/>
      <c r="Z151" s="52" t="n"/>
      <c r="AA151" s="52" t="n"/>
      <c r="AB151" s="52" t="n"/>
      <c r="AC151" s="52" t="n"/>
      <c r="AD151" s="52" t="n"/>
      <c r="AE151" s="52" t="n"/>
      <c r="AF151" s="52" t="n"/>
      <c r="AG151" s="52" t="n"/>
      <c r="AH151" s="52" t="n"/>
      <c r="AI151" s="52" t="n"/>
      <c r="AJ151" s="52" t="n"/>
      <c r="AK151" s="52" t="n"/>
    </row>
    <row r="152" ht="14.25" customHeight="1" s="142">
      <c r="A152" s="52" t="n">
        <v>50007</v>
      </c>
      <c r="B152" s="137" t="inlineStr">
        <is>
          <t>大賢者・摩爾德</t>
        </is>
      </c>
      <c r="C152" s="52" t="inlineStr">
        <is>
          <t>SR</t>
        </is>
      </c>
      <c r="D152" s="52" t="inlineStr">
        <is>
          <t>monster</t>
        </is>
      </c>
      <c r="E152" s="143" t="inlineStr">
        <is>
          <t>魔攻</t>
        </is>
      </c>
      <c r="F152" s="52" t="n"/>
      <c r="G152" s="52" t="n">
        <v>68</v>
      </c>
      <c r="H152" s="31" t="inlineStr">
        <is>
          <t>2001,2002,2003,2004,2005,2006,2007,2008,2009,2010,2011,2012,5001,5002,5003,5004,5005,5006</t>
        </is>
      </c>
      <c r="I152" s="52" t="n">
        <v>110011</v>
      </c>
      <c r="J152" s="135" t="n">
        <v>400028</v>
      </c>
      <c r="K152" s="135" t="n">
        <v>410021</v>
      </c>
      <c r="L152" s="135" t="n">
        <v>3</v>
      </c>
      <c r="M152" s="52" t="n"/>
      <c r="N152" s="52" t="n">
        <v>1600</v>
      </c>
      <c r="O152" s="52" t="n">
        <v>15</v>
      </c>
      <c r="P152" s="52" t="n">
        <v>145</v>
      </c>
      <c r="Q152" s="52" t="n">
        <v>55</v>
      </c>
      <c r="R152" s="52" t="n">
        <v>90</v>
      </c>
      <c r="S152" s="52" t="n">
        <v>600</v>
      </c>
      <c r="T152" s="52" t="n">
        <v>18</v>
      </c>
      <c r="U152" s="69" t="n"/>
      <c r="V152" s="70" t="n">
        <v>1795</v>
      </c>
      <c r="W152" s="52" t="n"/>
      <c r="X152" s="52" t="n"/>
      <c r="Y152" s="52" t="n"/>
      <c r="Z152" s="52" t="n"/>
      <c r="AA152" s="52" t="n"/>
      <c r="AB152" s="52" t="n"/>
      <c r="AC152" s="52" t="n"/>
      <c r="AD152" s="52" t="n"/>
      <c r="AE152" s="52" t="n"/>
      <c r="AF152" s="52" t="n"/>
      <c r="AG152" s="52" t="n"/>
      <c r="AH152" s="52" t="n"/>
      <c r="AI152" s="52" t="n"/>
      <c r="AJ152" s="52" t="n"/>
      <c r="AK152" s="52" t="n"/>
    </row>
    <row r="153" ht="14.25" customHeight="1" s="142">
      <c r="A153" s="52" t="n">
        <v>50008</v>
      </c>
      <c r="B153" s="137" t="inlineStr">
        <is>
          <t>禁術塔主</t>
        </is>
      </c>
      <c r="C153" s="52" t="inlineStr">
        <is>
          <t>SR</t>
        </is>
      </c>
      <c r="D153" s="52" t="inlineStr">
        <is>
          <t>monster</t>
        </is>
      </c>
      <c r="E153" s="143" t="inlineStr">
        <is>
          <t>魔攻</t>
        </is>
      </c>
      <c r="F153" s="52" t="n"/>
      <c r="G153" s="52" t="n">
        <v>68</v>
      </c>
      <c r="H153" s="31" t="inlineStr">
        <is>
          <t>2001,2002,2003,2004,2005,2006,2007,2008,2009,2010,2011,2012,5001,5002,5003,5004,5005,5006</t>
        </is>
      </c>
      <c r="I153" s="52" t="n">
        <v>110012</v>
      </c>
      <c r="J153" s="135" t="n">
        <v>400030</v>
      </c>
      <c r="K153" s="135" t="n">
        <v>410024</v>
      </c>
      <c r="L153" s="135" t="n">
        <v>2</v>
      </c>
      <c r="M153" s="52" t="n"/>
      <c r="N153" s="52" t="n">
        <v>1900</v>
      </c>
      <c r="O153" s="52" t="n">
        <v>18</v>
      </c>
      <c r="P153" s="52" t="n">
        <v>130</v>
      </c>
      <c r="Q153" s="52" t="n">
        <v>65</v>
      </c>
      <c r="R153" s="52" t="n">
        <v>85</v>
      </c>
      <c r="S153" s="52" t="n">
        <v>620</v>
      </c>
      <c r="T153" s="52" t="n">
        <v>16</v>
      </c>
      <c r="U153" s="69" t="n"/>
      <c r="V153" s="70" t="n">
        <v>1948</v>
      </c>
      <c r="W153" s="52" t="n"/>
      <c r="X153" s="52" t="n"/>
      <c r="Y153" s="52" t="n"/>
      <c r="Z153" s="52" t="n"/>
      <c r="AA153" s="52" t="n"/>
      <c r="AB153" s="52" t="n"/>
      <c r="AC153" s="52" t="n"/>
      <c r="AD153" s="52" t="n"/>
      <c r="AE153" s="52" t="n"/>
      <c r="AF153" s="52" t="n"/>
      <c r="AG153" s="52" t="n"/>
      <c r="AH153" s="52" t="n"/>
      <c r="AI153" s="52" t="n"/>
      <c r="AJ153" s="52" t="n"/>
      <c r="AK153" s="52" t="n"/>
    </row>
    <row r="154" ht="14.25" customHeight="1" s="142">
      <c r="A154" s="52" t="n">
        <v>50009</v>
      </c>
      <c r="B154" s="137" t="inlineStr">
        <is>
          <t>聖痕騎士長</t>
        </is>
      </c>
      <c r="C154" s="52" t="inlineStr">
        <is>
          <t>SR</t>
        </is>
      </c>
      <c r="D154" s="52" t="inlineStr">
        <is>
          <t>monster</t>
        </is>
      </c>
      <c r="E154" s="143" t="inlineStr">
        <is>
          <t>物攻</t>
        </is>
      </c>
      <c r="F154" s="52" t="n"/>
      <c r="G154" s="52" t="n">
        <v>69</v>
      </c>
      <c r="H154" s="31" t="inlineStr">
        <is>
          <t>2001,2002,2003,2004,2005,2006,2007,2008,2009,2010,2011,2012,5001,5002,5003,5004,5005,5006</t>
        </is>
      </c>
      <c r="I154" s="52" t="n">
        <v>110001</v>
      </c>
      <c r="J154" s="135" t="n">
        <v>400029</v>
      </c>
      <c r="K154" s="135" t="n">
        <v>410026</v>
      </c>
      <c r="L154" s="135" t="n">
        <v>2</v>
      </c>
      <c r="M154" s="52" t="n"/>
      <c r="N154" s="52" t="n">
        <v>2100</v>
      </c>
      <c r="O154" s="52" t="n">
        <v>110</v>
      </c>
      <c r="P154" s="52" t="n">
        <v>20</v>
      </c>
      <c r="Q154" s="52" t="n">
        <v>95</v>
      </c>
      <c r="R154" s="52" t="n">
        <v>80</v>
      </c>
      <c r="S154" s="52" t="n">
        <v>420</v>
      </c>
      <c r="T154" s="52" t="n">
        <v>17</v>
      </c>
      <c r="U154" s="69" t="n"/>
      <c r="V154" s="70" t="n">
        <v>1860</v>
      </c>
      <c r="W154" s="52" t="n"/>
      <c r="X154" s="52" t="n"/>
      <c r="Y154" s="52" t="n"/>
      <c r="Z154" s="52" t="n"/>
      <c r="AA154" s="52" t="n"/>
      <c r="AB154" s="52" t="n"/>
      <c r="AC154" s="52" t="n"/>
      <c r="AD154" s="52" t="n"/>
      <c r="AE154" s="52" t="n"/>
      <c r="AF154" s="52" t="n"/>
      <c r="AG154" s="52" t="n"/>
      <c r="AH154" s="52" t="n"/>
      <c r="AI154" s="52" t="n"/>
      <c r="AJ154" s="52" t="n"/>
      <c r="AK154" s="52" t="n"/>
    </row>
    <row r="155" ht="14.25" customHeight="1" s="142">
      <c r="A155" s="52" t="n">
        <v>50010</v>
      </c>
      <c r="B155" s="137" t="inlineStr">
        <is>
          <t>墮落聖者</t>
        </is>
      </c>
      <c r="C155" s="52" t="inlineStr">
        <is>
          <t>SR</t>
        </is>
      </c>
      <c r="D155" s="52" t="inlineStr">
        <is>
          <t>monster</t>
        </is>
      </c>
      <c r="E155" s="143" t="inlineStr">
        <is>
          <t>魔攻</t>
        </is>
      </c>
      <c r="F155" s="52" t="n"/>
      <c r="G155" s="52" t="n">
        <v>69</v>
      </c>
      <c r="H155" s="31" t="inlineStr">
        <is>
          <t>2001,2002,2003,2004,2005,2006,2007,2008,2009,2010,2011,2012,5001,5002,5003,5004,5005,5006</t>
        </is>
      </c>
      <c r="I155" s="52" t="n">
        <v>110011</v>
      </c>
      <c r="J155" s="135" t="n">
        <v>400040</v>
      </c>
      <c r="K155" s="135" t="n">
        <v>410029</v>
      </c>
      <c r="L155" s="135" t="n">
        <v>3</v>
      </c>
      <c r="M155" s="52" t="n"/>
      <c r="N155" s="52" t="n">
        <v>1800</v>
      </c>
      <c r="O155" s="52" t="n">
        <v>20</v>
      </c>
      <c r="P155" s="52" t="n">
        <v>125</v>
      </c>
      <c r="Q155" s="52" t="n">
        <v>60</v>
      </c>
      <c r="R155" s="52" t="n">
        <v>88</v>
      </c>
      <c r="S155" s="52" t="n">
        <v>560</v>
      </c>
      <c r="T155" s="52" t="n">
        <v>18</v>
      </c>
      <c r="U155" s="69" t="n"/>
      <c r="V155" s="70" t="n">
        <v>1843</v>
      </c>
      <c r="W155" s="52" t="n"/>
      <c r="X155" s="52" t="n"/>
      <c r="Y155" s="52" t="n"/>
      <c r="Z155" s="52" t="n"/>
      <c r="AA155" s="52" t="n"/>
      <c r="AB155" s="52" t="n"/>
      <c r="AC155" s="52" t="n"/>
      <c r="AD155" s="52" t="n"/>
      <c r="AE155" s="52" t="n"/>
      <c r="AF155" s="52" t="n"/>
      <c r="AG155" s="52" t="n"/>
      <c r="AH155" s="52" t="n"/>
      <c r="AI155" s="52" t="n"/>
      <c r="AJ155" s="52" t="n"/>
      <c r="AK155" s="52" t="n"/>
    </row>
    <row r="156" ht="14.25" customHeight="1" s="142">
      <c r="A156" s="52" t="n">
        <v>50011</v>
      </c>
      <c r="B156" s="137" t="inlineStr">
        <is>
          <t>聖槍守護者</t>
        </is>
      </c>
      <c r="C156" s="52" t="inlineStr">
        <is>
          <t>SSR</t>
        </is>
      </c>
      <c r="D156" s="52" t="inlineStr">
        <is>
          <t>monster</t>
        </is>
      </c>
      <c r="E156" s="143" t="inlineStr">
        <is>
          <t>物攻</t>
        </is>
      </c>
      <c r="F156" s="52" t="n"/>
      <c r="G156" s="52" t="n">
        <v>69</v>
      </c>
      <c r="H156" s="31" t="inlineStr">
        <is>
          <t>2001,2002,2003,2004,2005,2006,2007,2008,2009,2010,2011,2012,5001,5002,5003,5004,5005,5006</t>
        </is>
      </c>
      <c r="I156" s="52" t="n">
        <v>110001</v>
      </c>
      <c r="J156" s="135" t="n">
        <v>400029</v>
      </c>
      <c r="K156" s="135" t="n">
        <v>410031</v>
      </c>
      <c r="L156" s="135" t="n">
        <v>2</v>
      </c>
      <c r="M156" s="52" t="n"/>
      <c r="N156" s="52" t="n">
        <v>2800</v>
      </c>
      <c r="O156" s="52" t="n">
        <v>150</v>
      </c>
      <c r="P156" s="52" t="n">
        <v>25</v>
      </c>
      <c r="Q156" s="52" t="n">
        <v>120</v>
      </c>
      <c r="R156" s="52" t="n">
        <v>100</v>
      </c>
      <c r="S156" s="52" t="n">
        <v>550</v>
      </c>
      <c r="T156" s="52" t="n">
        <v>22</v>
      </c>
      <c r="U156" s="69" t="n"/>
      <c r="V156" s="70" t="n">
        <v>2455</v>
      </c>
      <c r="W156" s="52" t="n"/>
      <c r="X156" s="52" t="n"/>
      <c r="Y156" s="52" t="n"/>
      <c r="Z156" s="52" t="n"/>
      <c r="AA156" s="52" t="n"/>
      <c r="AB156" s="52" t="n"/>
      <c r="AC156" s="52" t="n"/>
      <c r="AD156" s="52" t="n"/>
      <c r="AE156" s="52" t="n"/>
      <c r="AF156" s="52" t="n"/>
      <c r="AG156" s="52" t="n"/>
      <c r="AH156" s="52" t="n"/>
      <c r="AI156" s="52" t="n"/>
      <c r="AJ156" s="52" t="n"/>
      <c r="AK156" s="52" t="n"/>
    </row>
    <row r="157" ht="14.25" customHeight="1" s="142">
      <c r="A157" s="52" t="n">
        <v>50012</v>
      </c>
      <c r="B157" s="137" t="inlineStr">
        <is>
          <t>妖刀將軍</t>
        </is>
      </c>
      <c r="C157" s="52" t="inlineStr">
        <is>
          <t>SSR</t>
        </is>
      </c>
      <c r="D157" s="52" t="inlineStr">
        <is>
          <t>monster</t>
        </is>
      </c>
      <c r="E157" s="143" t="inlineStr">
        <is>
          <t>物攻</t>
        </is>
      </c>
      <c r="F157" s="52" t="n"/>
      <c r="G157" s="52" t="n">
        <v>68</v>
      </c>
      <c r="H157" s="31" t="inlineStr">
        <is>
          <t>2001,2002,2003,2004,2005,2006,2007,2008,2009,2010,2011,2012,5001,5002,5003,5004,5005,5006</t>
        </is>
      </c>
      <c r="I157" s="52" t="n">
        <v>110001</v>
      </c>
      <c r="J157" s="135" t="n">
        <v>400034</v>
      </c>
      <c r="K157" s="135" t="n">
        <v>410008</v>
      </c>
      <c r="L157" s="135" t="n">
        <v>3</v>
      </c>
      <c r="M157" s="52" t="n"/>
      <c r="N157" s="52" t="n">
        <v>2400</v>
      </c>
      <c r="O157" s="52" t="n">
        <v>175</v>
      </c>
      <c r="P157" s="52" t="n">
        <v>20</v>
      </c>
      <c r="Q157" s="52" t="n">
        <v>85</v>
      </c>
      <c r="R157" s="52" t="n">
        <v>75</v>
      </c>
      <c r="S157" s="52" t="n">
        <v>500</v>
      </c>
      <c r="T157" s="52" t="n">
        <v>30</v>
      </c>
      <c r="U157" s="69" t="n"/>
      <c r="V157" s="70" t="n">
        <v>2205</v>
      </c>
      <c r="W157" s="52" t="n"/>
      <c r="X157" s="52" t="n"/>
      <c r="Y157" s="52" t="n"/>
      <c r="Z157" s="52" t="n"/>
      <c r="AA157" s="52" t="n"/>
      <c r="AB157" s="52" t="n"/>
      <c r="AC157" s="52" t="n"/>
      <c r="AD157" s="52" t="n"/>
      <c r="AE157" s="52" t="n"/>
      <c r="AF157" s="52" t="n"/>
      <c r="AG157" s="52" t="n"/>
      <c r="AH157" s="52" t="n"/>
      <c r="AI157" s="52" t="n"/>
      <c r="AJ157" s="52" t="n"/>
      <c r="AK157" s="52" t="n"/>
    </row>
    <row r="158" ht="14.25" customHeight="1" s="142">
      <c r="A158" s="52" t="n">
        <v>50013</v>
      </c>
      <c r="B158" s="137" t="inlineStr">
        <is>
          <t>炎獄巨龍</t>
        </is>
      </c>
      <c r="C158" s="52" t="inlineStr">
        <is>
          <t>SSR</t>
        </is>
      </c>
      <c r="D158" s="52" t="inlineStr">
        <is>
          <t>monster</t>
        </is>
      </c>
      <c r="E158" s="143" t="inlineStr">
        <is>
          <t>魔攻</t>
        </is>
      </c>
      <c r="F158" s="52" t="n"/>
      <c r="G158" s="52" t="n">
        <v>66</v>
      </c>
      <c r="H158" s="31" t="inlineStr">
        <is>
          <t>2001,2002,2003,2004,2005,2006,2007,2008,2009,2010,2011,2012,5001,5002,5003,5004,5005,5006</t>
        </is>
      </c>
      <c r="I158" s="52" t="n">
        <v>110011</v>
      </c>
      <c r="J158" s="135" t="n">
        <v>400037</v>
      </c>
      <c r="K158" s="135" t="n">
        <v>410014</v>
      </c>
      <c r="L158" s="135" t="n">
        <v>2</v>
      </c>
      <c r="M158" s="52" t="n"/>
      <c r="N158" s="52" t="n">
        <v>2600</v>
      </c>
      <c r="O158" s="52" t="n">
        <v>35</v>
      </c>
      <c r="P158" s="52" t="n">
        <v>180</v>
      </c>
      <c r="Q158" s="52" t="n">
        <v>90</v>
      </c>
      <c r="R158" s="52" t="n">
        <v>110</v>
      </c>
      <c r="S158" s="52" t="n">
        <v>650</v>
      </c>
      <c r="T158" s="52" t="n">
        <v>24</v>
      </c>
      <c r="U158" s="69" t="n"/>
      <c r="V158" s="70" t="n">
        <v>2485</v>
      </c>
      <c r="W158" s="52" t="n"/>
      <c r="X158" s="52" t="n"/>
      <c r="Y158" s="52" t="n"/>
      <c r="Z158" s="52" t="n"/>
      <c r="AA158" s="52" t="n"/>
      <c r="AB158" s="52" t="n"/>
      <c r="AC158" s="52" t="n"/>
      <c r="AD158" s="52" t="n"/>
      <c r="AE158" s="52" t="n"/>
      <c r="AF158" s="52" t="n"/>
      <c r="AG158" s="52" t="n"/>
      <c r="AH158" s="52" t="n"/>
      <c r="AI158" s="52" t="n"/>
      <c r="AJ158" s="52" t="n"/>
      <c r="AK158" s="52" t="n"/>
    </row>
    <row r="159" ht="14.25" customHeight="1" s="142">
      <c r="A159" s="52" t="n">
        <v>50014</v>
      </c>
      <c r="B159" s="137" t="inlineStr">
        <is>
          <t>冰冠大公</t>
        </is>
      </c>
      <c r="C159" s="52" t="inlineStr">
        <is>
          <t>SSR</t>
        </is>
      </c>
      <c r="D159" s="52" t="inlineStr">
        <is>
          <t>monster</t>
        </is>
      </c>
      <c r="E159" s="143" t="inlineStr">
        <is>
          <t>魔攻</t>
        </is>
      </c>
      <c r="F159" s="52" t="n"/>
      <c r="G159" s="52" t="n">
        <v>69</v>
      </c>
      <c r="H159" s="31" t="inlineStr">
        <is>
          <t>2001,2002,2003,2004,2005,2006,2007,2008,2009,2010,2011,2012,5001,5002,5003,5004,5005,5006</t>
        </is>
      </c>
      <c r="I159" s="52" t="n">
        <v>110012</v>
      </c>
      <c r="J159" s="135" t="n">
        <v>400013</v>
      </c>
      <c r="K159" s="135" t="n">
        <v>410023</v>
      </c>
      <c r="L159" s="135" t="n">
        <v>3</v>
      </c>
      <c r="M159" s="52" t="n"/>
      <c r="N159" s="52" t="n">
        <v>2500</v>
      </c>
      <c r="O159" s="52" t="n">
        <v>90</v>
      </c>
      <c r="P159" s="52" t="n">
        <v>150</v>
      </c>
      <c r="Q159" s="52" t="n">
        <v>105</v>
      </c>
      <c r="R159" s="52" t="n">
        <v>120</v>
      </c>
      <c r="S159" s="52" t="n">
        <v>600</v>
      </c>
      <c r="T159" s="52" t="n">
        <v>20</v>
      </c>
      <c r="U159" s="69" t="n"/>
      <c r="V159" s="70" t="n">
        <v>2415</v>
      </c>
      <c r="W159" s="52" t="n"/>
      <c r="X159" s="52" t="n"/>
      <c r="Y159" s="52" t="n"/>
      <c r="Z159" s="52" t="n"/>
      <c r="AA159" s="52" t="n"/>
      <c r="AB159" s="52" t="n"/>
      <c r="AC159" s="52" t="n"/>
      <c r="AD159" s="52" t="n"/>
      <c r="AE159" s="52" t="n"/>
      <c r="AF159" s="52" t="n"/>
      <c r="AG159" s="52" t="n"/>
      <c r="AH159" s="52" t="n"/>
      <c r="AI159" s="52" t="n"/>
      <c r="AJ159" s="52" t="n"/>
      <c r="AK159" s="52" t="n"/>
    </row>
    <row r="160" ht="14.25" customHeight="1" s="142">
      <c r="A160" s="52" t="n">
        <v>50015</v>
      </c>
      <c r="B160" s="137" t="inlineStr">
        <is>
          <t>冥王使徒</t>
        </is>
      </c>
      <c r="C160" s="52" t="inlineStr">
        <is>
          <t>SSR</t>
        </is>
      </c>
      <c r="D160" s="52" t="inlineStr">
        <is>
          <t>monster</t>
        </is>
      </c>
      <c r="E160" s="80" t="inlineStr">
        <is>
          <t>魔攻</t>
        </is>
      </c>
      <c r="G160" t="n">
        <v>65</v>
      </c>
      <c r="H160" s="31" t="inlineStr">
        <is>
          <t>2001,2002,2003,2004,2005,2006,2007,2008,2009,2010,2011,2012,5001,5002,5003,5004,5005,5006</t>
        </is>
      </c>
      <c r="I160" s="52" t="n">
        <v>110011</v>
      </c>
      <c r="J160" s="135" t="n">
        <v>400028</v>
      </c>
      <c r="K160" s="135" t="n">
        <v>410030</v>
      </c>
      <c r="L160" s="135" t="n">
        <v>1</v>
      </c>
      <c r="M160" s="52" t="n"/>
      <c r="N160" s="52" t="n">
        <v>3200</v>
      </c>
      <c r="O160" s="52" t="n">
        <v>60</v>
      </c>
      <c r="P160" s="52" t="n">
        <v>210</v>
      </c>
      <c r="Q160" s="52" t="n">
        <v>110</v>
      </c>
      <c r="R160" s="52" t="n">
        <v>130</v>
      </c>
      <c r="S160" s="52" t="n">
        <v>750</v>
      </c>
      <c r="T160" s="52" t="n">
        <v>28</v>
      </c>
      <c r="U160" s="69" t="n"/>
      <c r="V160" s="70" t="n">
        <v>3000</v>
      </c>
      <c r="W160" s="52" t="n"/>
      <c r="X160" s="52" t="n"/>
      <c r="Y160" s="52" t="n"/>
      <c r="Z160" s="52" t="n"/>
      <c r="AA160" s="52" t="n"/>
      <c r="AB160" s="52" t="n"/>
      <c r="AC160" s="52" t="n"/>
      <c r="AD160" s="52" t="n"/>
      <c r="AE160" s="52" t="n"/>
      <c r="AF160" s="52" t="n"/>
      <c r="AG160" s="52" t="n"/>
      <c r="AH160" s="52" t="n"/>
      <c r="AI160" s="52" t="n"/>
      <c r="AJ160" s="52" t="n"/>
      <c r="AK160" s="52" t="n"/>
    </row>
    <row r="161" ht="14.25" customHeight="1" s="142">
      <c r="A161" s="52" t="n">
        <v>50016</v>
      </c>
      <c r="B161" s="137" t="inlineStr">
        <is>
          <t>魔王奧斯維德</t>
        </is>
      </c>
      <c r="C161" s="52" t="inlineStr">
        <is>
          <t>SSR</t>
        </is>
      </c>
      <c r="D161" s="52" t="inlineStr">
        <is>
          <t>monster</t>
        </is>
      </c>
      <c r="E161" s="143" t="inlineStr">
        <is>
          <t>魔攻</t>
        </is>
      </c>
      <c r="F161" s="52" t="n"/>
      <c r="G161" s="52" t="n">
        <v>66</v>
      </c>
      <c r="H161" s="31" t="inlineStr">
        <is>
          <t>2001,2002,2003,2004,2005,2006,2007,2008,2009,2010,2011,2012,5001,5002,5003,5004,5005,5006</t>
        </is>
      </c>
      <c r="I161" s="52" t="n">
        <v>110011</v>
      </c>
      <c r="J161" s="135" t="n">
        <v>400017</v>
      </c>
      <c r="K161" s="135" t="n">
        <v>410030</v>
      </c>
      <c r="L161" s="135" t="n">
        <v>1</v>
      </c>
      <c r="M161" s="52" t="n"/>
      <c r="N161" s="52" t="n">
        <v>3600</v>
      </c>
      <c r="O161" s="52" t="n">
        <v>70</v>
      </c>
      <c r="P161" s="52" t="n">
        <v>240</v>
      </c>
      <c r="Q161" s="52" t="n">
        <v>130</v>
      </c>
      <c r="R161" s="52" t="n">
        <v>150</v>
      </c>
      <c r="S161" s="52" t="n">
        <v>900</v>
      </c>
      <c r="T161" s="52" t="n">
        <v>32</v>
      </c>
      <c r="U161" s="69" t="n"/>
      <c r="V161" s="70" t="n">
        <v>3450</v>
      </c>
      <c r="W161" s="52" t="n"/>
      <c r="X161" s="52" t="n"/>
      <c r="Y161" s="52" t="n"/>
      <c r="Z161" s="52" t="n"/>
      <c r="AA161" s="52" t="n"/>
      <c r="AB161" s="52" t="n"/>
      <c r="AC161" s="52" t="n"/>
      <c r="AD161" s="52" t="n"/>
      <c r="AE161" s="52" t="n"/>
      <c r="AF161" s="52" t="n"/>
      <c r="AG161" s="52" t="n"/>
      <c r="AH161" s="52" t="n"/>
      <c r="AI161" s="52" t="n"/>
      <c r="AJ161" s="52" t="n"/>
      <c r="AK161" s="52" t="n"/>
    </row>
    <row r="162">
      <c r="U162" s="65" t="n"/>
    </row>
    <row r="163" ht="14.25" customHeight="1" s="142">
      <c r="A163" s="48" t="inlineStr">
        <is>
          <t>角色id</t>
        </is>
      </c>
      <c r="B163" s="48" t="inlineStr">
        <is>
          <t>角色名稱</t>
        </is>
      </c>
      <c r="C163" s="40" t="inlineStr">
        <is>
          <t>rare</t>
        </is>
      </c>
      <c r="D163" s="40" t="inlineStr">
        <is>
          <t>type</t>
        </is>
      </c>
      <c r="E163" s="48" t="inlineStr">
        <is>
          <t>體系</t>
        </is>
      </c>
      <c r="F163" s="50" t="inlineStr">
        <is>
          <t>equipment_type</t>
        </is>
      </c>
      <c r="G163" s="40" t="inlineStr">
        <is>
          <t>tag</t>
        </is>
      </c>
      <c r="H163" s="40" t="inlineStr">
        <is>
          <t>resist_buff</t>
        </is>
      </c>
      <c r="I163" s="40" t="inlineStr">
        <is>
          <t>skill0_id</t>
        </is>
      </c>
      <c r="J163" s="40" t="inlineStr">
        <is>
          <t>skill1_id</t>
        </is>
      </c>
      <c r="K163" s="40" t="inlineStr">
        <is>
          <t>skill2_id</t>
        </is>
      </c>
      <c r="L163" s="40" t="inlineStr">
        <is>
          <t>element</t>
        </is>
      </c>
      <c r="M163" s="40" t="inlineStr">
        <is>
          <t>role_ addition</t>
        </is>
      </c>
      <c r="N163" s="40" t="inlineStr">
        <is>
          <t>hp</t>
        </is>
      </c>
      <c r="O163" s="40" t="inlineStr">
        <is>
          <t>atk</t>
        </is>
      </c>
      <c r="P163" s="40" t="inlineStr">
        <is>
          <t>matk</t>
        </is>
      </c>
      <c r="Q163" s="40" t="inlineStr">
        <is>
          <t>def</t>
        </is>
      </c>
      <c r="R163" s="40" t="inlineStr">
        <is>
          <t>mdef</t>
        </is>
      </c>
      <c r="S163" s="40" t="inlineStr">
        <is>
          <t>mp</t>
        </is>
      </c>
      <c r="T163" s="40" t="inlineStr">
        <is>
          <t>agi</t>
        </is>
      </c>
      <c r="U163" s="66" t="inlineStr">
        <is>
          <t>重生回合數</t>
        </is>
      </c>
      <c r="V163" s="135" t="inlineStr">
        <is>
          <t>#六維</t>
        </is>
      </c>
      <c r="W163" s="40" t="inlineStr">
        <is>
          <t>capture_rate</t>
        </is>
      </c>
      <c r="X163" s="40" t="inlineStr">
        <is>
          <t>exchange_id</t>
        </is>
      </c>
      <c r="Y163" s="67" t="inlineStr">
        <is>
          <t>exchange_amount</t>
        </is>
      </c>
      <c r="Z163" s="135" t="inlineStr">
        <is>
          <t>star_refine_id</t>
        </is>
      </c>
      <c r="AA163" s="135" t="inlineStr">
        <is>
          <t>star_cost_id</t>
        </is>
      </c>
      <c r="AB163" s="135" t="inlineStr">
        <is>
          <t>star1_skill1</t>
        </is>
      </c>
      <c r="AC163" s="135" t="inlineStr">
        <is>
          <t>star2_skill1</t>
        </is>
      </c>
      <c r="AD163" s="135" t="inlineStr">
        <is>
          <t>star3_skill1</t>
        </is>
      </c>
      <c r="AE163" s="135" t="inlineStr">
        <is>
          <t>star4_skill1</t>
        </is>
      </c>
      <c r="AF163" s="135" t="inlineStr">
        <is>
          <t>star5_skill1</t>
        </is>
      </c>
      <c r="AG163" s="135" t="inlineStr">
        <is>
          <t>star1_skill2</t>
        </is>
      </c>
      <c r="AH163" s="135" t="inlineStr">
        <is>
          <t>star2_skill2</t>
        </is>
      </c>
      <c r="AI163" s="135" t="inlineStr">
        <is>
          <t>star3_skill2</t>
        </is>
      </c>
      <c r="AJ163" s="135" t="inlineStr">
        <is>
          <t>star4_skill2</t>
        </is>
      </c>
      <c r="AK163" s="135" t="inlineStr">
        <is>
          <t>star5_skill2</t>
        </is>
      </c>
    </row>
    <row r="164" ht="14.25" customHeight="1" s="142">
      <c r="A164" s="141" t="n">
        <v>60001</v>
      </c>
      <c r="B164" s="141" t="n"/>
      <c r="C164" s="141" t="n"/>
      <c r="D164" s="52" t="inlineStr">
        <is>
          <t>state</t>
        </is>
      </c>
      <c r="E164" s="141" t="n">
        <v>20</v>
      </c>
      <c r="F164" s="141" t="n"/>
      <c r="G164" s="141" t="n"/>
      <c r="H164" s="141" t="n"/>
      <c r="I164" s="141" t="n"/>
      <c r="J164" s="141" t="n"/>
      <c r="K164" s="141" t="n"/>
      <c r="L164" s="141" t="n"/>
      <c r="M164" s="141" t="n"/>
      <c r="N164" s="141" t="n">
        <v>1000</v>
      </c>
      <c r="O164" s="141" t="n">
        <v>50</v>
      </c>
      <c r="P164" s="141" t="n">
        <v>50</v>
      </c>
      <c r="Q164" s="141" t="n">
        <v>50</v>
      </c>
      <c r="R164" s="141" t="n">
        <v>50</v>
      </c>
      <c r="S164" s="141" t="n">
        <v>100</v>
      </c>
      <c r="T164" s="141" t="n"/>
      <c r="U164" s="69" t="n"/>
      <c r="V164" s="141" t="n"/>
      <c r="W164" s="141" t="n"/>
      <c r="X164" s="141" t="n"/>
      <c r="Y164" s="141" t="n"/>
      <c r="Z164" s="141" t="n"/>
      <c r="AA164" s="141" t="n"/>
      <c r="AB164" s="141" t="n"/>
      <c r="AC164" s="141" t="n"/>
      <c r="AD164" s="141" t="n"/>
      <c r="AE164" s="141" t="n"/>
      <c r="AF164" s="141" t="n"/>
      <c r="AG164" s="141" t="n"/>
      <c r="AH164" s="141" t="n"/>
      <c r="AI164" s="141" t="n"/>
      <c r="AJ164" s="141" t="n"/>
      <c r="AK164" s="141" t="n"/>
    </row>
    <row r="165" ht="14.25" customHeight="1" s="142">
      <c r="A165" s="141" t="n">
        <v>60002</v>
      </c>
      <c r="B165" s="141" t="n"/>
      <c r="C165" s="141" t="n"/>
      <c r="D165" s="52" t="inlineStr">
        <is>
          <t>state</t>
        </is>
      </c>
      <c r="E165" s="141">
        <f>E164+10</f>
        <v/>
      </c>
      <c r="F165" s="141" t="n"/>
      <c r="G165" s="141" t="n"/>
      <c r="H165" s="141" t="n"/>
      <c r="I165" s="141" t="n"/>
      <c r="J165" s="141" t="n"/>
      <c r="K165" s="141" t="n"/>
      <c r="L165" s="141" t="n"/>
      <c r="M165" s="141" t="n"/>
      <c r="N165" s="141">
        <f>ROUND(N164*1.4,0)</f>
        <v/>
      </c>
      <c r="O165" s="141">
        <f>ROUND(O164*1.15,0)</f>
        <v/>
      </c>
      <c r="P165" s="141">
        <f>ROUND(P164*1.2,0)</f>
        <v/>
      </c>
      <c r="Q165" s="141">
        <f>ROUND(Q164*1.25,0)</f>
        <v/>
      </c>
      <c r="R165" s="141">
        <f>ROUND(R164*1.25,0)</f>
        <v/>
      </c>
      <c r="S165" s="141">
        <f>ROUND(S164*1.1,0)</f>
        <v/>
      </c>
      <c r="T165" s="141" t="n"/>
      <c r="U165" s="69" t="n"/>
      <c r="V165" s="141" t="n"/>
      <c r="W165" s="141" t="n"/>
      <c r="X165" s="141" t="n"/>
      <c r="Y165" s="141" t="n"/>
      <c r="Z165" s="141" t="n"/>
      <c r="AA165" s="141" t="n"/>
      <c r="AB165" s="141" t="n"/>
      <c r="AC165" s="141" t="n"/>
      <c r="AD165" s="141" t="n"/>
      <c r="AE165" s="141" t="n"/>
      <c r="AF165" s="141" t="n"/>
      <c r="AG165" s="141" t="n"/>
      <c r="AH165" s="141" t="n"/>
      <c r="AI165" s="141" t="n"/>
      <c r="AJ165" s="141" t="n"/>
      <c r="AK165" s="141" t="n"/>
    </row>
    <row r="166" ht="14.25" customHeight="1" s="142">
      <c r="A166" s="141" t="n">
        <v>60003</v>
      </c>
      <c r="B166" s="141" t="n"/>
      <c r="C166" s="141" t="n"/>
      <c r="D166" s="52" t="inlineStr">
        <is>
          <t>state</t>
        </is>
      </c>
      <c r="E166" s="141">
        <f>E165+10</f>
        <v/>
      </c>
      <c r="F166" s="141" t="n"/>
      <c r="G166" s="141" t="n"/>
      <c r="H166" s="141" t="n"/>
      <c r="I166" s="141" t="n"/>
      <c r="J166" s="141" t="n"/>
      <c r="K166" s="141" t="n"/>
      <c r="L166" s="141" t="n"/>
      <c r="M166" s="141" t="n"/>
      <c r="N166" s="141">
        <f>ROUND(N165*1.4,0)</f>
        <v/>
      </c>
      <c r="O166" s="141">
        <f>ROUND(O165*1.15,0)</f>
        <v/>
      </c>
      <c r="P166" s="141">
        <f>ROUND(P165*1.2,0)</f>
        <v/>
      </c>
      <c r="Q166" s="141">
        <f>ROUND(Q165*1.25,0)</f>
        <v/>
      </c>
      <c r="R166" s="141">
        <f>ROUND(R165*1.25,0)</f>
        <v/>
      </c>
      <c r="S166" s="141">
        <f>ROUND(S165*1.1,0)</f>
        <v/>
      </c>
      <c r="T166" s="141" t="n"/>
      <c r="U166" s="69" t="n"/>
      <c r="V166" s="141" t="n"/>
      <c r="W166" s="141" t="n"/>
      <c r="X166" s="141" t="n"/>
      <c r="Y166" s="141" t="n"/>
      <c r="Z166" s="141" t="n"/>
      <c r="AA166" s="141" t="n"/>
      <c r="AB166" s="141" t="n"/>
      <c r="AC166" s="141" t="n"/>
      <c r="AD166" s="141" t="n"/>
      <c r="AE166" s="141" t="n"/>
      <c r="AF166" s="141" t="n"/>
      <c r="AG166" s="141" t="n"/>
      <c r="AH166" s="141" t="n"/>
      <c r="AI166" s="141" t="n"/>
      <c r="AJ166" s="141" t="n"/>
      <c r="AK166" s="141" t="n"/>
    </row>
    <row r="167" ht="14.25" customHeight="1" s="142">
      <c r="A167" s="141" t="n">
        <v>60004</v>
      </c>
      <c r="B167" s="141" t="n"/>
      <c r="C167" s="141" t="n"/>
      <c r="D167" s="52" t="inlineStr">
        <is>
          <t>state</t>
        </is>
      </c>
      <c r="E167" s="141">
        <f>E166+10</f>
        <v/>
      </c>
      <c r="F167" s="141" t="n"/>
      <c r="G167" s="141" t="n"/>
      <c r="H167" s="141" t="n"/>
      <c r="I167" s="141" t="n"/>
      <c r="J167" s="141" t="n"/>
      <c r="K167" s="141" t="n"/>
      <c r="L167" s="141" t="n"/>
      <c r="M167" s="141" t="n"/>
      <c r="N167" s="141">
        <f>ROUND(N166*1.4,0)</f>
        <v/>
      </c>
      <c r="O167" s="141">
        <f>ROUND(O166*1.15,0)</f>
        <v/>
      </c>
      <c r="P167" s="141">
        <f>ROUND(P166*1.2,0)</f>
        <v/>
      </c>
      <c r="Q167" s="141">
        <f>ROUND(Q166*1.25,0)</f>
        <v/>
      </c>
      <c r="R167" s="141">
        <f>ROUND(R166*1.25,0)</f>
        <v/>
      </c>
      <c r="S167" s="141">
        <f>ROUND(S166*1.1,0)</f>
        <v/>
      </c>
      <c r="T167" s="141" t="n"/>
      <c r="U167" s="69" t="n"/>
      <c r="V167" s="141" t="n"/>
      <c r="W167" s="141" t="n"/>
      <c r="X167" s="141" t="n"/>
      <c r="Y167" s="141" t="n"/>
      <c r="Z167" s="141" t="n"/>
      <c r="AA167" s="141" t="n"/>
      <c r="AB167" s="141" t="n"/>
      <c r="AC167" s="141" t="n"/>
      <c r="AD167" s="141" t="n"/>
      <c r="AE167" s="141" t="n"/>
      <c r="AF167" s="141" t="n"/>
      <c r="AG167" s="141" t="n"/>
      <c r="AH167" s="141" t="n"/>
      <c r="AI167" s="141" t="n"/>
      <c r="AJ167" s="141" t="n"/>
      <c r="AK167" s="141" t="n"/>
    </row>
    <row r="168" ht="14.25" customHeight="1" s="142">
      <c r="A168" s="141" t="n">
        <v>60005</v>
      </c>
      <c r="B168" s="141" t="n"/>
      <c r="C168" s="141" t="n"/>
      <c r="D168" s="52" t="inlineStr">
        <is>
          <t>state</t>
        </is>
      </c>
      <c r="E168" s="141">
        <f>E167+10</f>
        <v/>
      </c>
      <c r="F168" s="141" t="n"/>
      <c r="G168" s="141" t="n"/>
      <c r="H168" s="141" t="n"/>
      <c r="I168" s="141" t="n"/>
      <c r="J168" s="141" t="n"/>
      <c r="K168" s="141" t="n"/>
      <c r="L168" s="141" t="n"/>
      <c r="M168" s="141" t="n"/>
      <c r="N168" s="141">
        <f>ROUND(N167*1.4,0)</f>
        <v/>
      </c>
      <c r="O168" s="141">
        <f>ROUND(O167*1.15,0)</f>
        <v/>
      </c>
      <c r="P168" s="141">
        <f>ROUND(P167*1.2,0)</f>
        <v/>
      </c>
      <c r="Q168" s="141">
        <f>ROUND(Q167*1.25,0)</f>
        <v/>
      </c>
      <c r="R168" s="141">
        <f>ROUND(R167*1.25,0)</f>
        <v/>
      </c>
      <c r="S168" s="141">
        <f>ROUND(S167*1.1,0)</f>
        <v/>
      </c>
      <c r="T168" s="141" t="n"/>
      <c r="U168" s="69" t="n"/>
      <c r="V168" s="141" t="n"/>
      <c r="W168" s="141" t="n"/>
      <c r="X168" s="141" t="n"/>
      <c r="Y168" s="141" t="n"/>
      <c r="Z168" s="141" t="n"/>
      <c r="AA168" s="141" t="n"/>
      <c r="AB168" s="141" t="n"/>
      <c r="AC168" s="141" t="n"/>
      <c r="AD168" s="141" t="n"/>
      <c r="AE168" s="141" t="n"/>
      <c r="AF168" s="141" t="n"/>
      <c r="AG168" s="141" t="n"/>
      <c r="AH168" s="141" t="n"/>
      <c r="AI168" s="141" t="n"/>
      <c r="AJ168" s="141" t="n"/>
      <c r="AK168" s="141" t="n"/>
    </row>
    <row r="169" ht="14.25" customHeight="1" s="142">
      <c r="A169" s="141" t="n">
        <v>60006</v>
      </c>
      <c r="B169" s="141" t="n"/>
      <c r="C169" s="141" t="n"/>
      <c r="D169" s="52" t="inlineStr">
        <is>
          <t>state</t>
        </is>
      </c>
      <c r="E169" s="141">
        <f>E168+10</f>
        <v/>
      </c>
      <c r="F169" s="141" t="n"/>
      <c r="G169" s="141" t="n"/>
      <c r="H169" s="141" t="n"/>
      <c r="I169" s="141" t="n"/>
      <c r="J169" s="141" t="n"/>
      <c r="K169" s="141" t="n"/>
      <c r="L169" s="141" t="n"/>
      <c r="M169" s="141" t="n"/>
      <c r="N169" s="141">
        <f>ROUND(N168*1.4,0)</f>
        <v/>
      </c>
      <c r="O169" s="141">
        <f>ROUND(O168*1.15,0)</f>
        <v/>
      </c>
      <c r="P169" s="141">
        <f>ROUND(P168*1.2,0)</f>
        <v/>
      </c>
      <c r="Q169" s="141">
        <f>ROUND(Q168*1.25,0)</f>
        <v/>
      </c>
      <c r="R169" s="141">
        <f>ROUND(R168*1.25,0)</f>
        <v/>
      </c>
      <c r="S169" s="141">
        <f>ROUND(S168*1.1,0)</f>
        <v/>
      </c>
      <c r="T169" s="141" t="n"/>
      <c r="U169" s="69" t="n"/>
      <c r="V169" s="141" t="n"/>
      <c r="W169" s="141" t="n"/>
      <c r="X169" s="141" t="n"/>
      <c r="Y169" s="141" t="n"/>
      <c r="Z169" s="141" t="n"/>
      <c r="AA169" s="141" t="n"/>
      <c r="AB169" s="141" t="n"/>
      <c r="AC169" s="141" t="n"/>
      <c r="AD169" s="141" t="n"/>
      <c r="AE169" s="141" t="n"/>
      <c r="AF169" s="141" t="n"/>
      <c r="AG169" s="141" t="n"/>
      <c r="AH169" s="141" t="n"/>
      <c r="AI169" s="141" t="n"/>
      <c r="AJ169" s="141" t="n"/>
      <c r="AK169" s="141" t="n"/>
    </row>
    <row r="170" ht="14.25" customHeight="1" s="142">
      <c r="A170" s="141" t="n">
        <v>60007</v>
      </c>
      <c r="B170" s="141" t="n"/>
      <c r="C170" s="141" t="n"/>
      <c r="D170" s="52" t="inlineStr">
        <is>
          <t>state</t>
        </is>
      </c>
      <c r="E170" s="141">
        <f>E169+10</f>
        <v/>
      </c>
      <c r="F170" s="141" t="n"/>
      <c r="G170" s="141" t="n"/>
      <c r="H170" s="141" t="n"/>
      <c r="I170" s="141" t="n"/>
      <c r="J170" s="141" t="n"/>
      <c r="K170" s="141" t="n"/>
      <c r="L170" s="141" t="n"/>
      <c r="M170" s="141" t="n"/>
      <c r="N170" s="141">
        <f>ROUND(N169*1.4,0)</f>
        <v/>
      </c>
      <c r="O170" s="141">
        <f>ROUND(O169*1.15,0)</f>
        <v/>
      </c>
      <c r="P170" s="141">
        <f>ROUND(P169*1.2,0)</f>
        <v/>
      </c>
      <c r="Q170" s="141">
        <f>ROUND(Q169*1.25,0)</f>
        <v/>
      </c>
      <c r="R170" s="141">
        <f>ROUND(R169*1.25,0)</f>
        <v/>
      </c>
      <c r="S170" s="141">
        <f>ROUND(S169*1.1,0)</f>
        <v/>
      </c>
      <c r="T170" s="141" t="n"/>
      <c r="U170" s="69" t="n"/>
      <c r="V170" s="141" t="n"/>
      <c r="W170" s="141" t="n"/>
      <c r="X170" s="141" t="n"/>
      <c r="Y170" s="141" t="n"/>
      <c r="Z170" s="141" t="n"/>
      <c r="AA170" s="141" t="n"/>
      <c r="AB170" s="141" t="n"/>
      <c r="AC170" s="141" t="n"/>
      <c r="AD170" s="141" t="n"/>
      <c r="AE170" s="141" t="n"/>
      <c r="AF170" s="141" t="n"/>
      <c r="AG170" s="141" t="n"/>
      <c r="AH170" s="141" t="n"/>
      <c r="AI170" s="141" t="n"/>
      <c r="AJ170" s="141" t="n"/>
      <c r="AK170" s="141" t="n"/>
    </row>
    <row r="171" ht="14.25" customHeight="1" s="142">
      <c r="A171" s="141" t="n">
        <v>60008</v>
      </c>
      <c r="B171" s="141" t="n"/>
      <c r="C171" s="141" t="n"/>
      <c r="D171" s="52" t="inlineStr">
        <is>
          <t>state</t>
        </is>
      </c>
      <c r="E171" s="141">
        <f>E170+10</f>
        <v/>
      </c>
      <c r="F171" s="141" t="n"/>
      <c r="G171" s="141" t="n"/>
      <c r="H171" s="141" t="n"/>
      <c r="I171" s="141" t="n"/>
      <c r="J171" s="141" t="n"/>
      <c r="K171" s="141" t="n"/>
      <c r="L171" s="141" t="n"/>
      <c r="M171" s="141" t="n"/>
      <c r="N171" s="141">
        <f>ROUND(N170*1.4,0)</f>
        <v/>
      </c>
      <c r="O171" s="141">
        <f>ROUND(O170*1.15,0)</f>
        <v/>
      </c>
      <c r="P171" s="141">
        <f>ROUND(P170*1.2,0)</f>
        <v/>
      </c>
      <c r="Q171" s="141">
        <f>ROUND(Q170*1.25,0)</f>
        <v/>
      </c>
      <c r="R171" s="141">
        <f>ROUND(R170*1.25,0)</f>
        <v/>
      </c>
      <c r="S171" s="141">
        <f>ROUND(S170*1.1,0)</f>
        <v/>
      </c>
      <c r="T171" s="141" t="n"/>
      <c r="U171" s="69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41" t="n"/>
      <c r="AE171" s="141" t="n"/>
      <c r="AF171" s="141" t="n"/>
      <c r="AG171" s="141" t="n"/>
      <c r="AH171" s="141" t="n"/>
      <c r="AI171" s="141" t="n"/>
      <c r="AJ171" s="141" t="n"/>
      <c r="AK171" s="141" t="n"/>
    </row>
    <row r="172" ht="14.25" customHeight="1" s="142">
      <c r="A172" s="141" t="n">
        <v>60009</v>
      </c>
      <c r="B172" s="141" t="n"/>
      <c r="C172" s="141" t="n"/>
      <c r="D172" s="52" t="inlineStr">
        <is>
          <t>state</t>
        </is>
      </c>
      <c r="E172" s="141">
        <f>E171+10</f>
        <v/>
      </c>
      <c r="F172" s="141" t="n"/>
      <c r="G172" s="141" t="n"/>
      <c r="H172" s="141" t="n"/>
      <c r="I172" s="141" t="n"/>
      <c r="J172" s="141" t="n"/>
      <c r="K172" s="141" t="n"/>
      <c r="L172" s="141" t="n"/>
      <c r="M172" s="141" t="n"/>
      <c r="N172" s="141">
        <f>ROUND(N171*1.4,0)</f>
        <v/>
      </c>
      <c r="O172" s="141">
        <f>ROUND(O171*1.15,0)</f>
        <v/>
      </c>
      <c r="P172" s="141">
        <f>ROUND(P171*1.2,0)</f>
        <v/>
      </c>
      <c r="Q172" s="141">
        <f>ROUND(Q171*1.25,0)</f>
        <v/>
      </c>
      <c r="R172" s="141">
        <f>ROUND(R171*1.25,0)</f>
        <v/>
      </c>
      <c r="S172" s="141">
        <f>ROUND(S171*1.1,0)</f>
        <v/>
      </c>
      <c r="T172" s="141" t="n"/>
      <c r="U172" s="69" t="n"/>
      <c r="V172" s="141" t="n"/>
      <c r="W172" s="141" t="n"/>
      <c r="X172" s="141" t="n"/>
      <c r="Y172" s="141" t="n"/>
      <c r="Z172" s="141" t="n"/>
      <c r="AA172" s="141" t="n"/>
      <c r="AB172" s="141" t="n"/>
      <c r="AC172" s="141" t="n"/>
      <c r="AD172" s="141" t="n"/>
      <c r="AE172" s="141" t="n"/>
      <c r="AF172" s="141" t="n"/>
      <c r="AG172" s="141" t="n"/>
      <c r="AH172" s="141" t="n"/>
      <c r="AI172" s="141" t="n"/>
      <c r="AJ172" s="141" t="n"/>
      <c r="AK172" s="141" t="n"/>
    </row>
    <row r="173" ht="14.25" customHeight="1" s="142">
      <c r="A173" s="141" t="n">
        <v>60010</v>
      </c>
      <c r="B173" s="141" t="n"/>
      <c r="C173" s="141" t="n"/>
      <c r="D173" s="52" t="inlineStr">
        <is>
          <t>state</t>
        </is>
      </c>
      <c r="E173" s="141">
        <f>E172+10</f>
        <v/>
      </c>
      <c r="F173" s="141" t="n"/>
      <c r="G173" s="141" t="n"/>
      <c r="H173" s="141" t="n"/>
      <c r="I173" s="141" t="n"/>
      <c r="J173" s="141" t="n"/>
      <c r="K173" s="141" t="n"/>
      <c r="L173" s="141" t="n"/>
      <c r="M173" s="141" t="n"/>
      <c r="N173" s="141">
        <f>ROUND(N172*1.4,0)</f>
        <v/>
      </c>
      <c r="O173" s="141">
        <f>ROUND(O172*1.15,0)</f>
        <v/>
      </c>
      <c r="P173" s="141">
        <f>ROUND(P172*1.2,0)</f>
        <v/>
      </c>
      <c r="Q173" s="141">
        <f>ROUND(Q172*1.25,0)</f>
        <v/>
      </c>
      <c r="R173" s="141">
        <f>ROUND(R172*1.25,0)</f>
        <v/>
      </c>
      <c r="S173" s="141">
        <f>ROUND(S172*1.1,0)</f>
        <v/>
      </c>
      <c r="T173" s="141" t="n"/>
      <c r="U173" s="69" t="n"/>
      <c r="V173" s="141" t="n"/>
      <c r="W173" s="141" t="n"/>
      <c r="X173" s="141" t="n"/>
      <c r="Y173" s="141" t="n"/>
      <c r="Z173" s="141" t="n"/>
      <c r="AA173" s="141" t="n"/>
      <c r="AB173" s="141" t="n"/>
      <c r="AC173" s="141" t="n"/>
      <c r="AD173" s="141" t="n"/>
      <c r="AE173" s="141" t="n"/>
      <c r="AF173" s="141" t="n"/>
      <c r="AG173" s="141" t="n"/>
      <c r="AH173" s="141" t="n"/>
      <c r="AI173" s="141" t="n"/>
      <c r="AJ173" s="141" t="n"/>
      <c r="AK173" s="141" t="n"/>
    </row>
    <row r="174" ht="14.25" customHeight="1" s="142">
      <c r="A174" s="141" t="n">
        <v>60011</v>
      </c>
      <c r="B174" s="141" t="n"/>
      <c r="C174" s="141" t="n"/>
      <c r="D174" s="52" t="inlineStr">
        <is>
          <t>state</t>
        </is>
      </c>
      <c r="E174" s="141">
        <f>E173+10</f>
        <v/>
      </c>
      <c r="F174" s="141" t="n"/>
      <c r="G174" s="141" t="n"/>
      <c r="H174" s="141" t="n"/>
      <c r="I174" s="141" t="n"/>
      <c r="J174" s="141" t="n"/>
      <c r="K174" s="141" t="n"/>
      <c r="L174" s="141" t="n"/>
      <c r="M174" s="141" t="n"/>
      <c r="N174" s="141">
        <f>ROUND(N173*1.4,0)</f>
        <v/>
      </c>
      <c r="O174" s="141">
        <f>ROUND(O173*1.15,0)</f>
        <v/>
      </c>
      <c r="P174" s="141">
        <f>ROUND(P173*1.2,0)</f>
        <v/>
      </c>
      <c r="Q174" s="141">
        <f>ROUND(Q173*1.25,0)</f>
        <v/>
      </c>
      <c r="R174" s="141">
        <f>ROUND(R173*1.25,0)</f>
        <v/>
      </c>
      <c r="S174" s="141">
        <f>ROUND(S173*1.1,0)</f>
        <v/>
      </c>
      <c r="T174" s="141" t="n"/>
      <c r="U174" s="69" t="n"/>
      <c r="V174" s="141" t="n"/>
      <c r="W174" s="141" t="n"/>
      <c r="X174" s="141" t="n"/>
      <c r="Y174" s="141" t="n"/>
      <c r="Z174" s="141" t="n"/>
      <c r="AA174" s="141" t="n"/>
      <c r="AB174" s="141" t="n"/>
      <c r="AC174" s="141" t="n"/>
      <c r="AD174" s="141" t="n"/>
      <c r="AE174" s="141" t="n"/>
      <c r="AF174" s="141" t="n"/>
      <c r="AG174" s="141" t="n"/>
      <c r="AH174" s="141" t="n"/>
      <c r="AI174" s="141" t="n"/>
      <c r="AJ174" s="141" t="n"/>
      <c r="AK174" s="141" t="n"/>
    </row>
    <row r="175" ht="14.25" customHeight="1" s="142">
      <c r="A175" s="141" t="n">
        <v>60012</v>
      </c>
      <c r="B175" s="141" t="n"/>
      <c r="C175" s="141" t="n"/>
      <c r="D175" s="52" t="inlineStr">
        <is>
          <t>state</t>
        </is>
      </c>
      <c r="E175" s="141">
        <f>E174+10</f>
        <v/>
      </c>
      <c r="F175" s="141" t="n"/>
      <c r="G175" s="141" t="n"/>
      <c r="H175" s="141" t="n"/>
      <c r="I175" s="141" t="n"/>
      <c r="J175" s="141" t="n"/>
      <c r="K175" s="141" t="n"/>
      <c r="L175" s="141" t="n"/>
      <c r="M175" s="141" t="n"/>
      <c r="N175" s="141">
        <f>ROUND(N174*1.4,0)</f>
        <v/>
      </c>
      <c r="O175" s="141">
        <f>ROUND(O174*1.15,0)</f>
        <v/>
      </c>
      <c r="P175" s="141">
        <f>ROUND(P174*1.2,0)</f>
        <v/>
      </c>
      <c r="Q175" s="141">
        <f>ROUND(Q174*1.25,0)</f>
        <v/>
      </c>
      <c r="R175" s="141">
        <f>ROUND(R174*1.25,0)</f>
        <v/>
      </c>
      <c r="S175" s="141">
        <f>ROUND(S174*1.1,0)</f>
        <v/>
      </c>
      <c r="T175" s="141" t="n"/>
      <c r="U175" s="69" t="n"/>
      <c r="V175" s="141" t="n"/>
      <c r="W175" s="141" t="n"/>
      <c r="X175" s="141" t="n"/>
      <c r="Y175" s="141" t="n"/>
      <c r="Z175" s="141" t="n"/>
      <c r="AA175" s="141" t="n"/>
      <c r="AB175" s="141" t="n"/>
      <c r="AC175" s="141" t="n"/>
      <c r="AD175" s="141" t="n"/>
      <c r="AE175" s="141" t="n"/>
      <c r="AF175" s="141" t="n"/>
      <c r="AG175" s="141" t="n"/>
      <c r="AH175" s="141" t="n"/>
      <c r="AI175" s="141" t="n"/>
      <c r="AJ175" s="141" t="n"/>
      <c r="AK175" s="141" t="n"/>
    </row>
    <row r="191">
      <c r="A191" t="n">
        <v>60013</v>
      </c>
      <c r="D191" t="inlineStr">
        <is>
          <t>state</t>
        </is>
      </c>
      <c r="E191" t="n">
        <v>140</v>
      </c>
      <c r="N191" t="n">
        <v>56703</v>
      </c>
      <c r="O191" t="n">
        <v>266</v>
      </c>
      <c r="P191" t="n">
        <v>446</v>
      </c>
      <c r="Q191" t="n">
        <v>743</v>
      </c>
      <c r="R191" t="n">
        <v>743</v>
      </c>
      <c r="S191" t="n">
        <v>316</v>
      </c>
    </row>
    <row r="192">
      <c r="A192" t="n">
        <v>60014</v>
      </c>
      <c r="D192" t="inlineStr">
        <is>
          <t>state</t>
        </is>
      </c>
      <c r="E192" t="n">
        <v>150</v>
      </c>
      <c r="N192" t="n">
        <v>79384</v>
      </c>
      <c r="O192" t="n">
        <v>306</v>
      </c>
      <c r="P192" t="n">
        <v>535</v>
      </c>
      <c r="Q192" t="n">
        <v>929</v>
      </c>
      <c r="R192" t="n">
        <v>929</v>
      </c>
      <c r="S192" t="n">
        <v>348</v>
      </c>
    </row>
    <row r="193">
      <c r="A193" t="n">
        <v>60015</v>
      </c>
      <c r="D193" t="inlineStr">
        <is>
          <t>state</t>
        </is>
      </c>
      <c r="E193" t="n">
        <v>160</v>
      </c>
      <c r="N193" t="n">
        <v>111138</v>
      </c>
      <c r="O193" t="n">
        <v>352</v>
      </c>
      <c r="P193" t="n">
        <v>642</v>
      </c>
      <c r="Q193" t="n">
        <v>1161</v>
      </c>
      <c r="R193" t="n">
        <v>1161</v>
      </c>
      <c r="S193" t="n">
        <v>383</v>
      </c>
    </row>
    <row r="194">
      <c r="A194" t="n">
        <v>60016</v>
      </c>
      <c r="D194" t="inlineStr">
        <is>
          <t>state</t>
        </is>
      </c>
      <c r="E194" t="n">
        <v>170</v>
      </c>
      <c r="N194" t="n">
        <v>155593</v>
      </c>
      <c r="O194" t="n">
        <v>405</v>
      </c>
      <c r="P194" t="n">
        <v>770</v>
      </c>
      <c r="Q194" t="n">
        <v>1451</v>
      </c>
      <c r="R194" t="n">
        <v>1451</v>
      </c>
      <c r="S194" t="n">
        <v>421</v>
      </c>
    </row>
    <row r="195">
      <c r="A195" t="n">
        <v>60017</v>
      </c>
      <c r="D195" t="inlineStr">
        <is>
          <t>state</t>
        </is>
      </c>
      <c r="E195" t="n">
        <v>180</v>
      </c>
      <c r="N195" t="n">
        <v>217830</v>
      </c>
      <c r="O195" t="n">
        <v>466</v>
      </c>
      <c r="P195" t="n">
        <v>924</v>
      </c>
      <c r="Q195" t="n">
        <v>1814</v>
      </c>
      <c r="R195" t="n">
        <v>1814</v>
      </c>
      <c r="S195" t="n">
        <v>463</v>
      </c>
    </row>
    <row r="196">
      <c r="A196" t="n">
        <v>60018</v>
      </c>
      <c r="D196" t="inlineStr">
        <is>
          <t>state</t>
        </is>
      </c>
      <c r="E196" t="n">
        <v>190</v>
      </c>
      <c r="N196" t="n">
        <v>304962</v>
      </c>
      <c r="O196" t="n">
        <v>536</v>
      </c>
      <c r="P196" t="n">
        <v>1109</v>
      </c>
      <c r="Q196" t="n">
        <v>2268</v>
      </c>
      <c r="R196" t="n">
        <v>2268</v>
      </c>
      <c r="S196" t="n">
        <v>509</v>
      </c>
    </row>
    <row r="197">
      <c r="A197" t="n">
        <v>60019</v>
      </c>
      <c r="D197" t="inlineStr">
        <is>
          <t>state</t>
        </is>
      </c>
      <c r="E197" t="n">
        <v>200</v>
      </c>
      <c r="N197" t="n">
        <v>426947</v>
      </c>
      <c r="O197" t="n">
        <v>616</v>
      </c>
      <c r="P197" t="n">
        <v>1331</v>
      </c>
      <c r="Q197" t="n">
        <v>2835</v>
      </c>
      <c r="R197" t="n">
        <v>2835</v>
      </c>
      <c r="S197" t="n">
        <v>560</v>
      </c>
    </row>
    <row r="198">
      <c r="A198" t="n">
        <v>60020</v>
      </c>
      <c r="D198" t="inlineStr">
        <is>
          <t>state</t>
        </is>
      </c>
      <c r="E198" t="n">
        <v>210</v>
      </c>
      <c r="N198" t="n">
        <v>597726</v>
      </c>
      <c r="O198" t="n">
        <v>708</v>
      </c>
      <c r="P198" t="n">
        <v>1597</v>
      </c>
      <c r="Q198" t="n">
        <v>3544</v>
      </c>
      <c r="R198" t="n">
        <v>3544</v>
      </c>
      <c r="S198" t="n">
        <v>616</v>
      </c>
    </row>
  </sheetData>
  <dataValidations count="2">
    <dataValidation sqref="D3:D33 D36:D48 D54:D143 D145:D161 D164:D175" showDropDown="0" showInputMessage="0" showErrorMessage="1" allowBlank="1" type="list">
      <formula1>"weapon,role,monster,state"</formula1>
      <formula2>0</formula2>
    </dataValidation>
    <dataValidation sqref="C3:C33 C36:C48 C54:C143 C145:C161" showDropDown="0" showInputMessage="0" showErrorMessage="1" allowBlank="1" type="list">
      <formula1>"SSR,SR,R"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E6"/>
  <sheetViews>
    <sheetView zoomScaleNormal="100" workbookViewId="0">
      <selection activeCell="A1" sqref="A1"/>
    </sheetView>
  </sheetViews>
  <sheetFormatPr baseColWidth="8" defaultColWidth="12.5703125" defaultRowHeight="12.75"/>
  <sheetData>
    <row r="2" ht="14.25" customHeight="1" s="142">
      <c r="A2" s="141" t="inlineStr">
        <is>
          <t>type</t>
        </is>
      </c>
      <c r="B2" s="141" t="inlineStr">
        <is>
          <t>info</t>
        </is>
      </c>
      <c r="C2" s="40" t="inlineStr">
        <is>
          <t>begin_time</t>
        </is>
      </c>
      <c r="D2" s="40" t="inlineStr">
        <is>
          <t>end_time</t>
        </is>
      </c>
      <c r="E2" s="141" t="inlineStr">
        <is>
          <t>#備註</t>
        </is>
      </c>
    </row>
    <row r="3" ht="14.25" customHeight="1" s="142">
      <c r="A3" s="141" t="n"/>
      <c r="B3" s="137" t="inlineStr">
        <is>
          <t>神格試煉</t>
        </is>
      </c>
      <c r="C3" s="155" t="n">
        <v>46245.99930555555</v>
      </c>
      <c r="D3" s="155" t="n">
        <v>46610.99930555555</v>
      </c>
      <c r="E3" s="141" t="inlineStr">
        <is>
          <t>#固定玩法</t>
        </is>
      </c>
    </row>
    <row r="4" ht="14.25" customHeight="1" s="142">
      <c r="A4" s="141" t="inlineStr">
        <is>
          <t>tower</t>
        </is>
      </c>
      <c r="B4" s="137" t="inlineStr">
        <is>
          <t>試煉之塔</t>
        </is>
      </c>
      <c r="C4" s="155" t="n">
        <v>46245.99930555555</v>
      </c>
      <c r="D4" s="155" t="n">
        <v>46610.99930555555</v>
      </c>
      <c r="E4" s="141" t="n"/>
    </row>
    <row r="5" ht="14.25" customHeight="1" s="142">
      <c r="A5" s="141" t="n"/>
      <c r="B5" s="137" t="inlineStr">
        <is>
          <t>無限地城</t>
        </is>
      </c>
      <c r="C5" s="155" t="n">
        <v>46245.99930555555</v>
      </c>
      <c r="D5" s="155" t="n">
        <v>46610.99930555555</v>
      </c>
      <c r="E5" s="141" t="inlineStr">
        <is>
          <t>#固定玩法</t>
        </is>
      </c>
    </row>
    <row r="6" ht="14.25" customHeight="1" s="142">
      <c r="A6" s="141" t="inlineStr">
        <is>
          <t>annihilation</t>
        </is>
      </c>
      <c r="B6" s="137" t="inlineStr">
        <is>
          <t>殲滅任務</t>
        </is>
      </c>
      <c r="C6" s="155" t="n">
        <v>46245.99930555555</v>
      </c>
      <c r="D6" s="155" t="n">
        <v>46610.99930555555</v>
      </c>
      <c r="E6" s="141" t="n"/>
    </row>
  </sheetData>
  <dataValidations count="1">
    <dataValidation sqref="A4 A6" showDropDown="0" showInputMessage="0" showErrorMessage="1" allowBlank="1" type="list">
      <formula1>"tower,annihilation"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774"/>
  <sheetViews>
    <sheetView zoomScaleNormal="100" workbookViewId="0">
      <pane ySplit="1" topLeftCell="A159" activePane="bottomLeft" state="frozen"/>
      <selection pane="bottomLeft" activeCell="A135" sqref="A135:XFD135"/>
    </sheetView>
  </sheetViews>
  <sheetFormatPr baseColWidth="8" defaultColWidth="12.5703125" defaultRowHeight="12.75"/>
  <cols>
    <col width="16.42578125" customWidth="1" style="142" min="2" max="2"/>
    <col width="7.42578125" customWidth="1" style="142" min="5" max="5"/>
    <col width="19.5703125" customWidth="1" style="142" min="6" max="6"/>
    <col width="68.28515625" customWidth="1" style="142" min="7" max="7"/>
    <col width="16.140625" customWidth="1" style="142" min="11" max="12"/>
    <col width="16.85546875" customWidth="1" style="142" min="13" max="13"/>
    <col width="16.140625" customWidth="1" style="142" min="17" max="17"/>
    <col width="16.140625" customWidth="1" style="142" min="29" max="29"/>
  </cols>
  <sheetData>
    <row r="1" ht="14.25" customHeight="1" s="142">
      <c r="A1" s="7" t="inlineStr">
        <is>
          <t>mapid</t>
        </is>
      </c>
      <c r="B1" s="7" t="inlineStr">
        <is>
          <t>type</t>
        </is>
      </c>
      <c r="C1" s="7" t="inlineStr">
        <is>
          <t>chapter</t>
        </is>
      </c>
      <c r="D1" s="7" t="inlineStr">
        <is>
          <t>hint</t>
        </is>
      </c>
      <c r="E1" s="7" t="inlineStr">
        <is>
          <t>level</t>
        </is>
      </c>
      <c r="F1" s="7" t="inlineStr">
        <is>
          <t>tag_limit</t>
        </is>
      </c>
      <c r="G1" s="7" t="inlineStr">
        <is>
          <t>quest</t>
        </is>
      </c>
      <c r="H1" s="7" t="inlineStr">
        <is>
          <t>arrangement</t>
        </is>
      </c>
      <c r="I1" s="7" t="inlineStr">
        <is>
          <t>Capability</t>
        </is>
      </c>
      <c r="J1" s="7" t="inlineStr">
        <is>
          <t>event1_name</t>
        </is>
      </c>
      <c r="K1" s="7" t="inlineStr">
        <is>
          <t>event1_type</t>
        </is>
      </c>
      <c r="L1" s="7" t="inlineStr">
        <is>
          <t>event1_buff</t>
        </is>
      </c>
      <c r="M1" s="7" t="inlineStr">
        <is>
          <t>event1_time</t>
        </is>
      </c>
      <c r="N1" s="7" t="inlineStr">
        <is>
          <t>event1_target</t>
        </is>
      </c>
      <c r="O1" s="7" t="inlineStr">
        <is>
          <t>event1_rate</t>
        </is>
      </c>
      <c r="P1" s="7" t="inlineStr">
        <is>
          <t>event2_name</t>
        </is>
      </c>
      <c r="Q1" s="7" t="inlineStr">
        <is>
          <t>event2_type</t>
        </is>
      </c>
      <c r="R1" s="7" t="inlineStr">
        <is>
          <t>event2_buff</t>
        </is>
      </c>
      <c r="S1" s="7" t="inlineStr">
        <is>
          <t>event2_time</t>
        </is>
      </c>
      <c r="T1" s="7" t="inlineStr">
        <is>
          <t>event2_target</t>
        </is>
      </c>
      <c r="U1" s="7" t="inlineStr">
        <is>
          <t>event2_rate</t>
        </is>
      </c>
      <c r="V1" s="7" t="inlineStr">
        <is>
          <t>loot1_id</t>
        </is>
      </c>
      <c r="W1" s="7" t="inlineStr">
        <is>
          <t>loot1_amount</t>
        </is>
      </c>
      <c r="X1" s="7" t="inlineStr">
        <is>
          <t>loot1_rate</t>
        </is>
      </c>
      <c r="Y1" s="7" t="inlineStr">
        <is>
          <t>loot2_id</t>
        </is>
      </c>
      <c r="Z1" s="7" t="inlineStr">
        <is>
          <t>loot2_amount</t>
        </is>
      </c>
      <c r="AA1" s="7" t="inlineStr">
        <is>
          <t>loot2_rate</t>
        </is>
      </c>
      <c r="AB1" t="inlineStr">
        <is>
          <t>loot3_id</t>
        </is>
      </c>
      <c r="AC1" t="inlineStr">
        <is>
          <t>loot3_amount</t>
        </is>
      </c>
      <c r="AD1" t="inlineStr">
        <is>
          <t>loot3_rate</t>
        </is>
      </c>
      <c r="AE1" t="inlineStr">
        <is>
          <t>loot4_id</t>
        </is>
      </c>
      <c r="AF1" t="inlineStr">
        <is>
          <t>loot4_amount</t>
        </is>
      </c>
      <c r="AG1" t="inlineStr">
        <is>
          <t>loot4_rate</t>
        </is>
      </c>
    </row>
    <row r="3" ht="42.75" customHeight="1" s="142">
      <c r="A3" s="7" t="n">
        <v>101</v>
      </c>
      <c r="B3" s="7" t="inlineStr">
        <is>
          <t>tower</t>
        </is>
      </c>
      <c r="C3" s="7" t="n"/>
      <c r="D3" s="138" t="inlineStr">
        <is>
          <t>第1層</t>
        </is>
      </c>
      <c r="E3" s="7" t="n">
        <v>2</v>
      </c>
      <c r="F3" s="7" t="n"/>
      <c r="G3" s="82" t="inlineStr">
        <is>
          <t>{role:-1},
{id:-1},{id:-1},{id:-1},{id:-1},{id:-1}
{id:40082},{id:40015},{id:40004},{id:40036},{id:40032}</t>
        </is>
      </c>
      <c r="H3" s="47" t="n">
        <v>1</v>
      </c>
      <c r="J3" s="83" t="inlineStr">
        <is>
          <t>敵方弱化</t>
        </is>
      </c>
      <c r="K3" s="47" t="inlineStr">
        <is>
          <t>select_enemy</t>
        </is>
      </c>
      <c r="L3" s="47" t="inlineStr">
        <is>
          <t>2002,2003,2004</t>
        </is>
      </c>
      <c r="M3" s="47" t="inlineStr">
        <is>
          <t>3</t>
        </is>
      </c>
      <c r="N3" s="47" t="n">
        <v>1</v>
      </c>
      <c r="O3" s="47" t="n">
        <v>1</v>
      </c>
      <c r="P3" s="83" t="inlineStr">
        <is>
          <t>信號干擾</t>
        </is>
      </c>
      <c r="Q3" s="47" t="inlineStr">
        <is>
          <t>debuff</t>
        </is>
      </c>
      <c r="R3" s="47" t="n">
        <v>2004</v>
      </c>
      <c r="S3" s="47" t="inlineStr">
        <is>
          <t>2,9,11</t>
        </is>
      </c>
      <c r="T3" s="47" t="n">
        <v>0</v>
      </c>
      <c r="U3" s="47" t="n">
        <v>1</v>
      </c>
      <c r="V3" s="7" t="n">
        <v>70001</v>
      </c>
      <c r="W3" s="7" t="n">
        <v>1</v>
      </c>
      <c r="X3" s="7" t="n">
        <v>1</v>
      </c>
      <c r="Y3" s="45" t="n">
        <v>8000</v>
      </c>
      <c r="Z3" s="7" t="n">
        <v>101</v>
      </c>
      <c r="AA3" s="7" t="n">
        <v>1</v>
      </c>
      <c r="AB3" t="n">
        <v>1001</v>
      </c>
      <c r="AC3" t="n">
        <v>100</v>
      </c>
      <c r="AD3" t="n">
        <v>1</v>
      </c>
    </row>
    <row r="4" ht="48.75" customHeight="1" s="142">
      <c r="A4" s="84" t="n">
        <v>102</v>
      </c>
      <c r="B4" s="7" t="inlineStr">
        <is>
          <t>tower</t>
        </is>
      </c>
      <c r="C4" s="85" t="n"/>
      <c r="D4" s="138" t="inlineStr">
        <is>
          <t>第2層</t>
        </is>
      </c>
      <c r="E4" s="7" t="n">
        <v>4</v>
      </c>
      <c r="F4" s="85" t="n"/>
      <c r="G4" s="86" t="inlineStr">
        <is>
          <t>{role:-1},
{id:-1},{id:-1},{id:-1},{id:-1},{id:-1}
{id:40012},{id:40076},{id:40055},{id:40005},{id:40004}</t>
        </is>
      </c>
      <c r="H4" s="47" t="n">
        <v>1</v>
      </c>
      <c r="I4" s="47" t="n"/>
      <c r="J4" s="83" t="inlineStr">
        <is>
          <t>信息同享</t>
        </is>
      </c>
      <c r="K4" s="47" t="inlineStr">
        <is>
          <t>buff</t>
        </is>
      </c>
      <c r="L4" s="47" t="n">
        <v>1005</v>
      </c>
      <c r="M4" s="47" t="inlineStr">
        <is>
          <t>4</t>
        </is>
      </c>
      <c r="N4" s="47" t="n"/>
      <c r="O4" s="47" t="n">
        <v>1</v>
      </c>
      <c r="P4" s="83" t="inlineStr">
        <is>
          <t>泥濘</t>
        </is>
      </c>
      <c r="Q4" s="47" t="inlineStr">
        <is>
          <t>debuff</t>
        </is>
      </c>
      <c r="R4" s="47" t="n">
        <v>2005</v>
      </c>
      <c r="S4" s="47" t="inlineStr">
        <is>
          <t>9</t>
        </is>
      </c>
      <c r="T4" s="47" t="n">
        <v>0</v>
      </c>
      <c r="U4" s="47" t="n">
        <v>1</v>
      </c>
      <c r="V4" s="7" t="n">
        <v>70001</v>
      </c>
      <c r="W4" s="7" t="n">
        <v>1</v>
      </c>
      <c r="X4" s="7" t="n">
        <v>1</v>
      </c>
      <c r="Y4" s="45" t="n">
        <v>8000</v>
      </c>
      <c r="Z4" s="7" t="n">
        <v>102</v>
      </c>
      <c r="AA4" s="7" t="n">
        <v>1</v>
      </c>
      <c r="AB4" t="n">
        <v>1001</v>
      </c>
      <c r="AC4" t="n">
        <v>100</v>
      </c>
      <c r="AD4" t="n">
        <v>1</v>
      </c>
    </row>
    <row r="5" ht="48.75" customHeight="1" s="142">
      <c r="A5" s="84" t="n">
        <v>103</v>
      </c>
      <c r="B5" s="7" t="inlineStr">
        <is>
          <t>tower</t>
        </is>
      </c>
      <c r="C5" s="85" t="n"/>
      <c r="D5" s="138" t="inlineStr">
        <is>
          <t>第3層</t>
        </is>
      </c>
      <c r="E5" s="7" t="n">
        <v>6</v>
      </c>
      <c r="F5" s="85" t="n"/>
      <c r="G5" s="86" t="inlineStr">
        <is>
          <t>{role:-1},
{id:-1},{id:-1},{id:-1},{id:-1},{id:-1}
{id:40078},{id:40004},{id:40072},{id:40026},{id:40084}</t>
        </is>
      </c>
      <c r="H5" s="47" t="n">
        <v>1</v>
      </c>
      <c r="I5" s="47" t="n"/>
      <c r="J5" s="83" t="inlineStr">
        <is>
          <t>敵方弱化</t>
        </is>
      </c>
      <c r="K5" s="47" t="inlineStr">
        <is>
          <t>select_enemy</t>
        </is>
      </c>
      <c r="L5" s="47" t="inlineStr">
        <is>
          <t>2002,2003,2004</t>
        </is>
      </c>
      <c r="M5" s="47" t="inlineStr">
        <is>
          <t>4,7,9</t>
        </is>
      </c>
      <c r="N5" s="47" t="n">
        <v>1</v>
      </c>
      <c r="O5" s="47" t="n">
        <v>1</v>
      </c>
      <c r="P5" s="83" t="inlineStr">
        <is>
          <t>酸雨</t>
        </is>
      </c>
      <c r="Q5" s="47" t="inlineStr">
        <is>
          <t>debuff</t>
        </is>
      </c>
      <c r="R5" s="47" t="n">
        <v>2002</v>
      </c>
      <c r="S5" s="47" t="inlineStr">
        <is>
          <t>5,10</t>
        </is>
      </c>
      <c r="T5" s="47" t="n">
        <v>0</v>
      </c>
      <c r="U5" s="47" t="n">
        <v>1</v>
      </c>
      <c r="V5" s="7" t="n">
        <v>70001</v>
      </c>
      <c r="W5" s="7" t="n">
        <v>1</v>
      </c>
      <c r="X5" s="7" t="n">
        <v>1</v>
      </c>
      <c r="Y5" s="45" t="n">
        <v>8000</v>
      </c>
      <c r="Z5" s="7" t="n">
        <v>103</v>
      </c>
      <c r="AA5" s="7" t="n">
        <v>1</v>
      </c>
      <c r="AB5" t="n">
        <v>1001</v>
      </c>
      <c r="AC5" t="n">
        <v>100</v>
      </c>
      <c r="AD5" t="n">
        <v>1</v>
      </c>
    </row>
    <row r="6" ht="48.75" customHeight="1" s="142">
      <c r="A6" s="84" t="n">
        <v>104</v>
      </c>
      <c r="B6" s="7" t="inlineStr">
        <is>
          <t>tower</t>
        </is>
      </c>
      <c r="C6" s="85" t="n"/>
      <c r="D6" s="138" t="inlineStr">
        <is>
          <t>第4層</t>
        </is>
      </c>
      <c r="E6" s="7" t="n">
        <v>8</v>
      </c>
      <c r="F6" s="85" t="n"/>
      <c r="G6" s="86" t="inlineStr">
        <is>
          <t>{role:-1},
{id:-1},{id:-1},{id:-1},{id:-1},{id:-1}
{id:40001},{id:40021},{id:40055},{id:40044},{id:40036}</t>
        </is>
      </c>
      <c r="H6" s="47" t="n">
        <v>1</v>
      </c>
      <c r="I6" s="47" t="n"/>
      <c r="J6" s="83" t="inlineStr">
        <is>
          <t>磁場共振</t>
        </is>
      </c>
      <c r="K6" s="47" t="inlineStr">
        <is>
          <t>buff</t>
        </is>
      </c>
      <c r="L6" s="47" t="n">
        <v>1003</v>
      </c>
      <c r="M6" s="47" t="inlineStr">
        <is>
          <t>4</t>
        </is>
      </c>
      <c r="N6" s="47" t="n"/>
      <c r="O6" s="47" t="n">
        <v>1</v>
      </c>
      <c r="P6" s="83" t="inlineStr">
        <is>
          <t>信號干擾</t>
        </is>
      </c>
      <c r="Q6" s="47" t="inlineStr">
        <is>
          <t>debuff</t>
        </is>
      </c>
      <c r="R6" s="47" t="n">
        <v>2004</v>
      </c>
      <c r="S6" s="47" t="inlineStr">
        <is>
          <t>2,13</t>
        </is>
      </c>
      <c r="T6" s="47" t="n">
        <v>0</v>
      </c>
      <c r="U6" s="47" t="n">
        <v>1</v>
      </c>
      <c r="V6" s="7" t="n">
        <v>70001</v>
      </c>
      <c r="W6" s="7" t="n">
        <v>1</v>
      </c>
      <c r="X6" s="7" t="n">
        <v>1</v>
      </c>
      <c r="Y6" s="45" t="n">
        <v>8000</v>
      </c>
      <c r="Z6" s="7" t="n">
        <v>104</v>
      </c>
      <c r="AA6" s="7" t="n">
        <v>1</v>
      </c>
      <c r="AB6" t="n">
        <v>1001</v>
      </c>
      <c r="AC6" t="n">
        <v>100</v>
      </c>
      <c r="AD6" t="n">
        <v>1</v>
      </c>
    </row>
    <row r="7" ht="48.75" customHeight="1" s="142">
      <c r="A7" s="84" t="n">
        <v>105</v>
      </c>
      <c r="B7" s="7" t="inlineStr">
        <is>
          <t>tower</t>
        </is>
      </c>
      <c r="C7" s="85" t="n"/>
      <c r="D7" s="138" t="inlineStr">
        <is>
          <t>第5層</t>
        </is>
      </c>
      <c r="E7" s="7" t="n">
        <v>10</v>
      </c>
      <c r="F7" s="85" t="n"/>
      <c r="G7" s="86" t="inlineStr">
        <is>
          <t>{role:-1},
{id:-1},{id:-1},{id:-1},{id:-1},{id:-1}
{id:50001},{id:40049},{id:40013},{id:40046},{id:40045}</t>
        </is>
      </c>
      <c r="H7" s="47" t="n">
        <v>1</v>
      </c>
      <c r="I7" s="47" t="n"/>
      <c r="J7" s="83" t="inlineStr">
        <is>
          <t>敵方弱化</t>
        </is>
      </c>
      <c r="K7" s="47" t="inlineStr">
        <is>
          <t>select_enemy</t>
        </is>
      </c>
      <c r="L7" s="47" t="inlineStr">
        <is>
          <t>2002,2003,2004</t>
        </is>
      </c>
      <c r="M7" s="47" t="inlineStr">
        <is>
          <t>1,5,8</t>
        </is>
      </c>
      <c r="N7" s="47" t="n">
        <v>1</v>
      </c>
      <c r="O7" s="47" t="n">
        <v>1</v>
      </c>
      <c r="P7" s="83" t="inlineStr">
        <is>
          <t>泥濘</t>
        </is>
      </c>
      <c r="Q7" s="47" t="inlineStr">
        <is>
          <t>debuff</t>
        </is>
      </c>
      <c r="R7" s="47" t="n">
        <v>2005</v>
      </c>
      <c r="S7" s="47" t="inlineStr">
        <is>
          <t>2,7,13</t>
        </is>
      </c>
      <c r="T7" s="47" t="n">
        <v>0</v>
      </c>
      <c r="U7" s="47" t="n">
        <v>1</v>
      </c>
      <c r="V7" s="7" t="n">
        <v>70001</v>
      </c>
      <c r="W7" s="7" t="n">
        <v>1</v>
      </c>
      <c r="X7" s="7" t="n">
        <v>1</v>
      </c>
      <c r="Y7" s="45" t="n">
        <v>8000</v>
      </c>
      <c r="Z7" s="7" t="n">
        <v>105</v>
      </c>
      <c r="AA7" s="7" t="n">
        <v>1</v>
      </c>
      <c r="AB7" t="n">
        <v>1001</v>
      </c>
      <c r="AC7" t="n">
        <v>100</v>
      </c>
      <c r="AD7" t="n">
        <v>1</v>
      </c>
    </row>
    <row r="8" ht="48.75" customHeight="1" s="142">
      <c r="A8" s="84" t="n">
        <v>106</v>
      </c>
      <c r="B8" s="7" t="inlineStr">
        <is>
          <t>tower</t>
        </is>
      </c>
      <c r="C8" s="85" t="n"/>
      <c r="D8" s="138" t="inlineStr">
        <is>
          <t>第6層</t>
        </is>
      </c>
      <c r="E8" s="7" t="n">
        <v>12</v>
      </c>
      <c r="F8" s="85" t="n"/>
      <c r="G8" s="86" t="inlineStr">
        <is>
          <t>{role:-1},
{id:-1},{id:-1},{id:-1},{id:-1},{id:-1}
{id:40071},{id:40038},{id:40081},{id:40080},{id:40047}</t>
        </is>
      </c>
      <c r="H8" s="47" t="n">
        <v>1</v>
      </c>
      <c r="I8" s="47" t="n"/>
      <c r="J8" s="83" t="inlineStr">
        <is>
          <t>大晴天</t>
        </is>
      </c>
      <c r="K8" s="47" t="inlineStr">
        <is>
          <t>buff</t>
        </is>
      </c>
      <c r="L8" s="47" t="n">
        <v>1001</v>
      </c>
      <c r="M8" s="47" t="inlineStr">
        <is>
          <t>2,4,12</t>
        </is>
      </c>
      <c r="N8" s="47" t="n"/>
      <c r="O8" s="47" t="n">
        <v>1</v>
      </c>
      <c r="P8" s="83" t="inlineStr">
        <is>
          <t>酸雨</t>
        </is>
      </c>
      <c r="Q8" s="47" t="inlineStr">
        <is>
          <t>debuff</t>
        </is>
      </c>
      <c r="R8" s="47" t="n">
        <v>2002</v>
      </c>
      <c r="S8" s="47" t="inlineStr">
        <is>
          <t>11</t>
        </is>
      </c>
      <c r="T8" s="47" t="n">
        <v>0</v>
      </c>
      <c r="U8" s="47" t="n">
        <v>1</v>
      </c>
      <c r="V8" s="7" t="n">
        <v>70001</v>
      </c>
      <c r="W8" s="7" t="n">
        <v>1</v>
      </c>
      <c r="X8" s="7" t="n">
        <v>1</v>
      </c>
      <c r="Y8" s="45" t="n">
        <v>8000</v>
      </c>
      <c r="Z8" s="7" t="n">
        <v>106</v>
      </c>
      <c r="AA8" s="7" t="n">
        <v>1</v>
      </c>
      <c r="AB8" t="n">
        <v>1001</v>
      </c>
      <c r="AC8" t="n">
        <v>100</v>
      </c>
      <c r="AD8" t="n">
        <v>1</v>
      </c>
    </row>
    <row r="9" ht="48.75" customHeight="1" s="142">
      <c r="A9" s="84" t="n">
        <v>107</v>
      </c>
      <c r="B9" s="7" t="inlineStr">
        <is>
          <t>tower</t>
        </is>
      </c>
      <c r="C9" s="85" t="n"/>
      <c r="D9" s="138" t="inlineStr">
        <is>
          <t>第7層</t>
        </is>
      </c>
      <c r="E9" s="7" t="n">
        <v>14</v>
      </c>
      <c r="F9" s="85" t="n"/>
      <c r="G9" s="86" t="inlineStr">
        <is>
          <t>{role:-1},
{id:-1},{id:-1},{id:-1},{id:-1},{id:-1}
{id:40030},{id:40038},{id:40011},{id:40013},{id:40049}</t>
        </is>
      </c>
      <c r="H9" s="47" t="n">
        <v>1</v>
      </c>
      <c r="I9" s="47" t="n"/>
      <c r="J9" s="83" t="inlineStr">
        <is>
          <t>敵方弱化</t>
        </is>
      </c>
      <c r="K9" s="47" t="inlineStr">
        <is>
          <t>select_enemy</t>
        </is>
      </c>
      <c r="L9" s="47" t="inlineStr">
        <is>
          <t>2002,2003,2004</t>
        </is>
      </c>
      <c r="M9" s="47" t="inlineStr">
        <is>
          <t>8,11</t>
        </is>
      </c>
      <c r="N9" s="47" t="n">
        <v>1</v>
      </c>
      <c r="O9" s="47" t="n">
        <v>1</v>
      </c>
      <c r="P9" s="83" t="inlineStr">
        <is>
          <t>信號干擾</t>
        </is>
      </c>
      <c r="Q9" s="47" t="inlineStr">
        <is>
          <t>debuff</t>
        </is>
      </c>
      <c r="R9" s="47" t="n">
        <v>2004</v>
      </c>
      <c r="S9" s="47" t="inlineStr">
        <is>
          <t>3,6</t>
        </is>
      </c>
      <c r="T9" s="47" t="n">
        <v>0</v>
      </c>
      <c r="U9" s="47" t="n">
        <v>1</v>
      </c>
      <c r="V9" s="7" t="n">
        <v>70001</v>
      </c>
      <c r="W9" s="7" t="n">
        <v>1</v>
      </c>
      <c r="X9" s="7" t="n">
        <v>1</v>
      </c>
      <c r="Y9" s="45" t="n">
        <v>8000</v>
      </c>
      <c r="Z9" s="7" t="n">
        <v>107</v>
      </c>
      <c r="AA9" s="7" t="n">
        <v>1</v>
      </c>
      <c r="AB9" t="n">
        <v>1001</v>
      </c>
      <c r="AC9" t="n">
        <v>100</v>
      </c>
      <c r="AD9" t="n">
        <v>1</v>
      </c>
    </row>
    <row r="10" ht="48.75" customHeight="1" s="142">
      <c r="A10" s="84" t="n">
        <v>108</v>
      </c>
      <c r="B10" s="7" t="inlineStr">
        <is>
          <t>tower</t>
        </is>
      </c>
      <c r="C10" s="85" t="n"/>
      <c r="D10" s="138" t="inlineStr">
        <is>
          <t>第8層</t>
        </is>
      </c>
      <c r="E10" s="7" t="n">
        <v>16</v>
      </c>
      <c r="F10" s="85" t="n"/>
      <c r="G10" s="86" t="inlineStr">
        <is>
          <t>{role:-1},
{id:-1},{id:-1},{id:-1},{id:-1},{id:-1}
{id:40046},{id:40027},{id:40086},{id:40035},{id:40083}</t>
        </is>
      </c>
      <c r="H10" s="47" t="n">
        <v>1</v>
      </c>
      <c r="I10" s="47" t="n"/>
      <c r="J10" s="83" t="inlineStr">
        <is>
          <t>信息同享</t>
        </is>
      </c>
      <c r="K10" s="47" t="inlineStr">
        <is>
          <t>buff</t>
        </is>
      </c>
      <c r="L10" s="47" t="n">
        <v>1005</v>
      </c>
      <c r="M10" s="47" t="inlineStr">
        <is>
          <t>10</t>
        </is>
      </c>
      <c r="N10" s="47" t="n"/>
      <c r="O10" s="47" t="n">
        <v>1</v>
      </c>
      <c r="P10" s="83" t="inlineStr">
        <is>
          <t>泥濘</t>
        </is>
      </c>
      <c r="Q10" s="47" t="inlineStr">
        <is>
          <t>debuff</t>
        </is>
      </c>
      <c r="R10" s="47" t="n">
        <v>2005</v>
      </c>
      <c r="S10" s="47" t="inlineStr">
        <is>
          <t>3,4,9</t>
        </is>
      </c>
      <c r="T10" s="47" t="n">
        <v>0</v>
      </c>
      <c r="U10" s="47" t="n">
        <v>1</v>
      </c>
      <c r="V10" s="7" t="n">
        <v>70001</v>
      </c>
      <c r="W10" s="7" t="n">
        <v>1</v>
      </c>
      <c r="X10" s="7" t="n">
        <v>1</v>
      </c>
      <c r="Y10" s="45" t="n">
        <v>8000</v>
      </c>
      <c r="Z10" s="7" t="n">
        <v>108</v>
      </c>
      <c r="AA10" s="7" t="n">
        <v>1</v>
      </c>
      <c r="AB10" t="n">
        <v>1001</v>
      </c>
      <c r="AC10" t="n">
        <v>100</v>
      </c>
      <c r="AD10" t="n">
        <v>1</v>
      </c>
    </row>
    <row r="11" ht="48.75" customHeight="1" s="142">
      <c r="A11" s="84" t="n">
        <v>109</v>
      </c>
      <c r="B11" s="7" t="inlineStr">
        <is>
          <t>tower</t>
        </is>
      </c>
      <c r="C11" s="85" t="n"/>
      <c r="D11" s="138" t="inlineStr">
        <is>
          <t>第9層</t>
        </is>
      </c>
      <c r="E11" s="85" t="n">
        <v>18</v>
      </c>
      <c r="F11" s="87" t="n"/>
      <c r="G11" s="88" t="inlineStr">
        <is>
          <t>{role:-1},
{id:-1},{id:-1},{id:-1},{id:-1},{id:-1}
{id:40021},{id:40060},{id:40049},{id:40035},{id:40082}</t>
        </is>
      </c>
      <c r="H11" s="47" t="n">
        <v>1</v>
      </c>
      <c r="I11" s="47" t="n"/>
      <c r="J11" s="83" t="inlineStr">
        <is>
          <t>敵方弱化</t>
        </is>
      </c>
      <c r="K11" s="47" t="inlineStr">
        <is>
          <t>select_enemy</t>
        </is>
      </c>
      <c r="L11" s="47" t="inlineStr">
        <is>
          <t>2002,2003,2004</t>
        </is>
      </c>
      <c r="M11" s="47" t="inlineStr">
        <is>
          <t>4,9,11</t>
        </is>
      </c>
      <c r="N11" s="47" t="n">
        <v>1</v>
      </c>
      <c r="O11" s="47" t="n">
        <v>1</v>
      </c>
      <c r="P11" s="83" t="inlineStr">
        <is>
          <t>酸雨</t>
        </is>
      </c>
      <c r="Q11" s="47" t="inlineStr">
        <is>
          <t>debuff</t>
        </is>
      </c>
      <c r="R11" s="47" t="n">
        <v>2002</v>
      </c>
      <c r="S11" s="47" t="inlineStr">
        <is>
          <t>1,13</t>
        </is>
      </c>
      <c r="T11" s="47" t="n">
        <v>0</v>
      </c>
      <c r="U11" s="47" t="n">
        <v>1</v>
      </c>
      <c r="V11" s="7" t="n">
        <v>70001</v>
      </c>
      <c r="W11" s="7" t="n">
        <v>1</v>
      </c>
      <c r="X11" s="7" t="n">
        <v>1</v>
      </c>
      <c r="Y11" s="45" t="n">
        <v>8000</v>
      </c>
      <c r="Z11" s="7" t="n">
        <v>109</v>
      </c>
      <c r="AA11" s="7" t="n">
        <v>1</v>
      </c>
      <c r="AB11" t="n">
        <v>1001</v>
      </c>
      <c r="AC11" t="n">
        <v>100</v>
      </c>
      <c r="AD11" t="n">
        <v>1</v>
      </c>
    </row>
    <row r="12" ht="48.75" customHeight="1" s="142">
      <c r="A12" s="84" t="n">
        <v>110</v>
      </c>
      <c r="B12" s="7" t="inlineStr">
        <is>
          <t>tower</t>
        </is>
      </c>
      <c r="C12" s="85" t="n"/>
      <c r="D12" s="138" t="inlineStr">
        <is>
          <t>第10層</t>
        </is>
      </c>
      <c r="E12" s="85" t="n">
        <v>20</v>
      </c>
      <c r="F12" s="87" t="n"/>
      <c r="G12" s="88" t="inlineStr">
        <is>
          <t>{role:-1},
{id:-1},{id:-1},{id:-1},{id:-1},{id:-1}
{id:50002},{id:40030},{id:40005},{id:40041},{id:40052}</t>
        </is>
      </c>
      <c r="H12" s="47" t="n">
        <v>1</v>
      </c>
      <c r="I12" s="47" t="n"/>
      <c r="J12" s="83" t="inlineStr">
        <is>
          <t>磁場共振</t>
        </is>
      </c>
      <c r="K12" s="47" t="inlineStr">
        <is>
          <t>buff</t>
        </is>
      </c>
      <c r="L12" s="47" t="n">
        <v>1003</v>
      </c>
      <c r="M12" s="47" t="inlineStr">
        <is>
          <t>2,4</t>
        </is>
      </c>
      <c r="N12" s="47" t="n"/>
      <c r="O12" s="47" t="n">
        <v>1</v>
      </c>
      <c r="P12" s="83" t="inlineStr">
        <is>
          <t>信號干擾</t>
        </is>
      </c>
      <c r="Q12" s="47" t="inlineStr">
        <is>
          <t>debuff</t>
        </is>
      </c>
      <c r="R12" s="47" t="n">
        <v>2004</v>
      </c>
      <c r="S12" s="47" t="inlineStr">
        <is>
          <t>4,6,12</t>
        </is>
      </c>
      <c r="T12" s="47" t="n">
        <v>0</v>
      </c>
      <c r="U12" s="47" t="n">
        <v>1</v>
      </c>
      <c r="V12" s="7" t="n">
        <v>70001</v>
      </c>
      <c r="W12" s="7" t="n">
        <v>1</v>
      </c>
      <c r="X12" s="7" t="n">
        <v>1</v>
      </c>
      <c r="Y12" s="45" t="n">
        <v>8000</v>
      </c>
      <c r="Z12" s="7" t="n">
        <v>110</v>
      </c>
      <c r="AA12" s="7" t="n">
        <v>1</v>
      </c>
      <c r="AB12" t="n">
        <v>1001</v>
      </c>
      <c r="AC12" t="n">
        <v>1000</v>
      </c>
      <c r="AD12" t="n">
        <v>1</v>
      </c>
    </row>
    <row r="13" ht="48.75" customHeight="1" s="142">
      <c r="A13" s="84" t="n">
        <v>111</v>
      </c>
      <c r="B13" s="7" t="inlineStr">
        <is>
          <t>tower</t>
        </is>
      </c>
      <c r="C13" s="85" t="n"/>
      <c r="D13" s="138" t="inlineStr">
        <is>
          <t>第11層</t>
        </is>
      </c>
      <c r="E13" s="85" t="n">
        <v>22</v>
      </c>
      <c r="F13" s="87" t="n"/>
      <c r="G13" s="88" t="inlineStr">
        <is>
          <t>{role:-1},
{id:-1},{id:-1},{id:-1},{id:-1},{id:-1}
{id:40084},{id:40064},{id:40051},{id:40083},{id:40059}</t>
        </is>
      </c>
      <c r="H13" s="47" t="n">
        <v>1</v>
      </c>
      <c r="I13" s="47" t="n"/>
      <c r="J13" s="83" t="inlineStr">
        <is>
          <t>敵方弱化</t>
        </is>
      </c>
      <c r="K13" s="47" t="inlineStr">
        <is>
          <t>select_enemy</t>
        </is>
      </c>
      <c r="L13" s="47" t="inlineStr">
        <is>
          <t>2002,2003,2004</t>
        </is>
      </c>
      <c r="M13" s="47" t="inlineStr">
        <is>
          <t>5</t>
        </is>
      </c>
      <c r="N13" s="47" t="n">
        <v>1</v>
      </c>
      <c r="O13" s="47" t="n">
        <v>1</v>
      </c>
      <c r="P13" s="83" t="inlineStr">
        <is>
          <t>泥濘</t>
        </is>
      </c>
      <c r="Q13" s="47" t="inlineStr">
        <is>
          <t>debuff</t>
        </is>
      </c>
      <c r="R13" s="47" t="n">
        <v>2005</v>
      </c>
      <c r="S13" s="47" t="inlineStr">
        <is>
          <t>4</t>
        </is>
      </c>
      <c r="T13" s="47" t="n">
        <v>0</v>
      </c>
      <c r="U13" s="47" t="n">
        <v>1</v>
      </c>
      <c r="V13" s="7" t="n">
        <v>70001</v>
      </c>
      <c r="W13" s="7" t="n">
        <v>1</v>
      </c>
      <c r="X13" s="7" t="n">
        <v>1</v>
      </c>
      <c r="Y13" s="45" t="n">
        <v>8000</v>
      </c>
      <c r="Z13" s="7" t="n">
        <v>111</v>
      </c>
      <c r="AA13" s="7" t="n">
        <v>1</v>
      </c>
      <c r="AB13" t="n">
        <v>1001</v>
      </c>
      <c r="AC13" t="n">
        <v>100</v>
      </c>
      <c r="AD13" t="n">
        <v>1</v>
      </c>
    </row>
    <row r="14" ht="48.75" customHeight="1" s="142">
      <c r="A14" s="84" t="n">
        <v>112</v>
      </c>
      <c r="B14" s="7" t="inlineStr">
        <is>
          <t>tower</t>
        </is>
      </c>
      <c r="C14" s="85" t="n"/>
      <c r="D14" s="138" t="inlineStr">
        <is>
          <t>第12層</t>
        </is>
      </c>
      <c r="E14" s="85" t="n">
        <v>24</v>
      </c>
      <c r="F14" s="87" t="n"/>
      <c r="G14" s="88" t="inlineStr">
        <is>
          <t>{role:-1},
{id:-1},{id:-1},{id:-1},{id:-1},{id:-1}
{id:40072},{id:40069},{id:40034},{id:40075},{id:40055}</t>
        </is>
      </c>
      <c r="H14" s="47" t="n">
        <v>1</v>
      </c>
      <c r="I14" s="47" t="n"/>
      <c r="J14" s="83" t="inlineStr">
        <is>
          <t>大晴天</t>
        </is>
      </c>
      <c r="K14" s="47" t="inlineStr">
        <is>
          <t>buff</t>
        </is>
      </c>
      <c r="L14" s="47" t="n">
        <v>1001</v>
      </c>
      <c r="M14" s="47" t="inlineStr">
        <is>
          <t>4,6,7</t>
        </is>
      </c>
      <c r="N14" s="47" t="n"/>
      <c r="O14" s="47" t="n">
        <v>1</v>
      </c>
      <c r="P14" s="83" t="inlineStr">
        <is>
          <t>酸雨</t>
        </is>
      </c>
      <c r="Q14" s="47" t="inlineStr">
        <is>
          <t>debuff</t>
        </is>
      </c>
      <c r="R14" s="47" t="n">
        <v>2002</v>
      </c>
      <c r="S14" s="47" t="inlineStr">
        <is>
          <t>9</t>
        </is>
      </c>
      <c r="T14" s="47" t="n">
        <v>0</v>
      </c>
      <c r="U14" s="47" t="n">
        <v>1</v>
      </c>
      <c r="V14" s="7" t="n">
        <v>70001</v>
      </c>
      <c r="W14" s="7" t="n">
        <v>1</v>
      </c>
      <c r="X14" s="7" t="n">
        <v>1</v>
      </c>
      <c r="Y14" s="45" t="n">
        <v>8000</v>
      </c>
      <c r="Z14" s="7" t="n">
        <v>112</v>
      </c>
      <c r="AA14" s="7" t="n">
        <v>1</v>
      </c>
      <c r="AB14" t="n">
        <v>1001</v>
      </c>
      <c r="AC14" t="n">
        <v>100</v>
      </c>
      <c r="AD14" t="n">
        <v>1</v>
      </c>
    </row>
    <row r="15" ht="48.75" customHeight="1" s="142">
      <c r="A15" s="84" t="n">
        <v>113</v>
      </c>
      <c r="B15" s="7" t="inlineStr">
        <is>
          <t>tower</t>
        </is>
      </c>
      <c r="C15" s="85" t="n"/>
      <c r="D15" s="138" t="inlineStr">
        <is>
          <t>第13層</t>
        </is>
      </c>
      <c r="E15" s="85" t="n">
        <v>26</v>
      </c>
      <c r="F15" s="87" t="n"/>
      <c r="G15" s="88" t="inlineStr">
        <is>
          <t>{role:-1},
{id:-1},{id:-1},{id:-1},{id:-1},{id:-1}
{id:40064},{id:40012},{id:40007},{id:40015},{id:40020}</t>
        </is>
      </c>
      <c r="H15" s="47" t="n">
        <v>1</v>
      </c>
      <c r="I15" s="47" t="n"/>
      <c r="J15" s="83" t="inlineStr">
        <is>
          <t>敵方弱化</t>
        </is>
      </c>
      <c r="K15" s="47" t="inlineStr">
        <is>
          <t>select_enemy</t>
        </is>
      </c>
      <c r="L15" s="89" t="inlineStr">
        <is>
          <t>2002,2003,2004</t>
        </is>
      </c>
      <c r="M15" s="47" t="inlineStr">
        <is>
          <t>3,7,11</t>
        </is>
      </c>
      <c r="N15" s="47" t="n">
        <v>1</v>
      </c>
      <c r="O15" s="47" t="n">
        <v>1</v>
      </c>
      <c r="P15" s="83" t="inlineStr">
        <is>
          <t>信號干擾</t>
        </is>
      </c>
      <c r="Q15" s="47" t="inlineStr">
        <is>
          <t>debuff</t>
        </is>
      </c>
      <c r="R15" s="47" t="n">
        <v>2004</v>
      </c>
      <c r="S15" s="47" t="inlineStr">
        <is>
          <t>2,7,12</t>
        </is>
      </c>
      <c r="T15" s="47" t="n">
        <v>0</v>
      </c>
      <c r="U15" s="47" t="n">
        <v>1</v>
      </c>
      <c r="V15" s="7" t="n">
        <v>70001</v>
      </c>
      <c r="W15" s="7" t="n">
        <v>1</v>
      </c>
      <c r="X15" s="7" t="n">
        <v>1</v>
      </c>
      <c r="Y15" s="45" t="n">
        <v>8000</v>
      </c>
      <c r="Z15" s="7" t="n">
        <v>113</v>
      </c>
      <c r="AA15" s="7" t="n">
        <v>1</v>
      </c>
      <c r="AB15" t="n">
        <v>1001</v>
      </c>
      <c r="AC15" t="n">
        <v>100</v>
      </c>
      <c r="AD15" t="n">
        <v>1</v>
      </c>
    </row>
    <row r="16" ht="48.75" customHeight="1" s="142">
      <c r="A16" s="84" t="n">
        <v>114</v>
      </c>
      <c r="B16" s="7" t="inlineStr">
        <is>
          <t>tower</t>
        </is>
      </c>
      <c r="C16" s="85" t="n"/>
      <c r="D16" s="138" t="inlineStr">
        <is>
          <t>第14層</t>
        </is>
      </c>
      <c r="E16" s="85" t="n">
        <v>28</v>
      </c>
      <c r="F16" s="87" t="n"/>
      <c r="G16" s="88" t="inlineStr">
        <is>
          <t>{role:-1},
{id:-1},{id:-1},{id:-1},{id:-1},{id:-1}
{id:40077},{id:40060},{id:40068},{id:40033},{id:40071}</t>
        </is>
      </c>
      <c r="H16" s="47" t="n">
        <v>1</v>
      </c>
      <c r="I16" s="47" t="n"/>
      <c r="J16" s="83" t="inlineStr">
        <is>
          <t>信息同享</t>
        </is>
      </c>
      <c r="K16" s="47" t="inlineStr">
        <is>
          <t>buff</t>
        </is>
      </c>
      <c r="L16" s="89" t="n">
        <v>1005</v>
      </c>
      <c r="M16" s="47" t="inlineStr">
        <is>
          <t>11</t>
        </is>
      </c>
      <c r="N16" s="47" t="n"/>
      <c r="O16" s="47" t="n">
        <v>1</v>
      </c>
      <c r="P16" s="83" t="inlineStr">
        <is>
          <t>泥濘</t>
        </is>
      </c>
      <c r="Q16" s="47" t="inlineStr">
        <is>
          <t>debuff</t>
        </is>
      </c>
      <c r="R16" s="47" t="n">
        <v>2005</v>
      </c>
      <c r="S16" s="47" t="inlineStr">
        <is>
          <t>2,9,11</t>
        </is>
      </c>
      <c r="T16" s="47" t="n">
        <v>0</v>
      </c>
      <c r="U16" s="47" t="n">
        <v>1</v>
      </c>
      <c r="V16" s="7" t="n">
        <v>70001</v>
      </c>
      <c r="W16" s="7" t="n">
        <v>1</v>
      </c>
      <c r="X16" s="7" t="n">
        <v>1</v>
      </c>
      <c r="Y16" s="45" t="n">
        <v>8000</v>
      </c>
      <c r="Z16" s="7" t="n">
        <v>114</v>
      </c>
      <c r="AA16" s="7" t="n">
        <v>1</v>
      </c>
      <c r="AB16" t="n">
        <v>1001</v>
      </c>
      <c r="AC16" t="n">
        <v>100</v>
      </c>
      <c r="AD16" t="n">
        <v>1</v>
      </c>
    </row>
    <row r="17" ht="38.25" customHeight="1" s="142">
      <c r="A17" t="n">
        <v>115</v>
      </c>
      <c r="B17" t="inlineStr">
        <is>
          <t>tower</t>
        </is>
      </c>
      <c r="D17" s="80" t="inlineStr">
        <is>
          <t>第15層</t>
        </is>
      </c>
      <c r="E17" t="n">
        <v>30</v>
      </c>
      <c r="G17" s="90" t="inlineStr">
        <is>
          <t>{role:-1},
{id:-1},{id:-1},{id:-1},{id:-1},{id:-1}
{id:50003},{id:40035},{id:40083},{id:40044},{id:40015}</t>
        </is>
      </c>
      <c r="H17" t="n">
        <v>1</v>
      </c>
      <c r="J17" s="80" t="inlineStr">
        <is>
          <t>敵方弱化</t>
        </is>
      </c>
      <c r="K17" t="inlineStr">
        <is>
          <t>select_enemy</t>
        </is>
      </c>
      <c r="L17" t="inlineStr">
        <is>
          <t>2002,2003,2004</t>
        </is>
      </c>
      <c r="M17" t="inlineStr">
        <is>
          <t>3,7</t>
        </is>
      </c>
      <c r="N17" t="n">
        <v>1</v>
      </c>
      <c r="O17" t="n">
        <v>1</v>
      </c>
      <c r="P17" s="80" t="inlineStr">
        <is>
          <t>酸雨</t>
        </is>
      </c>
      <c r="Q17" t="inlineStr">
        <is>
          <t>debuff</t>
        </is>
      </c>
      <c r="R17" t="n">
        <v>2002</v>
      </c>
      <c r="S17" t="inlineStr">
        <is>
          <t>1,12</t>
        </is>
      </c>
      <c r="T17" t="n">
        <v>0</v>
      </c>
      <c r="U17" t="n">
        <v>1</v>
      </c>
      <c r="V17" t="n">
        <v>70001</v>
      </c>
      <c r="W17" t="n">
        <v>1</v>
      </c>
      <c r="X17" t="n">
        <v>1</v>
      </c>
      <c r="Y17" t="n">
        <v>8000</v>
      </c>
      <c r="Z17" t="n">
        <v>115</v>
      </c>
      <c r="AA17" t="n">
        <v>1</v>
      </c>
      <c r="AB17" t="n">
        <v>1001</v>
      </c>
      <c r="AC17" t="n">
        <v>100</v>
      </c>
      <c r="AD17" t="n">
        <v>1</v>
      </c>
    </row>
    <row r="18" ht="42.75" customHeight="1" s="142">
      <c r="A18" s="91" t="n">
        <v>116</v>
      </c>
      <c r="B18" s="91" t="inlineStr">
        <is>
          <t>tower</t>
        </is>
      </c>
      <c r="C18" s="91" t="n"/>
      <c r="D18" s="92" t="inlineStr">
        <is>
          <t>第16層</t>
        </is>
      </c>
      <c r="E18" s="91" t="n">
        <v>32</v>
      </c>
      <c r="F18" s="7" t="n"/>
      <c r="G18" s="93" t="inlineStr">
        <is>
          <t>{role:-1},
{id:-1},{id:-1},{id:-1},{id:-1},{id:-1}
{id:40034},{id:40065},{id:40023},{id:40014},{id:40081}</t>
        </is>
      </c>
      <c r="H18" s="91" t="n">
        <v>1</v>
      </c>
      <c r="I18" s="91" t="n"/>
      <c r="J18" s="92" t="inlineStr">
        <is>
          <t>磁場共振</t>
        </is>
      </c>
      <c r="K18" s="91" t="inlineStr">
        <is>
          <t>buff</t>
        </is>
      </c>
      <c r="L18" s="91" t="n">
        <v>1003</v>
      </c>
      <c r="M18" s="91" t="inlineStr">
        <is>
          <t>9,11</t>
        </is>
      </c>
      <c r="N18" s="91" t="n"/>
      <c r="O18" s="91" t="n">
        <v>1</v>
      </c>
      <c r="P18" s="92" t="inlineStr">
        <is>
          <t>信號干擾</t>
        </is>
      </c>
      <c r="Q18" s="91" t="inlineStr">
        <is>
          <t>debuff</t>
        </is>
      </c>
      <c r="R18" s="91" t="n">
        <v>2004</v>
      </c>
      <c r="S18" s="91" t="inlineStr">
        <is>
          <t>3,4,6</t>
        </is>
      </c>
      <c r="T18" s="91" t="n">
        <v>0</v>
      </c>
      <c r="U18" s="91" t="n">
        <v>1</v>
      </c>
      <c r="V18" s="91" t="n">
        <v>70001</v>
      </c>
      <c r="W18" s="91" t="n">
        <v>1</v>
      </c>
      <c r="X18" s="91" t="n">
        <v>1</v>
      </c>
      <c r="Y18" s="91" t="n">
        <v>8000</v>
      </c>
      <c r="Z18" s="91" t="n">
        <v>116</v>
      </c>
      <c r="AA18" s="91" t="n">
        <v>1</v>
      </c>
      <c r="AB18" s="91" t="n">
        <v>1001</v>
      </c>
      <c r="AC18" s="91" t="n">
        <v>100</v>
      </c>
      <c r="AD18" s="91" t="n">
        <v>1</v>
      </c>
      <c r="AE18" s="91" t="n"/>
      <c r="AF18" s="91" t="n"/>
      <c r="AG18" s="91" t="n"/>
      <c r="AH18" s="91" t="n"/>
      <c r="AI18" s="91" t="n"/>
      <c r="AJ18" s="91" t="n"/>
    </row>
    <row r="19" ht="42.75" customHeight="1" s="142">
      <c r="A19" s="7" t="n">
        <v>117</v>
      </c>
      <c r="B19" s="7" t="inlineStr">
        <is>
          <t>tower</t>
        </is>
      </c>
      <c r="C19" s="7" t="n"/>
      <c r="D19" s="138" t="inlineStr">
        <is>
          <t>第17層</t>
        </is>
      </c>
      <c r="E19" s="7" t="n">
        <v>34</v>
      </c>
      <c r="F19" s="7" t="n"/>
      <c r="G19" s="82" t="inlineStr">
        <is>
          <t>{role:-1},
{id:-1},{id:-1},{id:-1},{id:-1},{id:-1}
{id:40021},{id:40070},{id:40068},{id:40001},{id:40077}</t>
        </is>
      </c>
      <c r="H19" s="47" t="n">
        <v>1</v>
      </c>
      <c r="J19" s="83" t="inlineStr">
        <is>
          <t>敵方弱化</t>
        </is>
      </c>
      <c r="K19" s="47" t="inlineStr">
        <is>
          <t>select_enemy</t>
        </is>
      </c>
      <c r="L19" s="47" t="inlineStr">
        <is>
          <t>2002,2003,2004</t>
        </is>
      </c>
      <c r="M19" s="47" t="inlineStr">
        <is>
          <t>1,8</t>
        </is>
      </c>
      <c r="N19" s="47" t="n">
        <v>1</v>
      </c>
      <c r="O19" s="47" t="n">
        <v>1</v>
      </c>
      <c r="P19" s="83" t="inlineStr">
        <is>
          <t>泥濘</t>
        </is>
      </c>
      <c r="Q19" s="47" t="inlineStr">
        <is>
          <t>debuff</t>
        </is>
      </c>
      <c r="R19" s="47" t="n">
        <v>2005</v>
      </c>
      <c r="S19" s="47" t="inlineStr">
        <is>
          <t>6</t>
        </is>
      </c>
      <c r="T19" s="47" t="n">
        <v>0</v>
      </c>
      <c r="U19" s="47" t="n">
        <v>1</v>
      </c>
      <c r="V19" t="n">
        <v>70001</v>
      </c>
      <c r="W19" t="n">
        <v>1</v>
      </c>
      <c r="X19" t="n">
        <v>1</v>
      </c>
      <c r="Y19" s="45" t="n">
        <v>8000</v>
      </c>
      <c r="Z19" t="n">
        <v>117</v>
      </c>
      <c r="AA19" t="n">
        <v>1</v>
      </c>
      <c r="AB19" t="n">
        <v>1001</v>
      </c>
      <c r="AC19" t="n">
        <v>100</v>
      </c>
      <c r="AD19" t="n">
        <v>1</v>
      </c>
    </row>
    <row r="20" ht="42.75" customHeight="1" s="142">
      <c r="A20" s="7" t="n">
        <v>118</v>
      </c>
      <c r="B20" s="7" t="inlineStr">
        <is>
          <t>tower</t>
        </is>
      </c>
      <c r="C20" s="7" t="n"/>
      <c r="D20" s="156" t="inlineStr">
        <is>
          <t>第18層</t>
        </is>
      </c>
      <c r="E20" s="7" t="n">
        <v>36</v>
      </c>
      <c r="F20" s="7" t="n"/>
      <c r="G20" s="82" t="inlineStr">
        <is>
          <t>{role:-1},
{id:-1},{id:-1},{id:-1},{id:-1},{id:-1}
{id:40040},{id:40031},{id:40008},{id:40073},{id:40011}</t>
        </is>
      </c>
      <c r="H20" s="47" t="n">
        <v>1</v>
      </c>
      <c r="I20" s="47" t="n"/>
      <c r="J20" s="83" t="inlineStr">
        <is>
          <t>大晴天</t>
        </is>
      </c>
      <c r="K20" s="47" t="inlineStr">
        <is>
          <t>buff</t>
        </is>
      </c>
      <c r="L20" s="47" t="n">
        <v>1001</v>
      </c>
      <c r="M20" s="47" t="inlineStr">
        <is>
          <t>12</t>
        </is>
      </c>
      <c r="N20" s="47" t="n"/>
      <c r="O20" s="47" t="n">
        <v>1</v>
      </c>
      <c r="P20" s="83" t="inlineStr">
        <is>
          <t>酸雨</t>
        </is>
      </c>
      <c r="Q20" s="47" t="inlineStr">
        <is>
          <t>debuff</t>
        </is>
      </c>
      <c r="R20" s="47" t="n">
        <v>2002</v>
      </c>
      <c r="S20" s="47" t="inlineStr">
        <is>
          <t>2,9</t>
        </is>
      </c>
      <c r="T20" s="47" t="n">
        <v>0</v>
      </c>
      <c r="U20" s="47" t="n">
        <v>1</v>
      </c>
      <c r="V20" s="7" t="n">
        <v>70001</v>
      </c>
      <c r="W20" s="7" t="n">
        <v>1</v>
      </c>
      <c r="X20" s="7" t="n">
        <v>1</v>
      </c>
      <c r="Y20" s="7" t="n">
        <v>8000</v>
      </c>
      <c r="Z20" s="7" t="n">
        <v>118</v>
      </c>
      <c r="AA20" s="7" t="n">
        <v>1</v>
      </c>
      <c r="AB20" t="n">
        <v>1001</v>
      </c>
      <c r="AC20" t="n">
        <v>100</v>
      </c>
      <c r="AD20" t="n">
        <v>1</v>
      </c>
    </row>
    <row r="21" ht="42.75" customHeight="1" s="142">
      <c r="A21" s="7" t="n">
        <v>119</v>
      </c>
      <c r="B21" s="7" t="inlineStr">
        <is>
          <t>tower</t>
        </is>
      </c>
      <c r="C21" s="7" t="n"/>
      <c r="D21" s="156" t="inlineStr">
        <is>
          <t>第19層</t>
        </is>
      </c>
      <c r="E21" s="7" t="n">
        <v>38</v>
      </c>
      <c r="F21" s="7" t="n"/>
      <c r="G21" s="82" t="inlineStr">
        <is>
          <t>{role:-1},
{id:-1},{id:-1},{id:-1},{id:-1},{id:-1}
{id:40017},{id:40085},{id:40061},{id:40071},{id:40022}</t>
        </is>
      </c>
      <c r="H21" s="47" t="n">
        <v>1</v>
      </c>
      <c r="I21" s="47" t="n"/>
      <c r="J21" s="83" t="inlineStr">
        <is>
          <t>敵方弱化</t>
        </is>
      </c>
      <c r="K21" s="47" t="inlineStr">
        <is>
          <t>select_enemy</t>
        </is>
      </c>
      <c r="L21" s="47" t="inlineStr">
        <is>
          <t>2002,2003,2004</t>
        </is>
      </c>
      <c r="M21" s="47" t="inlineStr">
        <is>
          <t>9,10</t>
        </is>
      </c>
      <c r="N21" s="47" t="n">
        <v>1</v>
      </c>
      <c r="O21" s="47" t="n">
        <v>1</v>
      </c>
      <c r="P21" s="83" t="inlineStr">
        <is>
          <t>信號干擾</t>
        </is>
      </c>
      <c r="Q21" s="47" t="inlineStr">
        <is>
          <t>debuff</t>
        </is>
      </c>
      <c r="R21" s="47" t="n">
        <v>2004</v>
      </c>
      <c r="S21" s="47" t="inlineStr">
        <is>
          <t>4,9</t>
        </is>
      </c>
      <c r="T21" s="47" t="n">
        <v>0</v>
      </c>
      <c r="U21" s="47" t="n">
        <v>1</v>
      </c>
      <c r="V21" s="7" t="n">
        <v>70001</v>
      </c>
      <c r="W21" s="7" t="n">
        <v>1</v>
      </c>
      <c r="X21" s="7" t="n">
        <v>1</v>
      </c>
      <c r="Y21" s="7" t="n">
        <v>8000</v>
      </c>
      <c r="Z21" s="7" t="n">
        <v>119</v>
      </c>
      <c r="AA21" s="7" t="n">
        <v>1</v>
      </c>
      <c r="AB21" t="n">
        <v>1001</v>
      </c>
      <c r="AC21" t="n">
        <v>100</v>
      </c>
      <c r="AD21" t="n">
        <v>1</v>
      </c>
    </row>
    <row r="22" ht="42.75" customHeight="1" s="142">
      <c r="A22" s="7" t="n">
        <v>120</v>
      </c>
      <c r="B22" s="7" t="inlineStr">
        <is>
          <t>tower</t>
        </is>
      </c>
      <c r="C22" s="7" t="n"/>
      <c r="D22" s="156" t="inlineStr">
        <is>
          <t>第20層</t>
        </is>
      </c>
      <c r="E22" s="7" t="n">
        <v>40</v>
      </c>
      <c r="F22" s="7" t="n"/>
      <c r="G22" s="82" t="inlineStr">
        <is>
          <t>{role:-1},
{id:-1},{id:-1},{id:-1},{id:-1},{id:-1}
{id:50004},{id:40026},{id:40040},{id:40052},{id:40086}</t>
        </is>
      </c>
      <c r="H22" s="47" t="n">
        <v>1</v>
      </c>
      <c r="I22" s="47" t="n"/>
      <c r="J22" s="83" t="inlineStr">
        <is>
          <t>信息同享</t>
        </is>
      </c>
      <c r="K22" s="47" t="inlineStr">
        <is>
          <t>buff</t>
        </is>
      </c>
      <c r="L22" s="47" t="n">
        <v>1005</v>
      </c>
      <c r="M22" s="47" t="inlineStr">
        <is>
          <t>6,8,9</t>
        </is>
      </c>
      <c r="N22" s="47" t="n"/>
      <c r="O22" s="47" t="n">
        <v>1</v>
      </c>
      <c r="P22" s="83" t="inlineStr">
        <is>
          <t>泥濘</t>
        </is>
      </c>
      <c r="Q22" s="47" t="inlineStr">
        <is>
          <t>debuff</t>
        </is>
      </c>
      <c r="R22" s="47" t="n">
        <v>2005</v>
      </c>
      <c r="S22" s="47" t="inlineStr">
        <is>
          <t>2,4</t>
        </is>
      </c>
      <c r="T22" s="47" t="n">
        <v>0</v>
      </c>
      <c r="U22" s="47" t="n">
        <v>1</v>
      </c>
      <c r="V22" s="7" t="n">
        <v>70001</v>
      </c>
      <c r="W22" s="7" t="n">
        <v>1</v>
      </c>
      <c r="X22" s="7" t="n">
        <v>1</v>
      </c>
      <c r="Y22" s="7" t="n">
        <v>8000</v>
      </c>
      <c r="Z22" s="7" t="n">
        <v>120</v>
      </c>
      <c r="AA22" s="7" t="n">
        <v>1</v>
      </c>
      <c r="AB22" t="n">
        <v>1001</v>
      </c>
      <c r="AC22" t="n">
        <v>1000</v>
      </c>
      <c r="AD22" t="n">
        <v>1</v>
      </c>
    </row>
    <row r="23" ht="42.75" customHeight="1" s="142">
      <c r="A23" s="7" t="n">
        <v>121</v>
      </c>
      <c r="B23" s="7" t="inlineStr">
        <is>
          <t>tower</t>
        </is>
      </c>
      <c r="C23" s="7" t="n"/>
      <c r="D23" s="156" t="inlineStr">
        <is>
          <t>第21層</t>
        </is>
      </c>
      <c r="E23" s="7" t="n">
        <v>42</v>
      </c>
      <c r="F23" s="7" t="n"/>
      <c r="G23" s="82" t="inlineStr">
        <is>
          <t>{role:-1},
{id:-1},{id:-1},{id:-1},{id:-1},{id:-1}
{id:40029},{id:40009},{id:40044},{id:40003},{id:40076}</t>
        </is>
      </c>
      <c r="H23" s="47" t="n">
        <v>1</v>
      </c>
      <c r="I23" s="47" t="n"/>
      <c r="J23" s="83" t="inlineStr">
        <is>
          <t>敵方弱化</t>
        </is>
      </c>
      <c r="K23" s="47" t="inlineStr">
        <is>
          <t>select_enemy</t>
        </is>
      </c>
      <c r="L23" s="47" t="inlineStr">
        <is>
          <t>2002,2003,2004</t>
        </is>
      </c>
      <c r="M23" s="47" t="inlineStr">
        <is>
          <t>4,10,13</t>
        </is>
      </c>
      <c r="N23" s="47" t="n">
        <v>1</v>
      </c>
      <c r="O23" s="47" t="n">
        <v>1</v>
      </c>
      <c r="P23" s="83" t="inlineStr">
        <is>
          <t>酸雨</t>
        </is>
      </c>
      <c r="Q23" s="47" t="inlineStr">
        <is>
          <t>debuff</t>
        </is>
      </c>
      <c r="R23" s="47" t="n">
        <v>2002</v>
      </c>
      <c r="S23" s="47" t="inlineStr">
        <is>
          <t>2</t>
        </is>
      </c>
      <c r="T23" s="47" t="n">
        <v>0</v>
      </c>
      <c r="U23" s="47" t="n">
        <v>1</v>
      </c>
      <c r="V23" s="7" t="n">
        <v>70001</v>
      </c>
      <c r="W23" s="7" t="n">
        <v>1</v>
      </c>
      <c r="X23" s="7" t="n">
        <v>1</v>
      </c>
      <c r="Y23" s="7" t="n">
        <v>8000</v>
      </c>
      <c r="Z23" s="7" t="n">
        <v>121</v>
      </c>
      <c r="AA23" s="7" t="n">
        <v>1</v>
      </c>
      <c r="AB23" t="n">
        <v>1001</v>
      </c>
      <c r="AC23" t="n">
        <v>100</v>
      </c>
      <c r="AD23" t="n">
        <v>1</v>
      </c>
    </row>
    <row r="24" ht="42.75" customHeight="1" s="142">
      <c r="A24" s="7" t="n">
        <v>122</v>
      </c>
      <c r="B24" s="7" t="inlineStr">
        <is>
          <t>tower</t>
        </is>
      </c>
      <c r="C24" s="7" t="n"/>
      <c r="D24" s="156" t="inlineStr">
        <is>
          <t>第22層</t>
        </is>
      </c>
      <c r="E24" s="7" t="n">
        <v>44</v>
      </c>
      <c r="F24" s="7" t="n"/>
      <c r="G24" s="82" t="inlineStr">
        <is>
          <t>{role:-1},
{id:-1},{id:-1},{id:-1},{id:-1},{id:-1}
{id:40081},{id:40008},{id:40030},{id:40009},{id:40005}</t>
        </is>
      </c>
      <c r="H24" s="47" t="n">
        <v>1</v>
      </c>
      <c r="I24" s="47" t="n"/>
      <c r="J24" s="83" t="inlineStr">
        <is>
          <t>磁場共振</t>
        </is>
      </c>
      <c r="K24" s="47" t="inlineStr">
        <is>
          <t>buff</t>
        </is>
      </c>
      <c r="L24" s="47" t="n">
        <v>1003</v>
      </c>
      <c r="M24" s="47" t="inlineStr">
        <is>
          <t>2,9</t>
        </is>
      </c>
      <c r="N24" s="47" t="n"/>
      <c r="O24" s="47" t="n">
        <v>1</v>
      </c>
      <c r="P24" s="83" t="inlineStr">
        <is>
          <t>信號干擾</t>
        </is>
      </c>
      <c r="Q24" s="47" t="inlineStr">
        <is>
          <t>debuff</t>
        </is>
      </c>
      <c r="R24" s="47" t="n">
        <v>2004</v>
      </c>
      <c r="S24" s="47" t="inlineStr">
        <is>
          <t>5</t>
        </is>
      </c>
      <c r="T24" s="47" t="n">
        <v>0</v>
      </c>
      <c r="U24" s="47" t="n">
        <v>1</v>
      </c>
      <c r="V24" s="7" t="n">
        <v>70001</v>
      </c>
      <c r="W24" s="7" t="n">
        <v>1</v>
      </c>
      <c r="X24" s="7" t="n">
        <v>1</v>
      </c>
      <c r="Y24" s="7" t="n">
        <v>8000</v>
      </c>
      <c r="Z24" s="7" t="n">
        <v>122</v>
      </c>
      <c r="AA24" s="7" t="n">
        <v>1</v>
      </c>
      <c r="AB24" t="n">
        <v>1001</v>
      </c>
      <c r="AC24" t="n">
        <v>100</v>
      </c>
      <c r="AD24" t="n">
        <v>1</v>
      </c>
    </row>
    <row r="25" ht="42.75" customHeight="1" s="142">
      <c r="A25" s="7" t="n">
        <v>123</v>
      </c>
      <c r="B25" s="7" t="inlineStr">
        <is>
          <t>tower</t>
        </is>
      </c>
      <c r="C25" s="7" t="n"/>
      <c r="D25" s="156" t="inlineStr">
        <is>
          <t>第23層</t>
        </is>
      </c>
      <c r="E25" s="7" t="n">
        <v>46</v>
      </c>
      <c r="F25" s="7" t="n"/>
      <c r="G25" s="82" t="inlineStr">
        <is>
          <t>{role:-1},
{id:-1},{id:-1},{id:-1},{id:-1},{id:-1}
{id:40086},{id:40063},{id:40028},{id:40070},{id:40017}</t>
        </is>
      </c>
      <c r="H25" s="47" t="n">
        <v>1</v>
      </c>
      <c r="I25" s="47" t="n"/>
      <c r="J25" s="83" t="inlineStr">
        <is>
          <t>敵方弱化</t>
        </is>
      </c>
      <c r="K25" s="47" t="inlineStr">
        <is>
          <t>select_enemy</t>
        </is>
      </c>
      <c r="L25" s="47" t="inlineStr">
        <is>
          <t>2002,2003,2004</t>
        </is>
      </c>
      <c r="M25" s="47" t="inlineStr">
        <is>
          <t>8,10,13</t>
        </is>
      </c>
      <c r="N25" s="47" t="n">
        <v>1</v>
      </c>
      <c r="O25" s="47" t="n">
        <v>1</v>
      </c>
      <c r="P25" s="83" t="inlineStr">
        <is>
          <t>泥濘</t>
        </is>
      </c>
      <c r="Q25" s="47" t="inlineStr">
        <is>
          <t>debuff</t>
        </is>
      </c>
      <c r="R25" s="47" t="n">
        <v>2005</v>
      </c>
      <c r="S25" s="47" t="inlineStr">
        <is>
          <t>13</t>
        </is>
      </c>
      <c r="T25" s="47" t="n">
        <v>0</v>
      </c>
      <c r="U25" s="47" t="n">
        <v>1</v>
      </c>
      <c r="V25" s="7" t="n">
        <v>70001</v>
      </c>
      <c r="W25" s="7" t="n">
        <v>1</v>
      </c>
      <c r="X25" s="7" t="n">
        <v>1</v>
      </c>
      <c r="Y25" s="7" t="n">
        <v>8000</v>
      </c>
      <c r="Z25" s="7" t="n">
        <v>123</v>
      </c>
      <c r="AA25" s="7" t="n">
        <v>1</v>
      </c>
      <c r="AB25" t="n">
        <v>1001</v>
      </c>
      <c r="AC25" t="n">
        <v>100</v>
      </c>
      <c r="AD25" t="n">
        <v>1</v>
      </c>
    </row>
    <row r="26" ht="42.75" customHeight="1" s="142">
      <c r="A26" s="7" t="n">
        <v>124</v>
      </c>
      <c r="B26" s="7" t="inlineStr">
        <is>
          <t>tower</t>
        </is>
      </c>
      <c r="C26" s="7" t="n"/>
      <c r="D26" s="156" t="inlineStr">
        <is>
          <t>第24層</t>
        </is>
      </c>
      <c r="E26" s="7" t="n">
        <v>48</v>
      </c>
      <c r="F26" s="7" t="n"/>
      <c r="G26" s="82" t="inlineStr">
        <is>
          <t>{role:-1},
{id:-1},{id:-1},{id:-1},{id:-1},{id:-1}
{id:40061},{id:40053},{id:40025},{id:40013},{id:40085}</t>
        </is>
      </c>
      <c r="H26" s="47" t="n">
        <v>1</v>
      </c>
      <c r="I26" s="47" t="n"/>
      <c r="J26" s="83" t="inlineStr">
        <is>
          <t>大晴天</t>
        </is>
      </c>
      <c r="K26" s="47" t="inlineStr">
        <is>
          <t>buff</t>
        </is>
      </c>
      <c r="L26" s="47" t="n">
        <v>1001</v>
      </c>
      <c r="M26" s="47" t="inlineStr">
        <is>
          <t>6,7</t>
        </is>
      </c>
      <c r="N26" s="47" t="n"/>
      <c r="O26" s="47" t="n">
        <v>1</v>
      </c>
      <c r="P26" s="83" t="inlineStr">
        <is>
          <t>酸雨</t>
        </is>
      </c>
      <c r="Q26" s="47" t="inlineStr">
        <is>
          <t>debuff</t>
        </is>
      </c>
      <c r="R26" s="47" t="n">
        <v>2002</v>
      </c>
      <c r="S26" s="47" t="inlineStr">
        <is>
          <t>8,12</t>
        </is>
      </c>
      <c r="T26" s="47" t="n">
        <v>0</v>
      </c>
      <c r="U26" s="47" t="n">
        <v>1</v>
      </c>
      <c r="V26" s="7" t="n">
        <v>70001</v>
      </c>
      <c r="W26" s="7" t="n">
        <v>1</v>
      </c>
      <c r="X26" s="7" t="n">
        <v>1</v>
      </c>
      <c r="Y26" s="7" t="n">
        <v>8000</v>
      </c>
      <c r="Z26" s="7" t="n">
        <v>124</v>
      </c>
      <c r="AA26" s="7" t="n">
        <v>1</v>
      </c>
      <c r="AB26" t="n">
        <v>1001</v>
      </c>
      <c r="AC26" t="n">
        <v>100</v>
      </c>
      <c r="AD26" t="n">
        <v>1</v>
      </c>
    </row>
    <row r="27" ht="42.75" customHeight="1" s="142">
      <c r="A27" s="7" t="n">
        <v>125</v>
      </c>
      <c r="B27" s="7" t="inlineStr">
        <is>
          <t>tower</t>
        </is>
      </c>
      <c r="C27" s="7" t="n"/>
      <c r="D27" s="156" t="inlineStr">
        <is>
          <t>第25層</t>
        </is>
      </c>
      <c r="E27" s="7" t="n">
        <v>50</v>
      </c>
      <c r="F27" s="7" t="n"/>
      <c r="G27" s="82" t="inlineStr">
        <is>
          <t>{role:-1},
{id:-1},{id:-1},{id:-1},{id:-1},{id:-1}
{id:50005},{id:40007},{id:40087},{id:40084},{id:40083}</t>
        </is>
      </c>
      <c r="H27" s="47" t="n">
        <v>1</v>
      </c>
      <c r="I27" s="47" t="n"/>
      <c r="J27" s="83" t="inlineStr">
        <is>
          <t>敵方弱化</t>
        </is>
      </c>
      <c r="K27" s="47" t="inlineStr">
        <is>
          <t>select_enemy</t>
        </is>
      </c>
      <c r="L27" s="47" t="inlineStr">
        <is>
          <t>2002,2003,2004</t>
        </is>
      </c>
      <c r="M27" s="47" t="inlineStr">
        <is>
          <t>1</t>
        </is>
      </c>
      <c r="N27" s="47" t="n">
        <v>1</v>
      </c>
      <c r="O27" s="47" t="n">
        <v>1</v>
      </c>
      <c r="P27" s="83" t="inlineStr">
        <is>
          <t>信號干擾</t>
        </is>
      </c>
      <c r="Q27" s="47" t="inlineStr">
        <is>
          <t>debuff</t>
        </is>
      </c>
      <c r="R27" s="47" t="n">
        <v>2004</v>
      </c>
      <c r="S27" s="47" t="inlineStr">
        <is>
          <t>6,12</t>
        </is>
      </c>
      <c r="T27" s="47" t="n">
        <v>0</v>
      </c>
      <c r="U27" s="47" t="n">
        <v>1</v>
      </c>
      <c r="V27" s="7" t="n">
        <v>70001</v>
      </c>
      <c r="W27" s="7" t="n">
        <v>1</v>
      </c>
      <c r="X27" s="7" t="n">
        <v>1</v>
      </c>
      <c r="Y27" s="7" t="n">
        <v>8000</v>
      </c>
      <c r="Z27" s="7" t="n">
        <v>125</v>
      </c>
      <c r="AA27" s="7" t="n">
        <v>1</v>
      </c>
      <c r="AB27" t="n">
        <v>1001</v>
      </c>
      <c r="AC27" t="n">
        <v>100</v>
      </c>
      <c r="AD27" t="n">
        <v>1</v>
      </c>
    </row>
    <row r="28" ht="42.75" customHeight="1" s="142">
      <c r="A28" s="7" t="n">
        <v>126</v>
      </c>
      <c r="B28" s="7" t="inlineStr">
        <is>
          <t>tower</t>
        </is>
      </c>
      <c r="C28" s="7" t="n"/>
      <c r="D28" s="156" t="inlineStr">
        <is>
          <t>第26層</t>
        </is>
      </c>
      <c r="E28" s="7" t="n">
        <v>52</v>
      </c>
      <c r="F28" s="7" t="n"/>
      <c r="G28" s="82" t="inlineStr">
        <is>
          <t>{role:-1},
{id:-1},{id:-1},{id:-1},{id:-1},{id:-1}
{id:40014},{id:40032},{id:40025},{id:40069},{id:40058}</t>
        </is>
      </c>
      <c r="H28" s="47" t="n">
        <v>1</v>
      </c>
      <c r="I28" s="47" t="n"/>
      <c r="J28" s="83" t="inlineStr">
        <is>
          <t>信息同享</t>
        </is>
      </c>
      <c r="K28" s="47" t="inlineStr">
        <is>
          <t>buff</t>
        </is>
      </c>
      <c r="L28" s="47" t="n">
        <v>1005</v>
      </c>
      <c r="M28" s="47" t="inlineStr">
        <is>
          <t>7</t>
        </is>
      </c>
      <c r="N28" s="47" t="n"/>
      <c r="O28" s="47" t="n">
        <v>1</v>
      </c>
      <c r="P28" s="83" t="inlineStr">
        <is>
          <t>泥濘</t>
        </is>
      </c>
      <c r="Q28" s="47" t="inlineStr">
        <is>
          <t>debuff</t>
        </is>
      </c>
      <c r="R28" s="47" t="n">
        <v>2005</v>
      </c>
      <c r="S28" s="47" t="inlineStr">
        <is>
          <t>5</t>
        </is>
      </c>
      <c r="T28" s="47" t="n">
        <v>0</v>
      </c>
      <c r="U28" s="47" t="n">
        <v>1</v>
      </c>
      <c r="V28" s="7" t="n">
        <v>70001</v>
      </c>
      <c r="W28" s="7" t="n">
        <v>1</v>
      </c>
      <c r="X28" s="7" t="n">
        <v>1</v>
      </c>
      <c r="Y28" s="7" t="n">
        <v>8000</v>
      </c>
      <c r="Z28" s="7" t="n">
        <v>126</v>
      </c>
      <c r="AA28" s="7" t="n">
        <v>1</v>
      </c>
      <c r="AB28" t="n">
        <v>1001</v>
      </c>
      <c r="AC28" t="n">
        <v>100</v>
      </c>
      <c r="AD28" t="n">
        <v>1</v>
      </c>
    </row>
    <row r="29" ht="42.75" customHeight="1" s="142">
      <c r="A29" s="7" t="n">
        <v>127</v>
      </c>
      <c r="B29" s="7" t="inlineStr">
        <is>
          <t>tower</t>
        </is>
      </c>
      <c r="C29" s="7" t="n"/>
      <c r="D29" s="156" t="inlineStr">
        <is>
          <t>第27層</t>
        </is>
      </c>
      <c r="E29" s="7" t="n">
        <v>54</v>
      </c>
      <c r="F29" s="7" t="n"/>
      <c r="G29" s="82" t="inlineStr">
        <is>
          <t>{role:-1},
{id:-1},{id:-1},{id:-1},{id:-1},{id:-1}
{id:40060},{id:40032},{id:40010},{id:40057},{id:40071}</t>
        </is>
      </c>
      <c r="H29" s="47" t="n">
        <v>1</v>
      </c>
      <c r="I29" s="47" t="n"/>
      <c r="J29" s="83" t="inlineStr">
        <is>
          <t>敵方弱化</t>
        </is>
      </c>
      <c r="K29" s="47" t="inlineStr">
        <is>
          <t>select_enemy</t>
        </is>
      </c>
      <c r="L29" s="47" t="inlineStr">
        <is>
          <t>2002,2003,2004</t>
        </is>
      </c>
      <c r="M29" s="47" t="inlineStr">
        <is>
          <t>1</t>
        </is>
      </c>
      <c r="N29" s="47" t="n">
        <v>1</v>
      </c>
      <c r="O29" s="47" t="n">
        <v>1</v>
      </c>
      <c r="P29" s="83" t="inlineStr">
        <is>
          <t>酸雨</t>
        </is>
      </c>
      <c r="Q29" s="47" t="inlineStr">
        <is>
          <t>debuff</t>
        </is>
      </c>
      <c r="R29" s="47" t="n">
        <v>2002</v>
      </c>
      <c r="S29" s="47" t="inlineStr">
        <is>
          <t>1,2,9</t>
        </is>
      </c>
      <c r="T29" s="47" t="n">
        <v>0</v>
      </c>
      <c r="U29" s="47" t="n">
        <v>1</v>
      </c>
      <c r="V29" s="7" t="n">
        <v>70001</v>
      </c>
      <c r="W29" s="7" t="n">
        <v>1</v>
      </c>
      <c r="X29" s="7" t="n">
        <v>1</v>
      </c>
      <c r="Y29" s="7" t="n">
        <v>8000</v>
      </c>
      <c r="Z29" s="7" t="n">
        <v>127</v>
      </c>
      <c r="AA29" s="7" t="n">
        <v>1</v>
      </c>
      <c r="AB29" t="n">
        <v>1001</v>
      </c>
      <c r="AC29" t="n">
        <v>100</v>
      </c>
      <c r="AD29" t="n">
        <v>1</v>
      </c>
    </row>
    <row r="30" ht="42.75" customHeight="1" s="142">
      <c r="A30" s="7" t="n">
        <v>128</v>
      </c>
      <c r="B30" s="7" t="inlineStr">
        <is>
          <t>tower</t>
        </is>
      </c>
      <c r="C30" s="7" t="n"/>
      <c r="D30" s="156" t="inlineStr">
        <is>
          <t>第28層</t>
        </is>
      </c>
      <c r="E30" s="7" t="n">
        <v>56</v>
      </c>
      <c r="F30" s="7" t="n"/>
      <c r="G30" s="82" t="inlineStr">
        <is>
          <t>{role:-1},
{id:-1},{id:-1},{id:-1},{id:-1},{id:-1}
{id:40031},{id:40022},{id:40053},{id:40063},{id:40062}</t>
        </is>
      </c>
      <c r="H30" s="47" t="n">
        <v>1</v>
      </c>
      <c r="I30" s="47" t="n"/>
      <c r="J30" s="83" t="inlineStr">
        <is>
          <t>磁場共振</t>
        </is>
      </c>
      <c r="K30" s="47" t="inlineStr">
        <is>
          <t>buff</t>
        </is>
      </c>
      <c r="L30" s="47" t="n">
        <v>1003</v>
      </c>
      <c r="M30" s="47" t="inlineStr">
        <is>
          <t>7</t>
        </is>
      </c>
      <c r="N30" s="47" t="n"/>
      <c r="O30" s="47" t="n">
        <v>1</v>
      </c>
      <c r="P30" s="83" t="inlineStr">
        <is>
          <t>信號干擾</t>
        </is>
      </c>
      <c r="Q30" s="47" t="inlineStr">
        <is>
          <t>debuff</t>
        </is>
      </c>
      <c r="R30" s="47" t="n">
        <v>2004</v>
      </c>
      <c r="S30" s="47" t="inlineStr">
        <is>
          <t>3</t>
        </is>
      </c>
      <c r="T30" s="47" t="n">
        <v>0</v>
      </c>
      <c r="U30" s="47" t="n">
        <v>1</v>
      </c>
      <c r="V30" s="7" t="n">
        <v>70001</v>
      </c>
      <c r="W30" s="7" t="n">
        <v>1</v>
      </c>
      <c r="X30" s="7" t="n">
        <v>1</v>
      </c>
      <c r="Y30" s="7" t="n">
        <v>8000</v>
      </c>
      <c r="Z30" s="7" t="n">
        <v>128</v>
      </c>
      <c r="AA30" s="7" t="n">
        <v>1</v>
      </c>
      <c r="AB30" t="n">
        <v>1001</v>
      </c>
      <c r="AC30" t="n">
        <v>100</v>
      </c>
      <c r="AD30" t="n">
        <v>1</v>
      </c>
    </row>
    <row r="31" ht="42.75" customHeight="1" s="142">
      <c r="A31" s="7" t="n">
        <v>129</v>
      </c>
      <c r="B31" s="7" t="inlineStr">
        <is>
          <t>tower</t>
        </is>
      </c>
      <c r="C31" s="7" t="n"/>
      <c r="D31" s="156" t="inlineStr">
        <is>
          <t>第29層</t>
        </is>
      </c>
      <c r="E31" s="7" t="n">
        <v>58</v>
      </c>
      <c r="F31" s="7" t="n"/>
      <c r="G31" s="82" t="inlineStr">
        <is>
          <t>{role:-1},
{id:-1},{id:-1},{id:-1},{id:-1},{id:-1}
{id:40049},{id:40001},{id:40050},{id:40034},{id:40059}</t>
        </is>
      </c>
      <c r="H31" s="47" t="n">
        <v>1</v>
      </c>
      <c r="I31" s="47" t="n"/>
      <c r="J31" s="83" t="inlineStr">
        <is>
          <t>敵方弱化</t>
        </is>
      </c>
      <c r="K31" s="47" t="inlineStr">
        <is>
          <t>select_enemy</t>
        </is>
      </c>
      <c r="L31" s="47" t="inlineStr">
        <is>
          <t>2002,2003,2004</t>
        </is>
      </c>
      <c r="M31" s="47" t="inlineStr">
        <is>
          <t>7,12</t>
        </is>
      </c>
      <c r="N31" s="47" t="n">
        <v>1</v>
      </c>
      <c r="O31" s="47" t="n">
        <v>1</v>
      </c>
      <c r="P31" s="83" t="inlineStr">
        <is>
          <t>泥濘</t>
        </is>
      </c>
      <c r="Q31" s="47" t="inlineStr">
        <is>
          <t>debuff</t>
        </is>
      </c>
      <c r="R31" s="47" t="n">
        <v>2005</v>
      </c>
      <c r="S31" s="47" t="inlineStr">
        <is>
          <t>9,11,13</t>
        </is>
      </c>
      <c r="T31" s="47" t="n">
        <v>0</v>
      </c>
      <c r="U31" s="47" t="n">
        <v>1</v>
      </c>
      <c r="V31" s="7" t="n">
        <v>70001</v>
      </c>
      <c r="W31" s="7" t="n">
        <v>1</v>
      </c>
      <c r="X31" s="7" t="n">
        <v>1</v>
      </c>
      <c r="Y31" s="7" t="n">
        <v>8000</v>
      </c>
      <c r="Z31" s="7" t="n">
        <v>129</v>
      </c>
      <c r="AA31" s="7" t="n">
        <v>1</v>
      </c>
      <c r="AB31" t="n">
        <v>1001</v>
      </c>
      <c r="AC31" t="n">
        <v>100</v>
      </c>
      <c r="AD31" t="n">
        <v>1</v>
      </c>
    </row>
    <row r="32" ht="42.75" customHeight="1" s="142">
      <c r="A32" s="7" t="n">
        <v>130</v>
      </c>
      <c r="B32" s="7" t="inlineStr">
        <is>
          <t>tower</t>
        </is>
      </c>
      <c r="C32" s="7" t="n"/>
      <c r="D32" s="156" t="inlineStr">
        <is>
          <t>第30層</t>
        </is>
      </c>
      <c r="E32" s="7" t="n">
        <v>60</v>
      </c>
      <c r="F32" s="7" t="n"/>
      <c r="G32" s="82" t="inlineStr">
        <is>
          <t>{role:-1},
{id:-1},{id:-1},{id:-1},{id:-1},{id:-1}
{id:50006},{id:40063},{id:40020},{id:40025},{id:40038}</t>
        </is>
      </c>
      <c r="H32" s="47" t="n">
        <v>1</v>
      </c>
      <c r="I32" s="47" t="n"/>
      <c r="J32" s="83" t="inlineStr">
        <is>
          <t>大晴天</t>
        </is>
      </c>
      <c r="K32" s="47" t="inlineStr">
        <is>
          <t>buff</t>
        </is>
      </c>
      <c r="L32" s="47" t="n">
        <v>1001</v>
      </c>
      <c r="M32" s="47" t="inlineStr">
        <is>
          <t>1</t>
        </is>
      </c>
      <c r="N32" s="47" t="n"/>
      <c r="O32" s="47" t="n">
        <v>1</v>
      </c>
      <c r="P32" s="83" t="inlineStr">
        <is>
          <t>酸雨</t>
        </is>
      </c>
      <c r="Q32" s="47" t="inlineStr">
        <is>
          <t>debuff</t>
        </is>
      </c>
      <c r="R32" s="47" t="n">
        <v>2002</v>
      </c>
      <c r="S32" s="47" t="inlineStr">
        <is>
          <t>1,9,12</t>
        </is>
      </c>
      <c r="T32" s="47" t="n">
        <v>0</v>
      </c>
      <c r="U32" s="47" t="n">
        <v>1</v>
      </c>
      <c r="V32" s="7" t="n">
        <v>70001</v>
      </c>
      <c r="W32" s="7" t="n">
        <v>1</v>
      </c>
      <c r="X32" s="7" t="n">
        <v>1</v>
      </c>
      <c r="Y32" s="7" t="n">
        <v>8000</v>
      </c>
      <c r="Z32" s="7" t="n">
        <v>130</v>
      </c>
      <c r="AA32" s="7" t="n">
        <v>1</v>
      </c>
      <c r="AB32" t="n">
        <v>1001</v>
      </c>
      <c r="AC32" t="n">
        <v>1000</v>
      </c>
      <c r="AD32" t="n">
        <v>1</v>
      </c>
    </row>
    <row r="33" ht="42.75" customHeight="1" s="142">
      <c r="A33" s="7" t="n">
        <v>131</v>
      </c>
      <c r="B33" s="7" t="inlineStr">
        <is>
          <t>tower</t>
        </is>
      </c>
      <c r="C33" s="7" t="n"/>
      <c r="D33" s="156" t="inlineStr">
        <is>
          <t>第31層</t>
        </is>
      </c>
      <c r="E33" s="7" t="n">
        <v>62</v>
      </c>
      <c r="F33" s="7" t="n"/>
      <c r="G33" s="82" t="inlineStr">
        <is>
          <t>{role:-1},
{id:-1},{id:-1},{id:-1},{id:-1},{id:-1}
{id:40041},{id:40008},{id:40007},{id:40075},{id:40062}</t>
        </is>
      </c>
      <c r="H33" s="47" t="n">
        <v>1</v>
      </c>
      <c r="I33" s="47" t="n"/>
      <c r="J33" s="83" t="inlineStr">
        <is>
          <t>敵方弱化</t>
        </is>
      </c>
      <c r="K33" s="47" t="inlineStr">
        <is>
          <t>select_enemy</t>
        </is>
      </c>
      <c r="L33" s="47" t="inlineStr">
        <is>
          <t>2002,2003,2004</t>
        </is>
      </c>
      <c r="M33" s="47" t="inlineStr">
        <is>
          <t>1,3,9</t>
        </is>
      </c>
      <c r="N33" s="47" t="n">
        <v>1</v>
      </c>
      <c r="O33" s="47" t="n">
        <v>1</v>
      </c>
      <c r="P33" s="83" t="inlineStr">
        <is>
          <t>信號干擾</t>
        </is>
      </c>
      <c r="Q33" s="47" t="inlineStr">
        <is>
          <t>debuff</t>
        </is>
      </c>
      <c r="R33" s="47" t="n">
        <v>2004</v>
      </c>
      <c r="S33" s="47" t="inlineStr">
        <is>
          <t>2,3,13</t>
        </is>
      </c>
      <c r="T33" s="47" t="n">
        <v>0</v>
      </c>
      <c r="U33" s="47" t="n">
        <v>1</v>
      </c>
      <c r="V33" s="7" t="n">
        <v>70001</v>
      </c>
      <c r="W33" s="7" t="n">
        <v>1</v>
      </c>
      <c r="X33" s="7" t="n">
        <v>1</v>
      </c>
      <c r="Y33" s="7" t="n">
        <v>8000</v>
      </c>
      <c r="Z33" s="7" t="n">
        <v>131</v>
      </c>
      <c r="AA33" s="7" t="n">
        <v>1</v>
      </c>
      <c r="AB33" t="n">
        <v>1001</v>
      </c>
      <c r="AC33" t="n">
        <v>100</v>
      </c>
      <c r="AD33" t="n">
        <v>1</v>
      </c>
    </row>
    <row r="34" ht="42.75" customHeight="1" s="142">
      <c r="A34" s="7" t="n">
        <v>132</v>
      </c>
      <c r="B34" s="7" t="inlineStr">
        <is>
          <t>tower</t>
        </is>
      </c>
      <c r="C34" s="7" t="n"/>
      <c r="D34" s="156" t="inlineStr">
        <is>
          <t>第32層</t>
        </is>
      </c>
      <c r="E34" s="7" t="n">
        <v>64</v>
      </c>
      <c r="F34" s="7" t="n"/>
      <c r="G34" s="82" t="inlineStr">
        <is>
          <t>{role:-1},
{id:-1},{id:-1},{id:-1},{id:-1},{id:-1}
{id:40077},{id:40009},{id:40087},{id:40031},{id:40052}</t>
        </is>
      </c>
      <c r="H34" s="47" t="n">
        <v>1</v>
      </c>
      <c r="I34" s="47" t="n"/>
      <c r="J34" s="83" t="inlineStr">
        <is>
          <t>信息同享</t>
        </is>
      </c>
      <c r="K34" s="47" t="inlineStr">
        <is>
          <t>buff</t>
        </is>
      </c>
      <c r="L34" s="47" t="n">
        <v>1005</v>
      </c>
      <c r="M34" s="47" t="inlineStr">
        <is>
          <t>10</t>
        </is>
      </c>
      <c r="N34" s="47" t="n"/>
      <c r="O34" s="47" t="n">
        <v>1</v>
      </c>
      <c r="P34" s="83" t="inlineStr">
        <is>
          <t>泥濘</t>
        </is>
      </c>
      <c r="Q34" s="47" t="inlineStr">
        <is>
          <t>debuff</t>
        </is>
      </c>
      <c r="R34" s="47" t="n">
        <v>2005</v>
      </c>
      <c r="S34" s="47" t="inlineStr">
        <is>
          <t>10</t>
        </is>
      </c>
      <c r="T34" s="47" t="n">
        <v>0</v>
      </c>
      <c r="U34" s="47" t="n">
        <v>1</v>
      </c>
      <c r="V34" s="7" t="n">
        <v>70001</v>
      </c>
      <c r="W34" s="7" t="n">
        <v>1</v>
      </c>
      <c r="X34" s="7" t="n">
        <v>1</v>
      </c>
      <c r="Y34" s="7" t="n">
        <v>8000</v>
      </c>
      <c r="Z34" s="7" t="n">
        <v>132</v>
      </c>
      <c r="AA34" s="7" t="n">
        <v>1</v>
      </c>
      <c r="AB34" t="n">
        <v>1001</v>
      </c>
      <c r="AC34" t="n">
        <v>100</v>
      </c>
      <c r="AD34" t="n">
        <v>1</v>
      </c>
    </row>
    <row r="35" ht="42.75" customHeight="1" s="142">
      <c r="A35" s="7" t="n">
        <v>133</v>
      </c>
      <c r="B35" s="7" t="inlineStr">
        <is>
          <t>tower</t>
        </is>
      </c>
      <c r="C35" s="7" t="n"/>
      <c r="D35" s="156" t="inlineStr">
        <is>
          <t>第33層</t>
        </is>
      </c>
      <c r="E35" s="7" t="n">
        <v>66</v>
      </c>
      <c r="F35" s="7" t="n"/>
      <c r="G35" s="82" t="inlineStr">
        <is>
          <t>{role:-1},
{id:-1},{id:-1},{id:-1},{id:-1},{id:-1}
{id:40077},{id:40006},{id:40080},{id:40011},{id:40054}</t>
        </is>
      </c>
      <c r="H35" s="47" t="n">
        <v>1</v>
      </c>
      <c r="I35" s="47" t="n"/>
      <c r="J35" s="83" t="inlineStr">
        <is>
          <t>敵方弱化</t>
        </is>
      </c>
      <c r="K35" s="47" t="inlineStr">
        <is>
          <t>select_enemy</t>
        </is>
      </c>
      <c r="L35" s="47" t="inlineStr">
        <is>
          <t>2002,2003,2004</t>
        </is>
      </c>
      <c r="M35" s="47" t="inlineStr">
        <is>
          <t>9,10,13</t>
        </is>
      </c>
      <c r="N35" s="47" t="n">
        <v>1</v>
      </c>
      <c r="O35" s="47" t="n">
        <v>1</v>
      </c>
      <c r="P35" s="83" t="inlineStr">
        <is>
          <t>酸雨</t>
        </is>
      </c>
      <c r="Q35" s="47" t="inlineStr">
        <is>
          <t>debuff</t>
        </is>
      </c>
      <c r="R35" s="47" t="n">
        <v>2002</v>
      </c>
      <c r="S35" s="47" t="inlineStr">
        <is>
          <t>4,5</t>
        </is>
      </c>
      <c r="T35" s="47" t="n">
        <v>0</v>
      </c>
      <c r="U35" s="47" t="n">
        <v>1</v>
      </c>
      <c r="V35" s="7" t="n">
        <v>70001</v>
      </c>
      <c r="W35" s="7" t="n">
        <v>1</v>
      </c>
      <c r="X35" s="7" t="n">
        <v>1</v>
      </c>
      <c r="Y35" s="7" t="n">
        <v>8000</v>
      </c>
      <c r="Z35" s="7" t="n">
        <v>133</v>
      </c>
      <c r="AA35" s="7" t="n">
        <v>1</v>
      </c>
      <c r="AB35" t="n">
        <v>1001</v>
      </c>
      <c r="AC35" t="n">
        <v>100</v>
      </c>
      <c r="AD35" t="n">
        <v>1</v>
      </c>
    </row>
    <row r="36" ht="42.75" customHeight="1" s="142">
      <c r="A36" s="7" t="n">
        <v>134</v>
      </c>
      <c r="B36" s="7" t="inlineStr">
        <is>
          <t>tower</t>
        </is>
      </c>
      <c r="C36" s="7" t="n"/>
      <c r="D36" s="156" t="inlineStr">
        <is>
          <t>第34層</t>
        </is>
      </c>
      <c r="E36" s="7" t="n">
        <v>68</v>
      </c>
      <c r="F36" s="7" t="n"/>
      <c r="G36" s="82" t="inlineStr">
        <is>
          <t>{role:-1},
{id:-1},{id:-1},{id:-1},{id:-1},{id:-1}
{id:40086},{id:40041},{id:40031},{id:40034},{id:40051}</t>
        </is>
      </c>
      <c r="H36" s="47" t="n">
        <v>1</v>
      </c>
      <c r="I36" s="47" t="n"/>
      <c r="J36" s="83" t="inlineStr">
        <is>
          <t>磁場共振</t>
        </is>
      </c>
      <c r="K36" s="47" t="inlineStr">
        <is>
          <t>buff</t>
        </is>
      </c>
      <c r="L36" s="47" t="n">
        <v>1003</v>
      </c>
      <c r="M36" s="47" t="inlineStr">
        <is>
          <t>11</t>
        </is>
      </c>
      <c r="N36" s="47" t="n"/>
      <c r="O36" s="47" t="n">
        <v>1</v>
      </c>
      <c r="P36" s="83" t="inlineStr">
        <is>
          <t>信號干擾</t>
        </is>
      </c>
      <c r="Q36" s="47" t="inlineStr">
        <is>
          <t>debuff</t>
        </is>
      </c>
      <c r="R36" s="47" t="n">
        <v>2004</v>
      </c>
      <c r="S36" s="47" t="inlineStr">
        <is>
          <t>5,6,8</t>
        </is>
      </c>
      <c r="T36" s="47" t="n">
        <v>0</v>
      </c>
      <c r="U36" s="47" t="n">
        <v>1</v>
      </c>
      <c r="V36" s="7" t="n">
        <v>70001</v>
      </c>
      <c r="W36" s="7" t="n">
        <v>1</v>
      </c>
      <c r="X36" s="7" t="n">
        <v>1</v>
      </c>
      <c r="Y36" s="7" t="n">
        <v>8000</v>
      </c>
      <c r="Z36" s="7" t="n">
        <v>134</v>
      </c>
      <c r="AA36" s="7" t="n">
        <v>1</v>
      </c>
      <c r="AB36" t="n">
        <v>1001</v>
      </c>
      <c r="AC36" t="n">
        <v>100</v>
      </c>
      <c r="AD36" t="n">
        <v>1</v>
      </c>
    </row>
    <row r="37" ht="42.75" customHeight="1" s="142">
      <c r="A37" s="7" t="n">
        <v>135</v>
      </c>
      <c r="B37" s="7" t="inlineStr">
        <is>
          <t>tower</t>
        </is>
      </c>
      <c r="C37" s="7" t="n"/>
      <c r="D37" s="156" t="inlineStr">
        <is>
          <t>第35層</t>
        </is>
      </c>
      <c r="E37" s="7" t="n">
        <v>70</v>
      </c>
      <c r="F37" s="7" t="n"/>
      <c r="G37" s="82" t="inlineStr">
        <is>
          <t>{role:-1},
{id:-1},{id:-1},{id:-1},{id:-1},{id:-1}
{id:50007},{id:40010},{id:40002},{id:40059},{id:40080}</t>
        </is>
      </c>
      <c r="H37" s="47" t="n">
        <v>1</v>
      </c>
      <c r="I37" s="47" t="n"/>
      <c r="J37" s="83" t="inlineStr">
        <is>
          <t>敵方弱化</t>
        </is>
      </c>
      <c r="K37" s="47" t="inlineStr">
        <is>
          <t>select_enemy</t>
        </is>
      </c>
      <c r="L37" s="47" t="inlineStr">
        <is>
          <t>2002,2003,2004</t>
        </is>
      </c>
      <c r="M37" s="47" t="inlineStr">
        <is>
          <t>2,9,13</t>
        </is>
      </c>
      <c r="N37" s="47" t="n">
        <v>1</v>
      </c>
      <c r="O37" s="47" t="n">
        <v>1</v>
      </c>
      <c r="P37" s="83" t="inlineStr">
        <is>
          <t>泥濘</t>
        </is>
      </c>
      <c r="Q37" s="47" t="inlineStr">
        <is>
          <t>debuff</t>
        </is>
      </c>
      <c r="R37" s="47" t="n">
        <v>2005</v>
      </c>
      <c r="S37" s="47" t="inlineStr">
        <is>
          <t>9</t>
        </is>
      </c>
      <c r="T37" s="47" t="n">
        <v>0</v>
      </c>
      <c r="U37" s="47" t="n">
        <v>1</v>
      </c>
      <c r="V37" s="7" t="n">
        <v>70001</v>
      </c>
      <c r="W37" s="7" t="n">
        <v>1</v>
      </c>
      <c r="X37" s="7" t="n">
        <v>1</v>
      </c>
      <c r="Y37" s="7" t="n">
        <v>8000</v>
      </c>
      <c r="Z37" s="7" t="n">
        <v>135</v>
      </c>
      <c r="AA37" s="7" t="n">
        <v>1</v>
      </c>
      <c r="AB37" t="n">
        <v>1001</v>
      </c>
      <c r="AC37" t="n">
        <v>100</v>
      </c>
      <c r="AD37" t="n">
        <v>1</v>
      </c>
    </row>
    <row r="38" ht="42.75" customHeight="1" s="142">
      <c r="A38" s="7" t="n">
        <v>136</v>
      </c>
      <c r="B38" s="7" t="inlineStr">
        <is>
          <t>tower</t>
        </is>
      </c>
      <c r="C38" s="7" t="n"/>
      <c r="D38" s="156" t="inlineStr">
        <is>
          <t>第36層</t>
        </is>
      </c>
      <c r="E38" s="7" t="n">
        <v>72</v>
      </c>
      <c r="F38" s="7" t="n"/>
      <c r="G38" s="82" t="inlineStr">
        <is>
          <t>{role:-1},
{id:-1},{id:-1},{id:-1},{id:-1},{id:-1}
{id:40034},{id:40017},{id:40045},{id:40009},{id:40032}</t>
        </is>
      </c>
      <c r="H38" s="47" t="n">
        <v>1</v>
      </c>
      <c r="I38" s="47" t="n"/>
      <c r="J38" s="83" t="inlineStr">
        <is>
          <t>大晴天</t>
        </is>
      </c>
      <c r="K38" s="47" t="inlineStr">
        <is>
          <t>buff</t>
        </is>
      </c>
      <c r="L38" s="47" t="n">
        <v>1001</v>
      </c>
      <c r="M38" s="47" t="inlineStr">
        <is>
          <t>3,5</t>
        </is>
      </c>
      <c r="N38" s="47" t="n"/>
      <c r="O38" s="47" t="n">
        <v>1</v>
      </c>
      <c r="P38" s="83" t="inlineStr">
        <is>
          <t>酸雨</t>
        </is>
      </c>
      <c r="Q38" s="47" t="inlineStr">
        <is>
          <t>debuff</t>
        </is>
      </c>
      <c r="R38" s="47" t="n">
        <v>2002</v>
      </c>
      <c r="S38" s="47" t="inlineStr">
        <is>
          <t>9,12</t>
        </is>
      </c>
      <c r="T38" s="47" t="n">
        <v>0</v>
      </c>
      <c r="U38" s="47" t="n">
        <v>1</v>
      </c>
      <c r="V38" s="7" t="n">
        <v>70001</v>
      </c>
      <c r="W38" s="7" t="n">
        <v>1</v>
      </c>
      <c r="X38" s="7" t="n">
        <v>1</v>
      </c>
      <c r="Y38" s="7" t="n">
        <v>8000</v>
      </c>
      <c r="Z38" s="7" t="n">
        <v>136</v>
      </c>
      <c r="AA38" s="7" t="n">
        <v>1</v>
      </c>
      <c r="AB38" t="n">
        <v>1001</v>
      </c>
      <c r="AC38" t="n">
        <v>100</v>
      </c>
      <c r="AD38" t="n">
        <v>1</v>
      </c>
    </row>
    <row r="39" ht="47.25" customHeight="1" s="142">
      <c r="A39" s="95" t="n">
        <v>137</v>
      </c>
      <c r="B39" s="95" t="inlineStr">
        <is>
          <t>tower</t>
        </is>
      </c>
      <c r="C39" s="95" t="n"/>
      <c r="D39" s="156" t="inlineStr">
        <is>
          <t>第37層</t>
        </is>
      </c>
      <c r="E39" s="95" t="n">
        <v>74</v>
      </c>
      <c r="F39" s="96" t="n"/>
      <c r="G39" s="97" t="inlineStr">
        <is>
          <t>{role:-1},
{id:-1},{id:-1},{id:-1},{id:-1},{id:-1}
{id:40039},{id:40079},{id:40084},{id:40068},{id:40002}</t>
        </is>
      </c>
      <c r="H39" s="98" t="n">
        <v>1</v>
      </c>
      <c r="I39" s="98" t="n"/>
      <c r="J39" s="99" t="inlineStr">
        <is>
          <t>敵方弱化</t>
        </is>
      </c>
      <c r="K39" s="98" t="inlineStr">
        <is>
          <t>select_enemy</t>
        </is>
      </c>
      <c r="L39" s="98" t="inlineStr">
        <is>
          <t>2002,2003,2004</t>
        </is>
      </c>
      <c r="M39" s="98" t="inlineStr">
        <is>
          <t>5,9,11</t>
        </is>
      </c>
      <c r="N39" s="98" t="n">
        <v>1</v>
      </c>
      <c r="O39" s="98" t="n">
        <v>1</v>
      </c>
      <c r="P39" s="99" t="inlineStr">
        <is>
          <t>信號干擾</t>
        </is>
      </c>
      <c r="Q39" s="98" t="inlineStr">
        <is>
          <t>debuff</t>
        </is>
      </c>
      <c r="R39" s="98" t="n">
        <v>2004</v>
      </c>
      <c r="S39" s="98" t="inlineStr">
        <is>
          <t>3</t>
        </is>
      </c>
      <c r="T39" s="98" t="n">
        <v>0</v>
      </c>
      <c r="U39" s="47" t="n">
        <v>1</v>
      </c>
      <c r="V39" s="95" t="n">
        <v>70001</v>
      </c>
      <c r="W39" s="95" t="n">
        <v>1</v>
      </c>
      <c r="X39" s="95" t="n">
        <v>1</v>
      </c>
      <c r="Y39" s="95" t="n">
        <v>8000</v>
      </c>
      <c r="Z39" s="95" t="n">
        <v>137</v>
      </c>
      <c r="AA39" s="95" t="n">
        <v>1</v>
      </c>
      <c r="AB39" s="95" t="n">
        <v>1001</v>
      </c>
      <c r="AC39" s="95" t="n">
        <v>100</v>
      </c>
      <c r="AD39" s="95" t="n">
        <v>1</v>
      </c>
      <c r="AE39" s="95" t="n"/>
      <c r="AF39" s="95" t="n"/>
      <c r="AG39" s="95" t="n"/>
      <c r="AH39" s="95" t="n"/>
      <c r="AI39" s="95" t="n"/>
      <c r="AJ39" s="95" t="n"/>
    </row>
    <row r="40" ht="42.75" customHeight="1" s="142">
      <c r="A40" s="7" t="n">
        <v>138</v>
      </c>
      <c r="B40" s="7" t="inlineStr">
        <is>
          <t>tower</t>
        </is>
      </c>
      <c r="C40" s="7" t="n"/>
      <c r="D40" s="156" t="inlineStr">
        <is>
          <t>第38層</t>
        </is>
      </c>
      <c r="E40" s="7" t="n">
        <v>76</v>
      </c>
      <c r="F40" s="7" t="n"/>
      <c r="G40" s="82" t="inlineStr">
        <is>
          <t>{role:-1},
{id:-1},{id:-1},{id:-1},{id:-1},{id:-1}
{id:40034},{id:40015},{id:40014},{id:40071},{id:40020}</t>
        </is>
      </c>
      <c r="H40" s="47" t="n">
        <v>1</v>
      </c>
      <c r="I40" s="47" t="n"/>
      <c r="J40" s="83" t="inlineStr">
        <is>
          <t>信息同享</t>
        </is>
      </c>
      <c r="K40" s="47" t="inlineStr">
        <is>
          <t>buff</t>
        </is>
      </c>
      <c r="L40" s="47" t="n">
        <v>1005</v>
      </c>
      <c r="M40" s="47" t="inlineStr">
        <is>
          <t>5,10</t>
        </is>
      </c>
      <c r="N40" s="47" t="n"/>
      <c r="O40" s="47" t="n">
        <v>1</v>
      </c>
      <c r="P40" s="83" t="inlineStr">
        <is>
          <t>泥濘</t>
        </is>
      </c>
      <c r="Q40" s="47" t="inlineStr">
        <is>
          <t>debuff</t>
        </is>
      </c>
      <c r="R40" s="47" t="n">
        <v>2005</v>
      </c>
      <c r="S40" s="47" t="inlineStr">
        <is>
          <t>12</t>
        </is>
      </c>
      <c r="T40" s="47" t="n">
        <v>0</v>
      </c>
      <c r="U40" s="47" t="n">
        <v>1</v>
      </c>
      <c r="V40" s="7" t="n">
        <v>70001</v>
      </c>
      <c r="W40" s="7" t="n">
        <v>1</v>
      </c>
      <c r="X40" s="7" t="n">
        <v>1</v>
      </c>
      <c r="Y40" s="7" t="n">
        <v>8000</v>
      </c>
      <c r="Z40" s="7" t="n">
        <v>138</v>
      </c>
      <c r="AA40" s="7" t="n">
        <v>1</v>
      </c>
      <c r="AB40" t="n">
        <v>1001</v>
      </c>
      <c r="AC40" t="n">
        <v>100</v>
      </c>
      <c r="AD40" t="n">
        <v>1</v>
      </c>
    </row>
    <row r="41" ht="42.75" customHeight="1" s="142">
      <c r="A41" s="7" t="n">
        <v>139</v>
      </c>
      <c r="B41" s="7" t="inlineStr">
        <is>
          <t>tower</t>
        </is>
      </c>
      <c r="C41" s="7" t="n"/>
      <c r="D41" s="156" t="inlineStr">
        <is>
          <t>第39層</t>
        </is>
      </c>
      <c r="E41" s="7" t="n">
        <v>78</v>
      </c>
      <c r="F41" s="7" t="n"/>
      <c r="G41" s="82" t="inlineStr">
        <is>
          <t>{role:-1},
{id:-1},{id:-1},{id:-1},{id:-1},{id:-1}
{id:40044},{id:40027},{id:40082},{id:40034},{id:40065}</t>
        </is>
      </c>
      <c r="H41" s="47" t="n">
        <v>1</v>
      </c>
      <c r="I41" s="47" t="n"/>
      <c r="J41" s="83" t="inlineStr">
        <is>
          <t>敵方弱化</t>
        </is>
      </c>
      <c r="K41" s="47" t="inlineStr">
        <is>
          <t>select_enemy</t>
        </is>
      </c>
      <c r="L41" s="47" t="inlineStr">
        <is>
          <t>2002,2003,2004</t>
        </is>
      </c>
      <c r="M41" s="47" t="inlineStr">
        <is>
          <t>1,5</t>
        </is>
      </c>
      <c r="N41" s="47" t="n">
        <v>1</v>
      </c>
      <c r="O41" s="47" t="n">
        <v>1</v>
      </c>
      <c r="P41" s="83" t="inlineStr">
        <is>
          <t>酸雨</t>
        </is>
      </c>
      <c r="Q41" s="47" t="inlineStr">
        <is>
          <t>debuff</t>
        </is>
      </c>
      <c r="R41" s="47" t="n">
        <v>2002</v>
      </c>
      <c r="S41" s="47" t="inlineStr">
        <is>
          <t>11</t>
        </is>
      </c>
      <c r="T41" s="47" t="n">
        <v>0</v>
      </c>
      <c r="U41" s="47" t="n">
        <v>1</v>
      </c>
      <c r="V41" s="7" t="n">
        <v>70001</v>
      </c>
      <c r="W41" s="7" t="n">
        <v>1</v>
      </c>
      <c r="X41" s="7" t="n">
        <v>1</v>
      </c>
      <c r="Y41" s="7" t="n">
        <v>8000</v>
      </c>
      <c r="Z41" s="7" t="n">
        <v>139</v>
      </c>
      <c r="AA41" s="7" t="n">
        <v>1</v>
      </c>
      <c r="AB41" t="n">
        <v>1001</v>
      </c>
      <c r="AC41" t="n">
        <v>100</v>
      </c>
      <c r="AD41" t="n">
        <v>1</v>
      </c>
    </row>
    <row r="42" ht="42.75" customHeight="1" s="142">
      <c r="A42" s="7" t="n">
        <v>140</v>
      </c>
      <c r="B42" s="7" t="inlineStr">
        <is>
          <t>tower</t>
        </is>
      </c>
      <c r="C42" s="7" t="n"/>
      <c r="D42" s="156" t="inlineStr">
        <is>
          <t>第40層</t>
        </is>
      </c>
      <c r="E42" s="7" t="n">
        <v>80</v>
      </c>
      <c r="F42" s="7" t="n"/>
      <c r="G42" s="82" t="inlineStr">
        <is>
          <t>{role:-1},
{id:-1},{id:-1},{id:-1},{id:-1},{id:-1}
{id:50008},{id:40055},{id:40036},{id:40006},{id:40001}</t>
        </is>
      </c>
      <c r="H42" s="47" t="n">
        <v>1</v>
      </c>
      <c r="I42" s="47" t="n"/>
      <c r="J42" s="83" t="inlineStr">
        <is>
          <t>磁場共振</t>
        </is>
      </c>
      <c r="K42" s="47" t="inlineStr">
        <is>
          <t>buff</t>
        </is>
      </c>
      <c r="L42" s="47" t="n">
        <v>1003</v>
      </c>
      <c r="M42" s="47" t="inlineStr">
        <is>
          <t>3,13</t>
        </is>
      </c>
      <c r="N42" s="47" t="n"/>
      <c r="O42" s="47" t="n">
        <v>1</v>
      </c>
      <c r="P42" s="83" t="inlineStr">
        <is>
          <t>信號干擾</t>
        </is>
      </c>
      <c r="Q42" s="47" t="inlineStr">
        <is>
          <t>debuff</t>
        </is>
      </c>
      <c r="R42" s="47" t="n">
        <v>2004</v>
      </c>
      <c r="S42" s="47" t="inlineStr">
        <is>
          <t>3,5,8</t>
        </is>
      </c>
      <c r="T42" s="47" t="n">
        <v>0</v>
      </c>
      <c r="U42" s="47" t="n">
        <v>1</v>
      </c>
      <c r="V42" s="7" t="n">
        <v>70001</v>
      </c>
      <c r="W42" s="7" t="n">
        <v>1</v>
      </c>
      <c r="X42" s="7" t="n">
        <v>1</v>
      </c>
      <c r="Y42" s="7" t="n">
        <v>8000</v>
      </c>
      <c r="Z42" s="7" t="n">
        <v>140</v>
      </c>
      <c r="AA42" s="7" t="n">
        <v>1</v>
      </c>
      <c r="AB42" t="n">
        <v>1001</v>
      </c>
      <c r="AC42" t="n">
        <v>1000</v>
      </c>
      <c r="AD42" t="n">
        <v>1</v>
      </c>
    </row>
    <row r="43" ht="42.75" customHeight="1" s="142">
      <c r="A43" s="7" t="n">
        <v>141</v>
      </c>
      <c r="B43" s="7" t="inlineStr">
        <is>
          <t>tower</t>
        </is>
      </c>
      <c r="C43" s="7" t="n"/>
      <c r="D43" s="156" t="inlineStr">
        <is>
          <t>第41層</t>
        </is>
      </c>
      <c r="E43" s="7" t="n">
        <v>82</v>
      </c>
      <c r="F43" s="7" t="n"/>
      <c r="G43" s="82" t="inlineStr">
        <is>
          <t>{role:-1},
{id:-1},{id:-1},{id:-1},{id:-1},{id:-1}
{id:40071},{id:40055},{id:40072},{id:40002},{id:40015}</t>
        </is>
      </c>
      <c r="H43" s="47" t="n">
        <v>1</v>
      </c>
      <c r="I43" s="47" t="n"/>
      <c r="J43" s="83" t="inlineStr">
        <is>
          <t>敵方弱化</t>
        </is>
      </c>
      <c r="K43" s="47" t="inlineStr">
        <is>
          <t>select_enemy</t>
        </is>
      </c>
      <c r="L43" s="47" t="inlineStr">
        <is>
          <t>2002,2003,2004</t>
        </is>
      </c>
      <c r="M43" s="47" t="inlineStr">
        <is>
          <t>12</t>
        </is>
      </c>
      <c r="N43" s="47" t="n">
        <v>1</v>
      </c>
      <c r="O43" s="47" t="n">
        <v>1</v>
      </c>
      <c r="P43" s="83" t="inlineStr">
        <is>
          <t>泥濘</t>
        </is>
      </c>
      <c r="Q43" s="47" t="inlineStr">
        <is>
          <t>debuff</t>
        </is>
      </c>
      <c r="R43" s="47" t="n">
        <v>2005</v>
      </c>
      <c r="S43" s="47" t="inlineStr">
        <is>
          <t>9</t>
        </is>
      </c>
      <c r="T43" s="47" t="n">
        <v>0</v>
      </c>
      <c r="U43" s="47" t="n">
        <v>1</v>
      </c>
      <c r="V43" s="7" t="n">
        <v>70001</v>
      </c>
      <c r="W43" s="7" t="n">
        <v>1</v>
      </c>
      <c r="X43" s="7" t="n">
        <v>1</v>
      </c>
      <c r="Y43" s="7" t="n">
        <v>8000</v>
      </c>
      <c r="Z43" s="7" t="n">
        <v>141</v>
      </c>
      <c r="AA43" s="7" t="n">
        <v>1</v>
      </c>
      <c r="AB43" t="n">
        <v>1001</v>
      </c>
      <c r="AC43" t="n">
        <v>100</v>
      </c>
      <c r="AD43" t="n">
        <v>1</v>
      </c>
    </row>
    <row r="44" ht="42.75" customHeight="1" s="142">
      <c r="A44" s="7" t="n">
        <v>142</v>
      </c>
      <c r="B44" s="7" t="inlineStr">
        <is>
          <t>tower</t>
        </is>
      </c>
      <c r="C44" s="7" t="n"/>
      <c r="D44" s="156" t="inlineStr">
        <is>
          <t>第42層</t>
        </is>
      </c>
      <c r="E44" s="7" t="n">
        <v>84</v>
      </c>
      <c r="F44" s="7" t="n"/>
      <c r="G44" s="82" t="inlineStr">
        <is>
          <t>{role:-1},
{id:-1},{id:-1},{id:-1},{id:-1},{id:-1}
{id:40005},{id:40048},{id:40075},{id:40071},{id:40019}</t>
        </is>
      </c>
      <c r="H44" s="47" t="n">
        <v>1</v>
      </c>
      <c r="I44" s="47" t="n"/>
      <c r="J44" s="83" t="inlineStr">
        <is>
          <t>大晴天</t>
        </is>
      </c>
      <c r="K44" s="47" t="inlineStr">
        <is>
          <t>buff</t>
        </is>
      </c>
      <c r="L44" s="47" t="n">
        <v>1001</v>
      </c>
      <c r="M44" s="47" t="inlineStr">
        <is>
          <t>1,3</t>
        </is>
      </c>
      <c r="N44" s="47" t="n"/>
      <c r="O44" s="47" t="n">
        <v>1</v>
      </c>
      <c r="P44" s="83" t="inlineStr">
        <is>
          <t>酸雨</t>
        </is>
      </c>
      <c r="Q44" s="47" t="inlineStr">
        <is>
          <t>debuff</t>
        </is>
      </c>
      <c r="R44" s="47" t="n">
        <v>2002</v>
      </c>
      <c r="S44" s="47" t="inlineStr">
        <is>
          <t>1,6</t>
        </is>
      </c>
      <c r="T44" s="47" t="n">
        <v>0</v>
      </c>
      <c r="U44" s="47" t="n">
        <v>1</v>
      </c>
      <c r="V44" s="7" t="n">
        <v>70001</v>
      </c>
      <c r="W44" s="7" t="n">
        <v>1</v>
      </c>
      <c r="X44" s="7" t="n">
        <v>1</v>
      </c>
      <c r="Y44" s="7" t="n">
        <v>8000</v>
      </c>
      <c r="Z44" s="7" t="n">
        <v>142</v>
      </c>
      <c r="AA44" s="7" t="n">
        <v>1</v>
      </c>
      <c r="AB44" t="n">
        <v>1001</v>
      </c>
      <c r="AC44" t="n">
        <v>100</v>
      </c>
      <c r="AD44" t="n">
        <v>1</v>
      </c>
    </row>
    <row r="45" ht="42.75" customHeight="1" s="142">
      <c r="A45" s="7" t="n">
        <v>143</v>
      </c>
      <c r="B45" s="7" t="inlineStr">
        <is>
          <t>tower</t>
        </is>
      </c>
      <c r="C45" s="7" t="n"/>
      <c r="D45" s="156" t="inlineStr">
        <is>
          <t>第43層</t>
        </is>
      </c>
      <c r="E45" s="7" t="n">
        <v>86</v>
      </c>
      <c r="F45" s="7" t="n"/>
      <c r="G45" s="82" t="inlineStr">
        <is>
          <t>{role:-1},
{id:-1},{id:-1},{id:-1},{id:-1},{id:-1}
{id:40046},{id:40027},{id:40032},{id:40086},{id:40014}</t>
        </is>
      </c>
      <c r="H45" s="47" t="n">
        <v>1</v>
      </c>
      <c r="I45" s="47" t="n"/>
      <c r="J45" s="83" t="inlineStr">
        <is>
          <t>敵方弱化</t>
        </is>
      </c>
      <c r="K45" s="47" t="inlineStr">
        <is>
          <t>select_enemy</t>
        </is>
      </c>
      <c r="L45" s="47" t="inlineStr">
        <is>
          <t>2002,2003,2004</t>
        </is>
      </c>
      <c r="M45" s="47" t="inlineStr">
        <is>
          <t>9,13</t>
        </is>
      </c>
      <c r="N45" s="47" t="n">
        <v>1</v>
      </c>
      <c r="O45" s="47" t="n">
        <v>1</v>
      </c>
      <c r="P45" s="83" t="inlineStr">
        <is>
          <t>信號干擾</t>
        </is>
      </c>
      <c r="Q45" s="47" t="inlineStr">
        <is>
          <t>debuff</t>
        </is>
      </c>
      <c r="R45" s="47" t="n">
        <v>2004</v>
      </c>
      <c r="S45" s="47" t="inlineStr">
        <is>
          <t>10,12</t>
        </is>
      </c>
      <c r="T45" s="47" t="n">
        <v>0</v>
      </c>
      <c r="U45" s="47" t="n">
        <v>1</v>
      </c>
      <c r="V45" s="7" t="n">
        <v>70001</v>
      </c>
      <c r="W45" s="7" t="n">
        <v>1</v>
      </c>
      <c r="X45" s="7" t="n">
        <v>1</v>
      </c>
      <c r="Y45" s="7" t="n">
        <v>8000</v>
      </c>
      <c r="Z45" s="7" t="n">
        <v>143</v>
      </c>
      <c r="AA45" s="7" t="n">
        <v>1</v>
      </c>
      <c r="AB45" t="n">
        <v>1001</v>
      </c>
      <c r="AC45" t="n">
        <v>100</v>
      </c>
      <c r="AD45" t="n">
        <v>1</v>
      </c>
    </row>
    <row r="46" ht="42.75" customHeight="1" s="142">
      <c r="A46" s="7" t="n">
        <v>144</v>
      </c>
      <c r="B46" s="7" t="inlineStr">
        <is>
          <t>tower</t>
        </is>
      </c>
      <c r="C46" s="7" t="n"/>
      <c r="D46" s="156" t="inlineStr">
        <is>
          <t>第44層</t>
        </is>
      </c>
      <c r="E46" s="7" t="n">
        <v>88</v>
      </c>
      <c r="F46" s="7" t="n"/>
      <c r="G46" s="82" t="inlineStr">
        <is>
          <t>{role:-1},
{id:-1},{id:-1},{id:-1},{id:-1},{id:-1}
{id:40020},{id:40031},{id:40021},{id:40023},{id:40053}</t>
        </is>
      </c>
      <c r="H46" s="47" t="n">
        <v>1</v>
      </c>
      <c r="I46" s="47" t="n"/>
      <c r="J46" s="83" t="inlineStr">
        <is>
          <t>信息同享</t>
        </is>
      </c>
      <c r="K46" s="47" t="inlineStr">
        <is>
          <t>buff</t>
        </is>
      </c>
      <c r="L46" s="47" t="n">
        <v>1005</v>
      </c>
      <c r="M46" s="47" t="inlineStr">
        <is>
          <t>3</t>
        </is>
      </c>
      <c r="N46" s="47" t="n"/>
      <c r="O46" s="47" t="n">
        <v>1</v>
      </c>
      <c r="P46" s="83" t="inlineStr">
        <is>
          <t>泥濘</t>
        </is>
      </c>
      <c r="Q46" s="47" t="inlineStr">
        <is>
          <t>debuff</t>
        </is>
      </c>
      <c r="R46" s="47" t="n">
        <v>2005</v>
      </c>
      <c r="S46" s="47" t="inlineStr">
        <is>
          <t>6,7,11</t>
        </is>
      </c>
      <c r="T46" s="47" t="n">
        <v>0</v>
      </c>
      <c r="U46" s="47" t="n">
        <v>1</v>
      </c>
      <c r="V46" s="7" t="n">
        <v>70001</v>
      </c>
      <c r="W46" s="7" t="n">
        <v>1</v>
      </c>
      <c r="X46" s="7" t="n">
        <v>1</v>
      </c>
      <c r="Y46" s="7" t="n">
        <v>8000</v>
      </c>
      <c r="Z46" s="7" t="n">
        <v>144</v>
      </c>
      <c r="AA46" s="7" t="n">
        <v>1</v>
      </c>
      <c r="AB46" t="n">
        <v>1001</v>
      </c>
      <c r="AC46" t="n">
        <v>100</v>
      </c>
      <c r="AD46" t="n">
        <v>1</v>
      </c>
    </row>
    <row r="47" ht="42.75" customHeight="1" s="142">
      <c r="A47" s="7" t="n">
        <v>145</v>
      </c>
      <c r="B47" s="7" t="inlineStr">
        <is>
          <t>tower</t>
        </is>
      </c>
      <c r="C47" s="7" t="n"/>
      <c r="D47" s="156" t="inlineStr">
        <is>
          <t>第45層</t>
        </is>
      </c>
      <c r="E47" s="7" t="n">
        <v>90</v>
      </c>
      <c r="F47" s="7" t="n"/>
      <c r="G47" s="82" t="inlineStr">
        <is>
          <t>{role:-1},
{id:-1},{id:-1},{id:-1},{id:-1},{id:-1}
{id:50009},{id:40032},{id:40035},{id:40021},{id:40014}</t>
        </is>
      </c>
      <c r="H47" s="47" t="n">
        <v>1</v>
      </c>
      <c r="I47" s="47" t="n"/>
      <c r="J47" s="83" t="inlineStr">
        <is>
          <t>敵方弱化</t>
        </is>
      </c>
      <c r="K47" s="47" t="inlineStr">
        <is>
          <t>select_enemy</t>
        </is>
      </c>
      <c r="L47" s="47" t="inlineStr">
        <is>
          <t>2002,2003,2004</t>
        </is>
      </c>
      <c r="M47" s="47" t="inlineStr">
        <is>
          <t>1,8</t>
        </is>
      </c>
      <c r="N47" s="47" t="n">
        <v>1</v>
      </c>
      <c r="O47" s="47" t="n">
        <v>1</v>
      </c>
      <c r="P47" s="83" t="inlineStr">
        <is>
          <t>酸雨</t>
        </is>
      </c>
      <c r="Q47" s="47" t="inlineStr">
        <is>
          <t>debuff</t>
        </is>
      </c>
      <c r="R47" s="47" t="n">
        <v>2002</v>
      </c>
      <c r="S47" s="47" t="inlineStr">
        <is>
          <t>4</t>
        </is>
      </c>
      <c r="T47" s="47" t="n">
        <v>0</v>
      </c>
      <c r="U47" s="47" t="n">
        <v>1</v>
      </c>
      <c r="V47" s="7" t="n">
        <v>70001</v>
      </c>
      <c r="W47" s="7" t="n">
        <v>1</v>
      </c>
      <c r="X47" s="7" t="n">
        <v>1</v>
      </c>
      <c r="Y47" s="7" t="n">
        <v>8000</v>
      </c>
      <c r="Z47" s="7" t="n">
        <v>145</v>
      </c>
      <c r="AA47" s="7" t="n">
        <v>1</v>
      </c>
      <c r="AB47" t="n">
        <v>1001</v>
      </c>
      <c r="AC47" t="n">
        <v>100</v>
      </c>
      <c r="AD47" t="n">
        <v>1</v>
      </c>
    </row>
    <row r="48" ht="42.75" customHeight="1" s="142">
      <c r="A48" s="7" t="n">
        <v>146</v>
      </c>
      <c r="B48" s="7" t="inlineStr">
        <is>
          <t>tower</t>
        </is>
      </c>
      <c r="C48" s="7" t="n"/>
      <c r="D48" s="156" t="inlineStr">
        <is>
          <t>第46層</t>
        </is>
      </c>
      <c r="E48" s="7" t="n">
        <v>92</v>
      </c>
      <c r="F48" s="7" t="n"/>
      <c r="G48" s="82" t="inlineStr">
        <is>
          <t>{role:-1},
{id:-1},{id:-1},{id:-1},{id:-1},{id:-1}
{id:40059},{id:40045},{id:40040},{id:40030},{id:40029}</t>
        </is>
      </c>
      <c r="H48" s="47" t="n">
        <v>1</v>
      </c>
      <c r="I48" s="47" t="n"/>
      <c r="J48" s="83" t="inlineStr">
        <is>
          <t>磁場共振</t>
        </is>
      </c>
      <c r="K48" s="47" t="inlineStr">
        <is>
          <t>buff</t>
        </is>
      </c>
      <c r="L48" s="47" t="n">
        <v>1003</v>
      </c>
      <c r="M48" s="47" t="inlineStr">
        <is>
          <t>11</t>
        </is>
      </c>
      <c r="N48" s="47" t="n"/>
      <c r="O48" s="47" t="n">
        <v>1</v>
      </c>
      <c r="P48" s="83" t="inlineStr">
        <is>
          <t>信號干擾</t>
        </is>
      </c>
      <c r="Q48" s="47" t="inlineStr">
        <is>
          <t>debuff</t>
        </is>
      </c>
      <c r="R48" s="47" t="n">
        <v>2004</v>
      </c>
      <c r="S48" s="47" t="inlineStr">
        <is>
          <t>7</t>
        </is>
      </c>
      <c r="T48" s="47" t="n">
        <v>0</v>
      </c>
      <c r="U48" s="47" t="n">
        <v>1</v>
      </c>
      <c r="V48" s="7" t="n">
        <v>70001</v>
      </c>
      <c r="W48" s="7" t="n">
        <v>1</v>
      </c>
      <c r="X48" s="7" t="n">
        <v>1</v>
      </c>
      <c r="Y48" s="7" t="n">
        <v>8000</v>
      </c>
      <c r="Z48" s="7" t="n">
        <v>146</v>
      </c>
      <c r="AA48" s="7" t="n">
        <v>1</v>
      </c>
      <c r="AB48" t="n">
        <v>1001</v>
      </c>
      <c r="AC48" t="n">
        <v>100</v>
      </c>
      <c r="AD48" t="n">
        <v>1</v>
      </c>
    </row>
    <row r="49" ht="42.75" customHeight="1" s="142">
      <c r="A49" s="7" t="n">
        <v>147</v>
      </c>
      <c r="B49" s="7" t="inlineStr">
        <is>
          <t>tower</t>
        </is>
      </c>
      <c r="C49" s="7" t="n"/>
      <c r="D49" s="156" t="inlineStr">
        <is>
          <t>第47層</t>
        </is>
      </c>
      <c r="E49" s="7" t="n">
        <v>94</v>
      </c>
      <c r="F49" s="7" t="n"/>
      <c r="G49" s="82" t="inlineStr">
        <is>
          <t>{role:-1},
{id:-1},{id:-1},{id:-1},{id:-1},{id:-1}
{id:40043},{id:40036},{id:40009},{id:40045},{id:40083}</t>
        </is>
      </c>
      <c r="H49" s="47" t="n">
        <v>1</v>
      </c>
      <c r="I49" s="47" t="n"/>
      <c r="J49" s="83" t="inlineStr">
        <is>
          <t>敵方弱化</t>
        </is>
      </c>
      <c r="K49" s="47" t="inlineStr">
        <is>
          <t>select_enemy</t>
        </is>
      </c>
      <c r="L49" s="47" t="inlineStr">
        <is>
          <t>2002,2003,2004</t>
        </is>
      </c>
      <c r="M49" s="47" t="inlineStr">
        <is>
          <t>7,9,11</t>
        </is>
      </c>
      <c r="N49" s="47" t="n">
        <v>1</v>
      </c>
      <c r="O49" s="47" t="n">
        <v>1</v>
      </c>
      <c r="P49" s="83" t="inlineStr">
        <is>
          <t>泥濘</t>
        </is>
      </c>
      <c r="Q49" s="47" t="inlineStr">
        <is>
          <t>debuff</t>
        </is>
      </c>
      <c r="R49" s="47" t="n">
        <v>2005</v>
      </c>
      <c r="S49" s="47" t="inlineStr">
        <is>
          <t>1,2</t>
        </is>
      </c>
      <c r="T49" s="47" t="n">
        <v>0</v>
      </c>
      <c r="U49" s="47" t="n">
        <v>1</v>
      </c>
      <c r="V49" s="7" t="n">
        <v>70001</v>
      </c>
      <c r="W49" s="7" t="n">
        <v>1</v>
      </c>
      <c r="X49" s="7" t="n">
        <v>1</v>
      </c>
      <c r="Y49" s="7" t="n">
        <v>8000</v>
      </c>
      <c r="Z49" s="7" t="n">
        <v>147</v>
      </c>
      <c r="AA49" s="7" t="n">
        <v>1</v>
      </c>
      <c r="AB49" t="n">
        <v>1001</v>
      </c>
      <c r="AC49" t="n">
        <v>100</v>
      </c>
      <c r="AD49" t="n">
        <v>1</v>
      </c>
    </row>
    <row r="50" ht="42.75" customHeight="1" s="142">
      <c r="A50" s="7" t="n">
        <v>148</v>
      </c>
      <c r="B50" s="7" t="inlineStr">
        <is>
          <t>tower</t>
        </is>
      </c>
      <c r="C50" s="7" t="n"/>
      <c r="D50" s="156" t="inlineStr">
        <is>
          <t>第48層</t>
        </is>
      </c>
      <c r="E50" s="7" t="n">
        <v>96</v>
      </c>
      <c r="F50" s="7" t="n"/>
      <c r="G50" s="82" t="inlineStr">
        <is>
          <t>{role:-1},
{id:-1},{id:-1},{id:-1},{id:-1},{id:-1}
{id:40034},{id:40023},{id:40075},{id:40005},{id:40014}</t>
        </is>
      </c>
      <c r="H50" s="47" t="n">
        <v>1</v>
      </c>
      <c r="I50" s="47" t="n"/>
      <c r="J50" s="83" t="inlineStr">
        <is>
          <t>大晴天</t>
        </is>
      </c>
      <c r="K50" s="47" t="inlineStr">
        <is>
          <t>buff</t>
        </is>
      </c>
      <c r="L50" s="47" t="n">
        <v>1001</v>
      </c>
      <c r="M50" s="47" t="inlineStr">
        <is>
          <t>6,7,12</t>
        </is>
      </c>
      <c r="N50" s="47" t="n"/>
      <c r="O50" s="47" t="n">
        <v>1</v>
      </c>
      <c r="P50" s="83" t="inlineStr">
        <is>
          <t>酸雨</t>
        </is>
      </c>
      <c r="Q50" s="47" t="inlineStr">
        <is>
          <t>debuff</t>
        </is>
      </c>
      <c r="R50" s="47" t="n">
        <v>2002</v>
      </c>
      <c r="S50" s="47" t="inlineStr">
        <is>
          <t>9,10</t>
        </is>
      </c>
      <c r="T50" s="47" t="n">
        <v>0</v>
      </c>
      <c r="U50" s="47" t="n">
        <v>1</v>
      </c>
      <c r="V50" s="7" t="n">
        <v>70001</v>
      </c>
      <c r="W50" s="7" t="n">
        <v>1</v>
      </c>
      <c r="X50" s="7" t="n">
        <v>1</v>
      </c>
      <c r="Y50" s="7" t="n">
        <v>8000</v>
      </c>
      <c r="Z50" s="7" t="n">
        <v>148</v>
      </c>
      <c r="AA50" s="7" t="n">
        <v>1</v>
      </c>
      <c r="AB50" t="n">
        <v>1001</v>
      </c>
      <c r="AC50" t="n">
        <v>100</v>
      </c>
      <c r="AD50" t="n">
        <v>1</v>
      </c>
    </row>
    <row r="51" ht="42.75" customHeight="1" s="142">
      <c r="A51" s="7" t="n">
        <v>149</v>
      </c>
      <c r="B51" s="7" t="inlineStr">
        <is>
          <t>tower</t>
        </is>
      </c>
      <c r="C51" s="7" t="n"/>
      <c r="D51" s="156" t="inlineStr">
        <is>
          <t>第49層</t>
        </is>
      </c>
      <c r="E51" s="7" t="n">
        <v>98</v>
      </c>
      <c r="F51" s="7" t="n"/>
      <c r="G51" s="82" t="inlineStr">
        <is>
          <t>{role:-1},
{id:-1},{id:-1},{id:-1},{id:-1},{id:-1}
{id:40015},{id:40050},{id:40074},{id:40025},{id:40033}</t>
        </is>
      </c>
      <c r="H51" s="47" t="n">
        <v>1</v>
      </c>
      <c r="I51" s="47" t="n"/>
      <c r="J51" s="83" t="inlineStr">
        <is>
          <t>敵方弱化</t>
        </is>
      </c>
      <c r="K51" s="47" t="inlineStr">
        <is>
          <t>select_enemy</t>
        </is>
      </c>
      <c r="L51" s="47" t="inlineStr">
        <is>
          <t>2002,2003,2004</t>
        </is>
      </c>
      <c r="M51" s="47" t="inlineStr">
        <is>
          <t>12</t>
        </is>
      </c>
      <c r="N51" s="47" t="n">
        <v>1</v>
      </c>
      <c r="O51" s="47" t="n">
        <v>1</v>
      </c>
      <c r="P51" s="83" t="inlineStr">
        <is>
          <t>信號干擾</t>
        </is>
      </c>
      <c r="Q51" s="47" t="inlineStr">
        <is>
          <t>debuff</t>
        </is>
      </c>
      <c r="R51" s="47" t="n">
        <v>2004</v>
      </c>
      <c r="S51" s="47" t="inlineStr">
        <is>
          <t>1,9</t>
        </is>
      </c>
      <c r="T51" s="47" t="n">
        <v>0</v>
      </c>
      <c r="U51" s="47" t="n">
        <v>1</v>
      </c>
      <c r="V51" s="7" t="n">
        <v>70001</v>
      </c>
      <c r="W51" s="7" t="n">
        <v>1</v>
      </c>
      <c r="X51" s="7" t="n">
        <v>1</v>
      </c>
      <c r="Y51" s="7" t="n">
        <v>8000</v>
      </c>
      <c r="Z51" s="7" t="n">
        <v>149</v>
      </c>
      <c r="AA51" s="7" t="n">
        <v>1</v>
      </c>
      <c r="AB51" t="n">
        <v>1001</v>
      </c>
      <c r="AC51" t="n">
        <v>100</v>
      </c>
      <c r="AD51" t="n">
        <v>1</v>
      </c>
    </row>
    <row r="52" ht="42.75" customHeight="1" s="142">
      <c r="A52" s="7" t="n">
        <v>150</v>
      </c>
      <c r="B52" s="7" t="inlineStr">
        <is>
          <t>tower</t>
        </is>
      </c>
      <c r="C52" s="7" t="n"/>
      <c r="D52" s="156" t="inlineStr">
        <is>
          <t>第50層</t>
        </is>
      </c>
      <c r="E52" s="7" t="n">
        <v>100</v>
      </c>
      <c r="F52" s="7" t="n"/>
      <c r="G52" s="82" t="inlineStr">
        <is>
          <t>{role:-1},
{id:-1},{id:-1},{id:-1},{id:-1},{id:-1}
{id:50010},{id:40069},{id:40086},{id:40026},{id:40047}</t>
        </is>
      </c>
      <c r="H52" s="47" t="n">
        <v>1</v>
      </c>
      <c r="I52" s="47" t="n"/>
      <c r="J52" s="83" t="inlineStr">
        <is>
          <t>信息同享</t>
        </is>
      </c>
      <c r="K52" s="47" t="inlineStr">
        <is>
          <t>buff</t>
        </is>
      </c>
      <c r="L52" s="47" t="n">
        <v>1005</v>
      </c>
      <c r="M52" s="47" t="inlineStr">
        <is>
          <t>2,11</t>
        </is>
      </c>
      <c r="N52" s="47" t="n"/>
      <c r="O52" s="47" t="n">
        <v>1</v>
      </c>
      <c r="P52" s="83" t="inlineStr">
        <is>
          <t>泥濘</t>
        </is>
      </c>
      <c r="Q52" s="47" t="inlineStr">
        <is>
          <t>debuff</t>
        </is>
      </c>
      <c r="R52" s="47" t="n">
        <v>2005</v>
      </c>
      <c r="S52" s="47" t="inlineStr">
        <is>
          <t>6,10</t>
        </is>
      </c>
      <c r="T52" s="47" t="n">
        <v>0</v>
      </c>
      <c r="U52" s="47" t="n">
        <v>1</v>
      </c>
      <c r="V52" s="7" t="n">
        <v>70001</v>
      </c>
      <c r="W52" s="7" t="n">
        <v>1</v>
      </c>
      <c r="X52" s="7" t="n">
        <v>1</v>
      </c>
      <c r="Y52" s="7" t="n">
        <v>8000</v>
      </c>
      <c r="Z52" s="7" t="n">
        <v>150</v>
      </c>
      <c r="AA52" s="7" t="n">
        <v>1</v>
      </c>
      <c r="AB52" t="n">
        <v>1001</v>
      </c>
      <c r="AC52" t="n">
        <v>1000</v>
      </c>
      <c r="AD52" t="n">
        <v>1</v>
      </c>
    </row>
    <row r="53" ht="42.75" customHeight="1" s="142">
      <c r="A53" s="7" t="n">
        <v>151</v>
      </c>
      <c r="B53" s="7" t="inlineStr">
        <is>
          <t>tower</t>
        </is>
      </c>
      <c r="C53" s="7" t="n"/>
      <c r="D53" s="156" t="inlineStr">
        <is>
          <t>第51層</t>
        </is>
      </c>
      <c r="E53" s="7" t="n">
        <v>102</v>
      </c>
      <c r="F53" s="7" t="n"/>
      <c r="G53" s="82" t="inlineStr">
        <is>
          <t>{role:-1},
{id:-1},{id:-1},{id:-1},{id:-1},{id:-1}
{id:40085},{id:40016},{id:40039},{id:40065},{id:40040}</t>
        </is>
      </c>
      <c r="H53" s="47" t="n">
        <v>1</v>
      </c>
      <c r="I53" s="47" t="n"/>
      <c r="J53" s="83" t="inlineStr">
        <is>
          <t>敵方弱化</t>
        </is>
      </c>
      <c r="K53" s="47" t="inlineStr">
        <is>
          <t>select_enemy</t>
        </is>
      </c>
      <c r="L53" s="47" t="inlineStr">
        <is>
          <t>2002,2003,2004</t>
        </is>
      </c>
      <c r="M53" s="47" t="inlineStr">
        <is>
          <t>6,7,13</t>
        </is>
      </c>
      <c r="N53" s="47" t="n">
        <v>1</v>
      </c>
      <c r="O53" s="47" t="n">
        <v>1</v>
      </c>
      <c r="P53" s="83" t="inlineStr">
        <is>
          <t>酸雨</t>
        </is>
      </c>
      <c r="Q53" s="47" t="inlineStr">
        <is>
          <t>debuff</t>
        </is>
      </c>
      <c r="R53" s="47" t="n">
        <v>2002</v>
      </c>
      <c r="S53" s="47" t="inlineStr">
        <is>
          <t>3,5,9</t>
        </is>
      </c>
      <c r="T53" s="47" t="n">
        <v>0</v>
      </c>
      <c r="U53" s="47" t="n">
        <v>1</v>
      </c>
      <c r="V53" s="7" t="n">
        <v>70001</v>
      </c>
      <c r="W53" s="7" t="n">
        <v>1</v>
      </c>
      <c r="X53" s="7" t="n">
        <v>1</v>
      </c>
      <c r="Y53" s="7" t="n">
        <v>8000</v>
      </c>
      <c r="Z53" s="7" t="n">
        <v>151</v>
      </c>
      <c r="AA53" s="7" t="n">
        <v>1</v>
      </c>
      <c r="AB53" t="n">
        <v>1001</v>
      </c>
      <c r="AC53" t="n">
        <v>100</v>
      </c>
      <c r="AD53" t="n">
        <v>1</v>
      </c>
    </row>
    <row r="54" ht="42.75" customHeight="1" s="142">
      <c r="A54" s="7" t="n">
        <v>152</v>
      </c>
      <c r="B54" s="7" t="inlineStr">
        <is>
          <t>tower</t>
        </is>
      </c>
      <c r="C54" s="7" t="n"/>
      <c r="D54" s="156" t="inlineStr">
        <is>
          <t>第52層</t>
        </is>
      </c>
      <c r="E54" s="7" t="n">
        <v>104</v>
      </c>
      <c r="F54" s="7" t="n"/>
      <c r="G54" s="82" t="inlineStr">
        <is>
          <t>{role:-1},
{id:-1},{id:-1},{id:-1},{id:-1},{id:-1}
{id:40025},{id:40054},{id:40086},{id:40049},{id:40087}</t>
        </is>
      </c>
      <c r="H54" s="47" t="n">
        <v>1</v>
      </c>
      <c r="I54" s="47" t="n"/>
      <c r="J54" s="83" t="inlineStr">
        <is>
          <t>磁場共振</t>
        </is>
      </c>
      <c r="K54" s="47" t="inlineStr">
        <is>
          <t>buff</t>
        </is>
      </c>
      <c r="L54" s="47" t="n">
        <v>1003</v>
      </c>
      <c r="M54" s="47" t="inlineStr">
        <is>
          <t>3,10,12</t>
        </is>
      </c>
      <c r="N54" s="47" t="n"/>
      <c r="O54" s="47" t="n">
        <v>1</v>
      </c>
      <c r="P54" s="83" t="inlineStr">
        <is>
          <t>信號干擾</t>
        </is>
      </c>
      <c r="Q54" s="47" t="inlineStr">
        <is>
          <t>debuff</t>
        </is>
      </c>
      <c r="R54" s="47" t="n">
        <v>2004</v>
      </c>
      <c r="S54" s="47" t="inlineStr">
        <is>
          <t>7,9</t>
        </is>
      </c>
      <c r="T54" s="47" t="n">
        <v>0</v>
      </c>
      <c r="U54" s="47" t="n">
        <v>1</v>
      </c>
      <c r="V54" s="7" t="n">
        <v>70001</v>
      </c>
      <c r="W54" s="7" t="n">
        <v>1</v>
      </c>
      <c r="X54" s="7" t="n">
        <v>1</v>
      </c>
      <c r="Y54" s="7" t="n">
        <v>8000</v>
      </c>
      <c r="Z54" s="7" t="n">
        <v>152</v>
      </c>
      <c r="AA54" s="7" t="n">
        <v>1</v>
      </c>
      <c r="AB54" t="n">
        <v>1001</v>
      </c>
      <c r="AC54" t="n">
        <v>100</v>
      </c>
      <c r="AD54" t="n">
        <v>1</v>
      </c>
    </row>
    <row r="55" ht="42.75" customHeight="1" s="142">
      <c r="A55" s="7" t="n">
        <v>153</v>
      </c>
      <c r="B55" s="7" t="inlineStr">
        <is>
          <t>tower</t>
        </is>
      </c>
      <c r="C55" s="7" t="n"/>
      <c r="D55" s="156" t="inlineStr">
        <is>
          <t>第53層</t>
        </is>
      </c>
      <c r="E55" s="7" t="n">
        <v>106</v>
      </c>
      <c r="F55" s="7" t="n"/>
      <c r="G55" s="82" t="inlineStr">
        <is>
          <t>{role:-1},
{id:-1},{id:-1},{id:-1},{id:-1},{id:-1}
{id:40001},{id:40039},{id:40037},{id:40027},{id:40056}</t>
        </is>
      </c>
      <c r="H55" s="47" t="n">
        <v>1</v>
      </c>
      <c r="I55" s="47" t="n"/>
      <c r="J55" s="83" t="inlineStr">
        <is>
          <t>敵方弱化</t>
        </is>
      </c>
      <c r="K55" s="47" t="inlineStr">
        <is>
          <t>select_enemy</t>
        </is>
      </c>
      <c r="L55" s="47" t="inlineStr">
        <is>
          <t>2002,2003,2004</t>
        </is>
      </c>
      <c r="M55" s="47" t="inlineStr">
        <is>
          <t>6,10,11</t>
        </is>
      </c>
      <c r="N55" s="47" t="n">
        <v>1</v>
      </c>
      <c r="O55" s="47" t="n">
        <v>1</v>
      </c>
      <c r="P55" s="83" t="inlineStr">
        <is>
          <t>泥濘</t>
        </is>
      </c>
      <c r="Q55" s="47" t="inlineStr">
        <is>
          <t>debuff</t>
        </is>
      </c>
      <c r="R55" s="47" t="n">
        <v>2005</v>
      </c>
      <c r="S55" s="47" t="inlineStr">
        <is>
          <t>8,13</t>
        </is>
      </c>
      <c r="T55" s="47" t="n">
        <v>0</v>
      </c>
      <c r="U55" s="47" t="n">
        <v>1</v>
      </c>
      <c r="V55" s="7" t="n">
        <v>70001</v>
      </c>
      <c r="W55" s="7" t="n">
        <v>1</v>
      </c>
      <c r="X55" s="7" t="n">
        <v>1</v>
      </c>
      <c r="Y55" s="7" t="n">
        <v>8000</v>
      </c>
      <c r="Z55" s="7" t="n">
        <v>153</v>
      </c>
      <c r="AA55" s="7" t="n">
        <v>1</v>
      </c>
      <c r="AB55" t="n">
        <v>1001</v>
      </c>
      <c r="AC55" t="n">
        <v>100</v>
      </c>
      <c r="AD55" t="n">
        <v>1</v>
      </c>
    </row>
    <row r="56" ht="42.75" customHeight="1" s="142">
      <c r="A56" s="7" t="n">
        <v>154</v>
      </c>
      <c r="B56" s="7" t="inlineStr">
        <is>
          <t>tower</t>
        </is>
      </c>
      <c r="C56" s="7" t="n"/>
      <c r="D56" s="156" t="inlineStr">
        <is>
          <t>第54層</t>
        </is>
      </c>
      <c r="E56" s="7" t="n">
        <v>108</v>
      </c>
      <c r="F56" s="7" t="n"/>
      <c r="G56" s="82" t="inlineStr">
        <is>
          <t>{role:-1},
{id:-1},{id:-1},{id:-1},{id:-1},{id:-1}
{id:40087},{id:40028},{id:40066},{id:40061},{id:40022}</t>
        </is>
      </c>
      <c r="H56" s="47" t="n">
        <v>1</v>
      </c>
      <c r="I56" s="47" t="n"/>
      <c r="J56" s="83" t="inlineStr">
        <is>
          <t>大晴天</t>
        </is>
      </c>
      <c r="K56" s="47" t="inlineStr">
        <is>
          <t>buff</t>
        </is>
      </c>
      <c r="L56" s="47" t="n">
        <v>1001</v>
      </c>
      <c r="M56" s="47" t="inlineStr">
        <is>
          <t>2,5,9</t>
        </is>
      </c>
      <c r="N56" s="47" t="n"/>
      <c r="O56" s="47" t="n">
        <v>1</v>
      </c>
      <c r="P56" s="83" t="inlineStr">
        <is>
          <t>酸雨</t>
        </is>
      </c>
      <c r="Q56" s="47" t="inlineStr">
        <is>
          <t>debuff</t>
        </is>
      </c>
      <c r="R56" s="47" t="n">
        <v>2002</v>
      </c>
      <c r="S56" s="47" t="inlineStr">
        <is>
          <t>6,10,11</t>
        </is>
      </c>
      <c r="T56" s="47" t="n">
        <v>0</v>
      </c>
      <c r="U56" s="47" t="n">
        <v>1</v>
      </c>
      <c r="V56" s="7" t="n">
        <v>70001</v>
      </c>
      <c r="W56" s="7" t="n">
        <v>1</v>
      </c>
      <c r="X56" s="7" t="n">
        <v>1</v>
      </c>
      <c r="Y56" s="7" t="n">
        <v>8000</v>
      </c>
      <c r="Z56" s="7" t="n">
        <v>154</v>
      </c>
      <c r="AA56" s="7" t="n">
        <v>1</v>
      </c>
      <c r="AB56" t="n">
        <v>1001</v>
      </c>
      <c r="AC56" t="n">
        <v>100</v>
      </c>
      <c r="AD56" t="n">
        <v>1</v>
      </c>
    </row>
    <row r="57" ht="42.75" customHeight="1" s="142">
      <c r="A57" s="7" t="n">
        <v>155</v>
      </c>
      <c r="B57" s="7" t="inlineStr">
        <is>
          <t>tower</t>
        </is>
      </c>
      <c r="C57" s="7" t="n"/>
      <c r="D57" s="156" t="inlineStr">
        <is>
          <t>第55層</t>
        </is>
      </c>
      <c r="E57" s="7" t="n">
        <v>110</v>
      </c>
      <c r="F57" s="7" t="n"/>
      <c r="G57" s="82" t="inlineStr">
        <is>
          <t>{role:-1},
{id:-1},{id:-1},{id:-1},{id:-1},{id:-1}
{id:50011},{id:40012},{id:40031},{id:40087},{id:40040}</t>
        </is>
      </c>
      <c r="H57" s="47" t="n">
        <v>1</v>
      </c>
      <c r="I57" s="47" t="n"/>
      <c r="J57" s="83" t="inlineStr">
        <is>
          <t>敵方弱化</t>
        </is>
      </c>
      <c r="K57" s="47" t="inlineStr">
        <is>
          <t>select_enemy</t>
        </is>
      </c>
      <c r="L57" s="47" t="inlineStr">
        <is>
          <t>2002,2003,2004</t>
        </is>
      </c>
      <c r="M57" s="47" t="inlineStr">
        <is>
          <t>13</t>
        </is>
      </c>
      <c r="N57" s="47" t="n">
        <v>1</v>
      </c>
      <c r="O57" s="47" t="n">
        <v>1</v>
      </c>
      <c r="P57" s="83" t="inlineStr">
        <is>
          <t>信號干擾</t>
        </is>
      </c>
      <c r="Q57" s="47" t="inlineStr">
        <is>
          <t>debuff</t>
        </is>
      </c>
      <c r="R57" s="47" t="n">
        <v>2004</v>
      </c>
      <c r="S57" s="47" t="inlineStr">
        <is>
          <t>3</t>
        </is>
      </c>
      <c r="T57" s="47" t="n">
        <v>0</v>
      </c>
      <c r="U57" s="47" t="n">
        <v>1</v>
      </c>
      <c r="V57" s="7" t="n">
        <v>70001</v>
      </c>
      <c r="W57" s="7" t="n">
        <v>1</v>
      </c>
      <c r="X57" s="7" t="n">
        <v>1</v>
      </c>
      <c r="Y57" s="7" t="n">
        <v>8000</v>
      </c>
      <c r="Z57" s="7" t="n">
        <v>155</v>
      </c>
      <c r="AA57" s="7" t="n">
        <v>1</v>
      </c>
      <c r="AB57" t="n">
        <v>1001</v>
      </c>
      <c r="AC57" t="n">
        <v>100</v>
      </c>
      <c r="AD57" t="n">
        <v>1</v>
      </c>
    </row>
    <row r="58" ht="42.75" customHeight="1" s="142">
      <c r="A58" s="7" t="n">
        <v>156</v>
      </c>
      <c r="B58" s="7" t="inlineStr">
        <is>
          <t>tower</t>
        </is>
      </c>
      <c r="C58" s="7" t="n"/>
      <c r="D58" s="156" t="inlineStr">
        <is>
          <t>第56層</t>
        </is>
      </c>
      <c r="E58" s="7" t="n">
        <v>112</v>
      </c>
      <c r="F58" s="7" t="n"/>
      <c r="G58" s="82" t="inlineStr">
        <is>
          <t>{role:-1},
{id:-1},{id:-1},{id:-1},{id:-1},{id:-1}
{id:40004},{id:40006},{id:40032},{id:40061},{id:40079}</t>
        </is>
      </c>
      <c r="H58" s="47" t="n">
        <v>1</v>
      </c>
      <c r="I58" s="47" t="n"/>
      <c r="J58" s="83" t="inlineStr">
        <is>
          <t>信息同享</t>
        </is>
      </c>
      <c r="K58" s="47" t="inlineStr">
        <is>
          <t>buff</t>
        </is>
      </c>
      <c r="L58" s="47" t="n">
        <v>1005</v>
      </c>
      <c r="M58" s="47" t="inlineStr">
        <is>
          <t>8</t>
        </is>
      </c>
      <c r="N58" s="47" t="n"/>
      <c r="O58" s="47" t="n">
        <v>1</v>
      </c>
      <c r="P58" s="83" t="inlineStr">
        <is>
          <t>泥濘</t>
        </is>
      </c>
      <c r="Q58" s="47" t="inlineStr">
        <is>
          <t>debuff</t>
        </is>
      </c>
      <c r="R58" s="47" t="n">
        <v>2005</v>
      </c>
      <c r="S58" s="47" t="inlineStr">
        <is>
          <t>10,11</t>
        </is>
      </c>
      <c r="T58" s="47" t="n">
        <v>0</v>
      </c>
      <c r="U58" s="47" t="n">
        <v>1</v>
      </c>
      <c r="V58" s="7" t="n">
        <v>70001</v>
      </c>
      <c r="W58" s="7" t="n">
        <v>1</v>
      </c>
      <c r="X58" s="7" t="n">
        <v>1</v>
      </c>
      <c r="Y58" s="7" t="n">
        <v>8000</v>
      </c>
      <c r="Z58" s="7" t="n">
        <v>156</v>
      </c>
      <c r="AA58" s="7" t="n">
        <v>1</v>
      </c>
      <c r="AB58" t="n">
        <v>1001</v>
      </c>
      <c r="AC58" t="n">
        <v>100</v>
      </c>
      <c r="AD58" t="n">
        <v>1</v>
      </c>
    </row>
    <row r="59" ht="47.25" customHeight="1" s="142">
      <c r="A59" s="100" t="n">
        <v>157</v>
      </c>
      <c r="B59" s="100" t="inlineStr">
        <is>
          <t>tower</t>
        </is>
      </c>
      <c r="C59" s="100" t="n"/>
      <c r="D59" s="156" t="inlineStr">
        <is>
          <t>第57層</t>
        </is>
      </c>
      <c r="E59" s="100" t="n">
        <v>114</v>
      </c>
      <c r="F59" s="101" t="n"/>
      <c r="G59" s="102" t="inlineStr">
        <is>
          <t>{role:-1},
{id:-1},{id:-1},{id:-1},{id:-1},{id:-1}
{id:40025},{id:40050},{id:40064},{id:40052},{id:40032}</t>
        </is>
      </c>
      <c r="H59" s="103" t="n">
        <v>1</v>
      </c>
      <c r="I59" s="103" t="n"/>
      <c r="J59" s="83" t="inlineStr">
        <is>
          <t>敵方弱化</t>
        </is>
      </c>
      <c r="K59" s="103" t="inlineStr">
        <is>
          <t>select_enemy</t>
        </is>
      </c>
      <c r="L59" s="103" t="inlineStr">
        <is>
          <t>2002,2003,2004</t>
        </is>
      </c>
      <c r="M59" s="103" t="inlineStr">
        <is>
          <t>11</t>
        </is>
      </c>
      <c r="N59" s="103" t="n">
        <v>1</v>
      </c>
      <c r="O59" s="103" t="n">
        <v>1</v>
      </c>
      <c r="P59" s="104" t="inlineStr">
        <is>
          <t>酸雨</t>
        </is>
      </c>
      <c r="Q59" s="103" t="inlineStr">
        <is>
          <t>debuff</t>
        </is>
      </c>
      <c r="R59" s="47" t="n">
        <v>2002</v>
      </c>
      <c r="S59" s="47" t="inlineStr">
        <is>
          <t>1,2,7</t>
        </is>
      </c>
      <c r="T59" s="103" t="n">
        <v>0</v>
      </c>
      <c r="U59" s="47" t="n">
        <v>1</v>
      </c>
      <c r="V59" s="100" t="n">
        <v>70001</v>
      </c>
      <c r="W59" s="100" t="n">
        <v>1</v>
      </c>
      <c r="X59" s="100" t="n">
        <v>1</v>
      </c>
      <c r="Y59" s="100" t="n">
        <v>8000</v>
      </c>
      <c r="Z59" s="100" t="n">
        <v>157</v>
      </c>
      <c r="AA59" s="100" t="n">
        <v>1</v>
      </c>
      <c r="AB59" s="100" t="n">
        <v>1001</v>
      </c>
      <c r="AC59" s="100" t="n">
        <v>100</v>
      </c>
      <c r="AD59" s="100" t="n">
        <v>1</v>
      </c>
      <c r="AE59" s="100" t="n"/>
      <c r="AF59" s="100" t="n"/>
      <c r="AG59" s="100" t="n"/>
      <c r="AH59" s="100" t="n"/>
      <c r="AI59" s="100" t="n"/>
      <c r="AJ59" s="100" t="n"/>
    </row>
    <row r="60" ht="42.75" customHeight="1" s="142">
      <c r="A60" s="7" t="n">
        <v>158</v>
      </c>
      <c r="B60" s="7" t="inlineStr">
        <is>
          <t>tower</t>
        </is>
      </c>
      <c r="C60" s="7" t="n"/>
      <c r="D60" s="156" t="inlineStr">
        <is>
          <t>第58層</t>
        </is>
      </c>
      <c r="E60" s="7" t="n">
        <v>116</v>
      </c>
      <c r="F60" s="7" t="n"/>
      <c r="G60" s="82" t="inlineStr">
        <is>
          <t>{role:-1},
{id:-1},{id:-1},{id:-1},{id:-1},{id:-1}
{id:40029},{id:40023},{id:40067},{id:40060},{id:40007}</t>
        </is>
      </c>
      <c r="H60" s="47" t="n">
        <v>1</v>
      </c>
      <c r="I60" s="47" t="n"/>
      <c r="J60" s="83" t="inlineStr">
        <is>
          <t>磁場共振</t>
        </is>
      </c>
      <c r="K60" s="47" t="inlineStr">
        <is>
          <t>buff</t>
        </is>
      </c>
      <c r="L60" s="47" t="n">
        <v>1003</v>
      </c>
      <c r="M60" s="47" t="inlineStr">
        <is>
          <t>2,4,8</t>
        </is>
      </c>
      <c r="N60" s="47" t="n"/>
      <c r="O60" s="47" t="n">
        <v>1</v>
      </c>
      <c r="P60" s="83" t="inlineStr">
        <is>
          <t>信號干擾</t>
        </is>
      </c>
      <c r="Q60" s="47" t="inlineStr">
        <is>
          <t>debuff</t>
        </is>
      </c>
      <c r="R60" s="47" t="n">
        <v>2004</v>
      </c>
      <c r="S60" s="47" t="inlineStr">
        <is>
          <t>13</t>
        </is>
      </c>
      <c r="T60" s="47" t="n">
        <v>0</v>
      </c>
      <c r="U60" s="47" t="n">
        <v>1</v>
      </c>
      <c r="V60" s="7" t="n">
        <v>70001</v>
      </c>
      <c r="W60" s="7" t="n">
        <v>1</v>
      </c>
      <c r="X60" s="7" t="n">
        <v>1</v>
      </c>
      <c r="Y60" s="7" t="n">
        <v>8000</v>
      </c>
      <c r="Z60" s="7" t="n">
        <v>158</v>
      </c>
      <c r="AA60" s="7" t="n">
        <v>1</v>
      </c>
      <c r="AB60" t="n">
        <v>1001</v>
      </c>
      <c r="AC60" t="n">
        <v>100</v>
      </c>
      <c r="AD60" t="n">
        <v>1</v>
      </c>
    </row>
    <row r="61" ht="42.75" customHeight="1" s="142">
      <c r="A61" s="7" t="n">
        <v>159</v>
      </c>
      <c r="B61" s="7" t="inlineStr">
        <is>
          <t>tower</t>
        </is>
      </c>
      <c r="C61" s="7" t="n"/>
      <c r="D61" s="156" t="inlineStr">
        <is>
          <t>第59層</t>
        </is>
      </c>
      <c r="E61" s="7" t="n">
        <v>118</v>
      </c>
      <c r="F61" s="7" t="n"/>
      <c r="G61" s="82" t="inlineStr">
        <is>
          <t>{role:-1},
{id:-1},{id:-1},{id:-1},{id:-1},{id:-1}
{id:40060},{id:40086},{id:40068},{id:40072},{id:40077}</t>
        </is>
      </c>
      <c r="H61" s="47" t="n">
        <v>1</v>
      </c>
      <c r="I61" s="47" t="n"/>
      <c r="J61" s="83" t="inlineStr">
        <is>
          <t>敵方弱化</t>
        </is>
      </c>
      <c r="K61" s="47" t="inlineStr">
        <is>
          <t>select_enemy</t>
        </is>
      </c>
      <c r="L61" s="47" t="inlineStr">
        <is>
          <t>2002,2003,2004</t>
        </is>
      </c>
      <c r="M61" s="47" t="inlineStr">
        <is>
          <t>8,13</t>
        </is>
      </c>
      <c r="N61" s="47" t="n">
        <v>1</v>
      </c>
      <c r="O61" s="47" t="n">
        <v>1</v>
      </c>
      <c r="P61" s="83" t="inlineStr">
        <is>
          <t>泥濘</t>
        </is>
      </c>
      <c r="Q61" s="47" t="inlineStr">
        <is>
          <t>debuff</t>
        </is>
      </c>
      <c r="R61" s="47" t="n">
        <v>2005</v>
      </c>
      <c r="S61" s="47" t="inlineStr">
        <is>
          <t>7,9,12</t>
        </is>
      </c>
      <c r="T61" s="47" t="n">
        <v>0</v>
      </c>
      <c r="U61" s="47" t="n">
        <v>1</v>
      </c>
      <c r="V61" s="7" t="n">
        <v>70001</v>
      </c>
      <c r="W61" s="7" t="n">
        <v>1</v>
      </c>
      <c r="X61" s="7" t="n">
        <v>1</v>
      </c>
      <c r="Y61" s="7" t="n">
        <v>8000</v>
      </c>
      <c r="Z61" s="7" t="n">
        <v>159</v>
      </c>
      <c r="AA61" s="7" t="n">
        <v>1</v>
      </c>
      <c r="AB61" t="n">
        <v>1001</v>
      </c>
      <c r="AC61" t="n">
        <v>100</v>
      </c>
      <c r="AD61" t="n">
        <v>1</v>
      </c>
    </row>
    <row r="62" ht="42.75" customHeight="1" s="142">
      <c r="A62" s="7" t="n">
        <v>160</v>
      </c>
      <c r="B62" s="7" t="inlineStr">
        <is>
          <t>tower</t>
        </is>
      </c>
      <c r="C62" s="7" t="n"/>
      <c r="D62" s="156" t="inlineStr">
        <is>
          <t>第60層</t>
        </is>
      </c>
      <c r="E62" s="7" t="n">
        <v>120</v>
      </c>
      <c r="F62" s="7" t="n"/>
      <c r="G62" s="82" t="inlineStr">
        <is>
          <t>{role:-1},
{id:-1},{id:-1},{id:-1},{id:-1},{id:-1}
{id:50012},{id:40071},{id:40058},{id:40021},{id:40061}</t>
        </is>
      </c>
      <c r="H62" s="47" t="n">
        <v>1</v>
      </c>
      <c r="I62" s="47" t="n"/>
      <c r="J62" s="83" t="inlineStr">
        <is>
          <t>大晴天</t>
        </is>
      </c>
      <c r="K62" s="47" t="inlineStr">
        <is>
          <t>buff</t>
        </is>
      </c>
      <c r="L62" s="47" t="n">
        <v>1001</v>
      </c>
      <c r="M62" s="47" t="inlineStr">
        <is>
          <t>4,5</t>
        </is>
      </c>
      <c r="N62" s="47" t="n"/>
      <c r="O62" s="47" t="n">
        <v>1</v>
      </c>
      <c r="P62" s="83" t="inlineStr">
        <is>
          <t>酸雨</t>
        </is>
      </c>
      <c r="Q62" s="47" t="inlineStr">
        <is>
          <t>debuff</t>
        </is>
      </c>
      <c r="R62" s="47" t="n">
        <v>2002</v>
      </c>
      <c r="S62" s="47" t="inlineStr">
        <is>
          <t>5,8,9</t>
        </is>
      </c>
      <c r="T62" s="47" t="n">
        <v>0</v>
      </c>
      <c r="U62" s="47" t="n">
        <v>1</v>
      </c>
      <c r="V62" s="7" t="n">
        <v>70001</v>
      </c>
      <c r="W62" s="7" t="n">
        <v>1</v>
      </c>
      <c r="X62" s="7" t="n">
        <v>1</v>
      </c>
      <c r="Y62" s="7" t="n">
        <v>8000</v>
      </c>
      <c r="Z62" s="7" t="n">
        <v>160</v>
      </c>
      <c r="AA62" s="7" t="n">
        <v>1</v>
      </c>
      <c r="AB62" t="n">
        <v>1001</v>
      </c>
      <c r="AC62" t="n">
        <v>1000</v>
      </c>
      <c r="AD62" t="n">
        <v>1</v>
      </c>
    </row>
    <row r="63" ht="42.75" customHeight="1" s="142">
      <c r="A63" s="7" t="n">
        <v>161</v>
      </c>
      <c r="B63" s="7" t="inlineStr">
        <is>
          <t>tower</t>
        </is>
      </c>
      <c r="C63" s="7" t="n"/>
      <c r="D63" s="156" t="inlineStr">
        <is>
          <t>第61層</t>
        </is>
      </c>
      <c r="E63" s="7" t="n">
        <v>122</v>
      </c>
      <c r="F63" s="7" t="n"/>
      <c r="G63" s="82" t="inlineStr">
        <is>
          <t>{role:-1},
{id:-1},{id:-1},{id:-1},{id:-1},{id:-1}
{id:40081},{id:40031},{id:40036},{id:40057},{id:40010}</t>
        </is>
      </c>
      <c r="H63" s="47" t="n">
        <v>1</v>
      </c>
      <c r="I63" s="47" t="n"/>
      <c r="J63" s="83" t="inlineStr">
        <is>
          <t>敵方弱化</t>
        </is>
      </c>
      <c r="K63" s="47" t="inlineStr">
        <is>
          <t>select_enemy</t>
        </is>
      </c>
      <c r="L63" s="47" t="inlineStr">
        <is>
          <t>2002,2003,2004</t>
        </is>
      </c>
      <c r="M63" s="47" t="inlineStr">
        <is>
          <t>4,5,13</t>
        </is>
      </c>
      <c r="N63" s="47" t="n">
        <v>1</v>
      </c>
      <c r="O63" s="47" t="n">
        <v>1</v>
      </c>
      <c r="P63" s="83" t="inlineStr">
        <is>
          <t>信號干擾</t>
        </is>
      </c>
      <c r="Q63" s="47" t="inlineStr">
        <is>
          <t>debuff</t>
        </is>
      </c>
      <c r="R63" s="47" t="n">
        <v>2004</v>
      </c>
      <c r="S63" s="47" t="inlineStr">
        <is>
          <t>6,9</t>
        </is>
      </c>
      <c r="T63" s="47" t="n">
        <v>0</v>
      </c>
      <c r="U63" s="47" t="n">
        <v>1</v>
      </c>
      <c r="V63" s="7" t="n">
        <v>70001</v>
      </c>
      <c r="W63" s="7" t="n">
        <v>1</v>
      </c>
      <c r="X63" s="7" t="n">
        <v>1</v>
      </c>
      <c r="Y63" s="7" t="n">
        <v>8000</v>
      </c>
      <c r="Z63" s="7" t="n">
        <v>161</v>
      </c>
      <c r="AA63" s="7" t="n">
        <v>1</v>
      </c>
      <c r="AB63" t="n">
        <v>1001</v>
      </c>
      <c r="AC63" t="n">
        <v>100</v>
      </c>
      <c r="AD63" t="n">
        <v>1</v>
      </c>
    </row>
    <row r="64" ht="42.75" customHeight="1" s="142">
      <c r="A64" s="7" t="n">
        <v>162</v>
      </c>
      <c r="B64" s="7" t="inlineStr">
        <is>
          <t>tower</t>
        </is>
      </c>
      <c r="C64" s="7" t="n"/>
      <c r="D64" s="156" t="inlineStr">
        <is>
          <t>第62層</t>
        </is>
      </c>
      <c r="E64" s="7" t="n">
        <v>124</v>
      </c>
      <c r="F64" s="7" t="n"/>
      <c r="G64" s="82" t="inlineStr">
        <is>
          <t>{role:-1},
{id:-1},{id:-1},{id:-1},{id:-1},{id:-1}
{id:40011},{id:40018},{id:40020},{id:40030},{id:40050}</t>
        </is>
      </c>
      <c r="H64" s="47" t="n">
        <v>1</v>
      </c>
      <c r="I64" s="47" t="n"/>
      <c r="J64" s="83" t="inlineStr">
        <is>
          <t>信息同享</t>
        </is>
      </c>
      <c r="K64" s="47" t="inlineStr">
        <is>
          <t>buff</t>
        </is>
      </c>
      <c r="L64" s="47" t="n">
        <v>1005</v>
      </c>
      <c r="M64" s="47" t="inlineStr">
        <is>
          <t>3,4,12</t>
        </is>
      </c>
      <c r="N64" s="47" t="n"/>
      <c r="O64" s="47" t="n">
        <v>1</v>
      </c>
      <c r="P64" s="83" t="inlineStr">
        <is>
          <t>泥濘</t>
        </is>
      </c>
      <c r="Q64" s="47" t="inlineStr">
        <is>
          <t>debuff</t>
        </is>
      </c>
      <c r="R64" s="47" t="n">
        <v>2005</v>
      </c>
      <c r="S64" s="47" t="inlineStr">
        <is>
          <t>7</t>
        </is>
      </c>
      <c r="T64" s="47" t="n">
        <v>0</v>
      </c>
      <c r="U64" s="47" t="n">
        <v>1</v>
      </c>
      <c r="V64" s="7" t="n">
        <v>70001</v>
      </c>
      <c r="W64" s="7" t="n">
        <v>1</v>
      </c>
      <c r="X64" s="7" t="n">
        <v>1</v>
      </c>
      <c r="Y64" s="7" t="n">
        <v>8000</v>
      </c>
      <c r="Z64" s="7" t="n">
        <v>162</v>
      </c>
      <c r="AA64" s="7" t="n">
        <v>1</v>
      </c>
      <c r="AB64" t="n">
        <v>1001</v>
      </c>
      <c r="AC64" t="n">
        <v>100</v>
      </c>
      <c r="AD64" t="n">
        <v>1</v>
      </c>
    </row>
    <row r="65" ht="42.75" customHeight="1" s="142">
      <c r="A65" s="7" t="n">
        <v>163</v>
      </c>
      <c r="B65" s="7" t="inlineStr">
        <is>
          <t>tower</t>
        </is>
      </c>
      <c r="C65" s="7" t="n"/>
      <c r="D65" s="156" t="inlineStr">
        <is>
          <t>第63層</t>
        </is>
      </c>
      <c r="E65" s="7" t="n">
        <v>126</v>
      </c>
      <c r="F65" s="7" t="n"/>
      <c r="G65" s="82" t="inlineStr">
        <is>
          <t>{role:-1},
{id:-1},{id:-1},{id:-1},{id:-1},{id:-1}
{id:40053},{id:40043},{id:40070},{id:40060},{id:40054}</t>
        </is>
      </c>
      <c r="H65" s="47" t="n">
        <v>1</v>
      </c>
      <c r="I65" s="47" t="n"/>
      <c r="J65" s="83" t="inlineStr">
        <is>
          <t>敵方弱化</t>
        </is>
      </c>
      <c r="K65" s="47" t="inlineStr">
        <is>
          <t>select_enemy</t>
        </is>
      </c>
      <c r="L65" s="47" t="inlineStr">
        <is>
          <t>2002,2003,2004</t>
        </is>
      </c>
      <c r="M65" s="47" t="inlineStr">
        <is>
          <t>4</t>
        </is>
      </c>
      <c r="N65" s="47" t="n">
        <v>1</v>
      </c>
      <c r="O65" s="47" t="n">
        <v>1</v>
      </c>
      <c r="P65" s="83" t="inlineStr">
        <is>
          <t>酸雨</t>
        </is>
      </c>
      <c r="Q65" s="47" t="inlineStr">
        <is>
          <t>debuff</t>
        </is>
      </c>
      <c r="R65" s="47" t="n">
        <v>2002</v>
      </c>
      <c r="S65" s="47" t="inlineStr">
        <is>
          <t>7,10</t>
        </is>
      </c>
      <c r="T65" s="47" t="n">
        <v>0</v>
      </c>
      <c r="U65" s="47" t="n">
        <v>1</v>
      </c>
      <c r="V65" s="7" t="n">
        <v>70001</v>
      </c>
      <c r="W65" s="7" t="n">
        <v>1</v>
      </c>
      <c r="X65" s="7" t="n">
        <v>1</v>
      </c>
      <c r="Y65" s="7" t="n">
        <v>8000</v>
      </c>
      <c r="Z65" s="7" t="n">
        <v>163</v>
      </c>
      <c r="AA65" s="7" t="n">
        <v>1</v>
      </c>
      <c r="AB65" t="n">
        <v>1001</v>
      </c>
      <c r="AC65" t="n">
        <v>100</v>
      </c>
      <c r="AD65" t="n">
        <v>1</v>
      </c>
    </row>
    <row r="66" ht="42.75" customHeight="1" s="142">
      <c r="A66" s="7" t="n">
        <v>164</v>
      </c>
      <c r="B66" s="7" t="inlineStr">
        <is>
          <t>tower</t>
        </is>
      </c>
      <c r="C66" s="7" t="n"/>
      <c r="D66" s="156" t="inlineStr">
        <is>
          <t>第64層</t>
        </is>
      </c>
      <c r="E66" s="7" t="n">
        <v>128</v>
      </c>
      <c r="F66" s="7" t="n"/>
      <c r="G66" s="82" t="inlineStr">
        <is>
          <t>{role:-1},
{id:-1},{id:-1},{id:-1},{id:-1},{id:-1}
{id:40003},{id:40074},{id:40049},{id:40062},{id:40001}</t>
        </is>
      </c>
      <c r="H66" s="47" t="n">
        <v>1</v>
      </c>
      <c r="I66" s="47" t="n"/>
      <c r="J66" s="83" t="inlineStr">
        <is>
          <t>磁場共振</t>
        </is>
      </c>
      <c r="K66" s="47" t="inlineStr">
        <is>
          <t>buff</t>
        </is>
      </c>
      <c r="L66" s="47" t="n">
        <v>1003</v>
      </c>
      <c r="M66" s="47" t="inlineStr">
        <is>
          <t>5,7</t>
        </is>
      </c>
      <c r="N66" s="47" t="n"/>
      <c r="O66" s="47" t="n">
        <v>1</v>
      </c>
      <c r="P66" s="83" t="inlineStr">
        <is>
          <t>信號干擾</t>
        </is>
      </c>
      <c r="Q66" s="47" t="inlineStr">
        <is>
          <t>debuff</t>
        </is>
      </c>
      <c r="R66" s="47" t="n">
        <v>2004</v>
      </c>
      <c r="S66" s="47" t="inlineStr">
        <is>
          <t>9,12</t>
        </is>
      </c>
      <c r="T66" s="47" t="n">
        <v>0</v>
      </c>
      <c r="U66" s="47" t="n">
        <v>1</v>
      </c>
      <c r="V66" s="7" t="n">
        <v>70001</v>
      </c>
      <c r="W66" s="7" t="n">
        <v>1</v>
      </c>
      <c r="X66" s="7" t="n">
        <v>1</v>
      </c>
      <c r="Y66" s="7" t="n">
        <v>8000</v>
      </c>
      <c r="Z66" s="7" t="n">
        <v>164</v>
      </c>
      <c r="AA66" s="7" t="n">
        <v>1</v>
      </c>
      <c r="AB66" t="n">
        <v>1001</v>
      </c>
      <c r="AC66" t="n">
        <v>100</v>
      </c>
      <c r="AD66" t="n">
        <v>1</v>
      </c>
    </row>
    <row r="67" ht="42.75" customHeight="1" s="142">
      <c r="A67" s="7" t="n">
        <v>165</v>
      </c>
      <c r="B67" s="7" t="inlineStr">
        <is>
          <t>tower</t>
        </is>
      </c>
      <c r="C67" s="7" t="n"/>
      <c r="D67" s="156" t="inlineStr">
        <is>
          <t>第65層</t>
        </is>
      </c>
      <c r="E67" s="7" t="n">
        <v>130</v>
      </c>
      <c r="F67" s="7" t="n"/>
      <c r="G67" s="82" t="inlineStr">
        <is>
          <t>{role:-1},
{id:-1},{id:-1},{id:-1},{id:-1},{id:-1}
{id:50013},{id:40070},{id:40078},{id:40029},{id:40063}</t>
        </is>
      </c>
      <c r="H67" s="47" t="n">
        <v>1</v>
      </c>
      <c r="I67" s="47" t="n"/>
      <c r="J67" s="83" t="inlineStr">
        <is>
          <t>敵方弱化</t>
        </is>
      </c>
      <c r="K67" s="47" t="inlineStr">
        <is>
          <t>select_enemy</t>
        </is>
      </c>
      <c r="L67" s="47" t="inlineStr">
        <is>
          <t>2002,2003,2004</t>
        </is>
      </c>
      <c r="M67" s="47" t="inlineStr">
        <is>
          <t>5</t>
        </is>
      </c>
      <c r="N67" s="47" t="n">
        <v>1</v>
      </c>
      <c r="O67" s="47" t="n">
        <v>1</v>
      </c>
      <c r="P67" s="83" t="inlineStr">
        <is>
          <t>泥濘</t>
        </is>
      </c>
      <c r="Q67" s="47" t="inlineStr">
        <is>
          <t>debuff</t>
        </is>
      </c>
      <c r="R67" s="47" t="n">
        <v>2005</v>
      </c>
      <c r="S67" s="47" t="inlineStr">
        <is>
          <t>1,8</t>
        </is>
      </c>
      <c r="T67" s="47" t="n">
        <v>0</v>
      </c>
      <c r="U67" s="47" t="n">
        <v>1</v>
      </c>
      <c r="V67" s="7" t="n">
        <v>70001</v>
      </c>
      <c r="W67" s="7" t="n">
        <v>1</v>
      </c>
      <c r="X67" s="7" t="n">
        <v>1</v>
      </c>
      <c r="Y67" s="7" t="n">
        <v>8000</v>
      </c>
      <c r="Z67" s="7" t="n">
        <v>165</v>
      </c>
      <c r="AA67" s="7" t="n">
        <v>1</v>
      </c>
      <c r="AB67" t="n">
        <v>1001</v>
      </c>
      <c r="AC67" t="n">
        <v>100</v>
      </c>
      <c r="AD67" t="n">
        <v>1</v>
      </c>
    </row>
    <row r="68" ht="42.75" customHeight="1" s="142">
      <c r="A68" s="7" t="n">
        <v>166</v>
      </c>
      <c r="B68" s="7" t="inlineStr">
        <is>
          <t>tower</t>
        </is>
      </c>
      <c r="C68" s="7" t="n"/>
      <c r="D68" s="156" t="inlineStr">
        <is>
          <t>第66層</t>
        </is>
      </c>
      <c r="E68" s="7" t="n">
        <v>132</v>
      </c>
      <c r="F68" s="7" t="n"/>
      <c r="G68" s="82" t="inlineStr">
        <is>
          <t>{role:-1},
{id:-1},{id:-1},{id:-1},{id:-1},{id:-1}
{id:40050},{id:40044},{id:40086},{id:40087},{id:40052}</t>
        </is>
      </c>
      <c r="H68" s="47" t="n">
        <v>1</v>
      </c>
      <c r="I68" s="47" t="n"/>
      <c r="J68" s="83" t="inlineStr">
        <is>
          <t>大晴天</t>
        </is>
      </c>
      <c r="K68" s="47" t="inlineStr">
        <is>
          <t>buff</t>
        </is>
      </c>
      <c r="L68" s="47" t="n">
        <v>1001</v>
      </c>
      <c r="M68" s="47" t="inlineStr">
        <is>
          <t>3,8,13</t>
        </is>
      </c>
      <c r="N68" s="47" t="n"/>
      <c r="O68" s="47" t="n">
        <v>1</v>
      </c>
      <c r="P68" s="83" t="inlineStr">
        <is>
          <t>酸雨</t>
        </is>
      </c>
      <c r="Q68" s="47" t="inlineStr">
        <is>
          <t>debuff</t>
        </is>
      </c>
      <c r="R68" s="47" t="n">
        <v>2002</v>
      </c>
      <c r="S68" s="47" t="inlineStr">
        <is>
          <t>1,7,9</t>
        </is>
      </c>
      <c r="T68" s="47" t="n">
        <v>0</v>
      </c>
      <c r="U68" s="47" t="n">
        <v>1</v>
      </c>
      <c r="V68" s="7" t="n">
        <v>70001</v>
      </c>
      <c r="W68" s="7" t="n">
        <v>1</v>
      </c>
      <c r="X68" s="7" t="n">
        <v>1</v>
      </c>
      <c r="Y68" s="7" t="n">
        <v>8000</v>
      </c>
      <c r="Z68" s="7" t="n">
        <v>166</v>
      </c>
      <c r="AA68" s="7" t="n">
        <v>1</v>
      </c>
      <c r="AB68" t="n">
        <v>1001</v>
      </c>
      <c r="AC68" t="n">
        <v>100</v>
      </c>
      <c r="AD68" t="n">
        <v>1</v>
      </c>
    </row>
    <row r="69" ht="42.75" customHeight="1" s="142">
      <c r="A69" s="7" t="n">
        <v>167</v>
      </c>
      <c r="B69" s="7" t="inlineStr">
        <is>
          <t>tower</t>
        </is>
      </c>
      <c r="C69" s="7" t="n"/>
      <c r="D69" s="156" t="inlineStr">
        <is>
          <t>第67層</t>
        </is>
      </c>
      <c r="E69" s="7" t="n">
        <v>134</v>
      </c>
      <c r="F69" s="7" t="n"/>
      <c r="G69" s="82" t="inlineStr">
        <is>
          <t>{role:-1},
{id:-1},{id:-1},{id:-1},{id:-1},{id:-1}
{id:40076},{id:40073},{id:40085},{id:40004},{id:40011}</t>
        </is>
      </c>
      <c r="H69" s="47" t="n">
        <v>1</v>
      </c>
      <c r="I69" s="47" t="n"/>
      <c r="J69" s="83" t="inlineStr">
        <is>
          <t>敵方弱化</t>
        </is>
      </c>
      <c r="K69" s="47" t="inlineStr">
        <is>
          <t>select_enemy</t>
        </is>
      </c>
      <c r="L69" s="47" t="inlineStr">
        <is>
          <t>2002,2003,2004</t>
        </is>
      </c>
      <c r="M69" s="47" t="inlineStr">
        <is>
          <t>3,7,8</t>
        </is>
      </c>
      <c r="N69" s="47" t="n">
        <v>1</v>
      </c>
      <c r="O69" s="47" t="n">
        <v>1</v>
      </c>
      <c r="P69" s="83" t="inlineStr">
        <is>
          <t>信號干擾</t>
        </is>
      </c>
      <c r="Q69" s="47" t="inlineStr">
        <is>
          <t>debuff</t>
        </is>
      </c>
      <c r="R69" s="47" t="n">
        <v>2004</v>
      </c>
      <c r="S69" s="47" t="inlineStr">
        <is>
          <t>1</t>
        </is>
      </c>
      <c r="T69" s="47" t="n">
        <v>0</v>
      </c>
      <c r="U69" s="47" t="n">
        <v>1</v>
      </c>
      <c r="V69" s="7" t="n">
        <v>70001</v>
      </c>
      <c r="W69" s="7" t="n">
        <v>1</v>
      </c>
      <c r="X69" s="7" t="n">
        <v>1</v>
      </c>
      <c r="Y69" s="7" t="n">
        <v>8000</v>
      </c>
      <c r="Z69" s="7" t="n">
        <v>167</v>
      </c>
      <c r="AA69" s="7" t="n">
        <v>1</v>
      </c>
      <c r="AB69" t="n">
        <v>1001</v>
      </c>
      <c r="AC69" t="n">
        <v>100</v>
      </c>
      <c r="AD69" t="n">
        <v>1</v>
      </c>
    </row>
    <row r="70" ht="42.75" customHeight="1" s="142">
      <c r="A70" s="7" t="n">
        <v>168</v>
      </c>
      <c r="B70" s="7" t="inlineStr">
        <is>
          <t>tower</t>
        </is>
      </c>
      <c r="C70" s="7" t="n"/>
      <c r="D70" s="156" t="inlineStr">
        <is>
          <t>第68層</t>
        </is>
      </c>
      <c r="E70" s="7" t="n">
        <v>136</v>
      </c>
      <c r="F70" s="7" t="n"/>
      <c r="G70" s="82" t="inlineStr">
        <is>
          <t>{role:-1},
{id:-1},{id:-1},{id:-1},{id:-1},{id:-1}
{id:40034},{id:40049},{id:40042},{id:40028},{id:40059}</t>
        </is>
      </c>
      <c r="H70" s="47" t="n">
        <v>1</v>
      </c>
      <c r="I70" s="47" t="n"/>
      <c r="J70" s="83" t="inlineStr">
        <is>
          <t>信息同享</t>
        </is>
      </c>
      <c r="K70" s="47" t="inlineStr">
        <is>
          <t>buff</t>
        </is>
      </c>
      <c r="L70" s="47" t="n">
        <v>1005</v>
      </c>
      <c r="M70" s="47" t="inlineStr">
        <is>
          <t>6,7</t>
        </is>
      </c>
      <c r="N70" s="47" t="n"/>
      <c r="O70" s="47" t="n">
        <v>1</v>
      </c>
      <c r="P70" s="83" t="inlineStr">
        <is>
          <t>泥濘</t>
        </is>
      </c>
      <c r="Q70" s="47" t="inlineStr">
        <is>
          <t>debuff</t>
        </is>
      </c>
      <c r="R70" s="47" t="n">
        <v>2005</v>
      </c>
      <c r="S70" s="47" t="inlineStr">
        <is>
          <t>7,13</t>
        </is>
      </c>
      <c r="T70" s="47" t="n">
        <v>0</v>
      </c>
      <c r="U70" s="47" t="n">
        <v>1</v>
      </c>
      <c r="V70" s="7" t="n">
        <v>70001</v>
      </c>
      <c r="W70" s="7" t="n">
        <v>1</v>
      </c>
      <c r="X70" s="7" t="n">
        <v>1</v>
      </c>
      <c r="Y70" s="7" t="n">
        <v>8000</v>
      </c>
      <c r="Z70" s="7" t="n">
        <v>168</v>
      </c>
      <c r="AA70" s="7" t="n">
        <v>1</v>
      </c>
      <c r="AB70" t="n">
        <v>1001</v>
      </c>
      <c r="AC70" t="n">
        <v>100</v>
      </c>
      <c r="AD70" t="n">
        <v>1</v>
      </c>
    </row>
    <row r="71" ht="42.75" customHeight="1" s="142">
      <c r="A71" s="7" t="n">
        <v>169</v>
      </c>
      <c r="B71" s="7" t="inlineStr">
        <is>
          <t>tower</t>
        </is>
      </c>
      <c r="C71" s="7" t="n"/>
      <c r="D71" s="156" t="inlineStr">
        <is>
          <t>第69層</t>
        </is>
      </c>
      <c r="E71" s="7" t="n">
        <v>138</v>
      </c>
      <c r="F71" s="7" t="n"/>
      <c r="G71" s="82" t="inlineStr">
        <is>
          <t>{role:-1},
{id:-1},{id:-1},{id:-1},{id:-1},{id:-1}
{id:40033},{id:40011},{id:40061},{id:40003},{id:40070}</t>
        </is>
      </c>
      <c r="H71" s="47" t="n">
        <v>1</v>
      </c>
      <c r="I71" s="47" t="n"/>
      <c r="J71" s="83" t="inlineStr">
        <is>
          <t>敵方弱化</t>
        </is>
      </c>
      <c r="K71" s="47" t="inlineStr">
        <is>
          <t>select_enemy</t>
        </is>
      </c>
      <c r="L71" s="47" t="inlineStr">
        <is>
          <t>2002,2003,2004</t>
        </is>
      </c>
      <c r="M71" s="47" t="inlineStr">
        <is>
          <t>6</t>
        </is>
      </c>
      <c r="N71" s="47" t="n">
        <v>1</v>
      </c>
      <c r="O71" s="47" t="n">
        <v>1</v>
      </c>
      <c r="P71" s="83" t="inlineStr">
        <is>
          <t>酸雨</t>
        </is>
      </c>
      <c r="Q71" s="47" t="inlineStr">
        <is>
          <t>debuff</t>
        </is>
      </c>
      <c r="R71" s="47" t="n">
        <v>2002</v>
      </c>
      <c r="S71" s="47" t="inlineStr">
        <is>
          <t>11</t>
        </is>
      </c>
      <c r="T71" s="47" t="n">
        <v>0</v>
      </c>
      <c r="U71" s="47" t="n">
        <v>1</v>
      </c>
      <c r="V71" s="7" t="n">
        <v>70001</v>
      </c>
      <c r="W71" s="7" t="n">
        <v>1</v>
      </c>
      <c r="X71" s="7" t="n">
        <v>1</v>
      </c>
      <c r="Y71" s="7" t="n">
        <v>8000</v>
      </c>
      <c r="Z71" s="7" t="n">
        <v>169</v>
      </c>
      <c r="AA71" s="7" t="n">
        <v>1</v>
      </c>
      <c r="AB71" t="n">
        <v>1001</v>
      </c>
      <c r="AC71" t="n">
        <v>100</v>
      </c>
      <c r="AD71" t="n">
        <v>1</v>
      </c>
    </row>
    <row r="72" ht="42.75" customHeight="1" s="142">
      <c r="A72" s="7" t="n">
        <v>170</v>
      </c>
      <c r="B72" s="7" t="inlineStr">
        <is>
          <t>tower</t>
        </is>
      </c>
      <c r="C72" s="7" t="n"/>
      <c r="D72" s="156" t="inlineStr">
        <is>
          <t>第70層</t>
        </is>
      </c>
      <c r="E72" s="7" t="n">
        <v>140</v>
      </c>
      <c r="F72" s="7" t="n"/>
      <c r="G72" s="82" t="inlineStr">
        <is>
          <t>{role:-1},
{id:-1},{id:-1},{id:-1},{id:-1},{id:-1}
{id:50014},{id:40009},{id:40084},{id:40006},{id:40004}</t>
        </is>
      </c>
      <c r="H72" s="47" t="n">
        <v>1</v>
      </c>
      <c r="I72" s="47" t="n"/>
      <c r="J72" s="83" t="inlineStr">
        <is>
          <t>磁場共振</t>
        </is>
      </c>
      <c r="K72" s="47" t="inlineStr">
        <is>
          <t>buff</t>
        </is>
      </c>
      <c r="L72" s="47" t="n">
        <v>1003</v>
      </c>
      <c r="M72" s="47" t="inlineStr">
        <is>
          <t>4</t>
        </is>
      </c>
      <c r="N72" s="47" t="n"/>
      <c r="O72" s="47" t="n">
        <v>1</v>
      </c>
      <c r="P72" s="83" t="inlineStr">
        <is>
          <t>信號干擾</t>
        </is>
      </c>
      <c r="Q72" s="47" t="inlineStr">
        <is>
          <t>debuff</t>
        </is>
      </c>
      <c r="R72" s="47" t="n">
        <v>2004</v>
      </c>
      <c r="S72" s="47" t="inlineStr">
        <is>
          <t>10</t>
        </is>
      </c>
      <c r="T72" s="47" t="n">
        <v>0</v>
      </c>
      <c r="U72" s="47" t="n">
        <v>1</v>
      </c>
      <c r="V72" s="7" t="n">
        <v>70001</v>
      </c>
      <c r="W72" s="7" t="n">
        <v>1</v>
      </c>
      <c r="X72" s="7" t="n">
        <v>1</v>
      </c>
      <c r="Y72" s="7" t="n">
        <v>8000</v>
      </c>
      <c r="Z72" s="7" t="n">
        <v>170</v>
      </c>
      <c r="AA72" s="7" t="n">
        <v>1</v>
      </c>
      <c r="AB72" t="n">
        <v>1001</v>
      </c>
      <c r="AC72" t="n">
        <v>1000</v>
      </c>
      <c r="AD72" t="n">
        <v>1</v>
      </c>
    </row>
    <row r="73" ht="42.75" customHeight="1" s="142">
      <c r="A73" s="7" t="n">
        <v>171</v>
      </c>
      <c r="B73" s="7" t="inlineStr">
        <is>
          <t>tower</t>
        </is>
      </c>
      <c r="C73" s="7" t="n"/>
      <c r="D73" s="156" t="inlineStr">
        <is>
          <t>第71層</t>
        </is>
      </c>
      <c r="E73" s="7" t="n">
        <v>142</v>
      </c>
      <c r="F73" s="7" t="n"/>
      <c r="G73" s="82" t="inlineStr">
        <is>
          <t>{role:-1},
{id:-1},{id:-1},{id:-1},{id:-1},{id:-1}
{id:40020},{id:40031},{id:40017},{id:40061},{id:40086}</t>
        </is>
      </c>
      <c r="H73" s="47" t="n">
        <v>1</v>
      </c>
      <c r="I73" s="47" t="n"/>
      <c r="J73" s="83" t="inlineStr">
        <is>
          <t>敵方弱化</t>
        </is>
      </c>
      <c r="K73" s="47" t="inlineStr">
        <is>
          <t>select_enemy</t>
        </is>
      </c>
      <c r="L73" s="47" t="inlineStr">
        <is>
          <t>2002,2003,2004</t>
        </is>
      </c>
      <c r="M73" s="47" t="inlineStr">
        <is>
          <t>10</t>
        </is>
      </c>
      <c r="N73" s="47" t="n">
        <v>1</v>
      </c>
      <c r="O73" s="47" t="n">
        <v>1</v>
      </c>
      <c r="P73" s="83" t="inlineStr">
        <is>
          <t>泥濘</t>
        </is>
      </c>
      <c r="Q73" s="47" t="inlineStr">
        <is>
          <t>debuff</t>
        </is>
      </c>
      <c r="R73" s="47" t="n">
        <v>2005</v>
      </c>
      <c r="S73" s="47" t="inlineStr">
        <is>
          <t>8</t>
        </is>
      </c>
      <c r="T73" s="47" t="n">
        <v>0</v>
      </c>
      <c r="U73" s="47" t="n">
        <v>1</v>
      </c>
      <c r="V73" s="7" t="n">
        <v>70001</v>
      </c>
      <c r="W73" s="7" t="n">
        <v>1</v>
      </c>
      <c r="X73" s="7" t="n">
        <v>1</v>
      </c>
      <c r="Y73" s="7" t="n">
        <v>8000</v>
      </c>
      <c r="Z73" s="7" t="n">
        <v>171</v>
      </c>
      <c r="AA73" s="7" t="n">
        <v>1</v>
      </c>
      <c r="AB73" t="n">
        <v>1001</v>
      </c>
      <c r="AC73" t="n">
        <v>100</v>
      </c>
      <c r="AD73" t="n">
        <v>1</v>
      </c>
    </row>
    <row r="74" ht="42.75" customHeight="1" s="142">
      <c r="A74" s="7" t="n">
        <v>172</v>
      </c>
      <c r="B74" s="7" t="inlineStr">
        <is>
          <t>tower</t>
        </is>
      </c>
      <c r="C74" s="7" t="n"/>
      <c r="D74" s="156" t="inlineStr">
        <is>
          <t>第72層</t>
        </is>
      </c>
      <c r="E74" s="7" t="n">
        <v>144</v>
      </c>
      <c r="F74" s="7" t="n"/>
      <c r="G74" s="82" t="inlineStr">
        <is>
          <t>{role:-1},
{id:-1},{id:-1},{id:-1},{id:-1},{id:-1}
{id:40033},{id:40048},{id:40022},{id:40078},{id:40015}</t>
        </is>
      </c>
      <c r="H74" s="47" t="n">
        <v>1</v>
      </c>
      <c r="I74" s="47" t="n"/>
      <c r="J74" s="83" t="inlineStr">
        <is>
          <t>大晴天</t>
        </is>
      </c>
      <c r="K74" s="47" t="inlineStr">
        <is>
          <t>buff</t>
        </is>
      </c>
      <c r="L74" s="47" t="n">
        <v>1001</v>
      </c>
      <c r="M74" s="47" t="inlineStr">
        <is>
          <t>5</t>
        </is>
      </c>
      <c r="N74" s="47" t="n"/>
      <c r="O74" s="47" t="n">
        <v>1</v>
      </c>
      <c r="P74" s="83" t="inlineStr">
        <is>
          <t>酸雨</t>
        </is>
      </c>
      <c r="Q74" s="47" t="inlineStr">
        <is>
          <t>debuff</t>
        </is>
      </c>
      <c r="R74" s="47" t="n">
        <v>2002</v>
      </c>
      <c r="S74" s="47" t="inlineStr">
        <is>
          <t>10</t>
        </is>
      </c>
      <c r="T74" s="47" t="n">
        <v>0</v>
      </c>
      <c r="U74" s="47" t="n">
        <v>1</v>
      </c>
      <c r="V74" s="7" t="n">
        <v>70001</v>
      </c>
      <c r="W74" s="7" t="n">
        <v>1</v>
      </c>
      <c r="X74" s="7" t="n">
        <v>1</v>
      </c>
      <c r="Y74" s="7" t="n">
        <v>8000</v>
      </c>
      <c r="Z74" s="7" t="n">
        <v>172</v>
      </c>
      <c r="AA74" s="7" t="n">
        <v>1</v>
      </c>
      <c r="AB74" t="n">
        <v>1001</v>
      </c>
      <c r="AC74" t="n">
        <v>100</v>
      </c>
      <c r="AD74" t="n">
        <v>1</v>
      </c>
    </row>
    <row r="75" ht="42.75" customHeight="1" s="142">
      <c r="A75" s="7" t="n">
        <v>173</v>
      </c>
      <c r="B75" s="7" t="inlineStr">
        <is>
          <t>tower</t>
        </is>
      </c>
      <c r="C75" s="7" t="n"/>
      <c r="D75" s="156" t="inlineStr">
        <is>
          <t>第73層</t>
        </is>
      </c>
      <c r="E75" s="7" t="n">
        <v>146</v>
      </c>
      <c r="F75" s="7" t="n"/>
      <c r="G75" s="82" t="inlineStr">
        <is>
          <t>{role:-1},
{id:-1},{id:-1},{id:-1},{id:-1},{id:-1}
{id:40004},{id:40040},{id:40074},{id:40087},{id:40049}</t>
        </is>
      </c>
      <c r="H75" s="47" t="n">
        <v>1</v>
      </c>
      <c r="I75" s="47" t="n"/>
      <c r="J75" s="83" t="inlineStr">
        <is>
          <t>敵方弱化</t>
        </is>
      </c>
      <c r="K75" s="47" t="inlineStr">
        <is>
          <t>select_enemy</t>
        </is>
      </c>
      <c r="L75" s="47" t="inlineStr">
        <is>
          <t>2002,2003,2004</t>
        </is>
      </c>
      <c r="M75" s="47" t="inlineStr">
        <is>
          <t>4,12</t>
        </is>
      </c>
      <c r="N75" s="47" t="n">
        <v>1</v>
      </c>
      <c r="O75" s="47" t="n">
        <v>1</v>
      </c>
      <c r="P75" s="83" t="inlineStr">
        <is>
          <t>信號干擾</t>
        </is>
      </c>
      <c r="Q75" s="47" t="inlineStr">
        <is>
          <t>debuff</t>
        </is>
      </c>
      <c r="R75" s="47" t="n">
        <v>2004</v>
      </c>
      <c r="S75" s="47" t="inlineStr">
        <is>
          <t>10</t>
        </is>
      </c>
      <c r="T75" s="47" t="n">
        <v>0</v>
      </c>
      <c r="U75" s="47" t="n">
        <v>1</v>
      </c>
      <c r="V75" s="7" t="n">
        <v>70001</v>
      </c>
      <c r="W75" s="7" t="n">
        <v>1</v>
      </c>
      <c r="X75" s="7" t="n">
        <v>1</v>
      </c>
      <c r="Y75" s="7" t="n">
        <v>8000</v>
      </c>
      <c r="Z75" s="7" t="n">
        <v>173</v>
      </c>
      <c r="AA75" s="7" t="n">
        <v>1</v>
      </c>
      <c r="AB75" t="n">
        <v>1001</v>
      </c>
      <c r="AC75" t="n">
        <v>100</v>
      </c>
      <c r="AD75" t="n">
        <v>1</v>
      </c>
    </row>
    <row r="76" ht="42.75" customHeight="1" s="142">
      <c r="A76" s="7" t="n">
        <v>174</v>
      </c>
      <c r="B76" s="7" t="inlineStr">
        <is>
          <t>tower</t>
        </is>
      </c>
      <c r="C76" s="7" t="n"/>
      <c r="D76" s="156" t="inlineStr">
        <is>
          <t>第74層</t>
        </is>
      </c>
      <c r="E76" s="7" t="n">
        <v>148</v>
      </c>
      <c r="F76" s="7" t="n"/>
      <c r="G76" s="82" t="inlineStr">
        <is>
          <t>{role:-1},
{id:-1},{id:-1},{id:-1},{id:-1},{id:-1}
{id:40081},{id:40032},{id:40014},{id:40039},{id:40077}</t>
        </is>
      </c>
      <c r="H76" s="47" t="n">
        <v>1</v>
      </c>
      <c r="I76" s="47" t="n"/>
      <c r="J76" s="83" t="inlineStr">
        <is>
          <t>信息同享</t>
        </is>
      </c>
      <c r="K76" s="47" t="inlineStr">
        <is>
          <t>buff</t>
        </is>
      </c>
      <c r="L76" s="47" t="n">
        <v>1005</v>
      </c>
      <c r="M76" s="47" t="inlineStr">
        <is>
          <t>13</t>
        </is>
      </c>
      <c r="N76" s="47" t="n"/>
      <c r="O76" s="47" t="n">
        <v>1</v>
      </c>
      <c r="P76" s="83" t="inlineStr">
        <is>
          <t>泥濘</t>
        </is>
      </c>
      <c r="Q76" s="47" t="inlineStr">
        <is>
          <t>debuff</t>
        </is>
      </c>
      <c r="R76" s="47" t="n">
        <v>2005</v>
      </c>
      <c r="S76" s="47" t="inlineStr">
        <is>
          <t>1,6,13</t>
        </is>
      </c>
      <c r="T76" s="47" t="n">
        <v>0</v>
      </c>
      <c r="U76" s="47" t="n">
        <v>1</v>
      </c>
      <c r="V76" s="7" t="n">
        <v>70001</v>
      </c>
      <c r="W76" s="7" t="n">
        <v>1</v>
      </c>
      <c r="X76" s="7" t="n">
        <v>1</v>
      </c>
      <c r="Y76" s="7" t="n">
        <v>8000</v>
      </c>
      <c r="Z76" s="7" t="n">
        <v>174</v>
      </c>
      <c r="AA76" s="7" t="n">
        <v>1</v>
      </c>
      <c r="AB76" t="n">
        <v>1001</v>
      </c>
      <c r="AC76" t="n">
        <v>100</v>
      </c>
      <c r="AD76" t="n">
        <v>1</v>
      </c>
    </row>
    <row r="77" ht="42.75" customHeight="1" s="142">
      <c r="A77" s="7" t="n">
        <v>175</v>
      </c>
      <c r="B77" s="7" t="inlineStr">
        <is>
          <t>tower</t>
        </is>
      </c>
      <c r="C77" s="7" t="n"/>
      <c r="D77" s="156" t="inlineStr">
        <is>
          <t>第75層</t>
        </is>
      </c>
      <c r="E77" s="7" t="n">
        <v>150</v>
      </c>
      <c r="F77" s="7" t="n"/>
      <c r="G77" s="82" t="inlineStr">
        <is>
          <t>{role:-1},
{id:-1},{id:-1},{id:-1},{id:-1},{id:-1}
{id:50015},{id:40069},{id:40055},{id:40085},{id:40048}</t>
        </is>
      </c>
      <c r="H77" s="47" t="n">
        <v>1</v>
      </c>
      <c r="I77" s="47" t="n"/>
      <c r="J77" s="83" t="inlineStr">
        <is>
          <t>敵方弱化</t>
        </is>
      </c>
      <c r="K77" s="47" t="inlineStr">
        <is>
          <t>select_enemy</t>
        </is>
      </c>
      <c r="L77" s="47" t="inlineStr">
        <is>
          <t>2002,2003,2004</t>
        </is>
      </c>
      <c r="M77" s="47" t="inlineStr">
        <is>
          <t>9</t>
        </is>
      </c>
      <c r="N77" s="47" t="n">
        <v>1</v>
      </c>
      <c r="O77" s="47" t="n">
        <v>1</v>
      </c>
      <c r="P77" s="83" t="inlineStr">
        <is>
          <t>酸雨</t>
        </is>
      </c>
      <c r="Q77" s="47" t="inlineStr">
        <is>
          <t>debuff</t>
        </is>
      </c>
      <c r="R77" s="47" t="n">
        <v>2002</v>
      </c>
      <c r="S77" s="47" t="inlineStr">
        <is>
          <t>1,6,7</t>
        </is>
      </c>
      <c r="T77" s="47" t="n">
        <v>0</v>
      </c>
      <c r="U77" s="47" t="n">
        <v>1</v>
      </c>
      <c r="V77" s="7" t="n">
        <v>70001</v>
      </c>
      <c r="W77" s="7" t="n">
        <v>1</v>
      </c>
      <c r="X77" s="7" t="n">
        <v>1</v>
      </c>
      <c r="Y77" s="7" t="n">
        <v>8000</v>
      </c>
      <c r="Z77" s="7" t="n">
        <v>175</v>
      </c>
      <c r="AA77" s="7" t="n">
        <v>1</v>
      </c>
      <c r="AB77" t="n">
        <v>1001</v>
      </c>
      <c r="AC77" t="n">
        <v>100</v>
      </c>
      <c r="AD77" t="n">
        <v>1</v>
      </c>
    </row>
    <row r="78" ht="42.75" customHeight="1" s="142">
      <c r="A78" s="7" t="n">
        <v>176</v>
      </c>
      <c r="B78" s="7" t="inlineStr">
        <is>
          <t>tower</t>
        </is>
      </c>
      <c r="C78" s="7" t="n"/>
      <c r="D78" s="156" t="inlineStr">
        <is>
          <t>第76層</t>
        </is>
      </c>
      <c r="E78" s="7" t="n">
        <v>152</v>
      </c>
      <c r="F78" s="7" t="n"/>
      <c r="G78" s="82" t="inlineStr">
        <is>
          <t>{role:-1},
{id:-1},{id:-1},{id:-1},{id:-1},{id:-1}
{id:40063},{id:40014},{id:40056},{id:40047},{id:40082}</t>
        </is>
      </c>
      <c r="H78" s="47" t="n">
        <v>1</v>
      </c>
      <c r="I78" s="47" t="n"/>
      <c r="J78" s="83" t="inlineStr">
        <is>
          <t>磁場共振</t>
        </is>
      </c>
      <c r="K78" s="47" t="inlineStr">
        <is>
          <t>buff</t>
        </is>
      </c>
      <c r="L78" s="47" t="n">
        <v>1003</v>
      </c>
      <c r="M78" s="47" t="inlineStr">
        <is>
          <t>3,12</t>
        </is>
      </c>
      <c r="N78" s="47" t="n"/>
      <c r="O78" s="47" t="n">
        <v>1</v>
      </c>
      <c r="P78" s="83" t="inlineStr">
        <is>
          <t>信號干擾</t>
        </is>
      </c>
      <c r="Q78" s="47" t="inlineStr">
        <is>
          <t>debuff</t>
        </is>
      </c>
      <c r="R78" s="47" t="n">
        <v>2004</v>
      </c>
      <c r="S78" s="47" t="inlineStr">
        <is>
          <t>3,12</t>
        </is>
      </c>
      <c r="T78" s="47" t="n">
        <v>0</v>
      </c>
      <c r="U78" s="47" t="n">
        <v>1</v>
      </c>
      <c r="V78" s="7" t="n">
        <v>70001</v>
      </c>
      <c r="W78" s="7" t="n">
        <v>1</v>
      </c>
      <c r="X78" s="7" t="n">
        <v>1</v>
      </c>
      <c r="Y78" s="7" t="n">
        <v>8000</v>
      </c>
      <c r="Z78" s="7" t="n">
        <v>176</v>
      </c>
      <c r="AA78" s="7" t="n">
        <v>1</v>
      </c>
      <c r="AB78" t="n">
        <v>1001</v>
      </c>
      <c r="AC78" t="n">
        <v>100</v>
      </c>
      <c r="AD78" t="n">
        <v>1</v>
      </c>
    </row>
    <row r="79" ht="47.25" customHeight="1" s="142">
      <c r="A79" s="7" t="n">
        <v>177</v>
      </c>
      <c r="B79" s="7" t="inlineStr">
        <is>
          <t>tower</t>
        </is>
      </c>
      <c r="C79" s="7" t="n"/>
      <c r="D79" s="156" t="inlineStr">
        <is>
          <t>第77層</t>
        </is>
      </c>
      <c r="E79" s="7" t="n">
        <v>154</v>
      </c>
      <c r="F79" s="87" t="n"/>
      <c r="G79" s="88" t="inlineStr">
        <is>
          <t>{role:-1},
{id:-1},{id:-1},{id:-1},{id:-1},{id:-1}
{id:40067},{id:40084},{id:40035},{id:40079},{id:40069}</t>
        </is>
      </c>
      <c r="H79" s="47" t="n">
        <v>1</v>
      </c>
      <c r="I79" s="47" t="n"/>
      <c r="J79" s="83" t="inlineStr">
        <is>
          <t>敵方弱化</t>
        </is>
      </c>
      <c r="K79" s="47" t="inlineStr">
        <is>
          <t>select_enemy</t>
        </is>
      </c>
      <c r="L79" s="47" t="inlineStr">
        <is>
          <t>2002,2003,2004</t>
        </is>
      </c>
      <c r="M79" s="47" t="inlineStr">
        <is>
          <t>7,8</t>
        </is>
      </c>
      <c r="N79" s="47" t="n">
        <v>1</v>
      </c>
      <c r="O79" s="47" t="n">
        <v>1</v>
      </c>
      <c r="P79" s="83" t="inlineStr">
        <is>
          <t>泥濘</t>
        </is>
      </c>
      <c r="Q79" s="47" t="inlineStr">
        <is>
          <t>debuff</t>
        </is>
      </c>
      <c r="R79" s="47" t="n">
        <v>2005</v>
      </c>
      <c r="S79" s="47" t="inlineStr">
        <is>
          <t>5,6,10</t>
        </is>
      </c>
      <c r="T79" s="47" t="n">
        <v>0</v>
      </c>
      <c r="U79" s="47" t="n">
        <v>1</v>
      </c>
      <c r="V79" s="7" t="n">
        <v>70001</v>
      </c>
      <c r="W79" s="7" t="n">
        <v>1</v>
      </c>
      <c r="X79" s="7" t="n">
        <v>1</v>
      </c>
      <c r="Y79" s="7" t="n">
        <v>8000</v>
      </c>
      <c r="Z79" s="7" t="n">
        <v>177</v>
      </c>
      <c r="AA79" s="7" t="n">
        <v>1</v>
      </c>
      <c r="AB79" t="n">
        <v>1001</v>
      </c>
      <c r="AC79" t="n">
        <v>100</v>
      </c>
      <c r="AD79" t="n">
        <v>1</v>
      </c>
    </row>
    <row r="80" ht="38.25" customHeight="1" s="142">
      <c r="A80" t="n">
        <v>178</v>
      </c>
      <c r="B80" t="inlineStr">
        <is>
          <t>tower</t>
        </is>
      </c>
      <c r="D80" s="80" t="inlineStr">
        <is>
          <t>第78層</t>
        </is>
      </c>
      <c r="E80" t="n">
        <v>156</v>
      </c>
      <c r="G80" s="90" t="inlineStr">
        <is>
          <t>{role:-1},
{id:-1},{id:-1},{id:-1},{id:-1},{id:-1}
{id:40032},{id:40012},{id:40036},{id:40058},{id:40060}</t>
        </is>
      </c>
      <c r="H80" t="n">
        <v>1</v>
      </c>
      <c r="J80" s="80" t="inlineStr">
        <is>
          <t>大晴天</t>
        </is>
      </c>
      <c r="K80" t="inlineStr">
        <is>
          <t>buff</t>
        </is>
      </c>
      <c r="L80" t="n">
        <v>1001</v>
      </c>
      <c r="M80" t="inlineStr">
        <is>
          <t>7,10,11</t>
        </is>
      </c>
      <c r="O80" t="n">
        <v>1</v>
      </c>
      <c r="P80" s="80" t="inlineStr">
        <is>
          <t>酸雨</t>
        </is>
      </c>
      <c r="Q80" t="inlineStr">
        <is>
          <t>debuff</t>
        </is>
      </c>
      <c r="R80" t="n">
        <v>2002</v>
      </c>
      <c r="S80" t="inlineStr">
        <is>
          <t>1,8</t>
        </is>
      </c>
      <c r="T80" t="n">
        <v>0</v>
      </c>
      <c r="U80" t="n">
        <v>1</v>
      </c>
      <c r="V80" t="n">
        <v>70001</v>
      </c>
      <c r="W80" t="n">
        <v>1</v>
      </c>
      <c r="X80" t="n">
        <v>1</v>
      </c>
      <c r="Y80" t="n">
        <v>8000</v>
      </c>
      <c r="Z80" t="n">
        <v>178</v>
      </c>
      <c r="AA80" t="n">
        <v>1</v>
      </c>
      <c r="AB80" t="n">
        <v>1001</v>
      </c>
      <c r="AC80" t="n">
        <v>100</v>
      </c>
      <c r="AD80" t="n">
        <v>1</v>
      </c>
    </row>
    <row r="81" ht="42.75" customHeight="1" s="142">
      <c r="A81" s="7" t="n">
        <v>179</v>
      </c>
      <c r="B81" s="7" t="inlineStr">
        <is>
          <t>tower</t>
        </is>
      </c>
      <c r="C81" s="7" t="n"/>
      <c r="D81" s="138" t="inlineStr">
        <is>
          <t>第79層</t>
        </is>
      </c>
      <c r="E81" s="7" t="n">
        <v>158</v>
      </c>
      <c r="F81" s="7" t="n"/>
      <c r="G81" s="82" t="inlineStr">
        <is>
          <t>{role:-1},
{id:-1},{id:-1},{id:-1},{id:-1},{id:-1}
{id:40042},{id:40024},{id:40063},{id:40028},{id:40046}</t>
        </is>
      </c>
      <c r="H81" s="7" t="n">
        <v>1</v>
      </c>
      <c r="I81" s="7" t="n"/>
      <c r="J81" s="138" t="inlineStr">
        <is>
          <t>敵方弱化</t>
        </is>
      </c>
      <c r="K81" s="7" t="inlineStr">
        <is>
          <t>select_enemy</t>
        </is>
      </c>
      <c r="L81" s="7" t="inlineStr">
        <is>
          <t>2002,2003,2004</t>
        </is>
      </c>
      <c r="M81" s="7" t="inlineStr">
        <is>
          <t>5,6</t>
        </is>
      </c>
      <c r="N81" s="7" t="n">
        <v>1</v>
      </c>
      <c r="O81" s="7" t="n">
        <v>1</v>
      </c>
      <c r="P81" s="138" t="inlineStr">
        <is>
          <t>信號干擾</t>
        </is>
      </c>
      <c r="Q81" s="7" t="inlineStr">
        <is>
          <t>debuff</t>
        </is>
      </c>
      <c r="R81" s="7" t="n">
        <v>2004</v>
      </c>
      <c r="S81" s="7" t="inlineStr">
        <is>
          <t>5,9,12</t>
        </is>
      </c>
      <c r="T81" s="7" t="n">
        <v>0</v>
      </c>
      <c r="U81" s="7" t="n">
        <v>1</v>
      </c>
      <c r="V81" s="7" t="n">
        <v>70001</v>
      </c>
      <c r="W81" s="7" t="n">
        <v>1</v>
      </c>
      <c r="X81" s="7" t="n">
        <v>1</v>
      </c>
      <c r="Y81" s="7" t="n">
        <v>8000</v>
      </c>
      <c r="Z81" s="7" t="n">
        <v>179</v>
      </c>
      <c r="AA81" s="7" t="n">
        <v>1</v>
      </c>
      <c r="AB81" s="7" t="n">
        <v>1001</v>
      </c>
      <c r="AC81" s="7" t="n">
        <v>100</v>
      </c>
      <c r="AD81" s="7" t="n">
        <v>1</v>
      </c>
      <c r="AE81" s="7" t="n"/>
      <c r="AF81" s="7" t="n"/>
      <c r="AG81" s="7" t="n"/>
      <c r="AH81" s="7" t="n"/>
      <c r="AI81" s="7" t="n"/>
      <c r="AJ81" s="7" t="n"/>
    </row>
    <row r="82" ht="47.25" customHeight="1" s="142">
      <c r="A82" s="105" t="n">
        <v>180</v>
      </c>
      <c r="B82" s="7" t="inlineStr">
        <is>
          <t>tower</t>
        </is>
      </c>
      <c r="D82" s="138" t="inlineStr">
        <is>
          <t>第80層</t>
        </is>
      </c>
      <c r="E82" s="7" t="n">
        <v>160</v>
      </c>
      <c r="F82" s="101" t="n"/>
      <c r="G82" s="102" t="inlineStr">
        <is>
          <t>{role:-1},
{id:-1},{id:-1},{id:-1},{id:-1},{id:-1}
{id:50001},{id:40002},{id:40067},{id:40025},{id:40011}</t>
        </is>
      </c>
      <c r="H82" s="47" t="n">
        <v>1</v>
      </c>
      <c r="I82" s="47" t="n"/>
      <c r="J82" s="83" t="inlineStr">
        <is>
          <t>信息同享</t>
        </is>
      </c>
      <c r="K82" s="47" t="inlineStr">
        <is>
          <t>buff</t>
        </is>
      </c>
      <c r="L82" s="47" t="n">
        <v>1005</v>
      </c>
      <c r="M82" s="47" t="inlineStr">
        <is>
          <t>12</t>
        </is>
      </c>
      <c r="N82" s="47" t="n"/>
      <c r="O82" s="47" t="n">
        <v>1</v>
      </c>
      <c r="P82" s="83" t="inlineStr">
        <is>
          <t>泥濘</t>
        </is>
      </c>
      <c r="Q82" s="47" t="inlineStr">
        <is>
          <t>debuff</t>
        </is>
      </c>
      <c r="R82" s="47" t="n">
        <v>2005</v>
      </c>
      <c r="S82" s="47" t="inlineStr">
        <is>
          <t>8,9</t>
        </is>
      </c>
      <c r="T82" s="47" t="n">
        <v>0</v>
      </c>
      <c r="U82" s="47" t="n">
        <v>1</v>
      </c>
      <c r="V82" s="135" t="n">
        <v>70001</v>
      </c>
      <c r="W82" s="7" t="n">
        <v>1</v>
      </c>
      <c r="X82" t="n">
        <v>1</v>
      </c>
      <c r="Y82" t="n">
        <v>8000</v>
      </c>
      <c r="Z82" t="n">
        <v>180</v>
      </c>
      <c r="AA82" t="n">
        <v>1</v>
      </c>
      <c r="AB82" t="n">
        <v>1001</v>
      </c>
      <c r="AC82" t="n">
        <v>1000</v>
      </c>
      <c r="AD82" t="n">
        <v>1</v>
      </c>
    </row>
    <row r="83" ht="47.25" customHeight="1" s="142">
      <c r="A83" s="105" t="n">
        <v>181</v>
      </c>
      <c r="B83" s="7" t="inlineStr">
        <is>
          <t>tower</t>
        </is>
      </c>
      <c r="D83" s="138" t="inlineStr">
        <is>
          <t>第81層</t>
        </is>
      </c>
      <c r="E83" s="7" t="n">
        <v>162</v>
      </c>
      <c r="F83" s="101" t="n"/>
      <c r="G83" s="97" t="inlineStr">
        <is>
          <t>{role:-1},
{id:-1},{id:-1},{id:-1},{id:-1},{id:-1}
{id:40031},{id:40061},{id:40083},{id:40063},{id:40058}</t>
        </is>
      </c>
      <c r="H83" s="47" t="n">
        <v>1</v>
      </c>
      <c r="I83" s="47" t="n"/>
      <c r="J83" s="83" t="inlineStr">
        <is>
          <t>敵方弱化</t>
        </is>
      </c>
      <c r="K83" s="47" t="inlineStr">
        <is>
          <t>select_enemy</t>
        </is>
      </c>
      <c r="L83" s="47" t="inlineStr">
        <is>
          <t>2002,2003,2004</t>
        </is>
      </c>
      <c r="M83" s="47" t="inlineStr">
        <is>
          <t>2</t>
        </is>
      </c>
      <c r="N83" s="47" t="n">
        <v>1</v>
      </c>
      <c r="O83" s="47" t="n">
        <v>1</v>
      </c>
      <c r="P83" s="83" t="inlineStr">
        <is>
          <t>酸雨</t>
        </is>
      </c>
      <c r="Q83" s="47" t="inlineStr">
        <is>
          <t>debuff</t>
        </is>
      </c>
      <c r="R83" s="47" t="n">
        <v>2002</v>
      </c>
      <c r="S83" s="47" t="inlineStr">
        <is>
          <t>4,7</t>
        </is>
      </c>
      <c r="T83" s="47" t="n">
        <v>0</v>
      </c>
      <c r="U83" s="47" t="n">
        <v>1</v>
      </c>
      <c r="V83" s="135" t="n">
        <v>70001</v>
      </c>
      <c r="W83" s="7" t="n">
        <v>1</v>
      </c>
      <c r="X83" t="n">
        <v>1</v>
      </c>
      <c r="Y83" t="n">
        <v>8000</v>
      </c>
      <c r="Z83" t="n">
        <v>181</v>
      </c>
      <c r="AA83" t="n">
        <v>1</v>
      </c>
      <c r="AB83" t="n">
        <v>1001</v>
      </c>
      <c r="AC83" t="n">
        <v>100</v>
      </c>
      <c r="AD83" t="n">
        <v>1</v>
      </c>
    </row>
    <row r="84" ht="47.25" customHeight="1" s="142">
      <c r="A84" s="105" t="n">
        <v>182</v>
      </c>
      <c r="B84" s="7" t="inlineStr">
        <is>
          <t>tower</t>
        </is>
      </c>
      <c r="D84" s="138" t="inlineStr">
        <is>
          <t>第82層</t>
        </is>
      </c>
      <c r="E84" s="7" t="n">
        <v>164</v>
      </c>
      <c r="F84" s="101" t="n"/>
      <c r="G84" s="88" t="inlineStr">
        <is>
          <t>{role:-1},
{id:-1},{id:-1},{id:-1},{id:-1},{id:-1}
{id:40032},{id:40040},{id:40085},{id:40075},{id:40048}</t>
        </is>
      </c>
      <c r="H84" s="47" t="n">
        <v>1</v>
      </c>
      <c r="I84" s="47" t="n"/>
      <c r="J84" s="83" t="inlineStr">
        <is>
          <t>磁場共振</t>
        </is>
      </c>
      <c r="K84" s="47" t="inlineStr">
        <is>
          <t>buff</t>
        </is>
      </c>
      <c r="L84" s="47" t="n">
        <v>1003</v>
      </c>
      <c r="M84" s="47" t="inlineStr">
        <is>
          <t>9,13</t>
        </is>
      </c>
      <c r="N84" s="47" t="n"/>
      <c r="O84" s="47" t="n">
        <v>1</v>
      </c>
      <c r="P84" s="83" t="inlineStr">
        <is>
          <t>信號干擾</t>
        </is>
      </c>
      <c r="Q84" s="47" t="inlineStr">
        <is>
          <t>debuff</t>
        </is>
      </c>
      <c r="R84" s="47" t="n">
        <v>2004</v>
      </c>
      <c r="S84" s="47" t="inlineStr">
        <is>
          <t>7,12</t>
        </is>
      </c>
      <c r="T84" s="47" t="n">
        <v>0</v>
      </c>
      <c r="U84" s="47" t="n">
        <v>1</v>
      </c>
      <c r="V84" s="135" t="n">
        <v>70001</v>
      </c>
      <c r="W84" s="7" t="n">
        <v>1</v>
      </c>
      <c r="X84" t="n">
        <v>1</v>
      </c>
      <c r="Y84" t="n">
        <v>8000</v>
      </c>
      <c r="Z84" t="n">
        <v>182</v>
      </c>
      <c r="AA84" t="n">
        <v>1</v>
      </c>
      <c r="AB84" t="n">
        <v>1001</v>
      </c>
      <c r="AC84" t="n">
        <v>100</v>
      </c>
      <c r="AD84" t="n">
        <v>1</v>
      </c>
    </row>
    <row r="85" ht="47.25" customHeight="1" s="142">
      <c r="A85" s="105" t="n">
        <v>183</v>
      </c>
      <c r="B85" s="7" t="inlineStr">
        <is>
          <t>tower</t>
        </is>
      </c>
      <c r="D85" s="138" t="inlineStr">
        <is>
          <t>第83層</t>
        </is>
      </c>
      <c r="E85" s="7" t="n">
        <v>166</v>
      </c>
      <c r="F85" s="101" t="n"/>
      <c r="G85" s="88" t="inlineStr">
        <is>
          <t>{role:-1},
{id:-1},{id:-1},{id:-1},{id:-1},{id:-1}
{id:40071},{id:40043},{id:40046},{id:40059},{id:40035}</t>
        </is>
      </c>
      <c r="H85" s="47" t="n">
        <v>1</v>
      </c>
      <c r="I85" s="47" t="n"/>
      <c r="J85" s="80" t="inlineStr">
        <is>
          <t>敵方弱化</t>
        </is>
      </c>
      <c r="K85" s="47" t="inlineStr">
        <is>
          <t>select_enemy</t>
        </is>
      </c>
      <c r="L85" s="47" t="inlineStr">
        <is>
          <t>2002,2003,2004</t>
        </is>
      </c>
      <c r="M85" s="47" t="inlineStr">
        <is>
          <t>4,5</t>
        </is>
      </c>
      <c r="N85" s="47" t="n">
        <v>1</v>
      </c>
      <c r="O85" s="47" t="n">
        <v>1</v>
      </c>
      <c r="P85" s="83" t="inlineStr">
        <is>
          <t>泥濘</t>
        </is>
      </c>
      <c r="Q85" s="47" t="inlineStr">
        <is>
          <t>debuff</t>
        </is>
      </c>
      <c r="R85" s="47" t="n">
        <v>2005</v>
      </c>
      <c r="S85" s="47" t="inlineStr">
        <is>
          <t>12</t>
        </is>
      </c>
      <c r="T85" s="47" t="n">
        <v>0</v>
      </c>
      <c r="U85" s="47" t="n">
        <v>1</v>
      </c>
      <c r="V85" s="135" t="n">
        <v>70001</v>
      </c>
      <c r="W85" s="7" t="n">
        <v>1</v>
      </c>
      <c r="X85" t="n">
        <v>1</v>
      </c>
      <c r="Y85" t="n">
        <v>8000</v>
      </c>
      <c r="Z85" t="n">
        <v>183</v>
      </c>
      <c r="AA85" t="n">
        <v>1</v>
      </c>
      <c r="AB85" t="n">
        <v>1001</v>
      </c>
      <c r="AC85" t="n">
        <v>100</v>
      </c>
      <c r="AD85" t="n">
        <v>1</v>
      </c>
    </row>
    <row r="86" ht="47.25" customHeight="1" s="142">
      <c r="A86" s="105" t="n">
        <v>184</v>
      </c>
      <c r="B86" s="7" t="inlineStr">
        <is>
          <t>tower</t>
        </is>
      </c>
      <c r="D86" s="138" t="inlineStr">
        <is>
          <t>第84層</t>
        </is>
      </c>
      <c r="E86" s="7" t="n">
        <v>168</v>
      </c>
      <c r="F86" s="101" t="n"/>
      <c r="G86" s="102" t="inlineStr">
        <is>
          <t>{role:-1},
{id:-1},{id:-1},{id:-1},{id:-1},{id:-1}
{id:40025},{id:40041},{id:40016},{id:40069},{id:40024}</t>
        </is>
      </c>
      <c r="H86" s="47" t="n">
        <v>1</v>
      </c>
      <c r="I86" s="47" t="n"/>
      <c r="J86" s="83" t="inlineStr">
        <is>
          <t>大晴天</t>
        </is>
      </c>
      <c r="K86" s="47" t="inlineStr">
        <is>
          <t>buff</t>
        </is>
      </c>
      <c r="L86" s="47" t="n">
        <v>1001</v>
      </c>
      <c r="M86" s="47" t="inlineStr">
        <is>
          <t>4</t>
        </is>
      </c>
      <c r="N86" s="47" t="n"/>
      <c r="O86" s="47" t="n">
        <v>1</v>
      </c>
      <c r="P86" s="83" t="inlineStr">
        <is>
          <t>酸雨</t>
        </is>
      </c>
      <c r="Q86" s="47" t="inlineStr">
        <is>
          <t>debuff</t>
        </is>
      </c>
      <c r="R86" s="47" t="n">
        <v>2002</v>
      </c>
      <c r="S86" s="47" t="inlineStr">
        <is>
          <t>5,8,10</t>
        </is>
      </c>
      <c r="T86" s="47" t="n">
        <v>0</v>
      </c>
      <c r="U86" s="47" t="n">
        <v>1</v>
      </c>
      <c r="V86" s="135" t="n">
        <v>70001</v>
      </c>
      <c r="W86" s="7" t="n">
        <v>1</v>
      </c>
      <c r="X86" t="n">
        <v>1</v>
      </c>
      <c r="Y86" t="n">
        <v>8000</v>
      </c>
      <c r="Z86" t="n">
        <v>184</v>
      </c>
      <c r="AA86" t="n">
        <v>1</v>
      </c>
      <c r="AB86" t="n">
        <v>1001</v>
      </c>
      <c r="AC86" t="n">
        <v>100</v>
      </c>
      <c r="AD86" t="n">
        <v>1</v>
      </c>
    </row>
    <row r="87" ht="47.25" customHeight="1" s="142">
      <c r="A87" s="105" t="n">
        <v>185</v>
      </c>
      <c r="B87" s="7" t="inlineStr">
        <is>
          <t>tower</t>
        </is>
      </c>
      <c r="D87" s="138" t="inlineStr">
        <is>
          <t>第85層</t>
        </is>
      </c>
      <c r="E87" s="7" t="n">
        <v>170</v>
      </c>
      <c r="F87" s="101" t="n"/>
      <c r="G87" s="88" t="inlineStr">
        <is>
          <t>{role:-1},
{id:-1},{id:-1},{id:-1},{id:-1},{id:-1}
{id:50002},{id:40068},{id:40077},{id:40037},{id:40013}</t>
        </is>
      </c>
      <c r="H87" s="47" t="n">
        <v>1</v>
      </c>
      <c r="I87" s="47" t="n"/>
      <c r="J87" s="83" t="inlineStr">
        <is>
          <t>敵方弱化</t>
        </is>
      </c>
      <c r="K87" s="47" t="inlineStr">
        <is>
          <t>select_enemy</t>
        </is>
      </c>
      <c r="L87" s="47" t="inlineStr">
        <is>
          <t>2002,2003,2004</t>
        </is>
      </c>
      <c r="M87" s="47" t="inlineStr">
        <is>
          <t>5</t>
        </is>
      </c>
      <c r="N87" s="47" t="n">
        <v>1</v>
      </c>
      <c r="O87" s="47" t="n">
        <v>1</v>
      </c>
      <c r="P87" s="83" t="inlineStr">
        <is>
          <t>信號干擾</t>
        </is>
      </c>
      <c r="Q87" s="47" t="inlineStr">
        <is>
          <t>debuff</t>
        </is>
      </c>
      <c r="R87" s="47" t="n">
        <v>2004</v>
      </c>
      <c r="S87" s="47" t="inlineStr">
        <is>
          <t>6</t>
        </is>
      </c>
      <c r="T87" s="47" t="n">
        <v>0</v>
      </c>
      <c r="U87" s="47" t="n">
        <v>1</v>
      </c>
      <c r="V87" s="135" t="n">
        <v>70001</v>
      </c>
      <c r="W87" s="7" t="n">
        <v>1</v>
      </c>
      <c r="X87" t="n">
        <v>1</v>
      </c>
      <c r="Y87" t="n">
        <v>8000</v>
      </c>
      <c r="Z87" t="n">
        <v>185</v>
      </c>
      <c r="AA87" t="n">
        <v>1</v>
      </c>
      <c r="AB87" t="n">
        <v>1001</v>
      </c>
      <c r="AC87" t="n">
        <v>100</v>
      </c>
      <c r="AD87" t="n">
        <v>1</v>
      </c>
    </row>
    <row r="88" ht="47.25" customHeight="1" s="142">
      <c r="A88" s="105" t="n">
        <v>186</v>
      </c>
      <c r="B88" s="7" t="inlineStr">
        <is>
          <t>tower</t>
        </is>
      </c>
      <c r="D88" s="138" t="inlineStr">
        <is>
          <t>第86層</t>
        </is>
      </c>
      <c r="E88" s="7" t="n">
        <v>172</v>
      </c>
      <c r="F88" s="101" t="n"/>
      <c r="G88" s="88" t="inlineStr">
        <is>
          <t>{role:-1},
{id:-1},{id:-1},{id:-1},{id:-1},{id:-1}
{id:40023},{id:40039},{id:40002},{id:40069},{id:40017}</t>
        </is>
      </c>
      <c r="H88" s="47" t="n">
        <v>1</v>
      </c>
      <c r="I88" s="47" t="n"/>
      <c r="J88" s="80" t="inlineStr">
        <is>
          <t>信息同享</t>
        </is>
      </c>
      <c r="K88" s="47" t="inlineStr">
        <is>
          <t>buff</t>
        </is>
      </c>
      <c r="L88" s="47" t="n">
        <v>1005</v>
      </c>
      <c r="M88" s="47" t="inlineStr">
        <is>
          <t>1,13</t>
        </is>
      </c>
      <c r="N88" s="47" t="n"/>
      <c r="O88" s="47" t="n">
        <v>1</v>
      </c>
      <c r="P88" s="83" t="inlineStr">
        <is>
          <t>泥濘</t>
        </is>
      </c>
      <c r="Q88" s="47" t="inlineStr">
        <is>
          <t>debuff</t>
        </is>
      </c>
      <c r="R88" s="47" t="n">
        <v>2005</v>
      </c>
      <c r="S88" s="47" t="inlineStr">
        <is>
          <t>3,5,12</t>
        </is>
      </c>
      <c r="T88" s="47" t="n">
        <v>0</v>
      </c>
      <c r="U88" s="47" t="n">
        <v>1</v>
      </c>
      <c r="V88" s="135" t="n">
        <v>70001</v>
      </c>
      <c r="W88" s="7" t="n">
        <v>1</v>
      </c>
      <c r="X88" t="n">
        <v>1</v>
      </c>
      <c r="Y88" t="n">
        <v>8000</v>
      </c>
      <c r="Z88" t="n">
        <v>186</v>
      </c>
      <c r="AA88" t="n">
        <v>1</v>
      </c>
      <c r="AB88" t="n">
        <v>1001</v>
      </c>
      <c r="AC88" t="n">
        <v>100</v>
      </c>
      <c r="AD88" t="n">
        <v>1</v>
      </c>
    </row>
    <row r="89" ht="47.25" customHeight="1" s="142">
      <c r="A89" s="105" t="n">
        <v>187</v>
      </c>
      <c r="B89" s="7" t="inlineStr">
        <is>
          <t>tower</t>
        </is>
      </c>
      <c r="D89" s="138" t="inlineStr">
        <is>
          <t>第87層</t>
        </is>
      </c>
      <c r="E89" s="7" t="n">
        <v>174</v>
      </c>
      <c r="F89" s="101" t="n"/>
      <c r="G89" s="102" t="inlineStr">
        <is>
          <t>{role:-1},
{id:-1},{id:-1},{id:-1},{id:-1},{id:-1}
{id:40082},{id:40063},{id:40014},{id:40002},{id:40074}</t>
        </is>
      </c>
      <c r="H89" s="47" t="n">
        <v>1</v>
      </c>
      <c r="I89" s="47" t="n"/>
      <c r="J89" s="83" t="inlineStr">
        <is>
          <t>敵方弱化</t>
        </is>
      </c>
      <c r="K89" s="47" t="inlineStr">
        <is>
          <t>select_enemy</t>
        </is>
      </c>
      <c r="L89" s="47" t="inlineStr">
        <is>
          <t>2002,2003,2004</t>
        </is>
      </c>
      <c r="M89" s="47" t="inlineStr">
        <is>
          <t>8,13</t>
        </is>
      </c>
      <c r="N89" s="47" t="n">
        <v>1</v>
      </c>
      <c r="O89" s="47" t="n">
        <v>1</v>
      </c>
      <c r="P89" s="83" t="inlineStr">
        <is>
          <t>酸雨</t>
        </is>
      </c>
      <c r="Q89" s="47" t="inlineStr">
        <is>
          <t>debuff</t>
        </is>
      </c>
      <c r="R89" s="47" t="n">
        <v>2002</v>
      </c>
      <c r="S89" s="47" t="inlineStr">
        <is>
          <t>3,6</t>
        </is>
      </c>
      <c r="T89" s="47" t="n">
        <v>0</v>
      </c>
      <c r="U89" s="47" t="n">
        <v>1</v>
      </c>
      <c r="V89" s="135" t="n">
        <v>70001</v>
      </c>
      <c r="W89" s="7" t="n">
        <v>1</v>
      </c>
      <c r="X89" t="n">
        <v>1</v>
      </c>
      <c r="Y89" t="n">
        <v>8000</v>
      </c>
      <c r="Z89" t="n">
        <v>187</v>
      </c>
      <c r="AA89" t="n">
        <v>1</v>
      </c>
      <c r="AB89" t="n">
        <v>1001</v>
      </c>
      <c r="AC89" t="n">
        <v>100</v>
      </c>
      <c r="AD89" t="n">
        <v>1</v>
      </c>
    </row>
    <row r="90" ht="47.25" customHeight="1" s="142">
      <c r="A90" s="7" t="n">
        <v>188</v>
      </c>
      <c r="B90" s="7" t="inlineStr">
        <is>
          <t>tower</t>
        </is>
      </c>
      <c r="D90" s="138" t="inlineStr">
        <is>
          <t>第88層</t>
        </is>
      </c>
      <c r="E90" s="7" t="n">
        <v>176</v>
      </c>
      <c r="F90" s="101" t="n"/>
      <c r="G90" s="102" t="inlineStr">
        <is>
          <t>{role:-1},
{id:-1},{id:-1},{id:-1},{id:-1},{id:-1}
{id:40007},{id:40033},{id:40062},{id:40015},{id:40009}</t>
        </is>
      </c>
      <c r="H90" s="47" t="n">
        <v>1</v>
      </c>
      <c r="I90" s="47" t="n"/>
      <c r="J90" s="83" t="inlineStr">
        <is>
          <t>磁場共振</t>
        </is>
      </c>
      <c r="K90" s="47" t="inlineStr">
        <is>
          <t>buff</t>
        </is>
      </c>
      <c r="L90" s="47" t="n">
        <v>1003</v>
      </c>
      <c r="M90" s="47" t="inlineStr">
        <is>
          <t>2,8</t>
        </is>
      </c>
      <c r="N90" s="47" t="n"/>
      <c r="O90" s="47" t="n">
        <v>1</v>
      </c>
      <c r="P90" s="83" t="inlineStr">
        <is>
          <t>信號干擾</t>
        </is>
      </c>
      <c r="Q90" s="47" t="inlineStr">
        <is>
          <t>debuff</t>
        </is>
      </c>
      <c r="R90" s="47" t="n">
        <v>2004</v>
      </c>
      <c r="S90" s="47" t="inlineStr">
        <is>
          <t>1,11,13</t>
        </is>
      </c>
      <c r="T90" s="47" t="n">
        <v>0</v>
      </c>
      <c r="U90" s="47" t="n">
        <v>1</v>
      </c>
      <c r="V90" s="135" t="n">
        <v>70001</v>
      </c>
      <c r="W90" s="7" t="n">
        <v>1</v>
      </c>
      <c r="X90" t="n">
        <v>1</v>
      </c>
      <c r="Y90" t="n">
        <v>8000</v>
      </c>
      <c r="Z90" t="n">
        <v>188</v>
      </c>
      <c r="AA90" t="n">
        <v>1</v>
      </c>
      <c r="AB90" t="n">
        <v>1001</v>
      </c>
      <c r="AC90" t="n">
        <v>100</v>
      </c>
      <c r="AD90" t="n">
        <v>1</v>
      </c>
    </row>
    <row r="91" ht="47.25" customHeight="1" s="142">
      <c r="A91" s="7" t="n">
        <v>189</v>
      </c>
      <c r="B91" s="7" t="inlineStr">
        <is>
          <t>tower</t>
        </is>
      </c>
      <c r="D91" s="138" t="inlineStr">
        <is>
          <t>第89層</t>
        </is>
      </c>
      <c r="E91" s="7" t="n">
        <v>178</v>
      </c>
      <c r="F91" s="101" t="n"/>
      <c r="G91" s="97" t="inlineStr">
        <is>
          <t>{role:-1},
{id:-1},{id:-1},{id:-1},{id:-1},{id:-1}
{id:40020},{id:40073},{id:40039},{id:40011},{id:40032}</t>
        </is>
      </c>
      <c r="H91" s="47" t="n">
        <v>1</v>
      </c>
      <c r="I91" s="47" t="n"/>
      <c r="J91" s="83" t="inlineStr">
        <is>
          <t>敵方弱化</t>
        </is>
      </c>
      <c r="K91" s="47" t="inlineStr">
        <is>
          <t>select_enemy</t>
        </is>
      </c>
      <c r="L91" s="47" t="inlineStr">
        <is>
          <t>2002,2003,2004</t>
        </is>
      </c>
      <c r="M91" s="47" t="inlineStr">
        <is>
          <t>9</t>
        </is>
      </c>
      <c r="N91" s="47" t="n">
        <v>1</v>
      </c>
      <c r="O91" s="47" t="n">
        <v>1</v>
      </c>
      <c r="P91" s="83" t="inlineStr">
        <is>
          <t>泥濘</t>
        </is>
      </c>
      <c r="Q91" s="47" t="inlineStr">
        <is>
          <t>debuff</t>
        </is>
      </c>
      <c r="R91" s="47" t="n">
        <v>2005</v>
      </c>
      <c r="S91" s="47" t="inlineStr">
        <is>
          <t>10,13</t>
        </is>
      </c>
      <c r="T91" s="47" t="n">
        <v>0</v>
      </c>
      <c r="U91" s="47" t="n">
        <v>1</v>
      </c>
      <c r="V91" s="135" t="n">
        <v>70001</v>
      </c>
      <c r="W91" s="7" t="n">
        <v>1</v>
      </c>
      <c r="X91" t="n">
        <v>1</v>
      </c>
      <c r="Y91" t="n">
        <v>8000</v>
      </c>
      <c r="Z91" t="n">
        <v>189</v>
      </c>
      <c r="AA91" t="n">
        <v>1</v>
      </c>
      <c r="AB91" t="n">
        <v>1001</v>
      </c>
      <c r="AC91" t="n">
        <v>100</v>
      </c>
      <c r="AD91" t="n">
        <v>1</v>
      </c>
    </row>
    <row r="92" ht="47.25" customHeight="1" s="142">
      <c r="A92" s="7" t="n">
        <v>190</v>
      </c>
      <c r="B92" s="7" t="inlineStr">
        <is>
          <t>tower</t>
        </is>
      </c>
      <c r="D92" s="138" t="inlineStr">
        <is>
          <t>第90層</t>
        </is>
      </c>
      <c r="E92" s="7" t="n">
        <v>180</v>
      </c>
      <c r="F92" s="101" t="n"/>
      <c r="G92" s="88" t="inlineStr">
        <is>
          <t>{role:-1},
{id:-1},{id:-1},{id:-1},{id:-1},{id:-1}
{id:50003},{id:40080},{id:40029},{id:40067},{id:40049}</t>
        </is>
      </c>
      <c r="H92" s="47" t="n">
        <v>1</v>
      </c>
      <c r="I92" s="47" t="n"/>
      <c r="J92" s="83" t="inlineStr">
        <is>
          <t>大晴天</t>
        </is>
      </c>
      <c r="K92" s="47" t="inlineStr">
        <is>
          <t>buff</t>
        </is>
      </c>
      <c r="L92" s="47" t="n">
        <v>1001</v>
      </c>
      <c r="M92" s="47" t="inlineStr">
        <is>
          <t>5,8</t>
        </is>
      </c>
      <c r="N92" s="47" t="n"/>
      <c r="O92" s="47" t="n">
        <v>1</v>
      </c>
      <c r="P92" s="83" t="inlineStr">
        <is>
          <t>酸雨</t>
        </is>
      </c>
      <c r="Q92" s="47" t="inlineStr">
        <is>
          <t>debuff</t>
        </is>
      </c>
      <c r="R92" s="47" t="n">
        <v>2002</v>
      </c>
      <c r="S92" s="47" t="inlineStr">
        <is>
          <t>5,7,10</t>
        </is>
      </c>
      <c r="T92" s="47" t="n">
        <v>0</v>
      </c>
      <c r="U92" s="47" t="n">
        <v>1</v>
      </c>
      <c r="V92" s="135" t="n">
        <v>70001</v>
      </c>
      <c r="W92" s="7" t="n">
        <v>1</v>
      </c>
      <c r="X92" t="n">
        <v>1</v>
      </c>
      <c r="Y92" t="n">
        <v>8000</v>
      </c>
      <c r="Z92" t="n">
        <v>190</v>
      </c>
      <c r="AA92" t="n">
        <v>1</v>
      </c>
      <c r="AB92" t="n">
        <v>1001</v>
      </c>
      <c r="AC92" t="n">
        <v>1000</v>
      </c>
      <c r="AD92" t="n">
        <v>1</v>
      </c>
    </row>
    <row r="93" ht="47.25" customHeight="1" s="142">
      <c r="A93" s="7" t="n">
        <v>191</v>
      </c>
      <c r="B93" s="7" t="inlineStr">
        <is>
          <t>tower</t>
        </is>
      </c>
      <c r="D93" s="138" t="inlineStr">
        <is>
          <t>第91層</t>
        </is>
      </c>
      <c r="E93" s="7" t="n">
        <v>182</v>
      </c>
      <c r="F93" s="101" t="n"/>
      <c r="G93" s="88" t="inlineStr">
        <is>
          <t>{role:-1},
{id:-1},{id:-1},{id:-1},{id:-1},{id:-1}
{id:40080},{id:40008},{id:40079},{id:40013},{id:40027}</t>
        </is>
      </c>
      <c r="H93" s="47" t="n">
        <v>1</v>
      </c>
      <c r="I93" s="47" t="n"/>
      <c r="J93" s="80" t="inlineStr">
        <is>
          <t>敵方弱化</t>
        </is>
      </c>
      <c r="K93" s="47" t="inlineStr">
        <is>
          <t>select_enemy</t>
        </is>
      </c>
      <c r="L93" s="47" t="inlineStr">
        <is>
          <t>2002,2003,2004</t>
        </is>
      </c>
      <c r="M93" s="47" t="inlineStr">
        <is>
          <t>4,5,11</t>
        </is>
      </c>
      <c r="N93" s="47" t="n">
        <v>1</v>
      </c>
      <c r="O93" s="47" t="n">
        <v>1</v>
      </c>
      <c r="P93" s="83" t="inlineStr">
        <is>
          <t>信號干擾</t>
        </is>
      </c>
      <c r="Q93" s="47" t="inlineStr">
        <is>
          <t>debuff</t>
        </is>
      </c>
      <c r="R93" s="47" t="n">
        <v>2004</v>
      </c>
      <c r="S93" s="47" t="inlineStr">
        <is>
          <t>3</t>
        </is>
      </c>
      <c r="T93" s="47" t="n">
        <v>0</v>
      </c>
      <c r="U93" s="47" t="n">
        <v>1</v>
      </c>
      <c r="V93" s="135" t="n">
        <v>70001</v>
      </c>
      <c r="W93" s="7" t="n">
        <v>1</v>
      </c>
      <c r="X93" t="n">
        <v>1</v>
      </c>
      <c r="Y93" t="n">
        <v>8000</v>
      </c>
      <c r="Z93" t="n">
        <v>191</v>
      </c>
      <c r="AA93" t="n">
        <v>1</v>
      </c>
      <c r="AB93" t="n">
        <v>1001</v>
      </c>
      <c r="AC93" t="n">
        <v>100</v>
      </c>
      <c r="AD93" t="n">
        <v>1</v>
      </c>
    </row>
    <row r="94" ht="47.25" customHeight="1" s="142">
      <c r="A94" s="7" t="n">
        <v>192</v>
      </c>
      <c r="B94" s="7" t="inlineStr">
        <is>
          <t>tower</t>
        </is>
      </c>
      <c r="D94" s="138" t="inlineStr">
        <is>
          <t>第92層</t>
        </is>
      </c>
      <c r="E94" s="7" t="n">
        <v>184</v>
      </c>
      <c r="F94" s="101" t="n"/>
      <c r="G94" s="102" t="inlineStr">
        <is>
          <t>{role:-1},
{id:-1},{id:-1},{id:-1},{id:-1},{id:-1}
{id:40031},{id:40023},{id:40071},{id:40010},{id:40021}</t>
        </is>
      </c>
      <c r="H94" s="47" t="n">
        <v>1</v>
      </c>
      <c r="I94" s="47" t="n"/>
      <c r="J94" s="83" t="inlineStr">
        <is>
          <t>信息同享</t>
        </is>
      </c>
      <c r="K94" s="47" t="inlineStr">
        <is>
          <t>buff</t>
        </is>
      </c>
      <c r="L94" s="47" t="n">
        <v>1005</v>
      </c>
      <c r="M94" s="47" t="inlineStr">
        <is>
          <t>7</t>
        </is>
      </c>
      <c r="N94" s="47" t="n"/>
      <c r="O94" s="47" t="n">
        <v>1</v>
      </c>
      <c r="P94" s="83" t="inlineStr">
        <is>
          <t>泥濘</t>
        </is>
      </c>
      <c r="Q94" s="47" t="inlineStr">
        <is>
          <t>debuff</t>
        </is>
      </c>
      <c r="R94" s="47" t="n">
        <v>2005</v>
      </c>
      <c r="S94" s="47" t="inlineStr">
        <is>
          <t>10,12</t>
        </is>
      </c>
      <c r="T94" s="47" t="n">
        <v>0</v>
      </c>
      <c r="U94" s="47" t="n">
        <v>1</v>
      </c>
      <c r="V94" s="135" t="n">
        <v>70001</v>
      </c>
      <c r="W94" s="7" t="n">
        <v>1</v>
      </c>
      <c r="X94" t="n">
        <v>1</v>
      </c>
      <c r="Y94" t="n">
        <v>8000</v>
      </c>
      <c r="Z94" t="n">
        <v>192</v>
      </c>
      <c r="AA94" t="n">
        <v>1</v>
      </c>
      <c r="AB94" t="n">
        <v>1001</v>
      </c>
      <c r="AC94" t="n">
        <v>100</v>
      </c>
      <c r="AD94" t="n">
        <v>1</v>
      </c>
    </row>
    <row r="95" ht="47.25" customHeight="1" s="142">
      <c r="A95" s="7" t="n">
        <v>193</v>
      </c>
      <c r="B95" s="7" t="inlineStr">
        <is>
          <t>tower</t>
        </is>
      </c>
      <c r="D95" s="138" t="inlineStr">
        <is>
          <t>第93層</t>
        </is>
      </c>
      <c r="E95" s="7" t="n">
        <v>186</v>
      </c>
      <c r="F95" s="101" t="n"/>
      <c r="G95" s="88" t="inlineStr">
        <is>
          <t>{role:-1},
{id:-1},{id:-1},{id:-1},{id:-1},{id:-1}
{id:40061},{id:40038},{id:40005},{id:40030},{id:40037}</t>
        </is>
      </c>
      <c r="H95" s="47" t="n">
        <v>1</v>
      </c>
      <c r="I95" s="47" t="n"/>
      <c r="J95" s="83" t="inlineStr">
        <is>
          <t>敵方弱化</t>
        </is>
      </c>
      <c r="K95" s="47" t="inlineStr">
        <is>
          <t>select_enemy</t>
        </is>
      </c>
      <c r="L95" s="47" t="inlineStr">
        <is>
          <t>2002,2003,2004</t>
        </is>
      </c>
      <c r="M95" s="47" t="inlineStr">
        <is>
          <t>5,8,12</t>
        </is>
      </c>
      <c r="N95" s="47" t="n">
        <v>1</v>
      </c>
      <c r="O95" s="47" t="n">
        <v>1</v>
      </c>
      <c r="P95" s="83" t="inlineStr">
        <is>
          <t>酸雨</t>
        </is>
      </c>
      <c r="Q95" s="47" t="inlineStr">
        <is>
          <t>debuff</t>
        </is>
      </c>
      <c r="R95" s="47" t="n">
        <v>2002</v>
      </c>
      <c r="S95" s="47" t="inlineStr">
        <is>
          <t>11</t>
        </is>
      </c>
      <c r="T95" s="47" t="n">
        <v>0</v>
      </c>
      <c r="U95" s="47" t="n">
        <v>1</v>
      </c>
      <c r="V95" s="135" t="n">
        <v>70001</v>
      </c>
      <c r="W95" s="7" t="n">
        <v>1</v>
      </c>
      <c r="X95" t="n">
        <v>1</v>
      </c>
      <c r="Y95" t="n">
        <v>8000</v>
      </c>
      <c r="Z95" t="n">
        <v>193</v>
      </c>
      <c r="AA95" t="n">
        <v>1</v>
      </c>
      <c r="AB95" t="n">
        <v>1001</v>
      </c>
      <c r="AC95" t="n">
        <v>100</v>
      </c>
      <c r="AD95" t="n">
        <v>1</v>
      </c>
    </row>
    <row r="96" ht="47.25" customHeight="1" s="142">
      <c r="A96" s="7" t="n">
        <v>194</v>
      </c>
      <c r="B96" s="7" t="inlineStr">
        <is>
          <t>tower</t>
        </is>
      </c>
      <c r="D96" s="138" t="inlineStr">
        <is>
          <t>第94層</t>
        </is>
      </c>
      <c r="E96" s="7" t="n">
        <v>188</v>
      </c>
      <c r="F96" s="101" t="n"/>
      <c r="G96" s="88" t="inlineStr">
        <is>
          <t>{role:-1},
{id:-1},{id:-1},{id:-1},{id:-1},{id:-1}
{id:40030},{id:40034},{id:40081},{id:40076},{id:40085}</t>
        </is>
      </c>
      <c r="H96" s="47" t="n">
        <v>1</v>
      </c>
      <c r="I96" s="47" t="n"/>
      <c r="J96" s="80" t="inlineStr">
        <is>
          <t>磁場共振</t>
        </is>
      </c>
      <c r="K96" s="47" t="inlineStr">
        <is>
          <t>buff</t>
        </is>
      </c>
      <c r="L96" s="47" t="n">
        <v>1003</v>
      </c>
      <c r="M96" s="47" t="inlineStr">
        <is>
          <t>7</t>
        </is>
      </c>
      <c r="N96" s="47" t="n"/>
      <c r="O96" s="47" t="n">
        <v>1</v>
      </c>
      <c r="P96" s="83" t="inlineStr">
        <is>
          <t>信號干擾</t>
        </is>
      </c>
      <c r="Q96" s="47" t="inlineStr">
        <is>
          <t>debuff</t>
        </is>
      </c>
      <c r="R96" s="47" t="n">
        <v>2004</v>
      </c>
      <c r="S96" s="47" t="inlineStr">
        <is>
          <t>9</t>
        </is>
      </c>
      <c r="T96" s="47" t="n">
        <v>0</v>
      </c>
      <c r="U96" s="47" t="n">
        <v>1</v>
      </c>
      <c r="V96" s="135" t="n">
        <v>70001</v>
      </c>
      <c r="W96" s="7" t="n">
        <v>1</v>
      </c>
      <c r="X96" t="n">
        <v>1</v>
      </c>
      <c r="Y96" t="n">
        <v>8000</v>
      </c>
      <c r="Z96" t="n">
        <v>194</v>
      </c>
      <c r="AA96" t="n">
        <v>1</v>
      </c>
      <c r="AB96" t="n">
        <v>1001</v>
      </c>
      <c r="AC96" t="n">
        <v>100</v>
      </c>
      <c r="AD96" t="n">
        <v>1</v>
      </c>
    </row>
    <row r="97" ht="47.25" customHeight="1" s="142">
      <c r="A97" s="7" t="n">
        <v>195</v>
      </c>
      <c r="B97" s="7" t="inlineStr">
        <is>
          <t>tower</t>
        </is>
      </c>
      <c r="D97" s="138" t="inlineStr">
        <is>
          <t>第95層</t>
        </is>
      </c>
      <c r="E97" s="7" t="n">
        <v>190</v>
      </c>
      <c r="F97" s="101" t="n"/>
      <c r="G97" s="102" t="inlineStr">
        <is>
          <t>{role:-1},
{id:-1},{id:-1},{id:-1},{id:-1},{id:-1}
{id:50004},{id:40029},{id:40083},{id:40020},{id:40035}</t>
        </is>
      </c>
      <c r="H97" s="47" t="n">
        <v>1</v>
      </c>
      <c r="I97" s="47" t="n"/>
      <c r="J97" s="83" t="inlineStr">
        <is>
          <t>敵方弱化</t>
        </is>
      </c>
      <c r="K97" s="47" t="inlineStr">
        <is>
          <t>select_enemy</t>
        </is>
      </c>
      <c r="L97" s="47" t="inlineStr">
        <is>
          <t>2002,2003,2004</t>
        </is>
      </c>
      <c r="M97" s="47" t="inlineStr">
        <is>
          <t>2</t>
        </is>
      </c>
      <c r="N97" s="47" t="n">
        <v>1</v>
      </c>
      <c r="O97" s="47" t="n">
        <v>1</v>
      </c>
      <c r="P97" s="83" t="inlineStr">
        <is>
          <t>泥濘</t>
        </is>
      </c>
      <c r="Q97" s="47" t="inlineStr">
        <is>
          <t>debuff</t>
        </is>
      </c>
      <c r="R97" s="47" t="n">
        <v>2005</v>
      </c>
      <c r="S97" s="47" t="inlineStr">
        <is>
          <t>3</t>
        </is>
      </c>
      <c r="T97" s="47" t="n">
        <v>0</v>
      </c>
      <c r="U97" s="47" t="n">
        <v>1</v>
      </c>
      <c r="V97" s="135" t="n">
        <v>70001</v>
      </c>
      <c r="W97" s="7" t="n">
        <v>1</v>
      </c>
      <c r="X97" t="n">
        <v>1</v>
      </c>
      <c r="Y97" t="n">
        <v>8000</v>
      </c>
      <c r="Z97" t="n">
        <v>195</v>
      </c>
      <c r="AA97" t="n">
        <v>1</v>
      </c>
      <c r="AB97" t="n">
        <v>1001</v>
      </c>
      <c r="AC97" t="n">
        <v>100</v>
      </c>
      <c r="AD97" t="n">
        <v>1</v>
      </c>
    </row>
    <row r="98" ht="47.25" customHeight="1" s="142">
      <c r="A98" s="7" t="n">
        <v>196</v>
      </c>
      <c r="B98" s="7" t="inlineStr">
        <is>
          <t>tower</t>
        </is>
      </c>
      <c r="D98" s="138" t="inlineStr">
        <is>
          <t>第96層</t>
        </is>
      </c>
      <c r="E98" s="7" t="n">
        <v>192</v>
      </c>
      <c r="F98" s="101" t="n"/>
      <c r="G98" s="102" t="inlineStr">
        <is>
          <t>{role:-1},
{id:-1},{id:-1},{id:-1},{id:-1},{id:-1}
{id:40040},{id:40077},{id:40073},{id:40037},{id:40057}</t>
        </is>
      </c>
      <c r="H98" s="47" t="n">
        <v>1</v>
      </c>
      <c r="I98" s="47" t="n"/>
      <c r="J98" s="83" t="inlineStr">
        <is>
          <t>大晴天</t>
        </is>
      </c>
      <c r="K98" s="47" t="inlineStr">
        <is>
          <t>buff</t>
        </is>
      </c>
      <c r="L98" s="47" t="n">
        <v>1001</v>
      </c>
      <c r="M98" s="47" t="inlineStr">
        <is>
          <t>8</t>
        </is>
      </c>
      <c r="N98" s="47" t="n"/>
      <c r="O98" s="47" t="n">
        <v>1</v>
      </c>
      <c r="P98" s="83" t="inlineStr">
        <is>
          <t>酸雨</t>
        </is>
      </c>
      <c r="Q98" s="47" t="inlineStr">
        <is>
          <t>debuff</t>
        </is>
      </c>
      <c r="R98" s="47" t="n">
        <v>2002</v>
      </c>
      <c r="S98" s="47" t="inlineStr">
        <is>
          <t>5,7,12</t>
        </is>
      </c>
      <c r="T98" s="47" t="n">
        <v>0</v>
      </c>
      <c r="U98" s="47" t="n">
        <v>1</v>
      </c>
      <c r="V98" s="135" t="n">
        <v>70001</v>
      </c>
      <c r="W98" s="7" t="n">
        <v>1</v>
      </c>
      <c r="X98" t="n">
        <v>1</v>
      </c>
      <c r="Y98" t="n">
        <v>8000</v>
      </c>
      <c r="Z98" t="n">
        <v>196</v>
      </c>
      <c r="AA98" t="n">
        <v>1</v>
      </c>
      <c r="AB98" t="n">
        <v>1001</v>
      </c>
      <c r="AC98" t="n">
        <v>100</v>
      </c>
      <c r="AD98" t="n">
        <v>1</v>
      </c>
    </row>
    <row r="99" ht="47.25" customHeight="1" s="142">
      <c r="A99" s="7" t="n">
        <v>197</v>
      </c>
      <c r="B99" s="7" t="inlineStr">
        <is>
          <t>tower</t>
        </is>
      </c>
      <c r="D99" s="138" t="inlineStr">
        <is>
          <t>第97層</t>
        </is>
      </c>
      <c r="E99" s="7" t="n">
        <v>194</v>
      </c>
      <c r="F99" s="101" t="n"/>
      <c r="G99" s="97" t="inlineStr">
        <is>
          <t>{role:-1},
{id:-1},{id:-1},{id:-1},{id:-1},{id:-1}
{id:40035},{id:40065},{id:40070},{id:40064},{id:40057}</t>
        </is>
      </c>
      <c r="H99" s="47" t="n">
        <v>1</v>
      </c>
      <c r="I99" s="47" t="n"/>
      <c r="J99" s="83" t="inlineStr">
        <is>
          <t>敵方弱化</t>
        </is>
      </c>
      <c r="K99" s="47" t="inlineStr">
        <is>
          <t>select_enemy</t>
        </is>
      </c>
      <c r="L99" s="47" t="inlineStr">
        <is>
          <t>2002,2003,2004</t>
        </is>
      </c>
      <c r="M99" s="47" t="inlineStr">
        <is>
          <t>10</t>
        </is>
      </c>
      <c r="N99" s="47" t="n">
        <v>1</v>
      </c>
      <c r="O99" s="47" t="n">
        <v>1</v>
      </c>
      <c r="P99" s="83" t="inlineStr">
        <is>
          <t>信號干擾</t>
        </is>
      </c>
      <c r="Q99" s="47" t="inlineStr">
        <is>
          <t>debuff</t>
        </is>
      </c>
      <c r="R99" s="47" t="n">
        <v>2004</v>
      </c>
      <c r="S99" s="47" t="inlineStr">
        <is>
          <t>7</t>
        </is>
      </c>
      <c r="T99" s="47" t="n">
        <v>0</v>
      </c>
      <c r="U99" s="47" t="n">
        <v>1</v>
      </c>
      <c r="V99" s="135" t="n">
        <v>70001</v>
      </c>
      <c r="W99" s="7" t="n">
        <v>1</v>
      </c>
      <c r="X99" t="n">
        <v>1</v>
      </c>
      <c r="Y99" t="n">
        <v>8000</v>
      </c>
      <c r="Z99" t="n">
        <v>197</v>
      </c>
      <c r="AA99" t="n">
        <v>1</v>
      </c>
      <c r="AB99" t="n">
        <v>1001</v>
      </c>
      <c r="AC99" t="n">
        <v>100</v>
      </c>
      <c r="AD99" t="n">
        <v>1</v>
      </c>
    </row>
    <row r="100" ht="47.25" customHeight="1" s="142">
      <c r="A100" s="7" t="n">
        <v>198</v>
      </c>
      <c r="B100" s="7" t="inlineStr">
        <is>
          <t>tower</t>
        </is>
      </c>
      <c r="D100" s="138" t="inlineStr">
        <is>
          <t>第98層</t>
        </is>
      </c>
      <c r="E100" s="7" t="n">
        <v>196</v>
      </c>
      <c r="F100" s="101" t="n"/>
      <c r="G100" s="88" t="inlineStr">
        <is>
          <t>{role:-1},
{id:-1},{id:-1},{id:-1},{id:-1},{id:-1}
{id:40042},{id:40078},{id:40033},{id:40004},{id:40012}</t>
        </is>
      </c>
      <c r="H100" s="47" t="n">
        <v>1</v>
      </c>
      <c r="I100" s="47" t="n"/>
      <c r="J100" s="83" t="inlineStr">
        <is>
          <t>信息同享</t>
        </is>
      </c>
      <c r="K100" s="47" t="inlineStr">
        <is>
          <t>buff</t>
        </is>
      </c>
      <c r="L100" s="47" t="n">
        <v>1005</v>
      </c>
      <c r="M100" s="47" t="inlineStr">
        <is>
          <t>11</t>
        </is>
      </c>
      <c r="N100" s="47" t="n"/>
      <c r="O100" s="47" t="n">
        <v>1</v>
      </c>
      <c r="P100" s="83" t="inlineStr">
        <is>
          <t>泥濘</t>
        </is>
      </c>
      <c r="Q100" s="47" t="inlineStr">
        <is>
          <t>debuff</t>
        </is>
      </c>
      <c r="R100" s="47" t="n">
        <v>2005</v>
      </c>
      <c r="S100" s="47" t="inlineStr">
        <is>
          <t>1,10,11</t>
        </is>
      </c>
      <c r="T100" s="47" t="n">
        <v>0</v>
      </c>
      <c r="U100" s="47" t="n">
        <v>1</v>
      </c>
      <c r="V100" s="135" t="n">
        <v>70001</v>
      </c>
      <c r="W100" s="7" t="n">
        <v>1</v>
      </c>
      <c r="X100" t="n">
        <v>1</v>
      </c>
      <c r="Y100" t="n">
        <v>8000</v>
      </c>
      <c r="Z100" t="n">
        <v>198</v>
      </c>
      <c r="AA100" t="n">
        <v>1</v>
      </c>
      <c r="AB100" t="n">
        <v>1001</v>
      </c>
      <c r="AC100" t="n">
        <v>100</v>
      </c>
      <c r="AD100" t="n">
        <v>1</v>
      </c>
    </row>
    <row r="101" ht="47.25" customHeight="1" s="142">
      <c r="A101" s="7" t="n">
        <v>199</v>
      </c>
      <c r="B101" s="7" t="inlineStr">
        <is>
          <t>tower</t>
        </is>
      </c>
      <c r="D101" s="138" t="inlineStr">
        <is>
          <t>第99層</t>
        </is>
      </c>
      <c r="E101" s="7" t="n">
        <v>198</v>
      </c>
      <c r="F101" s="101" t="n"/>
      <c r="G101" s="88" t="inlineStr">
        <is>
          <t>{role:-1},
{id:-1},{id:-1},{id:-1},{id:-1},{id:-1}
{id:40035},{id:40074},{id:40006},{id:40023},{id:40061}</t>
        </is>
      </c>
      <c r="H101" s="47" t="n">
        <v>1</v>
      </c>
      <c r="I101" s="47" t="n"/>
      <c r="J101" s="80" t="inlineStr">
        <is>
          <t>敵方弱化</t>
        </is>
      </c>
      <c r="K101" s="47" t="inlineStr">
        <is>
          <t>select_enemy</t>
        </is>
      </c>
      <c r="L101" s="47" t="inlineStr">
        <is>
          <t>2002,2003,2004</t>
        </is>
      </c>
      <c r="M101" s="47" t="inlineStr">
        <is>
          <t>5,8,11</t>
        </is>
      </c>
      <c r="N101" s="47" t="n">
        <v>1</v>
      </c>
      <c r="O101" s="47" t="n">
        <v>1</v>
      </c>
      <c r="P101" s="83" t="inlineStr">
        <is>
          <t>酸雨</t>
        </is>
      </c>
      <c r="Q101" s="47" t="inlineStr">
        <is>
          <t>debuff</t>
        </is>
      </c>
      <c r="R101" s="47" t="n">
        <v>2002</v>
      </c>
      <c r="S101" s="47" t="inlineStr">
        <is>
          <t>10</t>
        </is>
      </c>
      <c r="T101" s="47" t="n">
        <v>0</v>
      </c>
      <c r="U101" s="47" t="n">
        <v>1</v>
      </c>
      <c r="V101" s="135" t="n">
        <v>70001</v>
      </c>
      <c r="W101" s="7" t="n">
        <v>1</v>
      </c>
      <c r="X101" t="n">
        <v>1</v>
      </c>
      <c r="Y101" t="n">
        <v>8000</v>
      </c>
      <c r="Z101" t="n">
        <v>199</v>
      </c>
      <c r="AA101" t="n">
        <v>1</v>
      </c>
      <c r="AB101" t="n">
        <v>1001</v>
      </c>
      <c r="AC101" t="n">
        <v>100</v>
      </c>
      <c r="AD101" t="n">
        <v>1</v>
      </c>
    </row>
    <row r="102" ht="47.25" customHeight="1" s="142">
      <c r="A102" s="7" t="n">
        <v>200</v>
      </c>
      <c r="B102" s="7" t="inlineStr">
        <is>
          <t>tower</t>
        </is>
      </c>
      <c r="D102" s="138" t="inlineStr">
        <is>
          <t>第100層</t>
        </is>
      </c>
      <c r="E102" s="7" t="n">
        <v>200</v>
      </c>
      <c r="F102" s="101" t="n"/>
      <c r="G102" s="102" t="inlineStr">
        <is>
          <t>{role:-1},
{id:-1},{id:-1},{id:-1},{id:-1},{id:-1}
{id:50005},{id:40056},{id:40082},{id:40063},{id:40012}</t>
        </is>
      </c>
      <c r="H102" s="47" t="n">
        <v>1</v>
      </c>
      <c r="I102" s="47" t="n"/>
      <c r="J102" s="83" t="inlineStr">
        <is>
          <t>磁場共振</t>
        </is>
      </c>
      <c r="K102" s="47" t="inlineStr">
        <is>
          <t>buff</t>
        </is>
      </c>
      <c r="L102" s="47" t="n">
        <v>1003</v>
      </c>
      <c r="M102" s="47" t="inlineStr">
        <is>
          <t>6,7</t>
        </is>
      </c>
      <c r="N102" s="47" t="n"/>
      <c r="O102" s="47" t="n">
        <v>1</v>
      </c>
      <c r="P102" s="83" t="inlineStr">
        <is>
          <t>信號干擾</t>
        </is>
      </c>
      <c r="Q102" s="47" t="inlineStr">
        <is>
          <t>debuff</t>
        </is>
      </c>
      <c r="R102" s="47" t="n">
        <v>2004</v>
      </c>
      <c r="S102" s="47" t="inlineStr">
        <is>
          <t>6,11</t>
        </is>
      </c>
      <c r="T102" s="47" t="n">
        <v>0</v>
      </c>
      <c r="U102" s="47" t="n">
        <v>1</v>
      </c>
      <c r="V102" s="135" t="n">
        <v>70001</v>
      </c>
      <c r="W102" s="7" t="n">
        <v>1</v>
      </c>
      <c r="X102" t="n">
        <v>1</v>
      </c>
      <c r="Y102" t="n">
        <v>8000</v>
      </c>
      <c r="Z102" t="n">
        <v>200</v>
      </c>
      <c r="AA102" t="n">
        <v>1</v>
      </c>
      <c r="AB102" t="n">
        <v>1001</v>
      </c>
      <c r="AC102" t="n">
        <v>1000</v>
      </c>
      <c r="AD102" t="n">
        <v>1</v>
      </c>
    </row>
    <row r="103" ht="15.75" customHeight="1" s="142">
      <c r="A103" s="7" t="n"/>
      <c r="B103" s="7" t="n"/>
      <c r="D103" s="7" t="n"/>
      <c r="E103" s="7" t="n"/>
      <c r="F103" s="101" t="n"/>
      <c r="G103" s="87" t="n"/>
      <c r="H103" s="47" t="n"/>
      <c r="I103" s="47" t="n"/>
      <c r="J103" s="47" t="n"/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135" t="n"/>
      <c r="W103" s="7" t="n"/>
    </row>
    <row r="104" ht="15.75" customHeight="1" s="142">
      <c r="A104" s="7" t="inlineStr">
        <is>
          <t>mapid</t>
        </is>
      </c>
      <c r="B104" s="7" t="inlineStr">
        <is>
          <t>type</t>
        </is>
      </c>
      <c r="C104" t="inlineStr">
        <is>
          <t>chapter</t>
        </is>
      </c>
      <c r="D104" s="7" t="inlineStr">
        <is>
          <t>hint</t>
        </is>
      </c>
      <c r="E104" s="7" t="inlineStr">
        <is>
          <t>level</t>
        </is>
      </c>
      <c r="F104" s="101" t="inlineStr">
        <is>
          <t>tag_limit</t>
        </is>
      </c>
      <c r="G104" s="87" t="inlineStr">
        <is>
          <t>quest</t>
        </is>
      </c>
      <c r="H104" s="47" t="inlineStr">
        <is>
          <t>arrangement</t>
        </is>
      </c>
      <c r="I104" s="47" t="inlineStr">
        <is>
          <t>Capability</t>
        </is>
      </c>
      <c r="J104" t="inlineStr">
        <is>
          <t>event1_name</t>
        </is>
      </c>
      <c r="K104" s="47" t="inlineStr">
        <is>
          <t>event1_type</t>
        </is>
      </c>
      <c r="L104" s="47" t="inlineStr">
        <is>
          <t>event1_buff</t>
        </is>
      </c>
      <c r="M104" s="47" t="inlineStr">
        <is>
          <t>event1_time</t>
        </is>
      </c>
      <c r="N104" s="47" t="inlineStr">
        <is>
          <t>event1_target</t>
        </is>
      </c>
      <c r="O104" s="47" t="inlineStr">
        <is>
          <t>event1_rate</t>
        </is>
      </c>
      <c r="P104" s="47" t="inlineStr">
        <is>
          <t>event2_name</t>
        </is>
      </c>
      <c r="Q104" s="47" t="inlineStr">
        <is>
          <t>event2_type</t>
        </is>
      </c>
      <c r="R104" s="47" t="inlineStr">
        <is>
          <t>event2_buff</t>
        </is>
      </c>
      <c r="S104" s="47" t="inlineStr">
        <is>
          <t>event2_time</t>
        </is>
      </c>
      <c r="T104" s="47" t="inlineStr">
        <is>
          <t>event2_target</t>
        </is>
      </c>
      <c r="U104" s="47" t="inlineStr">
        <is>
          <t>event2_rate</t>
        </is>
      </c>
      <c r="V104" s="135" t="inlineStr">
        <is>
          <t>loot1_id</t>
        </is>
      </c>
      <c r="W104" s="7" t="inlineStr">
        <is>
          <t>loot1_amount</t>
        </is>
      </c>
      <c r="X104" t="inlineStr">
        <is>
          <t>loot1_rate</t>
        </is>
      </c>
      <c r="Y104" t="inlineStr">
        <is>
          <t>loot2_id</t>
        </is>
      </c>
      <c r="Z104" t="inlineStr">
        <is>
          <t>loot2_amount</t>
        </is>
      </c>
      <c r="AA104" t="inlineStr">
        <is>
          <t>loot2_rate</t>
        </is>
      </c>
    </row>
    <row r="105" ht="110.25" customHeight="1" s="142">
      <c r="A105" s="7" t="n">
        <v>100</v>
      </c>
      <c r="B105" s="7" t="inlineStr">
        <is>
          <t>main</t>
        </is>
      </c>
      <c r="D105" s="138" t="inlineStr">
        <is>
          <t>最強戰役</t>
        </is>
      </c>
      <c r="E105" s="7" t="n">
        <v>100</v>
      </c>
      <c r="F105" s="101" t="n"/>
      <c r="G105" s="102" t="inlineStr">
        <is>
      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      </is>
      </c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135" t="n"/>
      <c r="W105" s="7" t="n"/>
    </row>
    <row r="106" ht="47.25" customHeight="1" s="142">
      <c r="A106" s="7" t="n">
        <v>1000</v>
      </c>
      <c r="B106" s="7" t="inlineStr">
        <is>
          <t>main</t>
        </is>
      </c>
      <c r="C106" t="n">
        <v>1</v>
      </c>
      <c r="D106" s="7" t="inlineStr">
        <is>
          <t>1-1</t>
        </is>
      </c>
      <c r="E106" s="7" t="n">
        <v>1</v>
      </c>
      <c r="F106" s="101" t="n"/>
      <c r="G106" s="102" t="inlineStr">
        <is>
          <t>{role:-1},
{id:-1},{id:-1},{id:-1},{id:-1},{id:-1}
{id:40001},{id:40002}</t>
        </is>
      </c>
      <c r="H106" s="47" t="n">
        <v>1</v>
      </c>
      <c r="I106" s="47" t="n">
        <v>1220</v>
      </c>
      <c r="J106" s="83" t="inlineStr">
        <is>
          <t>天氣變化</t>
        </is>
      </c>
      <c r="K106" s="47" t="inlineStr">
        <is>
          <t>buff</t>
        </is>
      </c>
      <c r="L106" s="47" t="n">
        <v>9002</v>
      </c>
      <c r="M106" s="47" t="inlineStr">
        <is>
          <t>3,13</t>
        </is>
      </c>
      <c r="N106" s="47" t="n"/>
      <c r="O106" s="47" t="n">
        <v>0.6</v>
      </c>
      <c r="P106" s="83" t="inlineStr">
        <is>
          <t>場地變化</t>
        </is>
      </c>
      <c r="Q106" s="47" t="inlineStr">
        <is>
          <t>debuff</t>
        </is>
      </c>
      <c r="R106" s="47" t="n">
        <v>9010</v>
      </c>
      <c r="S106" s="47" t="inlineStr">
        <is>
          <t>6,12</t>
        </is>
      </c>
      <c r="T106" s="47" t="n"/>
      <c r="U106" s="47" t="n">
        <v>0.8</v>
      </c>
      <c r="V106" s="135" t="n">
        <v>70001</v>
      </c>
      <c r="W106" s="7" t="n">
        <v>1</v>
      </c>
      <c r="X106" t="n">
        <v>1</v>
      </c>
      <c r="Y106" t="n">
        <v>70002</v>
      </c>
      <c r="Z106" t="n">
        <v>1</v>
      </c>
      <c r="AA106" t="n">
        <v>1</v>
      </c>
      <c r="AB106" t="n">
        <v>1001</v>
      </c>
      <c r="AC106" t="n">
        <v>50</v>
      </c>
      <c r="AD106" t="n">
        <v>1</v>
      </c>
      <c r="AE106" t="n">
        <v>8000</v>
      </c>
      <c r="AF106" t="n">
        <v>20</v>
      </c>
      <c r="AG106" t="n">
        <v>1</v>
      </c>
    </row>
    <row r="107" ht="47.25" customHeight="1" s="142">
      <c r="A107" s="7" t="n">
        <v>1001</v>
      </c>
      <c r="B107" s="7" t="inlineStr">
        <is>
          <t>main</t>
        </is>
      </c>
      <c r="C107" t="n">
        <v>1</v>
      </c>
      <c r="D107" s="7" t="inlineStr">
        <is>
          <t>1-2</t>
        </is>
      </c>
      <c r="E107" s="7" t="n">
        <v>1</v>
      </c>
      <c r="F107" s="101" t="n"/>
      <c r="G107" s="97" t="inlineStr">
        <is>
          <t>{role:-1},
{id:-1},{id:-1},{id:-1},{id:-1},{id:-1}
{id:40005},{id:40002}</t>
        </is>
      </c>
      <c r="H107" s="47" t="n"/>
      <c r="I107" s="47" t="n">
        <v>1345</v>
      </c>
      <c r="J107" s="83" t="inlineStr">
        <is>
          <t>天氣變化</t>
        </is>
      </c>
      <c r="K107" s="47" t="inlineStr">
        <is>
          <t>buff</t>
        </is>
      </c>
      <c r="L107" s="47" t="n">
        <v>9001</v>
      </c>
      <c r="M107" s="47" t="inlineStr">
        <is>
          <t>8,12,13</t>
        </is>
      </c>
      <c r="N107" s="47" t="n"/>
      <c r="O107" s="47" t="n">
        <v>0.8</v>
      </c>
      <c r="P107" s="83" t="inlineStr">
        <is>
          <t>場地變化</t>
        </is>
      </c>
      <c r="Q107" s="47" t="inlineStr">
        <is>
          <t>debuff</t>
        </is>
      </c>
      <c r="R107" s="47" t="n">
        <v>9003</v>
      </c>
      <c r="S107" s="47" t="inlineStr">
        <is>
          <t>10,11,12</t>
        </is>
      </c>
      <c r="T107" s="47" t="n"/>
      <c r="U107" s="47" t="n">
        <v>0.3</v>
      </c>
      <c r="V107" s="135" t="n">
        <v>70001</v>
      </c>
      <c r="W107" s="7" t="n">
        <v>1</v>
      </c>
      <c r="X107" t="n">
        <v>1</v>
      </c>
      <c r="Y107" t="n">
        <v>70002</v>
      </c>
      <c r="Z107" t="n">
        <v>1</v>
      </c>
      <c r="AA107" t="n">
        <v>1</v>
      </c>
      <c r="AB107" t="n">
        <v>1001</v>
      </c>
      <c r="AC107" t="n">
        <v>50</v>
      </c>
      <c r="AD107" t="n">
        <v>1</v>
      </c>
      <c r="AE107" t="n">
        <v>8000</v>
      </c>
      <c r="AF107" t="n">
        <v>20</v>
      </c>
      <c r="AG107" t="n">
        <v>1</v>
      </c>
    </row>
    <row r="108" ht="47.25" customHeight="1" s="142">
      <c r="A108" s="7" t="n">
        <v>1002</v>
      </c>
      <c r="B108" s="7" t="inlineStr">
        <is>
          <t>main</t>
        </is>
      </c>
      <c r="C108" t="n">
        <v>1</v>
      </c>
      <c r="D108" s="7" t="inlineStr">
        <is>
          <t>1-3</t>
        </is>
      </c>
      <c r="E108" s="7" t="n">
        <v>2</v>
      </c>
      <c r="F108" s="101" t="n"/>
      <c r="G108" s="88" t="inlineStr">
        <is>
          <t>{role:-1},
{id:-1},{id:-1},{id:-1},{id:-1},{id:-1}
{id:40005},{id:40005}</t>
        </is>
      </c>
      <c r="H108" s="47" t="n"/>
      <c r="I108" s="47" t="n">
        <v>1470</v>
      </c>
      <c r="J108" s="83" t="inlineStr">
        <is>
          <t>天氣變化</t>
        </is>
      </c>
      <c r="K108" s="47" t="inlineStr">
        <is>
          <t>buff</t>
        </is>
      </c>
      <c r="L108" s="47" t="n">
        <v>9005</v>
      </c>
      <c r="M108" s="47" t="inlineStr">
        <is>
          <t>2,7,11</t>
        </is>
      </c>
      <c r="N108" s="47" t="n"/>
      <c r="O108" s="47" t="n">
        <v>0.5</v>
      </c>
      <c r="P108" s="83" t="inlineStr">
        <is>
          <t>場地變化</t>
        </is>
      </c>
      <c r="Q108" s="47" t="inlineStr">
        <is>
          <t>debuff</t>
        </is>
      </c>
      <c r="R108" s="47" t="n">
        <v>9003</v>
      </c>
      <c r="S108" s="47" t="inlineStr">
        <is>
          <t>2,3,5</t>
        </is>
      </c>
      <c r="T108" s="47" t="n"/>
      <c r="U108" s="47" t="n">
        <v>0.9</v>
      </c>
      <c r="V108" s="135" t="n">
        <v>70001</v>
      </c>
      <c r="W108" s="7" t="n">
        <v>1</v>
      </c>
      <c r="X108" t="n">
        <v>1</v>
      </c>
      <c r="Y108" t="n">
        <v>70002</v>
      </c>
      <c r="Z108" t="n">
        <v>1</v>
      </c>
      <c r="AA108" t="n">
        <v>1</v>
      </c>
      <c r="AB108" t="n">
        <v>1001</v>
      </c>
      <c r="AC108" t="n">
        <v>50</v>
      </c>
      <c r="AD108" t="n">
        <v>1</v>
      </c>
      <c r="AE108" t="n">
        <v>8000</v>
      </c>
      <c r="AF108" t="n">
        <v>20</v>
      </c>
      <c r="AG108" t="n">
        <v>1</v>
      </c>
    </row>
    <row r="109" ht="47.25" customHeight="1" s="142">
      <c r="A109" s="7" t="n">
        <v>1003</v>
      </c>
      <c r="B109" s="7" t="inlineStr">
        <is>
          <t>main</t>
        </is>
      </c>
      <c r="C109" t="n">
        <v>1</v>
      </c>
      <c r="D109" s="7" t="inlineStr">
        <is>
          <t>1-4</t>
        </is>
      </c>
      <c r="E109" s="7" t="n">
        <v>2</v>
      </c>
      <c r="F109" s="101" t="n"/>
      <c r="G109" s="88" t="inlineStr">
        <is>
          <t>{role:-1},
{id:-1},{id:-1},{id:-1},{id:-1},{id:-1}
{id:40005},{id:40005},{id:40004}</t>
        </is>
      </c>
      <c r="H109" s="47" t="n"/>
      <c r="I109" s="47" t="n">
        <v>1595</v>
      </c>
      <c r="J109" s="80" t="inlineStr">
        <is>
          <t>天氣變化</t>
        </is>
      </c>
      <c r="K109" s="47" t="inlineStr">
        <is>
          <t>buff</t>
        </is>
      </c>
      <c r="L109" s="47" t="n">
        <v>9002</v>
      </c>
      <c r="M109" s="47" t="inlineStr">
        <is>
          <t>3,7</t>
        </is>
      </c>
      <c r="N109" s="47" t="n"/>
      <c r="O109" s="47" t="n">
        <v>0.9</v>
      </c>
      <c r="P109" s="83" t="inlineStr">
        <is>
          <t>場地變化</t>
        </is>
      </c>
      <c r="Q109" s="47" t="inlineStr">
        <is>
          <t>debuff</t>
        </is>
      </c>
      <c r="R109" s="47" t="n">
        <v>9007</v>
      </c>
      <c r="S109" s="47" t="n">
        <v>3</v>
      </c>
      <c r="T109" s="47" t="n"/>
      <c r="U109" s="47" t="n">
        <v>0.6</v>
      </c>
      <c r="V109" s="135" t="n">
        <v>70001</v>
      </c>
      <c r="W109" s="7" t="n">
        <v>1</v>
      </c>
      <c r="X109" t="n">
        <v>1</v>
      </c>
      <c r="Y109" t="n">
        <v>70002</v>
      </c>
      <c r="Z109" t="n">
        <v>1</v>
      </c>
      <c r="AA109" t="n">
        <v>1</v>
      </c>
      <c r="AB109" t="n">
        <v>1001</v>
      </c>
      <c r="AC109" t="n">
        <v>50</v>
      </c>
      <c r="AD109" t="n">
        <v>1</v>
      </c>
      <c r="AE109" t="n">
        <v>8000</v>
      </c>
      <c r="AF109" t="n">
        <v>20</v>
      </c>
      <c r="AG109" t="n">
        <v>1</v>
      </c>
    </row>
    <row r="110" ht="47.25" customHeight="1" s="142">
      <c r="A110" s="7" t="n">
        <v>1004</v>
      </c>
      <c r="B110" s="7" t="inlineStr">
        <is>
          <t>main</t>
        </is>
      </c>
      <c r="C110" t="n">
        <v>1</v>
      </c>
      <c r="D110" s="7" t="inlineStr">
        <is>
          <t>1-5</t>
        </is>
      </c>
      <c r="E110" s="7" t="n">
        <v>3</v>
      </c>
      <c r="F110" s="101" t="n"/>
      <c r="G110" s="102" t="inlineStr">
        <is>
          <t>{role:-1},
{id:-1},{id:-1},{id:-1},{id:-1},{id:-1}
{id:40001},{id:40004},{id:40005}</t>
        </is>
      </c>
      <c r="H110" s="47" t="n"/>
      <c r="I110" s="47" t="n">
        <v>1720</v>
      </c>
      <c r="J110" s="83" t="inlineStr">
        <is>
          <t>天氣變化</t>
        </is>
      </c>
      <c r="K110" s="47" t="inlineStr">
        <is>
          <t>buff</t>
        </is>
      </c>
      <c r="L110" s="47" t="n">
        <v>9008</v>
      </c>
      <c r="M110" s="47" t="n">
        <v>9</v>
      </c>
      <c r="N110" s="47" t="n"/>
      <c r="O110" s="47" t="n">
        <v>0.1</v>
      </c>
      <c r="P110" s="83" t="inlineStr">
        <is>
          <t>場地變化</t>
        </is>
      </c>
      <c r="Q110" s="47" t="inlineStr">
        <is>
          <t>debuff</t>
        </is>
      </c>
      <c r="R110" s="47" t="n">
        <v>9004</v>
      </c>
      <c r="S110" s="47" t="inlineStr">
        <is>
          <t>4,10</t>
        </is>
      </c>
      <c r="T110" s="47" t="n"/>
      <c r="U110" s="47" t="n">
        <v>0.4</v>
      </c>
      <c r="V110" s="135" t="n">
        <v>70001</v>
      </c>
      <c r="W110" s="7" t="n">
        <v>1</v>
      </c>
      <c r="X110" t="n">
        <v>1</v>
      </c>
      <c r="Y110" t="n">
        <v>70002</v>
      </c>
      <c r="Z110" t="n">
        <v>1</v>
      </c>
      <c r="AA110" t="n">
        <v>1</v>
      </c>
      <c r="AB110" t="n">
        <v>1001</v>
      </c>
      <c r="AC110" t="n">
        <v>50</v>
      </c>
      <c r="AD110" t="n">
        <v>1</v>
      </c>
      <c r="AE110" t="n">
        <v>8000</v>
      </c>
      <c r="AF110" t="n">
        <v>20</v>
      </c>
      <c r="AG110" t="n">
        <v>1</v>
      </c>
    </row>
    <row r="111" ht="47.25" customHeight="1" s="142">
      <c r="A111" s="7" t="n">
        <v>1005</v>
      </c>
      <c r="B111" s="7" t="inlineStr">
        <is>
          <t>main</t>
        </is>
      </c>
      <c r="C111" t="n">
        <v>1</v>
      </c>
      <c r="D111" s="7" t="inlineStr">
        <is>
          <t>1-6</t>
        </is>
      </c>
      <c r="E111" s="7" t="n">
        <v>3</v>
      </c>
      <c r="F111" s="101" t="n"/>
      <c r="G111" s="88" t="inlineStr">
        <is>
          <t>{role:-1},
{id:-1},{id:-1},{id:-1},{id:-1},{id:-1}
{id:40002},{id:40001},{id:40003}</t>
        </is>
      </c>
      <c r="H111" s="47" t="n"/>
      <c r="I111" s="47" t="n">
        <v>1845</v>
      </c>
      <c r="J111" s="83" t="inlineStr">
        <is>
          <t>天氣變化</t>
        </is>
      </c>
      <c r="K111" s="47" t="inlineStr">
        <is>
          <t>buff</t>
        </is>
      </c>
      <c r="L111" s="47" t="n">
        <v>9006</v>
      </c>
      <c r="M111" s="47" t="inlineStr">
        <is>
          <t>2,4,9</t>
        </is>
      </c>
      <c r="N111" s="47" t="n"/>
      <c r="O111" s="47" t="n">
        <v>0.8</v>
      </c>
      <c r="P111" s="83" t="inlineStr">
        <is>
          <t>場地變化</t>
        </is>
      </c>
      <c r="Q111" s="47" t="inlineStr">
        <is>
          <t>debuff</t>
        </is>
      </c>
      <c r="R111" s="47" t="n">
        <v>9003</v>
      </c>
      <c r="S111" s="47" t="inlineStr">
        <is>
          <t>1,6,8</t>
        </is>
      </c>
      <c r="T111" s="47" t="n"/>
      <c r="U111" s="47" t="n">
        <v>0.8</v>
      </c>
      <c r="V111" s="135" t="n">
        <v>70001</v>
      </c>
      <c r="W111" s="7" t="n">
        <v>1</v>
      </c>
      <c r="X111" t="n">
        <v>1</v>
      </c>
      <c r="Y111" t="n">
        <v>70002</v>
      </c>
      <c r="Z111" t="n">
        <v>1</v>
      </c>
      <c r="AA111" t="n">
        <v>1</v>
      </c>
      <c r="AB111" t="n">
        <v>1001</v>
      </c>
      <c r="AC111" t="n">
        <v>50</v>
      </c>
      <c r="AD111" t="n">
        <v>1</v>
      </c>
      <c r="AE111" t="n">
        <v>8000</v>
      </c>
      <c r="AF111" t="n">
        <v>20</v>
      </c>
      <c r="AG111" t="n">
        <v>1</v>
      </c>
    </row>
    <row r="112" ht="47.25" customHeight="1" s="142">
      <c r="A112" s="7" t="n">
        <v>1006</v>
      </c>
      <c r="B112" s="7" t="inlineStr">
        <is>
          <t>main</t>
        </is>
      </c>
      <c r="C112" t="n">
        <v>1</v>
      </c>
      <c r="D112" s="7" t="inlineStr">
        <is>
          <t>1-7</t>
        </is>
      </c>
      <c r="E112" s="7" t="n">
        <v>4</v>
      </c>
      <c r="F112" s="101" t="n"/>
      <c r="G112" s="88" t="inlineStr">
        <is>
          <t>{role:-1},
{id:-1},{id:-1},{id:-1},{id:-1},{id:-1}
{id:40004},{id:40001},{id:40002}</t>
        </is>
      </c>
      <c r="H112" s="47" t="n"/>
      <c r="I112" s="47" t="n">
        <v>1970</v>
      </c>
      <c r="J112" s="80" t="inlineStr">
        <is>
          <t>天氣變化</t>
        </is>
      </c>
      <c r="K112" s="47" t="inlineStr">
        <is>
          <t>buff</t>
        </is>
      </c>
      <c r="L112" s="47" t="n">
        <v>9005</v>
      </c>
      <c r="M112" s="47" t="inlineStr">
        <is>
          <t>5,8,11</t>
        </is>
      </c>
      <c r="N112" s="47" t="n"/>
      <c r="O112" s="47" t="n">
        <v>0.3</v>
      </c>
      <c r="P112" s="83" t="inlineStr">
        <is>
          <t>場地變化</t>
        </is>
      </c>
      <c r="Q112" s="47" t="inlineStr">
        <is>
          <t>debuff</t>
        </is>
      </c>
      <c r="R112" s="47" t="n">
        <v>9003</v>
      </c>
      <c r="S112" s="47" t="inlineStr">
        <is>
          <t>1,2</t>
        </is>
      </c>
      <c r="T112" s="47" t="n"/>
      <c r="U112" s="47" t="n">
        <v>0.2</v>
      </c>
      <c r="V112" s="135" t="n">
        <v>70001</v>
      </c>
      <c r="W112" s="7" t="n">
        <v>1</v>
      </c>
      <c r="X112" t="n">
        <v>1</v>
      </c>
      <c r="Y112" t="n">
        <v>70002</v>
      </c>
      <c r="Z112" t="n">
        <v>1</v>
      </c>
      <c r="AA112" t="n">
        <v>1</v>
      </c>
      <c r="AB112" t="n">
        <v>1001</v>
      </c>
      <c r="AC112" t="n">
        <v>50</v>
      </c>
      <c r="AD112" t="n">
        <v>1</v>
      </c>
      <c r="AE112" t="n">
        <v>8000</v>
      </c>
      <c r="AF112" t="n">
        <v>20</v>
      </c>
      <c r="AG112" t="n">
        <v>1</v>
      </c>
    </row>
    <row r="113" ht="47.25" customHeight="1" s="142">
      <c r="A113" s="7" t="n">
        <v>1007</v>
      </c>
      <c r="B113" s="7" t="inlineStr">
        <is>
          <t>main</t>
        </is>
      </c>
      <c r="C113" t="n">
        <v>1</v>
      </c>
      <c r="D113" s="7" t="inlineStr">
        <is>
          <t>1-8</t>
        </is>
      </c>
      <c r="E113" s="7" t="n">
        <v>4</v>
      </c>
      <c r="F113" s="101" t="n"/>
      <c r="G113" s="102" t="inlineStr">
        <is>
          <t>{role:-1},
{id:-1},{id:-1},{id:-1},{id:-1},{id:-1}
{id:40002},{id:40005},{id:40005}</t>
        </is>
      </c>
      <c r="H113" s="47" t="n"/>
      <c r="I113" s="47" t="n">
        <v>2095</v>
      </c>
      <c r="J113" s="83" t="inlineStr">
        <is>
          <t>天氣變化</t>
        </is>
      </c>
      <c r="K113" s="47" t="inlineStr">
        <is>
          <t>buff</t>
        </is>
      </c>
      <c r="L113" s="47" t="n">
        <v>9008</v>
      </c>
      <c r="M113" s="47" t="n">
        <v>10</v>
      </c>
      <c r="N113" s="47" t="n"/>
      <c r="O113" s="47" t="n">
        <v>0.5</v>
      </c>
      <c r="P113" s="83" t="inlineStr">
        <is>
          <t>場地變化</t>
        </is>
      </c>
      <c r="Q113" s="47" t="inlineStr">
        <is>
          <t>debuff</t>
        </is>
      </c>
      <c r="R113" s="47" t="n">
        <v>9003</v>
      </c>
      <c r="S113" s="47" t="inlineStr">
        <is>
          <t>6,9</t>
        </is>
      </c>
      <c r="T113" s="47" t="n"/>
      <c r="U113" s="47" t="n">
        <v>0.8</v>
      </c>
      <c r="V113" s="135" t="n">
        <v>70001</v>
      </c>
      <c r="W113" s="7" t="n">
        <v>1</v>
      </c>
      <c r="X113" t="n">
        <v>1</v>
      </c>
      <c r="Y113" t="n">
        <v>70002</v>
      </c>
      <c r="Z113" t="n">
        <v>1</v>
      </c>
      <c r="AA113" t="n">
        <v>1</v>
      </c>
      <c r="AB113" t="n">
        <v>1001</v>
      </c>
      <c r="AC113" t="n">
        <v>50</v>
      </c>
      <c r="AD113" t="n">
        <v>1</v>
      </c>
      <c r="AE113" t="n">
        <v>8000</v>
      </c>
      <c r="AF113" t="n">
        <v>20</v>
      </c>
      <c r="AG113" t="n">
        <v>1</v>
      </c>
    </row>
    <row r="114" ht="42.75" customHeight="1" s="142">
      <c r="A114" s="7" t="n">
        <v>1008</v>
      </c>
      <c r="B114" s="7" t="inlineStr">
        <is>
          <t>main</t>
        </is>
      </c>
      <c r="C114" s="7" t="n">
        <v>1</v>
      </c>
      <c r="D114" s="7" t="inlineStr">
        <is>
          <t>1-9</t>
        </is>
      </c>
      <c r="E114" s="7" t="n">
        <v>5</v>
      </c>
      <c r="F114" s="7" t="n"/>
      <c r="G114" s="82" t="inlineStr">
        <is>
          <t>{role:-1},
{id:-1},{id:-1},{id:-1},{id:-1},{id:-1}
{id:40003},{id:40003},{id:40004}</t>
        </is>
      </c>
      <c r="H114" s="7" t="n"/>
      <c r="I114" s="7" t="n">
        <v>2220</v>
      </c>
      <c r="J114" s="138" t="inlineStr">
        <is>
          <t>天氣變化</t>
        </is>
      </c>
      <c r="K114" s="7" t="inlineStr">
        <is>
          <t>buff</t>
        </is>
      </c>
      <c r="L114" s="7" t="n">
        <v>9011</v>
      </c>
      <c r="M114" s="7" t="inlineStr">
        <is>
          <t>4,6,9</t>
        </is>
      </c>
      <c r="N114" s="7" t="n"/>
      <c r="O114" s="7" t="n">
        <v>0.2</v>
      </c>
      <c r="P114" s="138" t="inlineStr">
        <is>
          <t>場地變化</t>
        </is>
      </c>
      <c r="Q114" s="7" t="inlineStr">
        <is>
          <t>debuff</t>
        </is>
      </c>
      <c r="R114" s="7" t="n">
        <v>9007</v>
      </c>
      <c r="S114" s="7" t="n">
        <v>5</v>
      </c>
      <c r="T114" s="7" t="n"/>
      <c r="U114" s="7" t="n">
        <v>0.3</v>
      </c>
      <c r="V114" s="7" t="n">
        <v>70001</v>
      </c>
      <c r="W114" s="7" t="n">
        <v>1</v>
      </c>
      <c r="X114" s="7" t="n">
        <v>1</v>
      </c>
      <c r="Y114" s="7" t="n">
        <v>70002</v>
      </c>
      <c r="Z114" s="7" t="n">
        <v>1</v>
      </c>
      <c r="AA114" s="7" t="n">
        <v>1</v>
      </c>
      <c r="AB114" t="n">
        <v>1001</v>
      </c>
      <c r="AC114" t="n">
        <v>50</v>
      </c>
      <c r="AD114" t="n">
        <v>1</v>
      </c>
      <c r="AE114" t="n">
        <v>8000</v>
      </c>
      <c r="AF114" t="n">
        <v>20</v>
      </c>
      <c r="AG114" t="n">
        <v>1</v>
      </c>
    </row>
    <row r="115" ht="42.75" customHeight="1" s="142">
      <c r="A115" s="7" t="n">
        <v>1009</v>
      </c>
      <c r="B115" s="7" t="inlineStr">
        <is>
          <t>main</t>
        </is>
      </c>
      <c r="C115" s="7" t="n">
        <v>1</v>
      </c>
      <c r="D115" s="7" t="inlineStr">
        <is>
          <t>1-10</t>
        </is>
      </c>
      <c r="E115" s="7" t="n">
        <v>5</v>
      </c>
      <c r="F115" s="7" t="n"/>
      <c r="G115" s="82" t="inlineStr">
        <is>
          <t>{role:-1},
{id:-1},{id:-1},{id:-1},{id:-1},{id:-1}
{id:40002},{id:40003},{id:40005},{id:40003}</t>
        </is>
      </c>
      <c r="H115" s="7" t="n"/>
      <c r="I115" s="7" t="n">
        <v>2345</v>
      </c>
      <c r="J115" s="138" t="inlineStr">
        <is>
          <t>天氣變化</t>
        </is>
      </c>
      <c r="K115" s="7" t="inlineStr">
        <is>
          <t>buff</t>
        </is>
      </c>
      <c r="L115" s="7" t="n">
        <v>9002</v>
      </c>
      <c r="M115" s="7" t="n">
        <v>2</v>
      </c>
      <c r="N115" s="7" t="n"/>
      <c r="O115" s="7" t="n">
        <v>0.3</v>
      </c>
      <c r="P115" s="138" t="inlineStr">
        <is>
          <t>場地變化</t>
        </is>
      </c>
      <c r="Q115" s="7" t="inlineStr">
        <is>
          <t>debuff</t>
        </is>
      </c>
      <c r="R115" s="7" t="n">
        <v>9003</v>
      </c>
      <c r="S115" s="7" t="n">
        <v>12</v>
      </c>
      <c r="T115" s="7" t="n"/>
      <c r="U115" s="7" t="n">
        <v>0.9</v>
      </c>
      <c r="V115" s="7" t="n">
        <v>70001</v>
      </c>
      <c r="W115" s="7" t="n">
        <v>1</v>
      </c>
      <c r="X115" s="7" t="n">
        <v>1</v>
      </c>
      <c r="Y115" s="7" t="n">
        <v>70002</v>
      </c>
      <c r="Z115" s="7" t="n">
        <v>1</v>
      </c>
      <c r="AA115" s="7" t="n">
        <v>1</v>
      </c>
      <c r="AB115" t="n">
        <v>1001</v>
      </c>
      <c r="AC115" t="n">
        <v>50</v>
      </c>
      <c r="AD115" t="n">
        <v>1</v>
      </c>
      <c r="AE115" t="n">
        <v>8000</v>
      </c>
      <c r="AF115" t="n">
        <v>20</v>
      </c>
      <c r="AG115" t="n">
        <v>1</v>
      </c>
    </row>
    <row r="116" ht="42.75" customHeight="1" s="142">
      <c r="A116" s="7" t="n">
        <v>1010</v>
      </c>
      <c r="B116" s="7" t="inlineStr">
        <is>
          <t>main</t>
        </is>
      </c>
      <c r="C116" s="7" t="n">
        <v>1</v>
      </c>
      <c r="D116" s="7" t="inlineStr">
        <is>
          <t>1-11</t>
        </is>
      </c>
      <c r="E116" s="7" t="n">
        <v>6</v>
      </c>
      <c r="F116" s="7" t="n"/>
      <c r="G116" s="82" t="inlineStr">
        <is>
          <t>{role:-1},
{id:-1},{id:-1},{id:-1},{id:-1},{id:-1}
{id:40002},{id:40005},{id:40004},{id:40004}</t>
        </is>
      </c>
      <c r="H116" s="7" t="n"/>
      <c r="I116" s="7" t="n">
        <v>2470</v>
      </c>
      <c r="J116" s="138" t="inlineStr">
        <is>
          <t>天氣變化</t>
        </is>
      </c>
      <c r="K116" s="7" t="inlineStr">
        <is>
          <t>buff</t>
        </is>
      </c>
      <c r="L116" s="7" t="n">
        <v>9002</v>
      </c>
      <c r="M116" s="7" t="n">
        <v>4</v>
      </c>
      <c r="N116" s="7" t="n"/>
      <c r="O116" s="7" t="n">
        <v>0.6</v>
      </c>
      <c r="P116" s="138" t="inlineStr">
        <is>
          <t>場地變化</t>
        </is>
      </c>
      <c r="Q116" s="7" t="inlineStr">
        <is>
          <t>debuff</t>
        </is>
      </c>
      <c r="R116" s="7" t="n">
        <v>9008</v>
      </c>
      <c r="S116" s="7" t="inlineStr">
        <is>
          <t>9,13</t>
        </is>
      </c>
      <c r="T116" s="7" t="n"/>
      <c r="U116" s="7" t="n">
        <v>0.7</v>
      </c>
      <c r="V116" s="7" t="n">
        <v>70001</v>
      </c>
      <c r="W116" s="7" t="n">
        <v>1</v>
      </c>
      <c r="X116" s="7" t="n">
        <v>1</v>
      </c>
      <c r="Y116" s="7" t="n">
        <v>70002</v>
      </c>
      <c r="Z116" s="7" t="n">
        <v>1</v>
      </c>
      <c r="AA116" s="7" t="n">
        <v>1</v>
      </c>
      <c r="AB116" t="n">
        <v>1001</v>
      </c>
      <c r="AC116" t="n">
        <v>50</v>
      </c>
      <c r="AD116" t="n">
        <v>1</v>
      </c>
      <c r="AE116" t="n">
        <v>8000</v>
      </c>
      <c r="AF116" t="n">
        <v>20</v>
      </c>
      <c r="AG116" t="n">
        <v>1</v>
      </c>
    </row>
    <row r="117" ht="42.75" customHeight="1" s="142">
      <c r="A117" s="7" t="n">
        <v>1011</v>
      </c>
      <c r="B117" s="7" t="inlineStr">
        <is>
          <t>main</t>
        </is>
      </c>
      <c r="C117" s="7" t="n">
        <v>1</v>
      </c>
      <c r="D117" s="7" t="inlineStr">
        <is>
          <t>1-12</t>
        </is>
      </c>
      <c r="E117" s="7" t="n">
        <v>6</v>
      </c>
      <c r="F117" s="7" t="n"/>
      <c r="G117" s="82" t="inlineStr">
        <is>
          <t>{role:-1},
{id:-1},{id:-1},{id:-1},{id:-1},{id:-1}
{id:40001},{id:40001},{id:40004},{id:40002}</t>
        </is>
      </c>
      <c r="H117" s="7" t="n"/>
      <c r="I117" s="7" t="n">
        <v>2595</v>
      </c>
      <c r="J117" s="138" t="inlineStr">
        <is>
          <t>天氣變化</t>
        </is>
      </c>
      <c r="K117" s="7" t="inlineStr">
        <is>
          <t>buff</t>
        </is>
      </c>
      <c r="L117" s="7" t="n">
        <v>9006</v>
      </c>
      <c r="M117" s="7" t="inlineStr">
        <is>
          <t>8,11,13</t>
        </is>
      </c>
      <c r="N117" s="7" t="n"/>
      <c r="O117" s="7" t="n">
        <v>0.6</v>
      </c>
      <c r="P117" s="138" t="inlineStr">
        <is>
          <t>場地變化</t>
        </is>
      </c>
      <c r="Q117" s="7" t="inlineStr">
        <is>
          <t>debuff</t>
        </is>
      </c>
      <c r="R117" s="7" t="n">
        <v>9011</v>
      </c>
      <c r="S117" s="7" t="n">
        <v>3</v>
      </c>
      <c r="T117" s="7" t="n"/>
      <c r="U117" s="7" t="n">
        <v>0.4</v>
      </c>
      <c r="V117" s="7" t="n">
        <v>70001</v>
      </c>
      <c r="W117" s="7" t="n">
        <v>1</v>
      </c>
      <c r="X117" s="7" t="n">
        <v>1</v>
      </c>
      <c r="Y117" s="7" t="n">
        <v>70002</v>
      </c>
      <c r="Z117" s="7" t="n">
        <v>1</v>
      </c>
      <c r="AA117" s="7" t="n">
        <v>1</v>
      </c>
      <c r="AB117" t="n">
        <v>1001</v>
      </c>
      <c r="AC117" t="n">
        <v>50</v>
      </c>
      <c r="AD117" t="n">
        <v>1</v>
      </c>
      <c r="AE117" t="n">
        <v>8000</v>
      </c>
      <c r="AF117" t="n">
        <v>20</v>
      </c>
      <c r="AG117" t="n">
        <v>1</v>
      </c>
    </row>
    <row r="118" ht="42.75" customHeight="1" s="142">
      <c r="A118" s="7" t="n">
        <v>1012</v>
      </c>
      <c r="B118" s="7" t="inlineStr">
        <is>
          <t>main</t>
        </is>
      </c>
      <c r="C118" s="7" t="n">
        <v>1</v>
      </c>
      <c r="D118" s="7" t="inlineStr">
        <is>
          <t>1-13</t>
        </is>
      </c>
      <c r="E118" s="7" t="n">
        <v>7</v>
      </c>
      <c r="F118" s="7" t="n"/>
      <c r="G118" s="82" t="inlineStr">
        <is>
          <t>{role:-1},
{id:-1},{id:-1},{id:-1},{id:-1},{id:-1}
{id:40005},{id:40003},{id:40004},{id:40001},{id:40004}</t>
        </is>
      </c>
      <c r="H118" s="7" t="n"/>
      <c r="I118" s="7" t="n">
        <v>2720</v>
      </c>
      <c r="J118" s="138" t="inlineStr">
        <is>
          <t>天氣變化</t>
        </is>
      </c>
      <c r="K118" s="7" t="inlineStr">
        <is>
          <t>buff</t>
        </is>
      </c>
      <c r="L118" s="7" t="n">
        <v>9002</v>
      </c>
      <c r="M118" s="7" t="inlineStr">
        <is>
          <t>7,12</t>
        </is>
      </c>
      <c r="N118" s="7" t="n"/>
      <c r="O118" s="7" t="n">
        <v>0.5</v>
      </c>
      <c r="P118" s="138" t="inlineStr">
        <is>
          <t>場地變化</t>
        </is>
      </c>
      <c r="Q118" s="7" t="inlineStr">
        <is>
          <t>debuff</t>
        </is>
      </c>
      <c r="R118" s="7" t="n">
        <v>9007</v>
      </c>
      <c r="S118" s="7" t="inlineStr">
        <is>
          <t>1,3</t>
        </is>
      </c>
      <c r="T118" s="7" t="n"/>
      <c r="U118" s="7" t="n">
        <v>0.2</v>
      </c>
      <c r="V118" s="7" t="n">
        <v>70001</v>
      </c>
      <c r="W118" s="7" t="n">
        <v>1</v>
      </c>
      <c r="X118" s="7" t="n">
        <v>1</v>
      </c>
      <c r="Y118" s="7" t="n">
        <v>70002</v>
      </c>
      <c r="Z118" s="7" t="n">
        <v>1</v>
      </c>
      <c r="AA118" s="7" t="n">
        <v>1</v>
      </c>
      <c r="AB118" t="n">
        <v>1001</v>
      </c>
      <c r="AC118" t="n">
        <v>50</v>
      </c>
      <c r="AD118" t="n">
        <v>1</v>
      </c>
      <c r="AE118" t="n">
        <v>8000</v>
      </c>
      <c r="AF118" t="n">
        <v>20</v>
      </c>
      <c r="AG118" t="n">
        <v>1</v>
      </c>
    </row>
    <row r="119" ht="42.75" customHeight="1" s="142">
      <c r="A119" s="7" t="n">
        <v>1013</v>
      </c>
      <c r="B119" s="7" t="inlineStr">
        <is>
          <t>main</t>
        </is>
      </c>
      <c r="C119" s="7" t="n">
        <v>1</v>
      </c>
      <c r="D119" s="7" t="inlineStr">
        <is>
          <t>1-14</t>
        </is>
      </c>
      <c r="E119" s="7" t="n">
        <v>7</v>
      </c>
      <c r="F119" s="7" t="n"/>
      <c r="G119" s="82" t="inlineStr">
        <is>
          <t>{role:-1},
{id:-1},{id:-1},{id:-1},{id:-1},{id:-1}
{id:40005},{id:40003},{id:40002},{id:40001},{id:40005}</t>
        </is>
      </c>
      <c r="H119" s="7" t="n"/>
      <c r="I119" s="7" t="n">
        <v>2845</v>
      </c>
      <c r="J119" s="138" t="inlineStr">
        <is>
          <t>天氣變化</t>
        </is>
      </c>
      <c r="K119" s="7" t="inlineStr">
        <is>
          <t>buff</t>
        </is>
      </c>
      <c r="L119" s="7" t="n">
        <v>9008</v>
      </c>
      <c r="M119" s="7" t="inlineStr">
        <is>
          <t>8,9,13</t>
        </is>
      </c>
      <c r="N119" s="7" t="n"/>
      <c r="O119" s="7" t="n">
        <v>0.2</v>
      </c>
      <c r="P119" s="138" t="inlineStr">
        <is>
          <t>場地變化</t>
        </is>
      </c>
      <c r="Q119" s="7" t="inlineStr">
        <is>
          <t>debuff</t>
        </is>
      </c>
      <c r="R119" s="7" t="n">
        <v>9011</v>
      </c>
      <c r="S119" s="7" t="inlineStr">
        <is>
          <t>3,9</t>
        </is>
      </c>
      <c r="T119" s="7" t="n"/>
      <c r="U119" s="7" t="n">
        <v>0.6</v>
      </c>
      <c r="V119" s="7" t="n">
        <v>70001</v>
      </c>
      <c r="W119" s="7" t="n">
        <v>1</v>
      </c>
      <c r="X119" s="7" t="n">
        <v>1</v>
      </c>
      <c r="Y119" s="7" t="n">
        <v>70002</v>
      </c>
      <c r="Z119" s="7" t="n">
        <v>1</v>
      </c>
      <c r="AA119" s="7" t="n">
        <v>1</v>
      </c>
      <c r="AB119" t="n">
        <v>1001</v>
      </c>
      <c r="AC119" t="n">
        <v>50</v>
      </c>
      <c r="AD119" t="n">
        <v>1</v>
      </c>
      <c r="AE119" t="n">
        <v>8000</v>
      </c>
      <c r="AF119" t="n">
        <v>20</v>
      </c>
      <c r="AG119" t="n">
        <v>1</v>
      </c>
    </row>
    <row r="120" ht="42.75" customHeight="1" s="142">
      <c r="A120" s="7" t="n">
        <v>1014</v>
      </c>
      <c r="B120" s="7" t="inlineStr">
        <is>
          <t>main</t>
        </is>
      </c>
      <c r="C120" s="7" t="n">
        <v>1</v>
      </c>
      <c r="D120" s="7" t="inlineStr">
        <is>
          <t>1-15</t>
        </is>
      </c>
      <c r="E120" s="7" t="n">
        <v>8</v>
      </c>
      <c r="F120" s="7" t="n"/>
      <c r="G120" s="82" t="inlineStr">
        <is>
          <t>{role:-1},
{id:-1},{id:-1},{id:-1},{id:-1},{id:-1}
{id:40003},{id:40001},{id:40003},{id:40004},{id:40001}</t>
        </is>
      </c>
      <c r="H120" s="7" t="n"/>
      <c r="I120" s="7" t="n">
        <v>2970</v>
      </c>
      <c r="J120" s="138" t="inlineStr">
        <is>
          <t>天氣變化</t>
        </is>
      </c>
      <c r="K120" s="7" t="inlineStr">
        <is>
          <t>buff</t>
        </is>
      </c>
      <c r="L120" s="7" t="n">
        <v>9002</v>
      </c>
      <c r="M120" s="7" t="inlineStr">
        <is>
          <t>5,8,9</t>
        </is>
      </c>
      <c r="N120" s="7" t="n"/>
      <c r="O120" s="7" t="n">
        <v>0.6</v>
      </c>
      <c r="P120" s="138" t="inlineStr">
        <is>
          <t>場地變化</t>
        </is>
      </c>
      <c r="Q120" s="7" t="inlineStr">
        <is>
          <t>debuff</t>
        </is>
      </c>
      <c r="R120" s="7" t="n">
        <v>9010</v>
      </c>
      <c r="S120" s="7" t="inlineStr">
        <is>
          <t>2,5,6</t>
        </is>
      </c>
      <c r="T120" s="7" t="n"/>
      <c r="U120" s="7" t="n">
        <v>0.9</v>
      </c>
      <c r="V120" s="7" t="n">
        <v>70001</v>
      </c>
      <c r="W120" s="7" t="n">
        <v>1</v>
      </c>
      <c r="X120" s="7" t="n">
        <v>1</v>
      </c>
      <c r="Y120" s="7" t="n">
        <v>70002</v>
      </c>
      <c r="Z120" s="7" t="n">
        <v>1</v>
      </c>
      <c r="AA120" s="7" t="n">
        <v>1</v>
      </c>
      <c r="AB120" t="n">
        <v>1001</v>
      </c>
      <c r="AC120" t="n">
        <v>50</v>
      </c>
      <c r="AD120" t="n">
        <v>1</v>
      </c>
      <c r="AE120" t="n">
        <v>8000</v>
      </c>
      <c r="AF120" t="n">
        <v>20</v>
      </c>
      <c r="AG120" t="n">
        <v>1</v>
      </c>
    </row>
    <row r="121" ht="42.75" customHeight="1" s="142">
      <c r="A121" s="7" t="n">
        <v>1015</v>
      </c>
      <c r="B121" s="7" t="inlineStr">
        <is>
          <t>main</t>
        </is>
      </c>
      <c r="C121" s="7" t="n">
        <v>1</v>
      </c>
      <c r="D121" s="7" t="inlineStr">
        <is>
          <t>1-16</t>
        </is>
      </c>
      <c r="E121" s="7" t="n">
        <v>8</v>
      </c>
      <c r="F121" s="7" t="n"/>
      <c r="G121" s="82" t="inlineStr">
        <is>
          <t>{role:-1},
{id:-1},{id:-1},{id:-1},{id:-1},{id:-1}
{id:40005},{id:40004},{id:40002},{id:40004},{id:40003}</t>
        </is>
      </c>
      <c r="H121" s="7" t="n"/>
      <c r="I121" s="7" t="n">
        <v>3095</v>
      </c>
      <c r="J121" s="138" t="inlineStr">
        <is>
          <t>天氣變化</t>
        </is>
      </c>
      <c r="K121" s="7" t="inlineStr">
        <is>
          <t>buff</t>
        </is>
      </c>
      <c r="L121" s="7" t="n">
        <v>9005</v>
      </c>
      <c r="M121" s="7" t="n">
        <v>9</v>
      </c>
      <c r="N121" s="7" t="n"/>
      <c r="O121" s="7" t="n">
        <v>0.5</v>
      </c>
      <c r="P121" s="138" t="inlineStr">
        <is>
          <t>場地變化</t>
        </is>
      </c>
      <c r="Q121" s="7" t="inlineStr">
        <is>
          <t>debuff</t>
        </is>
      </c>
      <c r="R121" s="7" t="n">
        <v>9004</v>
      </c>
      <c r="S121" s="7" t="inlineStr">
        <is>
          <t>12,13</t>
        </is>
      </c>
      <c r="T121" s="7" t="n"/>
      <c r="U121" s="7" t="n">
        <v>0.5</v>
      </c>
      <c r="V121" s="7" t="n">
        <v>70001</v>
      </c>
      <c r="W121" s="7" t="n">
        <v>1</v>
      </c>
      <c r="X121" s="7" t="n">
        <v>1</v>
      </c>
      <c r="Y121" s="7" t="n">
        <v>70002</v>
      </c>
      <c r="Z121" s="7" t="n">
        <v>1</v>
      </c>
      <c r="AA121" s="7" t="n">
        <v>1</v>
      </c>
      <c r="AB121" t="n">
        <v>1001</v>
      </c>
      <c r="AC121" t="n">
        <v>50</v>
      </c>
      <c r="AD121" t="n">
        <v>1</v>
      </c>
      <c r="AE121" t="n">
        <v>8000</v>
      </c>
      <c r="AF121" t="n">
        <v>20</v>
      </c>
      <c r="AG121" t="n">
        <v>1</v>
      </c>
    </row>
    <row r="122" ht="42.75" customHeight="1" s="142">
      <c r="A122" s="7" t="n">
        <v>1016</v>
      </c>
      <c r="B122" s="7" t="inlineStr">
        <is>
          <t>main</t>
        </is>
      </c>
      <c r="C122" s="7" t="n">
        <v>1</v>
      </c>
      <c r="D122" s="7" t="inlineStr">
        <is>
          <t>1-17</t>
        </is>
      </c>
      <c r="E122" s="7" t="n">
        <v>9</v>
      </c>
      <c r="F122" s="7" t="n"/>
      <c r="G122" s="82" t="inlineStr">
        <is>
          <t>{role:-1},
{id:-1},{id:-1},{id:-1},{id:-1},{id:-1}
{id:40005},{id:40001},{id:40005},{id:40004},{id:40002}</t>
        </is>
      </c>
      <c r="H122" s="7" t="n"/>
      <c r="I122" s="7" t="n">
        <v>3220</v>
      </c>
      <c r="J122" s="138" t="inlineStr">
        <is>
          <t>天氣變化</t>
        </is>
      </c>
      <c r="K122" s="7" t="inlineStr">
        <is>
          <t>buff</t>
        </is>
      </c>
      <c r="L122" s="7" t="n">
        <v>9011</v>
      </c>
      <c r="M122" s="7" t="n">
        <v>6</v>
      </c>
      <c r="N122" s="7" t="n"/>
      <c r="O122" s="7" t="n">
        <v>0.7</v>
      </c>
      <c r="P122" s="138" t="inlineStr">
        <is>
          <t>場地變化</t>
        </is>
      </c>
      <c r="Q122" s="7" t="inlineStr">
        <is>
          <t>debuff</t>
        </is>
      </c>
      <c r="R122" s="7" t="n">
        <v>9012</v>
      </c>
      <c r="S122" s="7" t="inlineStr">
        <is>
          <t>2,8,10</t>
        </is>
      </c>
      <c r="T122" s="7" t="n"/>
      <c r="U122" s="7" t="n">
        <v>0.5</v>
      </c>
      <c r="V122" s="7" t="n">
        <v>70001</v>
      </c>
      <c r="W122" s="7" t="n">
        <v>1</v>
      </c>
      <c r="X122" s="7" t="n">
        <v>1</v>
      </c>
      <c r="Y122" s="7" t="n">
        <v>70002</v>
      </c>
      <c r="Z122" s="7" t="n">
        <v>1</v>
      </c>
      <c r="AA122" s="7" t="n">
        <v>1</v>
      </c>
      <c r="AB122" t="n">
        <v>1001</v>
      </c>
      <c r="AC122" t="n">
        <v>50</v>
      </c>
      <c r="AD122" t="n">
        <v>1</v>
      </c>
      <c r="AE122" t="n">
        <v>8000</v>
      </c>
      <c r="AF122" t="n">
        <v>20</v>
      </c>
      <c r="AG122" t="n">
        <v>1</v>
      </c>
    </row>
    <row r="123" ht="47.25" customHeight="1" s="142">
      <c r="A123" s="7" t="n">
        <v>1017</v>
      </c>
      <c r="B123" s="7" t="inlineStr">
        <is>
          <t>main</t>
        </is>
      </c>
      <c r="C123" t="n">
        <v>1</v>
      </c>
      <c r="D123" s="7" t="inlineStr">
        <is>
          <t>1-18</t>
        </is>
      </c>
      <c r="E123" t="n">
        <v>9</v>
      </c>
      <c r="F123" s="87" t="n"/>
      <c r="G123" s="88" t="inlineStr">
        <is>
          <t>{role:-1},
{id:-1},{id:-1},{id:-1},{id:-1},{id:-1}
{id:40005},{id:40004},{id:40001},{id:40001},{id:40004}</t>
        </is>
      </c>
      <c r="I123" s="47" t="n">
        <v>3345</v>
      </c>
      <c r="J123" s="83" t="inlineStr">
        <is>
          <t>天氣變化</t>
        </is>
      </c>
      <c r="K123" s="47" t="inlineStr">
        <is>
          <t>buff</t>
        </is>
      </c>
      <c r="L123" s="47" t="n">
        <v>9002</v>
      </c>
      <c r="M123" s="47" t="n">
        <v>10</v>
      </c>
      <c r="N123" s="47" t="n"/>
      <c r="O123" s="47" t="n">
        <v>0.9</v>
      </c>
      <c r="P123" s="83" t="inlineStr">
        <is>
          <t>場地變化</t>
        </is>
      </c>
      <c r="Q123" s="47" t="inlineStr">
        <is>
          <t>debuff</t>
        </is>
      </c>
      <c r="R123" s="47" t="n">
        <v>9008</v>
      </c>
      <c r="S123" s="47" t="n">
        <v>1</v>
      </c>
      <c r="T123" s="47" t="n"/>
      <c r="U123" s="47" t="n">
        <v>0.4</v>
      </c>
      <c r="V123" s="7" t="n">
        <v>70001</v>
      </c>
      <c r="W123" s="7" t="n">
        <v>1</v>
      </c>
      <c r="X123" s="7" t="n">
        <v>1</v>
      </c>
      <c r="Y123" s="7" t="n">
        <v>70002</v>
      </c>
      <c r="Z123" s="7" t="n">
        <v>1</v>
      </c>
      <c r="AA123" s="7" t="n">
        <v>1</v>
      </c>
      <c r="AB123" t="n">
        <v>1001</v>
      </c>
      <c r="AC123" t="n">
        <v>50</v>
      </c>
      <c r="AD123" t="n">
        <v>1</v>
      </c>
      <c r="AE123" t="n">
        <v>8000</v>
      </c>
      <c r="AF123" t="n">
        <v>30</v>
      </c>
      <c r="AG123" t="n">
        <v>1</v>
      </c>
    </row>
    <row r="124" ht="47.25" customHeight="1" s="142">
      <c r="A124" s="7" t="n">
        <v>1018</v>
      </c>
      <c r="B124" s="7" t="inlineStr">
        <is>
          <t>main</t>
        </is>
      </c>
      <c r="C124" t="n">
        <v>1</v>
      </c>
      <c r="D124" s="7" t="inlineStr">
        <is>
          <t>1-19</t>
        </is>
      </c>
      <c r="E124" t="n">
        <v>10</v>
      </c>
      <c r="F124" s="87" t="n"/>
      <c r="G124" s="88" t="inlineStr">
        <is>
          <t>{role:-1},
{id:-1},{id:-1},{id:-1},{id:-1},{id:-1}
{id:40005},{id:40002},{id:40003},{id:40002},{id:40005}</t>
        </is>
      </c>
      <c r="I124" s="47" t="n">
        <v>3470</v>
      </c>
      <c r="J124" s="83" t="inlineStr">
        <is>
          <t>天氣變化</t>
        </is>
      </c>
      <c r="K124" s="47" t="inlineStr">
        <is>
          <t>buff</t>
        </is>
      </c>
      <c r="L124" s="47" t="n">
        <v>9002</v>
      </c>
      <c r="M124" s="47" t="inlineStr">
        <is>
          <t>2,10</t>
        </is>
      </c>
      <c r="N124" s="47" t="n"/>
      <c r="O124" s="47" t="n">
        <v>0.2</v>
      </c>
      <c r="P124" s="83" t="inlineStr">
        <is>
          <t>場地變化</t>
        </is>
      </c>
      <c r="Q124" s="47" t="inlineStr">
        <is>
          <t>debuff</t>
        </is>
      </c>
      <c r="R124" s="47" t="n">
        <v>9010</v>
      </c>
      <c r="S124" s="47" t="n">
        <v>11</v>
      </c>
      <c r="T124" s="47" t="n"/>
      <c r="U124" s="47" t="n">
        <v>0.8</v>
      </c>
      <c r="V124" s="7" t="n">
        <v>70001</v>
      </c>
      <c r="W124" s="7" t="n">
        <v>1</v>
      </c>
      <c r="X124" s="7" t="n">
        <v>1</v>
      </c>
      <c r="Y124" s="7" t="n">
        <v>70002</v>
      </c>
      <c r="Z124" s="7" t="n">
        <v>1</v>
      </c>
      <c r="AA124" s="7" t="n">
        <v>1</v>
      </c>
      <c r="AB124" t="n">
        <v>1001</v>
      </c>
      <c r="AC124" t="n">
        <v>50</v>
      </c>
      <c r="AD124" t="n">
        <v>1</v>
      </c>
      <c r="AE124" t="n">
        <v>8000</v>
      </c>
      <c r="AF124" t="n">
        <v>30</v>
      </c>
      <c r="AG124" t="n">
        <v>1</v>
      </c>
    </row>
    <row r="125" ht="38.25" customHeight="1" s="142">
      <c r="A125" t="n">
        <v>1019</v>
      </c>
      <c r="B125" t="inlineStr">
        <is>
          <t>main</t>
        </is>
      </c>
      <c r="C125" t="n">
        <v>1</v>
      </c>
      <c r="D125" t="inlineStr">
        <is>
          <t>1-20</t>
        </is>
      </c>
      <c r="E125" t="n">
        <v>10</v>
      </c>
      <c r="G125" s="90" t="inlineStr">
        <is>
          <t>{role:-1},
{id:-1},{id:-1},{id:-1},{id:-1},{id:-1}
{id:40004},{id:40003},{id:40002},{id:40003},{id:40003}</t>
        </is>
      </c>
      <c r="I125" t="n">
        <v>3595</v>
      </c>
      <c r="J125" s="80" t="inlineStr">
        <is>
          <t>天氣變化</t>
        </is>
      </c>
      <c r="K125" t="inlineStr">
        <is>
          <t>buff</t>
        </is>
      </c>
      <c r="L125" t="n">
        <v>9002</v>
      </c>
      <c r="M125" t="inlineStr">
        <is>
          <t>5,9,10</t>
        </is>
      </c>
      <c r="O125" t="n">
        <v>0.7</v>
      </c>
      <c r="P125" s="80" t="inlineStr">
        <is>
          <t>場地變化</t>
        </is>
      </c>
      <c r="Q125" t="inlineStr">
        <is>
          <t>debuff</t>
        </is>
      </c>
      <c r="R125" t="n">
        <v>9008</v>
      </c>
      <c r="S125" t="inlineStr">
        <is>
          <t>5,7</t>
        </is>
      </c>
      <c r="U125" t="n">
        <v>0.7</v>
      </c>
      <c r="V125" t="n">
        <v>70001</v>
      </c>
      <c r="W125" t="n">
        <v>1</v>
      </c>
      <c r="X125" t="n">
        <v>1</v>
      </c>
      <c r="Y125" t="n">
        <v>70002</v>
      </c>
      <c r="Z125" t="n">
        <v>1</v>
      </c>
      <c r="AA125" t="n">
        <v>1</v>
      </c>
      <c r="AB125" t="n">
        <v>1001</v>
      </c>
      <c r="AC125" t="n">
        <v>50</v>
      </c>
      <c r="AD125" t="n">
        <v>1</v>
      </c>
      <c r="AE125" t="n">
        <v>8000</v>
      </c>
      <c r="AF125" t="n">
        <v>30</v>
      </c>
      <c r="AG125" t="n">
        <v>1</v>
      </c>
    </row>
    <row r="126" ht="38.25" customHeight="1" s="142">
      <c r="A126" t="n">
        <v>1020</v>
      </c>
      <c r="B126" t="inlineStr">
        <is>
          <t>main</t>
        </is>
      </c>
      <c r="C126" t="n">
        <v>1</v>
      </c>
      <c r="D126" t="inlineStr">
        <is>
          <t>1-21</t>
        </is>
      </c>
      <c r="E126" t="n">
        <v>11</v>
      </c>
      <c r="G126" s="90" t="inlineStr">
        <is>
          <t>{role:-1},
{id:-1},{id:-1},{id:-1},{id:-1},{id:-1}
{id:40002},{id:40004},{id:40002},{id:40005},{id:40001}</t>
        </is>
      </c>
      <c r="I126" t="n">
        <v>3720</v>
      </c>
      <c r="J126" s="80" t="inlineStr">
        <is>
          <t>天氣變化</t>
        </is>
      </c>
      <c r="K126" t="inlineStr">
        <is>
          <t>buff</t>
        </is>
      </c>
      <c r="L126" t="n">
        <v>9002</v>
      </c>
      <c r="M126" t="inlineStr">
        <is>
          <t>6,9,10</t>
        </is>
      </c>
      <c r="O126" t="n">
        <v>0.3</v>
      </c>
      <c r="P126" s="80" t="inlineStr">
        <is>
          <t>場地變化</t>
        </is>
      </c>
      <c r="Q126" t="inlineStr">
        <is>
          <t>debuff</t>
        </is>
      </c>
      <c r="R126" t="n">
        <v>9012</v>
      </c>
      <c r="S126" t="inlineStr">
        <is>
          <t>1,8,9</t>
        </is>
      </c>
      <c r="U126" t="n">
        <v>0.7</v>
      </c>
      <c r="V126" t="n">
        <v>70001</v>
      </c>
      <c r="W126" t="n">
        <v>1</v>
      </c>
      <c r="X126" t="n">
        <v>1</v>
      </c>
      <c r="Y126" t="n">
        <v>70002</v>
      </c>
      <c r="Z126" t="n">
        <v>1</v>
      </c>
      <c r="AA126" t="n">
        <v>1</v>
      </c>
      <c r="AB126" t="n">
        <v>1001</v>
      </c>
      <c r="AC126" t="n">
        <v>50</v>
      </c>
      <c r="AD126" t="n">
        <v>1</v>
      </c>
      <c r="AE126" t="n">
        <v>8000</v>
      </c>
      <c r="AF126" t="n">
        <v>30</v>
      </c>
      <c r="AG126" t="n">
        <v>1</v>
      </c>
    </row>
    <row r="127" ht="38.25" customHeight="1" s="142">
      <c r="A127" t="n">
        <v>1021</v>
      </c>
      <c r="B127" t="inlineStr">
        <is>
          <t>main</t>
        </is>
      </c>
      <c r="C127" t="n">
        <v>1</v>
      </c>
      <c r="D127" t="inlineStr">
        <is>
          <t>1-22</t>
        </is>
      </c>
      <c r="E127" t="n">
        <v>11</v>
      </c>
      <c r="G127" s="90" t="inlineStr">
        <is>
          <t>{role:-1},
{id:-1},{id:-1},{id:-1},{id:-1},{id:-1}
{id:40005},{id:40001},{id:40003},{id:40001},{id:40002}</t>
        </is>
      </c>
      <c r="I127" t="n">
        <v>3845</v>
      </c>
      <c r="J127" s="80" t="inlineStr">
        <is>
          <t>天氣變化</t>
        </is>
      </c>
      <c r="K127" t="inlineStr">
        <is>
          <t>buff</t>
        </is>
      </c>
      <c r="L127" t="n">
        <v>9012</v>
      </c>
      <c r="M127" t="inlineStr">
        <is>
          <t>1,10,13</t>
        </is>
      </c>
      <c r="O127" t="n">
        <v>0.9</v>
      </c>
      <c r="P127" s="80" t="inlineStr">
        <is>
          <t>場地變化</t>
        </is>
      </c>
      <c r="Q127" t="inlineStr">
        <is>
          <t>debuff</t>
        </is>
      </c>
      <c r="R127" t="n">
        <v>9010</v>
      </c>
      <c r="S127" t="inlineStr">
        <is>
          <t>6,10</t>
        </is>
      </c>
      <c r="U127" t="n">
        <v>0.7</v>
      </c>
      <c r="V127" t="n">
        <v>70001</v>
      </c>
      <c r="W127" t="n">
        <v>1</v>
      </c>
      <c r="X127" t="n">
        <v>1</v>
      </c>
      <c r="Y127" t="n">
        <v>70002</v>
      </c>
      <c r="Z127" t="n">
        <v>1</v>
      </c>
      <c r="AA127" t="n">
        <v>1</v>
      </c>
      <c r="AB127" t="n">
        <v>1001</v>
      </c>
      <c r="AC127" t="n">
        <v>50</v>
      </c>
      <c r="AD127" t="n">
        <v>1</v>
      </c>
      <c r="AE127" t="n">
        <v>8000</v>
      </c>
      <c r="AF127" t="n">
        <v>30</v>
      </c>
      <c r="AG127" t="n">
        <v>1</v>
      </c>
    </row>
    <row r="128" ht="38.25" customHeight="1" s="142">
      <c r="A128" t="n">
        <v>1022</v>
      </c>
      <c r="B128" t="inlineStr">
        <is>
          <t>main</t>
        </is>
      </c>
      <c r="C128" t="n">
        <v>1</v>
      </c>
      <c r="D128" t="inlineStr">
        <is>
          <t>1-23</t>
        </is>
      </c>
      <c r="E128" t="n">
        <v>12</v>
      </c>
      <c r="G128" s="90" t="inlineStr">
        <is>
          <t>{role:-1},
{id:-1},{id:-1},{id:-1},{id:-1},{id:-1}
{id:40001},{id:40002},{id:40005},{id:40005},{id:40002}</t>
        </is>
      </c>
      <c r="I128" t="n">
        <v>3970</v>
      </c>
      <c r="J128" s="80" t="inlineStr">
        <is>
          <t>天氣變化</t>
        </is>
      </c>
      <c r="K128" t="inlineStr">
        <is>
          <t>buff</t>
        </is>
      </c>
      <c r="L128" t="n">
        <v>9006</v>
      </c>
      <c r="M128" t="inlineStr">
        <is>
          <t>2,13</t>
        </is>
      </c>
      <c r="O128" t="n">
        <v>0.2</v>
      </c>
      <c r="P128" s="80" t="inlineStr">
        <is>
          <t>場地變化</t>
        </is>
      </c>
      <c r="Q128" t="inlineStr">
        <is>
          <t>debuff</t>
        </is>
      </c>
      <c r="R128" t="n">
        <v>9010</v>
      </c>
      <c r="S128" t="inlineStr">
        <is>
          <t>5,8,11</t>
        </is>
      </c>
      <c r="U128" t="n">
        <v>0.9</v>
      </c>
      <c r="V128" t="n">
        <v>70001</v>
      </c>
      <c r="W128" t="n">
        <v>1</v>
      </c>
      <c r="X128" t="n">
        <v>1</v>
      </c>
      <c r="Y128" t="n">
        <v>70002</v>
      </c>
      <c r="Z128" t="n">
        <v>1</v>
      </c>
      <c r="AA128" t="n">
        <v>1</v>
      </c>
      <c r="AB128" t="n">
        <v>1001</v>
      </c>
      <c r="AC128" t="n">
        <v>50</v>
      </c>
      <c r="AD128" t="n">
        <v>1</v>
      </c>
      <c r="AE128" t="n">
        <v>8000</v>
      </c>
      <c r="AF128" t="n">
        <v>40</v>
      </c>
      <c r="AG128" t="n">
        <v>1</v>
      </c>
    </row>
    <row r="129" ht="42.75" customHeight="1" s="142">
      <c r="A129" s="7" t="n">
        <v>1023</v>
      </c>
      <c r="B129" s="7" t="inlineStr">
        <is>
          <t>main</t>
        </is>
      </c>
      <c r="C129" s="7" t="n">
        <v>1</v>
      </c>
      <c r="D129" s="7" t="inlineStr">
        <is>
          <t>1-24</t>
        </is>
      </c>
      <c r="E129" s="7" t="n">
        <v>12</v>
      </c>
      <c r="F129" s="7" t="n"/>
      <c r="G129" s="82" t="inlineStr">
        <is>
          <t>{role:-1},
{id:-1},{id:-1},{id:-1},{id:-1},{id:-1}
{id:40002},{id:40001},{id:40004},{id:40005},{id:40005}</t>
        </is>
      </c>
      <c r="H129" s="7" t="n"/>
      <c r="I129" s="7" t="n">
        <v>4095</v>
      </c>
      <c r="J129" s="138" t="inlineStr">
        <is>
          <t>天氣變化</t>
        </is>
      </c>
      <c r="K129" s="7" t="inlineStr">
        <is>
          <t>buff</t>
        </is>
      </c>
      <c r="L129" s="7" t="n">
        <v>9007</v>
      </c>
      <c r="M129" s="7" t="n">
        <v>6</v>
      </c>
      <c r="N129" s="7" t="n"/>
      <c r="O129" s="7" t="n">
        <v>0.1</v>
      </c>
      <c r="P129" s="138" t="inlineStr">
        <is>
          <t>場地變化</t>
        </is>
      </c>
      <c r="Q129" s="7" t="inlineStr">
        <is>
          <t>debuff</t>
        </is>
      </c>
      <c r="R129" s="7" t="n">
        <v>9011</v>
      </c>
      <c r="S129" s="7" t="inlineStr">
        <is>
          <t>5,11</t>
        </is>
      </c>
      <c r="T129" s="7" t="n"/>
      <c r="U129" s="7" t="n">
        <v>0.9</v>
      </c>
      <c r="V129" s="7" t="n">
        <v>70001</v>
      </c>
      <c r="W129" s="7" t="n">
        <v>1</v>
      </c>
      <c r="X129" s="7" t="n">
        <v>1</v>
      </c>
      <c r="Y129" s="7" t="n">
        <v>70002</v>
      </c>
      <c r="Z129" s="7" t="n">
        <v>1</v>
      </c>
      <c r="AA129" s="7" t="n">
        <v>1</v>
      </c>
      <c r="AB129" t="n">
        <v>1001</v>
      </c>
      <c r="AC129" t="n">
        <v>50</v>
      </c>
      <c r="AD129" t="n">
        <v>1</v>
      </c>
      <c r="AE129" t="n">
        <v>8000</v>
      </c>
      <c r="AF129" t="n">
        <v>40</v>
      </c>
      <c r="AG129" t="n">
        <v>1</v>
      </c>
    </row>
    <row r="130" ht="47.25" customHeight="1" s="142">
      <c r="A130" s="7" t="n">
        <v>1024</v>
      </c>
      <c r="B130" s="7" t="inlineStr">
        <is>
          <t>main</t>
        </is>
      </c>
      <c r="C130" s="7" t="n">
        <v>1</v>
      </c>
      <c r="D130" s="7" t="inlineStr">
        <is>
          <t>1-25</t>
        </is>
      </c>
      <c r="E130" t="n">
        <v>13</v>
      </c>
      <c r="F130" s="87" t="n"/>
      <c r="G130" s="88" t="inlineStr">
        <is>
          <t>{role:-1},
{id:-1},{id:-1},{id:-1},{id:-1},{id:-1}
{id:40003},{id:40004},{id:40005},{id:40001},{id:40001}</t>
        </is>
      </c>
      <c r="H130" s="47" t="n"/>
      <c r="I130" s="47" t="n">
        <v>4220</v>
      </c>
      <c r="J130" s="80" t="inlineStr">
        <is>
          <t>天氣變化</t>
        </is>
      </c>
      <c r="K130" s="47" t="inlineStr">
        <is>
          <t>buff</t>
        </is>
      </c>
      <c r="L130" s="47" t="n">
        <v>9011</v>
      </c>
      <c r="M130" s="47" t="n">
        <v>13</v>
      </c>
      <c r="N130" s="47" t="n"/>
      <c r="O130" s="47" t="n">
        <v>0.8</v>
      </c>
      <c r="P130" s="83" t="inlineStr">
        <is>
          <t>場地變化</t>
        </is>
      </c>
      <c r="Q130" s="47" t="inlineStr">
        <is>
          <t>debuff</t>
        </is>
      </c>
      <c r="R130" s="47" t="n">
        <v>9003</v>
      </c>
      <c r="S130" s="47" t="inlineStr">
        <is>
          <t>8,12,13</t>
        </is>
      </c>
      <c r="T130" s="47" t="n"/>
      <c r="U130" s="47" t="n">
        <v>0.9</v>
      </c>
      <c r="V130" s="135" t="n">
        <v>70001</v>
      </c>
      <c r="W130" s="7" t="n">
        <v>1</v>
      </c>
      <c r="X130" t="n">
        <v>1</v>
      </c>
      <c r="Y130" t="n">
        <v>70002</v>
      </c>
      <c r="Z130" t="n">
        <v>1</v>
      </c>
      <c r="AA130" t="n">
        <v>1</v>
      </c>
      <c r="AB130" t="n">
        <v>1001</v>
      </c>
      <c r="AC130" t="n">
        <v>50</v>
      </c>
      <c r="AD130" t="n">
        <v>1</v>
      </c>
      <c r="AE130" t="n">
        <v>8000</v>
      </c>
      <c r="AF130" t="n">
        <v>40</v>
      </c>
      <c r="AG130" t="n">
        <v>1</v>
      </c>
    </row>
    <row r="131" ht="47.25" customHeight="1" s="142">
      <c r="A131" s="7" t="n">
        <v>1025</v>
      </c>
      <c r="B131" s="7" t="inlineStr">
        <is>
          <t>main</t>
        </is>
      </c>
      <c r="C131" s="7" t="n">
        <v>1</v>
      </c>
      <c r="D131" s="7" t="inlineStr">
        <is>
          <t>1-26</t>
        </is>
      </c>
      <c r="E131" t="n">
        <v>13</v>
      </c>
      <c r="F131" s="101" t="n"/>
      <c r="G131" s="102" t="inlineStr">
        <is>
          <t>{role:-1},
{id:-1},{id:-1},{id:-1},{id:-1},{id:-1}
{id:40002},{id:40001},{id:40005},{id:40004},{id:40004}</t>
        </is>
      </c>
      <c r="H131" s="47" t="n"/>
      <c r="I131" s="47" t="n">
        <v>4345</v>
      </c>
      <c r="J131" s="83" t="inlineStr">
        <is>
          <t>天氣變化</t>
        </is>
      </c>
      <c r="K131" s="47" t="inlineStr">
        <is>
          <t>buff</t>
        </is>
      </c>
      <c r="L131" s="47" t="n">
        <v>9012</v>
      </c>
      <c r="M131" s="47" t="n">
        <v>11</v>
      </c>
      <c r="N131" s="47" t="n"/>
      <c r="O131" s="47" t="n">
        <v>0.8</v>
      </c>
      <c r="P131" s="83" t="inlineStr">
        <is>
          <t>場地變化</t>
        </is>
      </c>
      <c r="Q131" s="47" t="inlineStr">
        <is>
          <t>debuff</t>
        </is>
      </c>
      <c r="R131" s="47" t="n">
        <v>9010</v>
      </c>
      <c r="S131" s="47" t="inlineStr">
        <is>
          <t>7,8,12</t>
        </is>
      </c>
      <c r="T131" s="47" t="n"/>
      <c r="U131" s="47" t="n">
        <v>0.8</v>
      </c>
      <c r="V131" s="135" t="n">
        <v>70001</v>
      </c>
      <c r="W131" s="7" t="n">
        <v>1</v>
      </c>
      <c r="X131" t="n">
        <v>1</v>
      </c>
      <c r="Y131" t="n">
        <v>70002</v>
      </c>
      <c r="Z131" t="n">
        <v>1</v>
      </c>
      <c r="AA131" t="n">
        <v>1</v>
      </c>
      <c r="AB131" t="n">
        <v>1001</v>
      </c>
      <c r="AC131" t="n">
        <v>50</v>
      </c>
      <c r="AD131" t="n">
        <v>1</v>
      </c>
      <c r="AE131" t="n">
        <v>8000</v>
      </c>
      <c r="AF131" t="n">
        <v>40</v>
      </c>
      <c r="AG131" t="n">
        <v>1</v>
      </c>
    </row>
    <row r="132" ht="47.25" customHeight="1" s="142">
      <c r="A132" s="7" t="n">
        <v>1026</v>
      </c>
      <c r="B132" s="7" t="inlineStr">
        <is>
          <t>main</t>
        </is>
      </c>
      <c r="C132" s="7" t="n">
        <v>1</v>
      </c>
      <c r="D132" s="7" t="inlineStr">
        <is>
          <t>1-27</t>
        </is>
      </c>
      <c r="E132" t="n">
        <v>14</v>
      </c>
      <c r="F132" s="96" t="n"/>
      <c r="G132" s="97" t="inlineStr">
        <is>
          <t>{role:-1},
{id:-1},{id:-1},{id:-1},{id:-1},{id:-1}
{id:40004},{id:40004},{id:40004},{id:40004},{id:40005}</t>
        </is>
      </c>
      <c r="H132" s="47" t="n"/>
      <c r="I132" s="47" t="n">
        <v>4470</v>
      </c>
      <c r="J132" s="83" t="inlineStr">
        <is>
          <t>天氣變化</t>
        </is>
      </c>
      <c r="K132" s="47" t="inlineStr">
        <is>
          <t>buff</t>
        </is>
      </c>
      <c r="L132" s="47" t="n">
        <v>9012</v>
      </c>
      <c r="M132" s="47" t="n">
        <v>7</v>
      </c>
      <c r="N132" s="47" t="n"/>
      <c r="O132" s="47" t="n">
        <v>0.9</v>
      </c>
      <c r="P132" s="83" t="inlineStr">
        <is>
          <t>場地變化</t>
        </is>
      </c>
      <c r="Q132" s="47" t="inlineStr">
        <is>
          <t>debuff</t>
        </is>
      </c>
      <c r="R132" s="47" t="n">
        <v>9007</v>
      </c>
      <c r="S132" s="47" t="inlineStr">
        <is>
          <t>1,9,11</t>
        </is>
      </c>
      <c r="T132" s="47" t="n"/>
      <c r="U132" s="47" t="n">
        <v>0.5</v>
      </c>
      <c r="V132" s="135" t="n">
        <v>70001</v>
      </c>
      <c r="W132" s="7" t="n">
        <v>1</v>
      </c>
      <c r="X132" t="n">
        <v>1</v>
      </c>
      <c r="Y132" t="n">
        <v>70002</v>
      </c>
      <c r="Z132" t="n">
        <v>1</v>
      </c>
      <c r="AA132" t="n">
        <v>1</v>
      </c>
      <c r="AB132" t="n">
        <v>1001</v>
      </c>
      <c r="AC132" t="n">
        <v>50</v>
      </c>
      <c r="AD132" t="n">
        <v>1</v>
      </c>
      <c r="AE132" t="n">
        <v>8000</v>
      </c>
      <c r="AF132" t="n">
        <v>50</v>
      </c>
      <c r="AG132" t="n">
        <v>1</v>
      </c>
    </row>
    <row r="133" ht="47.25" customHeight="1" s="142">
      <c r="A133" s="7" t="n">
        <v>1027</v>
      </c>
      <c r="B133" s="7" t="inlineStr">
        <is>
          <t>main</t>
        </is>
      </c>
      <c r="C133" s="7" t="n">
        <v>1</v>
      </c>
      <c r="D133" s="7" t="inlineStr">
        <is>
          <t>1-28</t>
        </is>
      </c>
      <c r="E133" t="n">
        <v>14</v>
      </c>
      <c r="F133" s="87" t="n"/>
      <c r="G133" s="88" t="inlineStr">
        <is>
          <t>{role:-1},
{id:-1},{id:-1},{id:-1},{id:-1},{id:-1}
{id:40003},{id:40003},{id:40005},{id:40001},{id:40005}</t>
        </is>
      </c>
      <c r="H133" s="47" t="n"/>
      <c r="I133" s="47" t="n">
        <v>4595</v>
      </c>
      <c r="J133" s="83" t="inlineStr">
        <is>
          <t>天氣變化</t>
        </is>
      </c>
      <c r="K133" s="47" t="inlineStr">
        <is>
          <t>buff</t>
        </is>
      </c>
      <c r="L133" s="47" t="n">
        <v>9005</v>
      </c>
      <c r="M133" s="47" t="n">
        <v>12</v>
      </c>
      <c r="N133" s="47" t="n"/>
      <c r="O133" s="47" t="n">
        <v>0.6</v>
      </c>
      <c r="P133" s="83" t="inlineStr">
        <is>
          <t>場地變化</t>
        </is>
      </c>
      <c r="Q133" s="47" t="inlineStr">
        <is>
          <t>debuff</t>
        </is>
      </c>
      <c r="R133" s="47" t="n">
        <v>9004</v>
      </c>
      <c r="S133" s="47" t="n">
        <v>4</v>
      </c>
      <c r="T133" s="47" t="n"/>
      <c r="U133" s="47" t="n">
        <v>0.1</v>
      </c>
      <c r="V133" s="135" t="n">
        <v>70001</v>
      </c>
      <c r="W133" s="7" t="n">
        <v>1</v>
      </c>
      <c r="X133" t="n">
        <v>1</v>
      </c>
      <c r="Y133" t="n">
        <v>70002</v>
      </c>
      <c r="Z133" t="n">
        <v>1</v>
      </c>
      <c r="AA133" t="n">
        <v>1</v>
      </c>
      <c r="AB133" t="n">
        <v>1001</v>
      </c>
      <c r="AC133" t="n">
        <v>50</v>
      </c>
      <c r="AD133" t="n">
        <v>1</v>
      </c>
      <c r="AE133" t="n">
        <v>8000</v>
      </c>
      <c r="AF133" t="n">
        <v>50</v>
      </c>
      <c r="AG133" t="n">
        <v>1</v>
      </c>
    </row>
    <row r="134" ht="47.25" customHeight="1" s="142">
      <c r="A134" s="7" t="n">
        <v>1028</v>
      </c>
      <c r="B134" s="7" t="inlineStr">
        <is>
          <t>main</t>
        </is>
      </c>
      <c r="C134" s="7" t="n">
        <v>1</v>
      </c>
      <c r="D134" s="7" t="inlineStr">
        <is>
          <t>1-29</t>
        </is>
      </c>
      <c r="E134" t="n">
        <v>15</v>
      </c>
      <c r="F134" s="87" t="n"/>
      <c r="G134" s="88" t="inlineStr">
        <is>
          <t>{role:-1},
{id:-1},{id:-1},{id:-1},{id:-1},{id:-1}
{id:40005},{id:40002},{id:40004},{id:40005},{id:40003}</t>
        </is>
      </c>
      <c r="H134" s="47" t="n"/>
      <c r="I134" s="47" t="n">
        <v>4720</v>
      </c>
      <c r="J134" s="80" t="inlineStr">
        <is>
          <t>天氣變化</t>
        </is>
      </c>
      <c r="K134" s="47" t="inlineStr">
        <is>
          <t>buff</t>
        </is>
      </c>
      <c r="L134" s="47" t="n">
        <v>9002</v>
      </c>
      <c r="M134" s="47" t="inlineStr">
        <is>
          <t>6,12</t>
        </is>
      </c>
      <c r="N134" s="47" t="n"/>
      <c r="O134" s="47" t="n">
        <v>0.2</v>
      </c>
      <c r="P134" s="83" t="inlineStr">
        <is>
          <t>場地變化</t>
        </is>
      </c>
      <c r="Q134" s="47" t="inlineStr">
        <is>
          <t>debuff</t>
        </is>
      </c>
      <c r="R134" s="47" t="n">
        <v>9004</v>
      </c>
      <c r="S134" s="47" t="inlineStr">
        <is>
          <t>1,2,10</t>
        </is>
      </c>
      <c r="T134" s="47" t="n"/>
      <c r="U134" s="47" t="n">
        <v>0.2</v>
      </c>
      <c r="V134" s="135" t="n">
        <v>70001</v>
      </c>
      <c r="W134" s="7" t="n">
        <v>1</v>
      </c>
      <c r="X134" t="n">
        <v>1</v>
      </c>
      <c r="Y134" t="n">
        <v>70002</v>
      </c>
      <c r="Z134" t="n">
        <v>1</v>
      </c>
      <c r="AA134" t="n">
        <v>1</v>
      </c>
      <c r="AB134" t="n">
        <v>1001</v>
      </c>
      <c r="AC134" t="n">
        <v>50</v>
      </c>
      <c r="AD134" t="n">
        <v>1</v>
      </c>
      <c r="AE134" t="n">
        <v>8000</v>
      </c>
      <c r="AF134" t="n">
        <v>50</v>
      </c>
      <c r="AG134" t="n">
        <v>1</v>
      </c>
    </row>
    <row r="135" ht="47.25" customHeight="1" s="142">
      <c r="A135" s="7" t="n">
        <v>1029</v>
      </c>
      <c r="B135" s="7" t="inlineStr">
        <is>
          <t>main</t>
        </is>
      </c>
      <c r="C135" s="7" t="n">
        <v>1</v>
      </c>
      <c r="D135" s="7" t="inlineStr">
        <is>
          <t>1-30</t>
        </is>
      </c>
      <c r="E135" t="n">
        <v>15</v>
      </c>
      <c r="F135" s="101" t="n"/>
      <c r="G135" s="102" t="inlineStr">
        <is>
          <t>{role:-1},
{id:-1},{id:-1},{id:-1},{id:-1},{id:-1}
{id:50001},{id:40003},{id:40002},{id:40001},{id:40005}</t>
        </is>
      </c>
      <c r="H135" s="47" t="n"/>
      <c r="I135" s="47" t="n">
        <v>4845</v>
      </c>
      <c r="J135" s="83" t="inlineStr">
        <is>
          <t>天氣變化</t>
        </is>
      </c>
      <c r="K135" s="47" t="inlineStr">
        <is>
          <t>buff</t>
        </is>
      </c>
      <c r="L135" s="47" t="n">
        <v>9008</v>
      </c>
      <c r="M135" s="47" t="inlineStr">
        <is>
          <t>7,13</t>
        </is>
      </c>
      <c r="N135" s="47" t="n"/>
      <c r="O135" s="47" t="n">
        <v>0.8</v>
      </c>
      <c r="P135" s="83" t="inlineStr">
        <is>
          <t>場地變化</t>
        </is>
      </c>
      <c r="Q135" s="47" t="inlineStr">
        <is>
          <t>debuff</t>
        </is>
      </c>
      <c r="R135" s="47" t="n">
        <v>9010</v>
      </c>
      <c r="S135" s="47" t="n">
        <v>2</v>
      </c>
      <c r="T135" s="47" t="n"/>
      <c r="U135" s="47" t="n">
        <v>0.4</v>
      </c>
      <c r="V135" s="135" t="n">
        <v>70001</v>
      </c>
      <c r="W135" s="7" t="n">
        <v>1</v>
      </c>
      <c r="X135" t="n">
        <v>1</v>
      </c>
      <c r="Y135" t="n">
        <v>70002</v>
      </c>
      <c r="Z135" t="n">
        <v>1</v>
      </c>
      <c r="AA135" t="n">
        <v>1</v>
      </c>
      <c r="AB135" t="n">
        <v>1001</v>
      </c>
      <c r="AC135" t="n">
        <v>50</v>
      </c>
      <c r="AD135" t="n">
        <v>1</v>
      </c>
      <c r="AE135" t="n">
        <v>8000</v>
      </c>
      <c r="AF135" t="n">
        <v>50</v>
      </c>
      <c r="AG135" t="n">
        <v>1</v>
      </c>
    </row>
    <row r="136" ht="47.25" customHeight="1" s="142">
      <c r="A136" s="7" t="n">
        <v>1030</v>
      </c>
      <c r="B136" s="7" t="inlineStr">
        <is>
          <t>main</t>
        </is>
      </c>
      <c r="C136" s="7" t="n">
        <v>2</v>
      </c>
      <c r="D136" s="7" t="inlineStr">
        <is>
          <t>2-1</t>
        </is>
      </c>
      <c r="E136" t="n">
        <v>16</v>
      </c>
      <c r="F136" s="96" t="n"/>
      <c r="G136" s="97" t="inlineStr">
        <is>
          <t>{role:-1},
{id:-1},{id:-1},{id:-1},{id:-1},{id:-1}
{id:40016},{id:40016}</t>
        </is>
      </c>
      <c r="H136" s="47" t="n"/>
      <c r="I136" s="47" t="n">
        <v>4970</v>
      </c>
      <c r="J136" s="83" t="inlineStr">
        <is>
          <t>突發狀況</t>
        </is>
      </c>
      <c r="K136" s="47" t="inlineStr">
        <is>
          <t>buff</t>
        </is>
      </c>
      <c r="L136" s="47" t="n">
        <v>9011</v>
      </c>
      <c r="M136" s="47" t="n">
        <v>3</v>
      </c>
      <c r="N136" s="47" t="n"/>
      <c r="O136" s="47" t="n">
        <v>0.7</v>
      </c>
      <c r="P136" s="83" t="inlineStr">
        <is>
          <t>場地變化</t>
        </is>
      </c>
      <c r="Q136" s="47" t="inlineStr">
        <is>
          <t>debuff</t>
        </is>
      </c>
      <c r="R136" s="47" t="n">
        <v>9004</v>
      </c>
      <c r="S136" s="47" t="inlineStr">
        <is>
          <t>3,8</t>
        </is>
      </c>
      <c r="T136" s="47" t="n"/>
      <c r="U136" s="47" t="n">
        <v>0.7</v>
      </c>
      <c r="V136" s="135" t="n">
        <v>70001</v>
      </c>
      <c r="W136" s="7" t="n">
        <v>1</v>
      </c>
      <c r="X136" t="n">
        <v>1</v>
      </c>
      <c r="Y136" t="n">
        <v>70002</v>
      </c>
      <c r="Z136" t="n">
        <v>1</v>
      </c>
      <c r="AA136" t="n">
        <v>1</v>
      </c>
      <c r="AB136" t="n">
        <v>1001</v>
      </c>
      <c r="AC136" t="n">
        <v>50</v>
      </c>
      <c r="AD136" t="n">
        <v>1</v>
      </c>
      <c r="AE136" t="n">
        <v>8000</v>
      </c>
      <c r="AF136" t="n">
        <v>50</v>
      </c>
      <c r="AG136" t="n">
        <v>1</v>
      </c>
    </row>
    <row r="137" ht="47.25" customHeight="1" s="142">
      <c r="A137" s="7" t="n">
        <v>1031</v>
      </c>
      <c r="B137" s="7" t="inlineStr">
        <is>
          <t>main</t>
        </is>
      </c>
      <c r="C137" s="7" t="n">
        <v>2</v>
      </c>
      <c r="D137" s="7" t="inlineStr">
        <is>
          <t>2-2</t>
        </is>
      </c>
      <c r="E137" t="n">
        <v>16</v>
      </c>
      <c r="F137" s="87" t="n"/>
      <c r="G137" s="88" t="inlineStr">
        <is>
          <t>{role:-1},
{id:-1},{id:-1},{id:-1},{id:-1},{id:-1}
{id:40015},{id:40016}</t>
        </is>
      </c>
      <c r="H137" s="47" t="n"/>
      <c r="I137" s="47" t="n">
        <v>5095</v>
      </c>
      <c r="J137" s="83" t="inlineStr">
        <is>
          <t>突發狀況</t>
        </is>
      </c>
      <c r="K137" s="47" t="inlineStr">
        <is>
          <t>buff</t>
        </is>
      </c>
      <c r="L137" s="47" t="n">
        <v>9001</v>
      </c>
      <c r="M137" s="47" t="n">
        <v>13</v>
      </c>
      <c r="N137" s="47" t="n"/>
      <c r="O137" s="47" t="n">
        <v>0.1</v>
      </c>
      <c r="P137" s="83" t="inlineStr">
        <is>
          <t>場地變化</t>
        </is>
      </c>
      <c r="Q137" s="47" t="inlineStr">
        <is>
          <t>debuff</t>
        </is>
      </c>
      <c r="R137" s="47" t="n">
        <v>9004</v>
      </c>
      <c r="S137" s="47" t="n">
        <v>7</v>
      </c>
      <c r="T137" s="47" t="n"/>
      <c r="U137" s="47" t="n">
        <v>0.6</v>
      </c>
      <c r="V137" s="135" t="n">
        <v>70001</v>
      </c>
      <c r="W137" s="7" t="n">
        <v>1</v>
      </c>
      <c r="X137" t="n">
        <v>1</v>
      </c>
      <c r="Y137" t="n">
        <v>70002</v>
      </c>
      <c r="Z137" t="n">
        <v>1</v>
      </c>
      <c r="AA137" t="n">
        <v>1</v>
      </c>
      <c r="AB137" t="n">
        <v>1001</v>
      </c>
      <c r="AC137" t="n">
        <v>50</v>
      </c>
      <c r="AD137" t="n">
        <v>1</v>
      </c>
      <c r="AE137" t="n">
        <v>8000</v>
      </c>
      <c r="AF137" t="n">
        <v>60</v>
      </c>
      <c r="AG137" t="n">
        <v>1</v>
      </c>
    </row>
    <row r="138" ht="47.25" customHeight="1" s="142">
      <c r="A138" s="7" t="n">
        <v>1032</v>
      </c>
      <c r="B138" s="7" t="inlineStr">
        <is>
          <t>main</t>
        </is>
      </c>
      <c r="C138" s="7" t="n">
        <v>2</v>
      </c>
      <c r="D138" s="7" t="inlineStr">
        <is>
          <t>2-3</t>
        </is>
      </c>
      <c r="E138" t="n">
        <v>17</v>
      </c>
      <c r="F138" s="87" t="n"/>
      <c r="G138" s="88" t="inlineStr">
        <is>
          <t>{role:-1},
{id:-1},{id:-1},{id:-1},{id:-1},{id:-1}
{id:40014},{id:40016}</t>
        </is>
      </c>
      <c r="H138" s="47" t="n"/>
      <c r="I138" s="47" t="n">
        <v>5220</v>
      </c>
      <c r="J138" s="80" t="inlineStr">
        <is>
          <t>突發狀況</t>
        </is>
      </c>
      <c r="K138" s="47" t="inlineStr">
        <is>
          <t>buff</t>
        </is>
      </c>
      <c r="L138" s="47" t="n">
        <v>9005</v>
      </c>
      <c r="M138" s="47" t="inlineStr">
        <is>
          <t>11,13</t>
        </is>
      </c>
      <c r="N138" s="47" t="n"/>
      <c r="O138" s="47" t="n">
        <v>0.9</v>
      </c>
      <c r="P138" s="83" t="inlineStr">
        <is>
          <t>場地變化</t>
        </is>
      </c>
      <c r="Q138" s="47" t="inlineStr">
        <is>
          <t>debuff</t>
        </is>
      </c>
      <c r="R138" s="47" t="n">
        <v>9007</v>
      </c>
      <c r="S138" s="47" t="inlineStr">
        <is>
          <t>2,5,9</t>
        </is>
      </c>
      <c r="T138" s="47" t="n"/>
      <c r="U138" s="47" t="n">
        <v>0.7</v>
      </c>
      <c r="V138" s="135" t="n">
        <v>70001</v>
      </c>
      <c r="W138" s="7" t="n">
        <v>1</v>
      </c>
      <c r="X138" t="n">
        <v>1</v>
      </c>
      <c r="Y138" t="n">
        <v>70002</v>
      </c>
      <c r="Z138" t="n">
        <v>1</v>
      </c>
      <c r="AA138" t="n">
        <v>1</v>
      </c>
      <c r="AB138" t="n">
        <v>1001</v>
      </c>
      <c r="AC138" t="n">
        <v>50</v>
      </c>
      <c r="AD138" t="n">
        <v>1</v>
      </c>
      <c r="AE138" t="n">
        <v>8000</v>
      </c>
      <c r="AF138" t="n">
        <v>60</v>
      </c>
      <c r="AG138" t="n">
        <v>1</v>
      </c>
    </row>
    <row r="139" ht="47.25" customHeight="1" s="142">
      <c r="A139" s="7" t="n">
        <v>1033</v>
      </c>
      <c r="B139" s="7" t="inlineStr">
        <is>
          <t>main</t>
        </is>
      </c>
      <c r="C139" s="7" t="n">
        <v>2</v>
      </c>
      <c r="D139" s="7" t="inlineStr">
        <is>
          <t>2-4</t>
        </is>
      </c>
      <c r="E139" t="n">
        <v>17</v>
      </c>
      <c r="F139" s="101" t="n"/>
      <c r="G139" s="102" t="inlineStr">
        <is>
          <t>{role:-1},
{id:-1},{id:-1},{id:-1},{id:-1},{id:-1}
{id:40015},{id:40016},{id:40013}</t>
        </is>
      </c>
      <c r="H139" s="47" t="n"/>
      <c r="I139" s="47" t="n">
        <v>5345</v>
      </c>
      <c r="J139" s="83" t="inlineStr">
        <is>
          <t>突發狀況</t>
        </is>
      </c>
      <c r="K139" s="47" t="inlineStr">
        <is>
          <t>buff</t>
        </is>
      </c>
      <c r="L139" s="47" t="n">
        <v>9002</v>
      </c>
      <c r="M139" s="47" t="inlineStr">
        <is>
          <t>2,12</t>
        </is>
      </c>
      <c r="N139" s="47" t="n"/>
      <c r="O139" s="47" t="n">
        <v>0.9</v>
      </c>
      <c r="P139" s="83" t="inlineStr">
        <is>
          <t>場地變化</t>
        </is>
      </c>
      <c r="Q139" s="47" t="inlineStr">
        <is>
          <t>debuff</t>
        </is>
      </c>
      <c r="R139" s="47" t="n">
        <v>9003</v>
      </c>
      <c r="S139" s="47" t="inlineStr">
        <is>
          <t>2,6,7</t>
        </is>
      </c>
      <c r="T139" s="47" t="n"/>
      <c r="U139" s="47" t="n">
        <v>0.6</v>
      </c>
      <c r="V139" s="135" t="n">
        <v>70001</v>
      </c>
      <c r="W139" s="7" t="n">
        <v>1</v>
      </c>
      <c r="X139" t="n">
        <v>1</v>
      </c>
      <c r="Y139" t="n">
        <v>70002</v>
      </c>
      <c r="Z139" t="n">
        <v>1</v>
      </c>
      <c r="AA139" t="n">
        <v>1</v>
      </c>
      <c r="AB139" t="n">
        <v>1001</v>
      </c>
      <c r="AC139" t="n">
        <v>50</v>
      </c>
      <c r="AD139" t="n">
        <v>1</v>
      </c>
      <c r="AE139" t="n">
        <v>8000</v>
      </c>
      <c r="AF139" t="n">
        <v>60</v>
      </c>
      <c r="AG139" t="n">
        <v>1</v>
      </c>
    </row>
    <row r="140" ht="47.25" customHeight="1" s="142">
      <c r="A140" s="7" t="n">
        <v>1034</v>
      </c>
      <c r="B140" s="7" t="inlineStr">
        <is>
          <t>main</t>
        </is>
      </c>
      <c r="C140" s="7" t="n">
        <v>2</v>
      </c>
      <c r="D140" s="7" t="inlineStr">
        <is>
          <t>2-5</t>
        </is>
      </c>
      <c r="E140" t="n">
        <v>18</v>
      </c>
      <c r="F140" s="96" t="n"/>
      <c r="G140" s="97" t="inlineStr">
        <is>
          <t>{role:-1},
{id:-1},{id:-1},{id:-1},{id:-1},{id:-1}
{id:40014},{id:40016},{id:40015}</t>
        </is>
      </c>
      <c r="H140" s="47" t="n"/>
      <c r="I140" s="47" t="n">
        <v>5470</v>
      </c>
      <c r="J140" s="83" t="inlineStr">
        <is>
          <t>突發狀況</t>
        </is>
      </c>
      <c r="K140" s="47" t="inlineStr">
        <is>
          <t>buff</t>
        </is>
      </c>
      <c r="L140" s="47" t="n">
        <v>9002</v>
      </c>
      <c r="M140" s="47" t="n">
        <v>9</v>
      </c>
      <c r="N140" s="47" t="n"/>
      <c r="O140" s="47" t="n">
        <v>0.2</v>
      </c>
      <c r="P140" s="83" t="inlineStr">
        <is>
          <t>場地變化</t>
        </is>
      </c>
      <c r="Q140" s="47" t="inlineStr">
        <is>
          <t>debuff</t>
        </is>
      </c>
      <c r="R140" s="47" t="n">
        <v>9008</v>
      </c>
      <c r="S140" s="47" t="inlineStr">
        <is>
          <t>1,2,3</t>
        </is>
      </c>
      <c r="T140" s="47" t="n"/>
      <c r="U140" s="47" t="n">
        <v>0.5</v>
      </c>
      <c r="V140" s="135" t="n">
        <v>70001</v>
      </c>
      <c r="W140" s="7" t="n">
        <v>1</v>
      </c>
      <c r="X140" t="n">
        <v>1</v>
      </c>
      <c r="Y140" t="n">
        <v>70002</v>
      </c>
      <c r="Z140" t="n">
        <v>1</v>
      </c>
      <c r="AA140" t="n">
        <v>1</v>
      </c>
      <c r="AB140" t="n">
        <v>1001</v>
      </c>
      <c r="AC140" t="n">
        <v>50</v>
      </c>
      <c r="AD140" t="n">
        <v>1</v>
      </c>
      <c r="AE140" t="n">
        <v>8000</v>
      </c>
      <c r="AF140" t="n">
        <v>60</v>
      </c>
      <c r="AG140" t="n">
        <v>1</v>
      </c>
    </row>
    <row r="141" ht="47.25" customHeight="1" s="142">
      <c r="A141" s="7" t="n">
        <v>1035</v>
      </c>
      <c r="B141" s="7" t="inlineStr">
        <is>
          <t>main</t>
        </is>
      </c>
      <c r="C141" s="7" t="n">
        <v>2</v>
      </c>
      <c r="D141" s="7" t="inlineStr">
        <is>
          <t>2-6</t>
        </is>
      </c>
      <c r="E141" t="n">
        <v>18</v>
      </c>
      <c r="F141" s="87" t="n"/>
      <c r="G141" s="88" t="inlineStr">
        <is>
          <t>{role:-1},
{id:-1},{id:-1},{id:-1},{id:-1},{id:-1}
{id:40015},{id:40012},{id:40015}</t>
        </is>
      </c>
      <c r="H141" s="47" t="n"/>
      <c r="I141" s="47" t="n">
        <v>5595</v>
      </c>
      <c r="J141" s="83" t="inlineStr">
        <is>
          <t>突發狀況</t>
        </is>
      </c>
      <c r="K141" s="47" t="inlineStr">
        <is>
          <t>buff</t>
        </is>
      </c>
      <c r="L141" s="47" t="n">
        <v>9007</v>
      </c>
      <c r="M141" s="47" t="n">
        <v>1</v>
      </c>
      <c r="N141" s="47" t="n"/>
      <c r="O141" s="47" t="n">
        <v>0.7</v>
      </c>
      <c r="P141" s="83" t="inlineStr">
        <is>
          <t>場地變化</t>
        </is>
      </c>
      <c r="Q141" s="47" t="inlineStr">
        <is>
          <t>debuff</t>
        </is>
      </c>
      <c r="R141" s="47" t="n">
        <v>9012</v>
      </c>
      <c r="S141" s="47" t="n">
        <v>3</v>
      </c>
      <c r="T141" s="47" t="n"/>
      <c r="U141" s="47" t="n">
        <v>0.2</v>
      </c>
      <c r="V141" s="135" t="n">
        <v>70001</v>
      </c>
      <c r="W141" s="7" t="n">
        <v>1</v>
      </c>
      <c r="X141" t="n">
        <v>1</v>
      </c>
      <c r="Y141" t="n">
        <v>70002</v>
      </c>
      <c r="Z141" t="n">
        <v>1</v>
      </c>
      <c r="AA141" t="n">
        <v>1</v>
      </c>
      <c r="AB141" t="n">
        <v>1001</v>
      </c>
      <c r="AC141" t="n">
        <v>50</v>
      </c>
      <c r="AD141" t="n">
        <v>1</v>
      </c>
      <c r="AE141" t="n">
        <v>8000</v>
      </c>
      <c r="AF141" t="n">
        <v>70</v>
      </c>
      <c r="AG141" t="n">
        <v>1</v>
      </c>
    </row>
    <row r="142" ht="47.25" customHeight="1" s="142">
      <c r="A142" s="7" t="n">
        <v>1036</v>
      </c>
      <c r="B142" s="7" t="inlineStr">
        <is>
          <t>main</t>
        </is>
      </c>
      <c r="C142" s="7" t="n">
        <v>2</v>
      </c>
      <c r="D142" s="7" t="inlineStr">
        <is>
          <t>2-7</t>
        </is>
      </c>
      <c r="E142" t="n">
        <v>19</v>
      </c>
      <c r="F142" s="87" t="n"/>
      <c r="G142" s="88" t="inlineStr">
        <is>
          <t>{role:-1},
{id:-1},{id:-1},{id:-1},{id:-1},{id:-1}
{id:40016},{id:40012},{id:40012}</t>
        </is>
      </c>
      <c r="H142" s="47" t="n"/>
      <c r="I142" s="47" t="n">
        <v>5720</v>
      </c>
      <c r="J142" s="138" t="inlineStr">
        <is>
          <t>突發狀況</t>
        </is>
      </c>
      <c r="K142" s="47" t="inlineStr">
        <is>
          <t>buff</t>
        </is>
      </c>
      <c r="L142" s="47" t="n">
        <v>9006</v>
      </c>
      <c r="M142" s="47" t="n">
        <v>13</v>
      </c>
      <c r="N142" s="47" t="n"/>
      <c r="O142" s="47" t="n">
        <v>0.5</v>
      </c>
      <c r="P142" s="83" t="inlineStr">
        <is>
          <t>場地變化</t>
        </is>
      </c>
      <c r="Q142" s="47" t="inlineStr">
        <is>
          <t>debuff</t>
        </is>
      </c>
      <c r="R142" s="47" t="n">
        <v>9003</v>
      </c>
      <c r="S142" s="47" t="n">
        <v>4</v>
      </c>
      <c r="T142" s="47" t="n"/>
      <c r="U142" s="47" t="n">
        <v>0.4</v>
      </c>
      <c r="V142" s="135" t="n">
        <v>70001</v>
      </c>
      <c r="W142" s="7" t="n">
        <v>1</v>
      </c>
      <c r="X142" t="n">
        <v>1</v>
      </c>
      <c r="Y142" t="n">
        <v>70002</v>
      </c>
      <c r="Z142" t="n">
        <v>1</v>
      </c>
      <c r="AA142" t="n">
        <v>1</v>
      </c>
      <c r="AB142" t="n">
        <v>1001</v>
      </c>
      <c r="AC142" t="n">
        <v>50</v>
      </c>
      <c r="AD142" t="n">
        <v>1</v>
      </c>
      <c r="AE142" t="n">
        <v>8000</v>
      </c>
      <c r="AF142" t="n">
        <v>70</v>
      </c>
      <c r="AG142" t="n">
        <v>1</v>
      </c>
    </row>
    <row r="143" ht="47.25" customHeight="1" s="142">
      <c r="A143" s="7" t="n">
        <v>1037</v>
      </c>
      <c r="B143" s="7" t="inlineStr">
        <is>
          <t>main</t>
        </is>
      </c>
      <c r="C143" s="7" t="n">
        <v>2</v>
      </c>
      <c r="D143" s="7" t="inlineStr">
        <is>
          <t>2-8</t>
        </is>
      </c>
      <c r="E143" t="n">
        <v>19</v>
      </c>
      <c r="F143" s="101" t="n"/>
      <c r="G143" s="102" t="inlineStr">
        <is>
          <t>{role:-1},
{id:-1},{id:-1},{id:-1},{id:-1},{id:-1}
{id:40015},{id:40015},{id:40014}</t>
        </is>
      </c>
      <c r="H143" s="47" t="n"/>
      <c r="I143" s="47" t="n">
        <v>5845</v>
      </c>
      <c r="J143" s="138" t="inlineStr">
        <is>
          <t>突發狀況</t>
        </is>
      </c>
      <c r="K143" s="47" t="inlineStr">
        <is>
          <t>buff</t>
        </is>
      </c>
      <c r="L143" s="47" t="n">
        <v>9007</v>
      </c>
      <c r="M143" s="47" t="inlineStr">
        <is>
          <t>1,9</t>
        </is>
      </c>
      <c r="N143" s="47" t="n"/>
      <c r="O143" s="47" t="n">
        <v>0.2</v>
      </c>
      <c r="P143" s="83" t="inlineStr">
        <is>
          <t>場地變化</t>
        </is>
      </c>
      <c r="Q143" s="47" t="inlineStr">
        <is>
          <t>debuff</t>
        </is>
      </c>
      <c r="R143" s="47" t="n">
        <v>9004</v>
      </c>
      <c r="S143" s="47" t="inlineStr">
        <is>
          <t>1,3,7</t>
        </is>
      </c>
      <c r="T143" s="47" t="n"/>
      <c r="U143" s="47" t="n">
        <v>0.6</v>
      </c>
      <c r="V143" s="135" t="n">
        <v>70001</v>
      </c>
      <c r="W143" s="7" t="n">
        <v>1</v>
      </c>
      <c r="X143" t="n">
        <v>1</v>
      </c>
      <c r="Y143" t="n">
        <v>70002</v>
      </c>
      <c r="Z143" t="n">
        <v>1</v>
      </c>
      <c r="AA143" t="n">
        <v>1</v>
      </c>
      <c r="AB143" t="n">
        <v>1001</v>
      </c>
      <c r="AC143" t="n">
        <v>50</v>
      </c>
      <c r="AD143" t="n">
        <v>1</v>
      </c>
      <c r="AE143" t="n">
        <v>8000</v>
      </c>
      <c r="AF143" t="n">
        <v>70</v>
      </c>
      <c r="AG143" t="n">
        <v>1</v>
      </c>
    </row>
    <row r="144" ht="47.25" customHeight="1" s="142">
      <c r="A144" s="7" t="n">
        <v>1038</v>
      </c>
      <c r="B144" s="7" t="inlineStr">
        <is>
          <t>main</t>
        </is>
      </c>
      <c r="C144" s="7" t="n">
        <v>2</v>
      </c>
      <c r="D144" s="7" t="inlineStr">
        <is>
          <t>2-9</t>
        </is>
      </c>
      <c r="E144" t="n">
        <v>20</v>
      </c>
      <c r="F144" s="96" t="n"/>
      <c r="G144" s="97" t="inlineStr">
        <is>
          <t>{role:-1},
{id:-1},{id:-1},{id:-1},{id:-1},{id:-1}
{id:40013},{id:40015},{id:40012}</t>
        </is>
      </c>
      <c r="H144" s="47" t="n"/>
      <c r="I144" s="47" t="n">
        <v>5970</v>
      </c>
      <c r="J144" s="138" t="inlineStr">
        <is>
          <t>突發狀況</t>
        </is>
      </c>
      <c r="K144" s="47" t="inlineStr">
        <is>
          <t>buff</t>
        </is>
      </c>
      <c r="L144" s="47" t="n">
        <v>9011</v>
      </c>
      <c r="M144" s="47" t="inlineStr">
        <is>
          <t>1,2,12</t>
        </is>
      </c>
      <c r="N144" s="47" t="n"/>
      <c r="O144" s="47" t="n">
        <v>0.2</v>
      </c>
      <c r="P144" s="83" t="inlineStr">
        <is>
          <t>場地變化</t>
        </is>
      </c>
      <c r="Q144" s="47" t="inlineStr">
        <is>
          <t>debuff</t>
        </is>
      </c>
      <c r="R144" s="47" t="n">
        <v>9007</v>
      </c>
      <c r="S144" s="47" t="inlineStr">
        <is>
          <t>7,9</t>
        </is>
      </c>
      <c r="T144" s="47" t="n"/>
      <c r="U144" s="47" t="n">
        <v>0.2</v>
      </c>
      <c r="V144" s="135" t="n">
        <v>70001</v>
      </c>
      <c r="W144" s="7" t="n">
        <v>1</v>
      </c>
      <c r="X144" t="n">
        <v>1</v>
      </c>
      <c r="Y144" t="n">
        <v>70002</v>
      </c>
      <c r="Z144" t="n">
        <v>1</v>
      </c>
      <c r="AA144" t="n">
        <v>1</v>
      </c>
      <c r="AB144" t="n">
        <v>1001</v>
      </c>
      <c r="AC144" t="n">
        <v>50</v>
      </c>
      <c r="AD144" t="n">
        <v>1</v>
      </c>
      <c r="AE144" t="n">
        <v>8000</v>
      </c>
      <c r="AF144" t="n">
        <v>70</v>
      </c>
      <c r="AG144" t="n">
        <v>1</v>
      </c>
    </row>
    <row r="145" ht="47.25" customHeight="1" s="142">
      <c r="A145" s="7" t="n">
        <v>1039</v>
      </c>
      <c r="B145" s="7" t="inlineStr">
        <is>
          <t>main</t>
        </is>
      </c>
      <c r="C145" s="7" t="n">
        <v>2</v>
      </c>
      <c r="D145" s="7" t="inlineStr">
        <is>
          <t>2-10</t>
        </is>
      </c>
      <c r="E145" t="n">
        <v>20</v>
      </c>
      <c r="F145" s="87" t="n"/>
      <c r="G145" s="88" t="inlineStr">
        <is>
          <t>{role:-1},
{id:-1},{id:-1},{id:-1},{id:-1},{id:-1}
{id:40012},{id:40016},{id:40013},{id:40012}</t>
        </is>
      </c>
      <c r="H145" s="47" t="n"/>
      <c r="I145" s="47" t="n">
        <v>6095</v>
      </c>
      <c r="J145" s="138" t="inlineStr">
        <is>
          <t>突發狀況</t>
        </is>
      </c>
      <c r="K145" s="47" t="inlineStr">
        <is>
          <t>buff</t>
        </is>
      </c>
      <c r="L145" s="47" t="n">
        <v>9001</v>
      </c>
      <c r="M145" s="47" t="inlineStr">
        <is>
          <t>5,7,13</t>
        </is>
      </c>
      <c r="N145" s="47" t="n"/>
      <c r="O145" s="47" t="n">
        <v>0.4</v>
      </c>
      <c r="P145" s="83" t="inlineStr">
        <is>
          <t>場地變化</t>
        </is>
      </c>
      <c r="Q145" s="47" t="inlineStr">
        <is>
          <t>debuff</t>
        </is>
      </c>
      <c r="R145" s="47" t="n">
        <v>9004</v>
      </c>
      <c r="S145" s="47" t="inlineStr">
        <is>
          <t>5,11,12</t>
        </is>
      </c>
      <c r="T145" s="47" t="n"/>
      <c r="U145" s="47" t="n">
        <v>0.8</v>
      </c>
      <c r="V145" s="135" t="n">
        <v>70001</v>
      </c>
      <c r="W145" s="7" t="n">
        <v>1</v>
      </c>
      <c r="X145" t="n">
        <v>1</v>
      </c>
      <c r="Y145" t="n">
        <v>70002</v>
      </c>
      <c r="Z145" t="n">
        <v>1</v>
      </c>
      <c r="AA145" t="n">
        <v>1</v>
      </c>
      <c r="AB145" t="n">
        <v>1001</v>
      </c>
      <c r="AC145" t="n">
        <v>50</v>
      </c>
      <c r="AD145" t="n">
        <v>1</v>
      </c>
      <c r="AE145" t="n">
        <v>8000</v>
      </c>
      <c r="AF145" t="n">
        <v>80</v>
      </c>
      <c r="AG145" t="n">
        <v>1</v>
      </c>
    </row>
    <row r="146" ht="38.25" customHeight="1" s="142">
      <c r="A146" t="n">
        <v>1040</v>
      </c>
      <c r="B146" t="inlineStr">
        <is>
          <t>main</t>
        </is>
      </c>
      <c r="C146" t="n">
        <v>2</v>
      </c>
      <c r="D146" t="inlineStr">
        <is>
          <t>2-11</t>
        </is>
      </c>
      <c r="E146" t="n">
        <v>21</v>
      </c>
      <c r="G146" s="90" t="inlineStr">
        <is>
          <t>{role:-1},
{id:-1},{id:-1},{id:-1},{id:-1},{id:-1}
{id:40014},{id:40014},{id:40013},{id:40014}</t>
        </is>
      </c>
      <c r="I146" t="n">
        <v>6220</v>
      </c>
      <c r="J146" s="80" t="inlineStr">
        <is>
          <t>突發狀況</t>
        </is>
      </c>
      <c r="K146" t="inlineStr">
        <is>
          <t>buff</t>
        </is>
      </c>
      <c r="L146" t="n">
        <v>9001</v>
      </c>
      <c r="M146" t="inlineStr">
        <is>
          <t>2,5,11</t>
        </is>
      </c>
      <c r="O146" t="n">
        <v>0.4</v>
      </c>
      <c r="P146" s="80" t="inlineStr">
        <is>
          <t>場地變化</t>
        </is>
      </c>
      <c r="Q146" t="inlineStr">
        <is>
          <t>debuff</t>
        </is>
      </c>
      <c r="R146" t="n">
        <v>9008</v>
      </c>
      <c r="S146" t="inlineStr">
        <is>
          <t>6,9,11</t>
        </is>
      </c>
      <c r="U146" t="n">
        <v>0.7</v>
      </c>
      <c r="V146" t="n">
        <v>70001</v>
      </c>
      <c r="W146" t="n">
        <v>1</v>
      </c>
      <c r="X146" t="n">
        <v>1</v>
      </c>
      <c r="Y146" t="n">
        <v>70002</v>
      </c>
      <c r="Z146" t="n">
        <v>1</v>
      </c>
      <c r="AA146" t="n">
        <v>1</v>
      </c>
      <c r="AB146" t="n">
        <v>1001</v>
      </c>
      <c r="AC146" t="n">
        <v>50</v>
      </c>
      <c r="AD146" t="n">
        <v>1</v>
      </c>
      <c r="AE146" t="n">
        <v>8000</v>
      </c>
      <c r="AF146" t="n">
        <v>80</v>
      </c>
      <c r="AG146" t="n">
        <v>1</v>
      </c>
    </row>
    <row r="147" ht="38.25" customHeight="1" s="142">
      <c r="A147" t="n">
        <v>1041</v>
      </c>
      <c r="B147" t="inlineStr">
        <is>
          <t>main</t>
        </is>
      </c>
      <c r="C147" t="n">
        <v>2</v>
      </c>
      <c r="D147" t="inlineStr">
        <is>
          <t>2-12</t>
        </is>
      </c>
      <c r="E147" t="n">
        <v>21</v>
      </c>
      <c r="G147" s="90" t="inlineStr">
        <is>
          <t>{role:-1},
{id:-1},{id:-1},{id:-1},{id:-1},{id:-1}
{id:40015},{id:40016},{id:40012},{id:40013}</t>
        </is>
      </c>
      <c r="I147" t="n">
        <v>6345</v>
      </c>
      <c r="J147" s="80" t="inlineStr">
        <is>
          <t>突發狀況</t>
        </is>
      </c>
      <c r="K147" t="inlineStr">
        <is>
          <t>buff</t>
        </is>
      </c>
      <c r="L147" t="n">
        <v>9008</v>
      </c>
      <c r="M147" t="inlineStr">
        <is>
          <t>2,6</t>
        </is>
      </c>
      <c r="O147" t="n">
        <v>0.6</v>
      </c>
      <c r="P147" s="80" t="inlineStr">
        <is>
          <t>場地變化</t>
        </is>
      </c>
      <c r="Q147" t="inlineStr">
        <is>
          <t>debuff</t>
        </is>
      </c>
      <c r="R147" t="n">
        <v>9004</v>
      </c>
      <c r="S147" t="inlineStr">
        <is>
          <t>2,3,4</t>
        </is>
      </c>
      <c r="U147" t="n">
        <v>0.2</v>
      </c>
      <c r="V147" t="n">
        <v>70001</v>
      </c>
      <c r="W147" t="n">
        <v>1</v>
      </c>
      <c r="X147" t="n">
        <v>1</v>
      </c>
      <c r="Y147" t="n">
        <v>70002</v>
      </c>
      <c r="Z147" t="n">
        <v>1</v>
      </c>
      <c r="AA147" t="n">
        <v>1</v>
      </c>
      <c r="AB147" t="n">
        <v>1001</v>
      </c>
      <c r="AC147" t="n">
        <v>50</v>
      </c>
      <c r="AD147" t="n">
        <v>1</v>
      </c>
      <c r="AE147" t="n">
        <v>8000</v>
      </c>
      <c r="AF147" t="n">
        <v>80</v>
      </c>
      <c r="AG147" t="n">
        <v>1</v>
      </c>
    </row>
    <row r="148" ht="38.25" customHeight="1" s="142">
      <c r="A148" t="n">
        <v>1042</v>
      </c>
      <c r="B148" t="inlineStr">
        <is>
          <t>main</t>
        </is>
      </c>
      <c r="C148" t="n">
        <v>2</v>
      </c>
      <c r="D148" t="inlineStr">
        <is>
          <t>2-13</t>
        </is>
      </c>
      <c r="E148" t="n">
        <v>22</v>
      </c>
      <c r="G148" s="90" t="inlineStr">
        <is>
          <t>{role:-1},
{id:-1},{id:-1},{id:-1},{id:-1},{id:-1}
{id:40013},{id:40015},{id:40013},{id:40013},{id:40014}</t>
        </is>
      </c>
      <c r="I148" t="n">
        <v>6470</v>
      </c>
      <c r="J148" s="80" t="inlineStr">
        <is>
          <t>突發狀況</t>
        </is>
      </c>
      <c r="K148" t="inlineStr">
        <is>
          <t>buff</t>
        </is>
      </c>
      <c r="L148" t="n">
        <v>9001</v>
      </c>
      <c r="M148" t="inlineStr">
        <is>
          <t>2,7,11</t>
        </is>
      </c>
      <c r="O148" t="n">
        <v>0.6</v>
      </c>
      <c r="P148" s="80" t="inlineStr">
        <is>
          <t>場地變化</t>
        </is>
      </c>
      <c r="Q148" t="inlineStr">
        <is>
          <t>debuff</t>
        </is>
      </c>
      <c r="R148" t="n">
        <v>9010</v>
      </c>
      <c r="S148" t="inlineStr">
        <is>
          <t>2,4</t>
        </is>
      </c>
      <c r="U148" t="n">
        <v>0.2</v>
      </c>
      <c r="V148" t="n">
        <v>70001</v>
      </c>
      <c r="W148" t="n">
        <v>1</v>
      </c>
      <c r="X148" t="n">
        <v>1</v>
      </c>
      <c r="Y148" t="n">
        <v>70002</v>
      </c>
      <c r="Z148" t="n">
        <v>1</v>
      </c>
      <c r="AA148" t="n">
        <v>1</v>
      </c>
      <c r="AB148" t="n">
        <v>1001</v>
      </c>
      <c r="AC148" t="n">
        <v>50</v>
      </c>
      <c r="AD148" t="n">
        <v>1</v>
      </c>
      <c r="AE148" t="n">
        <v>8000</v>
      </c>
      <c r="AF148" t="n">
        <v>80</v>
      </c>
      <c r="AG148" t="n">
        <v>1</v>
      </c>
    </row>
    <row r="149" ht="38.25" customHeight="1" s="142">
      <c r="A149" t="n">
        <v>1043</v>
      </c>
      <c r="B149" t="inlineStr">
        <is>
          <t>main</t>
        </is>
      </c>
      <c r="C149" t="n">
        <v>2</v>
      </c>
      <c r="D149" t="inlineStr">
        <is>
          <t>2-14</t>
        </is>
      </c>
      <c r="E149" t="n">
        <v>22</v>
      </c>
      <c r="G149" s="90" t="inlineStr">
        <is>
          <t>{role:-1},
{id:-1},{id:-1},{id:-1},{id:-1},{id:-1}
{id:40014},{id:40013},{id:40015},{id:40016},{id:40013}</t>
        </is>
      </c>
      <c r="I149" t="n">
        <v>6595</v>
      </c>
      <c r="J149" s="80" t="inlineStr">
        <is>
          <t>突發狀況</t>
        </is>
      </c>
      <c r="K149" t="inlineStr">
        <is>
          <t>buff</t>
        </is>
      </c>
      <c r="L149" t="n">
        <v>9011</v>
      </c>
      <c r="M149" t="inlineStr">
        <is>
          <t>1,7,8</t>
        </is>
      </c>
      <c r="O149" t="n">
        <v>0.4</v>
      </c>
      <c r="P149" s="80" t="inlineStr">
        <is>
          <t>場地變化</t>
        </is>
      </c>
      <c r="Q149" t="inlineStr">
        <is>
          <t>debuff</t>
        </is>
      </c>
      <c r="R149" t="n">
        <v>9004</v>
      </c>
      <c r="S149" t="inlineStr">
        <is>
          <t>10,11</t>
        </is>
      </c>
      <c r="U149" t="n">
        <v>0.7</v>
      </c>
      <c r="V149" t="n">
        <v>70001</v>
      </c>
      <c r="W149" t="n">
        <v>1</v>
      </c>
      <c r="X149" t="n">
        <v>1</v>
      </c>
      <c r="Y149" t="n">
        <v>70002</v>
      </c>
      <c r="Z149" t="n">
        <v>1</v>
      </c>
      <c r="AA149" t="n">
        <v>1</v>
      </c>
      <c r="AB149" t="n">
        <v>1001</v>
      </c>
      <c r="AC149" t="n">
        <v>50</v>
      </c>
      <c r="AD149" t="n">
        <v>1</v>
      </c>
      <c r="AE149" t="n">
        <v>8000</v>
      </c>
      <c r="AF149" t="n">
        <v>90</v>
      </c>
      <c r="AG149" t="n">
        <v>1</v>
      </c>
    </row>
    <row r="150" ht="38.25" customHeight="1" s="142">
      <c r="A150" t="n">
        <v>1044</v>
      </c>
      <c r="B150" t="inlineStr">
        <is>
          <t>main</t>
        </is>
      </c>
      <c r="C150" t="n">
        <v>2</v>
      </c>
      <c r="D150" t="inlineStr">
        <is>
          <t>2-15</t>
        </is>
      </c>
      <c r="E150" t="n">
        <v>23</v>
      </c>
      <c r="G150" s="90" t="inlineStr">
        <is>
          <t>{role:-1},
{id:-1},{id:-1},{id:-1},{id:-1},{id:-1}
{id:40012},{id:40015},{id:40013},{id:40016},{id:40014}</t>
        </is>
      </c>
      <c r="I150" t="n">
        <v>6720</v>
      </c>
      <c r="J150" s="80" t="inlineStr">
        <is>
          <t>突發狀況</t>
        </is>
      </c>
      <c r="K150" t="inlineStr">
        <is>
          <t>buff</t>
        </is>
      </c>
      <c r="L150" t="n">
        <v>9006</v>
      </c>
      <c r="M150" t="n">
        <v>8</v>
      </c>
      <c r="O150" t="n">
        <v>0.3</v>
      </c>
      <c r="P150" s="80" t="inlineStr">
        <is>
          <t>場地變化</t>
        </is>
      </c>
      <c r="Q150" t="inlineStr">
        <is>
          <t>debuff</t>
        </is>
      </c>
      <c r="R150" t="n">
        <v>9008</v>
      </c>
      <c r="S150" t="inlineStr">
        <is>
          <t>3,13</t>
        </is>
      </c>
      <c r="U150" t="n">
        <v>0.5</v>
      </c>
      <c r="V150" t="n">
        <v>70001</v>
      </c>
      <c r="W150" t="n">
        <v>1</v>
      </c>
      <c r="X150" t="n">
        <v>1</v>
      </c>
      <c r="Y150" t="n">
        <v>70002</v>
      </c>
      <c r="Z150" t="n">
        <v>1</v>
      </c>
      <c r="AA150" t="n">
        <v>1</v>
      </c>
      <c r="AB150" t="n">
        <v>1001</v>
      </c>
      <c r="AC150" t="n">
        <v>50</v>
      </c>
      <c r="AD150" t="n">
        <v>1</v>
      </c>
      <c r="AE150" t="n">
        <v>8000</v>
      </c>
      <c r="AF150" t="n">
        <v>90</v>
      </c>
      <c r="AG150" t="n">
        <v>1</v>
      </c>
    </row>
    <row r="151" ht="38.25" customHeight="1" s="142">
      <c r="A151" t="n">
        <v>1045</v>
      </c>
      <c r="B151" t="inlineStr">
        <is>
          <t>main</t>
        </is>
      </c>
      <c r="C151" t="n">
        <v>2</v>
      </c>
      <c r="D151" t="inlineStr">
        <is>
          <t>2-16</t>
        </is>
      </c>
      <c r="E151" t="n">
        <v>23</v>
      </c>
      <c r="G151" s="90" t="inlineStr">
        <is>
          <t>{role:-1},
{id:-1},{id:-1},{id:-1},{id:-1},{id:-1}
{id:40012},{id:40016},{id:40013},{id:40016},{id:40013}</t>
        </is>
      </c>
      <c r="I151" t="n">
        <v>6845</v>
      </c>
      <c r="J151" s="80" t="inlineStr">
        <is>
          <t>突發狀況</t>
        </is>
      </c>
      <c r="K151" t="inlineStr">
        <is>
          <t>buff</t>
        </is>
      </c>
      <c r="L151" t="n">
        <v>9005</v>
      </c>
      <c r="M151" t="inlineStr">
        <is>
          <t>1,4,7</t>
        </is>
      </c>
      <c r="O151" t="n">
        <v>0.6</v>
      </c>
      <c r="P151" s="80" t="inlineStr">
        <is>
          <t>場地變化</t>
        </is>
      </c>
      <c r="Q151" t="inlineStr">
        <is>
          <t>debuff</t>
        </is>
      </c>
      <c r="R151" t="n">
        <v>9011</v>
      </c>
      <c r="S151" t="n">
        <v>3</v>
      </c>
      <c r="U151" t="n">
        <v>0.5</v>
      </c>
      <c r="V151" t="n">
        <v>70001</v>
      </c>
      <c r="W151" t="n">
        <v>1</v>
      </c>
      <c r="X151" t="n">
        <v>1</v>
      </c>
      <c r="Y151" t="n">
        <v>70002</v>
      </c>
      <c r="Z151" t="n">
        <v>1</v>
      </c>
      <c r="AA151" t="n">
        <v>1</v>
      </c>
      <c r="AB151" t="n">
        <v>1001</v>
      </c>
      <c r="AC151" t="n">
        <v>50</v>
      </c>
      <c r="AD151" t="n">
        <v>1</v>
      </c>
      <c r="AE151" t="n">
        <v>8000</v>
      </c>
      <c r="AF151" t="n">
        <v>90</v>
      </c>
      <c r="AG151" t="n">
        <v>1</v>
      </c>
    </row>
    <row r="152" ht="38.25" customHeight="1" s="142">
      <c r="A152" t="n">
        <v>1046</v>
      </c>
      <c r="B152" t="inlineStr">
        <is>
          <t>main</t>
        </is>
      </c>
      <c r="C152" t="n">
        <v>2</v>
      </c>
      <c r="D152" t="inlineStr">
        <is>
          <t>2-17</t>
        </is>
      </c>
      <c r="E152" t="n">
        <v>24</v>
      </c>
      <c r="G152" s="90" t="inlineStr">
        <is>
          <t>{role:-1},
{id:-1},{id:-1},{id:-1},{id:-1},{id:-1}
{id:40015},{id:40012},{id:40015},{id:40014},{id:40012}</t>
        </is>
      </c>
      <c r="I152" t="n">
        <v>6970</v>
      </c>
      <c r="J152" s="80" t="inlineStr">
        <is>
          <t>突發狀況</t>
        </is>
      </c>
      <c r="K152" t="inlineStr">
        <is>
          <t>buff</t>
        </is>
      </c>
      <c r="L152" t="n">
        <v>9011</v>
      </c>
      <c r="M152" t="inlineStr">
        <is>
          <t>2,9</t>
        </is>
      </c>
      <c r="O152" t="n">
        <v>0.6</v>
      </c>
      <c r="P152" s="80" t="inlineStr">
        <is>
          <t>場地變化</t>
        </is>
      </c>
      <c r="Q152" t="inlineStr">
        <is>
          <t>debuff</t>
        </is>
      </c>
      <c r="R152" t="n">
        <v>9007</v>
      </c>
      <c r="S152" t="inlineStr">
        <is>
          <t>1,12</t>
        </is>
      </c>
      <c r="U152" t="n">
        <v>0.7</v>
      </c>
      <c r="V152" t="n">
        <v>70001</v>
      </c>
      <c r="W152" t="n">
        <v>1</v>
      </c>
      <c r="X152" t="n">
        <v>1</v>
      </c>
      <c r="Y152" t="n">
        <v>70002</v>
      </c>
      <c r="Z152" t="n">
        <v>1</v>
      </c>
      <c r="AA152" t="n">
        <v>1</v>
      </c>
      <c r="AB152" t="n">
        <v>1001</v>
      </c>
      <c r="AC152" t="n">
        <v>50</v>
      </c>
      <c r="AD152" t="n">
        <v>1</v>
      </c>
      <c r="AE152" t="n">
        <v>8000</v>
      </c>
      <c r="AF152" t="n">
        <v>100</v>
      </c>
      <c r="AG152" t="n">
        <v>1</v>
      </c>
    </row>
    <row r="153" ht="38.25" customHeight="1" s="142">
      <c r="A153" t="n">
        <v>1047</v>
      </c>
      <c r="B153" t="inlineStr">
        <is>
          <t>main</t>
        </is>
      </c>
      <c r="C153" t="n">
        <v>2</v>
      </c>
      <c r="D153" t="inlineStr">
        <is>
          <t>2-18</t>
        </is>
      </c>
      <c r="E153" t="n">
        <v>24</v>
      </c>
      <c r="G153" s="90" t="inlineStr">
        <is>
          <t>{role:-1},
{id:-1},{id:-1},{id:-1},{id:-1},{id:-1}
{id:40015},{id:40013},{id:40012},{id:40012},{id:40013}</t>
        </is>
      </c>
      <c r="I153" t="n">
        <v>7095</v>
      </c>
      <c r="J153" s="80" t="inlineStr">
        <is>
          <t>突發狀況</t>
        </is>
      </c>
      <c r="K153" t="inlineStr">
        <is>
          <t>buff</t>
        </is>
      </c>
      <c r="L153" t="n">
        <v>9007</v>
      </c>
      <c r="M153" t="inlineStr">
        <is>
          <t>2,8</t>
        </is>
      </c>
      <c r="O153" t="n">
        <v>0.8</v>
      </c>
      <c r="P153" s="80" t="inlineStr">
        <is>
          <t>場地變化</t>
        </is>
      </c>
      <c r="Q153" t="inlineStr">
        <is>
          <t>debuff</t>
        </is>
      </c>
      <c r="R153" t="n">
        <v>9003</v>
      </c>
      <c r="S153" t="n">
        <v>11</v>
      </c>
      <c r="U153" t="n">
        <v>0.6</v>
      </c>
      <c r="V153" t="n">
        <v>70001</v>
      </c>
      <c r="W153" t="n">
        <v>1</v>
      </c>
      <c r="X153" t="n">
        <v>1</v>
      </c>
      <c r="Y153" t="n">
        <v>70002</v>
      </c>
      <c r="Z153" t="n">
        <v>1</v>
      </c>
      <c r="AA153" t="n">
        <v>1</v>
      </c>
      <c r="AB153" t="n">
        <v>1001</v>
      </c>
      <c r="AC153" t="n">
        <v>50</v>
      </c>
      <c r="AD153" t="n">
        <v>1</v>
      </c>
      <c r="AE153" t="n">
        <v>8000</v>
      </c>
      <c r="AF153" t="n">
        <v>100</v>
      </c>
      <c r="AG153" t="n">
        <v>1</v>
      </c>
    </row>
    <row r="154" ht="38.25" customHeight="1" s="142">
      <c r="A154" t="n">
        <v>1048</v>
      </c>
      <c r="B154" t="inlineStr">
        <is>
          <t>main</t>
        </is>
      </c>
      <c r="C154" t="n">
        <v>2</v>
      </c>
      <c r="D154" t="inlineStr">
        <is>
          <t>2-19</t>
        </is>
      </c>
      <c r="E154" t="n">
        <v>25</v>
      </c>
      <c r="G154" s="90" t="inlineStr">
        <is>
          <t>{role:-1},
{id:-1},{id:-1},{id:-1},{id:-1},{id:-1}
{id:40016},{id:40015},{id:40014},{id:40014},{id:40016}</t>
        </is>
      </c>
      <c r="I154" t="n">
        <v>7220</v>
      </c>
      <c r="J154" s="80" t="inlineStr">
        <is>
          <t>突發狀況</t>
        </is>
      </c>
      <c r="K154" t="inlineStr">
        <is>
          <t>buff</t>
        </is>
      </c>
      <c r="L154" t="n">
        <v>9007</v>
      </c>
      <c r="M154" t="inlineStr">
        <is>
          <t>2,4,5</t>
        </is>
      </c>
      <c r="O154" t="n">
        <v>0.3</v>
      </c>
      <c r="P154" s="80" t="inlineStr">
        <is>
          <t>場地變化</t>
        </is>
      </c>
      <c r="Q154" t="inlineStr">
        <is>
          <t>debuff</t>
        </is>
      </c>
      <c r="R154" t="n">
        <v>9008</v>
      </c>
      <c r="S154" t="inlineStr">
        <is>
          <t>1,10</t>
        </is>
      </c>
      <c r="U154" t="n">
        <v>0.2</v>
      </c>
      <c r="V154" t="n">
        <v>70001</v>
      </c>
      <c r="W154" t="n">
        <v>1</v>
      </c>
      <c r="X154" t="n">
        <v>1</v>
      </c>
      <c r="Y154" t="n">
        <v>70002</v>
      </c>
      <c r="Z154" t="n">
        <v>1</v>
      </c>
      <c r="AA154" t="n">
        <v>1</v>
      </c>
      <c r="AB154" t="n">
        <v>1001</v>
      </c>
      <c r="AC154" t="n">
        <v>50</v>
      </c>
      <c r="AD154" t="n">
        <v>1</v>
      </c>
      <c r="AE154" t="n">
        <v>8000</v>
      </c>
      <c r="AF154" t="n">
        <v>100</v>
      </c>
      <c r="AG154" t="n">
        <v>1</v>
      </c>
    </row>
    <row r="155" ht="38.25" customHeight="1" s="142">
      <c r="A155" t="n">
        <v>1049</v>
      </c>
      <c r="B155" t="inlineStr">
        <is>
          <t>main</t>
        </is>
      </c>
      <c r="C155" t="n">
        <v>2</v>
      </c>
      <c r="D155" t="inlineStr">
        <is>
          <t>2-20</t>
        </is>
      </c>
      <c r="E155" t="n">
        <v>25</v>
      </c>
      <c r="G155" s="90" t="inlineStr">
        <is>
          <t>{role:-1},
{id:-1},{id:-1},{id:-1},{id:-1},{id:-1}
{id:40013},{id:40013},{id:40012},{id:40016},{id:40016}</t>
        </is>
      </c>
      <c r="I155" t="n">
        <v>7345</v>
      </c>
      <c r="J155" s="80" t="inlineStr">
        <is>
          <t>突發狀況</t>
        </is>
      </c>
      <c r="K155" t="inlineStr">
        <is>
          <t>buff</t>
        </is>
      </c>
      <c r="L155" t="n">
        <v>9005</v>
      </c>
      <c r="M155" t="inlineStr">
        <is>
          <t>3,11,13</t>
        </is>
      </c>
      <c r="O155" t="n">
        <v>0.1</v>
      </c>
      <c r="P155" s="80" t="inlineStr">
        <is>
          <t>場地變化</t>
        </is>
      </c>
      <c r="Q155" t="inlineStr">
        <is>
          <t>debuff</t>
        </is>
      </c>
      <c r="R155" t="n">
        <v>9004</v>
      </c>
      <c r="S155" t="inlineStr">
        <is>
          <t>5,7,10</t>
        </is>
      </c>
      <c r="U155" t="n">
        <v>0.2</v>
      </c>
      <c r="V155" t="n">
        <v>70001</v>
      </c>
      <c r="W155" t="n">
        <v>1</v>
      </c>
      <c r="X155" t="n">
        <v>1</v>
      </c>
      <c r="Y155" t="n">
        <v>70002</v>
      </c>
      <c r="Z155" t="n">
        <v>1</v>
      </c>
      <c r="AA155" t="n">
        <v>1</v>
      </c>
      <c r="AB155" t="n">
        <v>1001</v>
      </c>
      <c r="AC155" t="n">
        <v>50</v>
      </c>
      <c r="AD155" t="n">
        <v>1</v>
      </c>
      <c r="AE155" t="n">
        <v>8000</v>
      </c>
      <c r="AF155" t="n">
        <v>100</v>
      </c>
      <c r="AG155" t="n">
        <v>1</v>
      </c>
    </row>
    <row r="156" ht="38.25" customHeight="1" s="142">
      <c r="A156" t="n">
        <v>1050</v>
      </c>
      <c r="B156" t="inlineStr">
        <is>
          <t>main</t>
        </is>
      </c>
      <c r="C156" t="n">
        <v>2</v>
      </c>
      <c r="D156" t="inlineStr">
        <is>
          <t>2-21</t>
        </is>
      </c>
      <c r="E156" t="n">
        <v>26</v>
      </c>
      <c r="G156" s="90" t="inlineStr">
        <is>
          <t>{role:-1},
{id:-1},{id:-1},{id:-1},{id:-1},{id:-1}
{id:40012},{id:40012},{id:40013},{id:40015},{id:40013}</t>
        </is>
      </c>
      <c r="I156" t="n">
        <v>7470</v>
      </c>
      <c r="J156" s="80" t="inlineStr">
        <is>
          <t>突發狀況</t>
        </is>
      </c>
      <c r="K156" t="inlineStr">
        <is>
          <t>buff</t>
        </is>
      </c>
      <c r="L156" t="n">
        <v>9001</v>
      </c>
      <c r="M156" t="inlineStr">
        <is>
          <t>1,3,12</t>
        </is>
      </c>
      <c r="O156" t="n">
        <v>1</v>
      </c>
      <c r="P156" s="80" t="inlineStr">
        <is>
          <t>場地變化</t>
        </is>
      </c>
      <c r="Q156" t="inlineStr">
        <is>
          <t>debuff</t>
        </is>
      </c>
      <c r="R156" t="n">
        <v>9004</v>
      </c>
      <c r="S156" t="n">
        <v>2</v>
      </c>
      <c r="U156" t="n">
        <v>0.2</v>
      </c>
      <c r="V156" t="n">
        <v>70001</v>
      </c>
      <c r="W156" t="n">
        <v>1</v>
      </c>
      <c r="X156" t="n">
        <v>1</v>
      </c>
      <c r="Y156" t="n">
        <v>70002</v>
      </c>
      <c r="Z156" t="n">
        <v>1</v>
      </c>
      <c r="AA156" t="n">
        <v>1</v>
      </c>
      <c r="AB156" t="n">
        <v>1001</v>
      </c>
      <c r="AC156" t="n">
        <v>50</v>
      </c>
      <c r="AD156" t="n">
        <v>1</v>
      </c>
      <c r="AE156" t="n">
        <v>8000</v>
      </c>
      <c r="AF156" t="n">
        <v>110</v>
      </c>
      <c r="AG156" t="n">
        <v>1</v>
      </c>
    </row>
    <row r="157" ht="38.25" customHeight="1" s="142">
      <c r="A157" t="n">
        <v>1051</v>
      </c>
      <c r="B157" t="inlineStr">
        <is>
          <t>main</t>
        </is>
      </c>
      <c r="C157" t="n">
        <v>2</v>
      </c>
      <c r="D157" t="inlineStr">
        <is>
          <t>2-22</t>
        </is>
      </c>
      <c r="E157" t="n">
        <v>26</v>
      </c>
      <c r="G157" s="90" t="inlineStr">
        <is>
          <t>{role:-1},
{id:-1},{id:-1},{id:-1},{id:-1},{id:-1}
{id:40015},{id:40012},{id:40014},{id:40013},{id:40014}</t>
        </is>
      </c>
      <c r="I157" t="n">
        <v>7595</v>
      </c>
      <c r="J157" s="80" t="inlineStr">
        <is>
          <t>突發狀況</t>
        </is>
      </c>
      <c r="K157" t="inlineStr">
        <is>
          <t>buff</t>
        </is>
      </c>
      <c r="L157" t="n">
        <v>9011</v>
      </c>
      <c r="M157" t="inlineStr">
        <is>
          <t>2,3,9</t>
        </is>
      </c>
      <c r="O157" t="n">
        <v>0.8</v>
      </c>
      <c r="P157" s="80" t="inlineStr">
        <is>
          <t>場地變化</t>
        </is>
      </c>
      <c r="Q157" t="inlineStr">
        <is>
          <t>debuff</t>
        </is>
      </c>
      <c r="R157" t="n">
        <v>9012</v>
      </c>
      <c r="S157" t="n">
        <v>1</v>
      </c>
      <c r="U157" t="n">
        <v>0.7</v>
      </c>
      <c r="V157" t="n">
        <v>70001</v>
      </c>
      <c r="W157" t="n">
        <v>1</v>
      </c>
      <c r="X157" t="n">
        <v>1</v>
      </c>
      <c r="Y157" t="n">
        <v>70002</v>
      </c>
      <c r="Z157" t="n">
        <v>1</v>
      </c>
      <c r="AA157" t="n">
        <v>1</v>
      </c>
      <c r="AB157" t="n">
        <v>1001</v>
      </c>
      <c r="AC157" t="n">
        <v>50</v>
      </c>
      <c r="AD157" t="n">
        <v>1</v>
      </c>
      <c r="AE157" t="n">
        <v>8000</v>
      </c>
      <c r="AF157" t="n">
        <v>110</v>
      </c>
      <c r="AG157" t="n">
        <v>1</v>
      </c>
    </row>
    <row r="158" ht="38.25" customHeight="1" s="142">
      <c r="A158" t="n">
        <v>1052</v>
      </c>
      <c r="B158" t="inlineStr">
        <is>
          <t>main</t>
        </is>
      </c>
      <c r="C158" t="n">
        <v>2</v>
      </c>
      <c r="D158" t="inlineStr">
        <is>
          <t>2-23</t>
        </is>
      </c>
      <c r="E158" t="n">
        <v>27</v>
      </c>
      <c r="G158" s="90" t="inlineStr">
        <is>
          <t>{role:-1},
{id:-1},{id:-1},{id:-1},{id:-1},{id:-1}
{id:40013},{id:40014},{id:40015},{id:40016},{id:40016}</t>
        </is>
      </c>
      <c r="I158" t="n">
        <v>7720</v>
      </c>
      <c r="J158" s="80" t="inlineStr">
        <is>
          <t>突發狀況</t>
        </is>
      </c>
      <c r="K158" t="inlineStr">
        <is>
          <t>buff</t>
        </is>
      </c>
      <c r="L158" t="n">
        <v>9002</v>
      </c>
      <c r="M158" t="inlineStr">
        <is>
          <t>9,10</t>
        </is>
      </c>
      <c r="O158" t="n">
        <v>0.4</v>
      </c>
      <c r="P158" s="80" t="inlineStr">
        <is>
          <t>場地變化</t>
        </is>
      </c>
      <c r="Q158" t="inlineStr">
        <is>
          <t>debuff</t>
        </is>
      </c>
      <c r="R158" t="n">
        <v>9008</v>
      </c>
      <c r="S158" t="inlineStr">
        <is>
          <t>5,11,13</t>
        </is>
      </c>
      <c r="U158" t="n">
        <v>0.6</v>
      </c>
      <c r="V158" t="n">
        <v>70001</v>
      </c>
      <c r="W158" t="n">
        <v>1</v>
      </c>
      <c r="X158" t="n">
        <v>1</v>
      </c>
      <c r="Y158" t="n">
        <v>70002</v>
      </c>
      <c r="Z158" t="n">
        <v>1</v>
      </c>
      <c r="AA158" t="n">
        <v>1</v>
      </c>
      <c r="AB158" t="n">
        <v>1001</v>
      </c>
      <c r="AC158" t="n">
        <v>50</v>
      </c>
      <c r="AD158" t="n">
        <v>1</v>
      </c>
      <c r="AE158" t="n">
        <v>8000</v>
      </c>
      <c r="AF158" t="n">
        <v>110</v>
      </c>
      <c r="AG158" t="n">
        <v>1</v>
      </c>
    </row>
    <row r="159" ht="38.25" customHeight="1" s="142">
      <c r="A159" t="n">
        <v>1053</v>
      </c>
      <c r="B159" t="inlineStr">
        <is>
          <t>main</t>
        </is>
      </c>
      <c r="C159" t="n">
        <v>2</v>
      </c>
      <c r="D159" t="inlineStr">
        <is>
          <t>2-24</t>
        </is>
      </c>
      <c r="E159" t="n">
        <v>27</v>
      </c>
      <c r="G159" s="90" t="inlineStr">
        <is>
          <t>{role:-1},
{id:-1},{id:-1},{id:-1},{id:-1},{id:-1}
{id:40015},{id:40014},{id:40016},{id:40012},{id:40014}</t>
        </is>
      </c>
      <c r="I159" t="n">
        <v>7845</v>
      </c>
      <c r="J159" s="80" t="inlineStr">
        <is>
          <t>突發狀況</t>
        </is>
      </c>
      <c r="K159" t="inlineStr">
        <is>
          <t>buff</t>
        </is>
      </c>
      <c r="L159" t="n">
        <v>9001</v>
      </c>
      <c r="M159" t="n">
        <v>2</v>
      </c>
      <c r="O159" t="n">
        <v>0.9</v>
      </c>
      <c r="P159" s="80" t="inlineStr">
        <is>
          <t>場地變化</t>
        </is>
      </c>
      <c r="Q159" t="inlineStr">
        <is>
          <t>debuff</t>
        </is>
      </c>
      <c r="R159" t="n">
        <v>9012</v>
      </c>
      <c r="S159" t="n">
        <v>5</v>
      </c>
      <c r="U159" t="n">
        <v>0.6</v>
      </c>
      <c r="V159" t="n">
        <v>70001</v>
      </c>
      <c r="W159" t="n">
        <v>1</v>
      </c>
      <c r="X159" t="n">
        <v>1</v>
      </c>
      <c r="Y159" t="n">
        <v>70002</v>
      </c>
      <c r="Z159" t="n">
        <v>1</v>
      </c>
      <c r="AA159" t="n">
        <v>1</v>
      </c>
      <c r="AB159" t="n">
        <v>1001</v>
      </c>
      <c r="AC159" t="n">
        <v>50</v>
      </c>
      <c r="AD159" t="n">
        <v>1</v>
      </c>
      <c r="AE159" t="n">
        <v>8000</v>
      </c>
      <c r="AF159" t="n">
        <v>110</v>
      </c>
      <c r="AG159" t="n">
        <v>1</v>
      </c>
    </row>
    <row r="160" ht="38.25" customHeight="1" s="142">
      <c r="A160" t="n">
        <v>1054</v>
      </c>
      <c r="B160" t="inlineStr">
        <is>
          <t>main</t>
        </is>
      </c>
      <c r="C160" t="n">
        <v>2</v>
      </c>
      <c r="D160" t="inlineStr">
        <is>
          <t>2-25</t>
        </is>
      </c>
      <c r="E160" t="n">
        <v>28</v>
      </c>
      <c r="G160" s="90" t="inlineStr">
        <is>
          <t>{role:-1},
{id:-1},{id:-1},{id:-1},{id:-1},{id:-1}
{id:40016},{id:40013},{id:40016},{id:40013},{id:40015}</t>
        </is>
      </c>
      <c r="I160" t="n">
        <v>7970</v>
      </c>
      <c r="J160" s="80" t="inlineStr">
        <is>
          <t>突發狀況</t>
        </is>
      </c>
      <c r="K160" t="inlineStr">
        <is>
          <t>buff</t>
        </is>
      </c>
      <c r="L160" t="n">
        <v>9005</v>
      </c>
      <c r="M160" t="inlineStr">
        <is>
          <t>2,6</t>
        </is>
      </c>
      <c r="O160" t="n">
        <v>1</v>
      </c>
      <c r="P160" s="80" t="inlineStr">
        <is>
          <t>場地變化</t>
        </is>
      </c>
      <c r="Q160" t="inlineStr">
        <is>
          <t>debuff</t>
        </is>
      </c>
      <c r="R160" t="n">
        <v>9010</v>
      </c>
      <c r="S160" t="n">
        <v>2</v>
      </c>
      <c r="U160" t="n">
        <v>0.3</v>
      </c>
      <c r="V160" t="n">
        <v>70001</v>
      </c>
      <c r="W160" t="n">
        <v>1</v>
      </c>
      <c r="X160" t="n">
        <v>1</v>
      </c>
      <c r="Y160" t="n">
        <v>70002</v>
      </c>
      <c r="Z160" t="n">
        <v>1</v>
      </c>
      <c r="AA160" t="n">
        <v>1</v>
      </c>
      <c r="AB160" t="n">
        <v>1001</v>
      </c>
      <c r="AC160" t="n">
        <v>50</v>
      </c>
      <c r="AD160" t="n">
        <v>1</v>
      </c>
      <c r="AE160" t="n">
        <v>8000</v>
      </c>
      <c r="AF160" t="n">
        <v>120</v>
      </c>
      <c r="AG160" t="n">
        <v>1</v>
      </c>
    </row>
    <row r="161" ht="38.25" customHeight="1" s="142">
      <c r="A161" t="n">
        <v>1055</v>
      </c>
      <c r="B161" t="inlineStr">
        <is>
          <t>main</t>
        </is>
      </c>
      <c r="C161" t="n">
        <v>2</v>
      </c>
      <c r="D161" t="inlineStr">
        <is>
          <t>2-26</t>
        </is>
      </c>
      <c r="E161" t="n">
        <v>28</v>
      </c>
      <c r="G161" s="90" t="inlineStr">
        <is>
          <t>{role:-1},
{id:-1},{id:-1},{id:-1},{id:-1},{id:-1}
{id:40015},{id:40013},{id:40016},{id:40016},{id:40016}</t>
        </is>
      </c>
      <c r="I161" t="n">
        <v>8095</v>
      </c>
      <c r="J161" s="80" t="inlineStr">
        <is>
          <t>突發狀況</t>
        </is>
      </c>
      <c r="K161" t="inlineStr">
        <is>
          <t>buff</t>
        </is>
      </c>
      <c r="L161" t="n">
        <v>9005</v>
      </c>
      <c r="M161" t="n">
        <v>13</v>
      </c>
      <c r="O161" t="n">
        <v>0.1</v>
      </c>
      <c r="P161" s="80" t="inlineStr">
        <is>
          <t>場地變化</t>
        </is>
      </c>
      <c r="Q161" t="inlineStr">
        <is>
          <t>debuff</t>
        </is>
      </c>
      <c r="R161" t="n">
        <v>9011</v>
      </c>
      <c r="S161" t="inlineStr">
        <is>
          <t>4,5,12</t>
        </is>
      </c>
      <c r="U161" t="n">
        <v>0.9</v>
      </c>
      <c r="V161" t="n">
        <v>70001</v>
      </c>
      <c r="W161" t="n">
        <v>1</v>
      </c>
      <c r="X161" t="n">
        <v>1</v>
      </c>
      <c r="Y161" t="n">
        <v>70002</v>
      </c>
      <c r="Z161" t="n">
        <v>1</v>
      </c>
      <c r="AA161" t="n">
        <v>1</v>
      </c>
      <c r="AB161" t="n">
        <v>1001</v>
      </c>
      <c r="AC161" t="n">
        <v>50</v>
      </c>
      <c r="AD161" t="n">
        <v>1</v>
      </c>
      <c r="AE161" t="n">
        <v>8000</v>
      </c>
      <c r="AF161" t="n">
        <v>120</v>
      </c>
      <c r="AG161" t="n">
        <v>1</v>
      </c>
    </row>
    <row r="162" ht="38.25" customHeight="1" s="142">
      <c r="A162" t="n">
        <v>1056</v>
      </c>
      <c r="B162" t="inlineStr">
        <is>
          <t>main</t>
        </is>
      </c>
      <c r="C162" t="n">
        <v>2</v>
      </c>
      <c r="D162" t="inlineStr">
        <is>
          <t>2-27</t>
        </is>
      </c>
      <c r="E162" t="n">
        <v>29</v>
      </c>
      <c r="G162" s="90" t="inlineStr">
        <is>
          <t>{role:-1},
{id:-1},{id:-1},{id:-1},{id:-1},{id:-1}
{id:40016},{id:40016},{id:40013},{id:40014},{id:40012}</t>
        </is>
      </c>
      <c r="I162" t="n">
        <v>8220</v>
      </c>
      <c r="J162" s="80" t="inlineStr">
        <is>
          <t>突發狀況</t>
        </is>
      </c>
      <c r="K162" t="inlineStr">
        <is>
          <t>buff</t>
        </is>
      </c>
      <c r="L162" t="n">
        <v>9008</v>
      </c>
      <c r="M162" t="inlineStr">
        <is>
          <t>2,6</t>
        </is>
      </c>
      <c r="O162" t="n">
        <v>0.5</v>
      </c>
      <c r="P162" s="80" t="inlineStr">
        <is>
          <t>場地變化</t>
        </is>
      </c>
      <c r="Q162" t="inlineStr">
        <is>
          <t>debuff</t>
        </is>
      </c>
      <c r="R162" t="n">
        <v>9004</v>
      </c>
      <c r="S162" t="n">
        <v>8</v>
      </c>
      <c r="U162" t="n">
        <v>0.4</v>
      </c>
      <c r="V162" t="n">
        <v>70001</v>
      </c>
      <c r="W162" t="n">
        <v>1</v>
      </c>
      <c r="X162" t="n">
        <v>1</v>
      </c>
      <c r="Y162" t="n">
        <v>70002</v>
      </c>
      <c r="Z162" t="n">
        <v>1</v>
      </c>
      <c r="AA162" t="n">
        <v>1</v>
      </c>
      <c r="AB162" t="n">
        <v>1001</v>
      </c>
      <c r="AC162" t="n">
        <v>50</v>
      </c>
      <c r="AD162" t="n">
        <v>1</v>
      </c>
      <c r="AE162" t="n">
        <v>8000</v>
      </c>
      <c r="AF162" t="n">
        <v>120</v>
      </c>
      <c r="AG162" t="n">
        <v>1</v>
      </c>
    </row>
    <row r="163" ht="38.25" customHeight="1" s="142">
      <c r="A163" t="n">
        <v>1057</v>
      </c>
      <c r="B163" t="inlineStr">
        <is>
          <t>main</t>
        </is>
      </c>
      <c r="C163" t="n">
        <v>2</v>
      </c>
      <c r="D163" t="inlineStr">
        <is>
          <t>2-28</t>
        </is>
      </c>
      <c r="E163" t="n">
        <v>29</v>
      </c>
      <c r="G163" s="90" t="inlineStr">
        <is>
          <t>{role:-1},
{id:-1},{id:-1},{id:-1},{id:-1},{id:-1}
{id:40014},{id:40014},{id:40016},{id:40015},{id:40013}</t>
        </is>
      </c>
      <c r="I163" t="n">
        <v>8345</v>
      </c>
      <c r="J163" s="80" t="inlineStr">
        <is>
          <t>突發狀況</t>
        </is>
      </c>
      <c r="K163" t="inlineStr">
        <is>
          <t>buff</t>
        </is>
      </c>
      <c r="L163" t="n">
        <v>9008</v>
      </c>
      <c r="M163" t="n">
        <v>1</v>
      </c>
      <c r="O163" t="n">
        <v>0.8</v>
      </c>
      <c r="P163" s="80" t="inlineStr">
        <is>
          <t>場地變化</t>
        </is>
      </c>
      <c r="Q163" t="inlineStr">
        <is>
          <t>debuff</t>
        </is>
      </c>
      <c r="R163" t="n">
        <v>9004</v>
      </c>
      <c r="S163" t="inlineStr">
        <is>
          <t>5,8,9</t>
        </is>
      </c>
      <c r="U163" t="n">
        <v>0.9</v>
      </c>
      <c r="V163" t="n">
        <v>70001</v>
      </c>
      <c r="W163" t="n">
        <v>1</v>
      </c>
      <c r="X163" t="n">
        <v>1</v>
      </c>
      <c r="Y163" t="n">
        <v>70002</v>
      </c>
      <c r="Z163" t="n">
        <v>1</v>
      </c>
      <c r="AA163" t="n">
        <v>1</v>
      </c>
      <c r="AB163" t="n">
        <v>1001</v>
      </c>
      <c r="AC163" t="n">
        <v>50</v>
      </c>
      <c r="AD163" t="n">
        <v>1</v>
      </c>
      <c r="AE163" t="n">
        <v>8000</v>
      </c>
      <c r="AF163" t="n">
        <v>130</v>
      </c>
      <c r="AG163" t="n">
        <v>1</v>
      </c>
    </row>
    <row r="164" ht="38.25" customHeight="1" s="142">
      <c r="A164" t="n">
        <v>1058</v>
      </c>
      <c r="B164" t="inlineStr">
        <is>
          <t>main</t>
        </is>
      </c>
      <c r="C164" t="n">
        <v>2</v>
      </c>
      <c r="D164" t="inlineStr">
        <is>
          <t>2-29</t>
        </is>
      </c>
      <c r="E164" t="n">
        <v>30</v>
      </c>
      <c r="G164" s="90" t="inlineStr">
        <is>
          <t>{role:-1},
{id:-1},{id:-1},{id:-1},{id:-1},{id:-1}
{id:40013},{id:40016},{id:40016},{id:40014},{id:40016}</t>
        </is>
      </c>
      <c r="I164" t="n">
        <v>8470</v>
      </c>
      <c r="J164" s="80" t="inlineStr">
        <is>
          <t>突發狀況</t>
        </is>
      </c>
      <c r="K164" t="inlineStr">
        <is>
          <t>buff</t>
        </is>
      </c>
      <c r="L164" t="n">
        <v>9011</v>
      </c>
      <c r="M164" t="n">
        <v>4</v>
      </c>
      <c r="O164" t="n">
        <v>0.6</v>
      </c>
      <c r="P164" s="80" t="inlineStr">
        <is>
          <t>場地變化</t>
        </is>
      </c>
      <c r="Q164" t="inlineStr">
        <is>
          <t>debuff</t>
        </is>
      </c>
      <c r="R164" t="n">
        <v>9003</v>
      </c>
      <c r="S164" t="inlineStr">
        <is>
          <t>4,5,8</t>
        </is>
      </c>
      <c r="U164" t="n">
        <v>0.1</v>
      </c>
      <c r="V164" t="n">
        <v>70001</v>
      </c>
      <c r="W164" t="n">
        <v>1</v>
      </c>
      <c r="X164" t="n">
        <v>1</v>
      </c>
      <c r="Y164" t="n">
        <v>70002</v>
      </c>
      <c r="Z164" t="n">
        <v>1</v>
      </c>
      <c r="AA164" t="n">
        <v>1</v>
      </c>
      <c r="AB164" t="n">
        <v>1001</v>
      </c>
      <c r="AC164" t="n">
        <v>50</v>
      </c>
      <c r="AD164" t="n">
        <v>1</v>
      </c>
      <c r="AE164" t="n">
        <v>8000</v>
      </c>
      <c r="AF164" t="n">
        <v>130</v>
      </c>
      <c r="AG164" t="n">
        <v>1</v>
      </c>
    </row>
    <row r="165" ht="38.25" customHeight="1" s="142">
      <c r="A165" t="n">
        <v>1059</v>
      </c>
      <c r="B165" t="inlineStr">
        <is>
          <t>main</t>
        </is>
      </c>
      <c r="C165" t="n">
        <v>2</v>
      </c>
      <c r="D165" t="inlineStr">
        <is>
          <t>2-30</t>
        </is>
      </c>
      <c r="E165" t="n">
        <v>30</v>
      </c>
      <c r="G165" s="90" t="inlineStr">
        <is>
          <t>{role:-1},
{id:-1},{id:-1},{id:-1},{id:-1},{id:-1}
{id:50002},{id:40012},{id:40016},{id:40014},{id:40013}</t>
        </is>
      </c>
      <c r="I165" t="n">
        <v>8595</v>
      </c>
      <c r="J165" s="80" t="inlineStr">
        <is>
          <t>突發狀況</t>
        </is>
      </c>
      <c r="K165" t="inlineStr">
        <is>
          <t>buff</t>
        </is>
      </c>
      <c r="L165" t="n">
        <v>9005</v>
      </c>
      <c r="M165" t="inlineStr">
        <is>
          <t>8,11</t>
        </is>
      </c>
      <c r="O165" t="n">
        <v>0.5</v>
      </c>
      <c r="P165" s="80" t="inlineStr">
        <is>
          <t>場地變化</t>
        </is>
      </c>
      <c r="Q165" t="inlineStr">
        <is>
          <t>debuff</t>
        </is>
      </c>
      <c r="R165" t="n">
        <v>9010</v>
      </c>
      <c r="S165" t="n">
        <v>7</v>
      </c>
      <c r="U165" t="n">
        <v>0.7</v>
      </c>
      <c r="V165" t="n">
        <v>70001</v>
      </c>
      <c r="W165" t="n">
        <v>1</v>
      </c>
      <c r="X165" t="n">
        <v>1</v>
      </c>
      <c r="Y165" t="n">
        <v>70002</v>
      </c>
      <c r="Z165" t="n">
        <v>1</v>
      </c>
      <c r="AA165" t="n">
        <v>1</v>
      </c>
      <c r="AB165" t="n">
        <v>1001</v>
      </c>
      <c r="AC165" t="n">
        <v>50</v>
      </c>
      <c r="AD165" t="n">
        <v>1</v>
      </c>
      <c r="AE165" t="n">
        <v>8000</v>
      </c>
      <c r="AF165" t="n">
        <v>130</v>
      </c>
      <c r="AG165" t="n">
        <v>1</v>
      </c>
    </row>
    <row r="166" ht="38.25" customHeight="1" s="142">
      <c r="A166" t="n">
        <v>1060</v>
      </c>
      <c r="B166" t="inlineStr">
        <is>
          <t>main</t>
        </is>
      </c>
      <c r="C166" t="n">
        <v>3</v>
      </c>
      <c r="D166" t="inlineStr">
        <is>
          <t>3-1</t>
        </is>
      </c>
      <c r="E166" t="n">
        <v>31</v>
      </c>
      <c r="G166" s="90" t="inlineStr">
        <is>
          <t>{role:-1},
{id:-1},{id:-1},{id:-1},{id:-1},{id:-1}
{id:40020},{id:40021}</t>
        </is>
      </c>
      <c r="I166" t="n">
        <v>8720</v>
      </c>
      <c r="J166" s="80" t="inlineStr">
        <is>
          <t>魔力波動</t>
        </is>
      </c>
      <c r="K166" t="inlineStr">
        <is>
          <t>buff</t>
        </is>
      </c>
      <c r="L166" t="n">
        <v>9008</v>
      </c>
      <c r="M166" t="inlineStr">
        <is>
          <t>8,9,13</t>
        </is>
      </c>
      <c r="O166" t="n">
        <v>0.7</v>
      </c>
      <c r="P166" s="80" t="inlineStr">
        <is>
          <t>禁術警報</t>
        </is>
      </c>
      <c r="Q166" t="inlineStr">
        <is>
          <t>debuff</t>
        </is>
      </c>
      <c r="R166" t="n">
        <v>9004</v>
      </c>
      <c r="S166" t="inlineStr">
        <is>
          <t>1,7</t>
        </is>
      </c>
      <c r="U166" t="n">
        <v>0.2</v>
      </c>
      <c r="V166" t="n">
        <v>70001</v>
      </c>
      <c r="W166" t="n">
        <v>1</v>
      </c>
      <c r="X166" t="n">
        <v>1</v>
      </c>
      <c r="Y166" t="n">
        <v>70002</v>
      </c>
      <c r="Z166" t="n">
        <v>1</v>
      </c>
      <c r="AA166" t="n">
        <v>1</v>
      </c>
      <c r="AB166" t="n">
        <v>1001</v>
      </c>
      <c r="AC166" t="n">
        <v>50</v>
      </c>
      <c r="AD166" t="n">
        <v>1</v>
      </c>
      <c r="AE166" t="n">
        <v>8000</v>
      </c>
      <c r="AF166" t="n">
        <v>130</v>
      </c>
      <c r="AG166" t="n">
        <v>1</v>
      </c>
    </row>
    <row r="167" ht="38.25" customHeight="1" s="142">
      <c r="A167" t="n">
        <v>1061</v>
      </c>
      <c r="B167" t="inlineStr">
        <is>
          <t>main</t>
        </is>
      </c>
      <c r="C167" t="n">
        <v>3</v>
      </c>
      <c r="D167" t="inlineStr">
        <is>
          <t>3-2</t>
        </is>
      </c>
      <c r="E167" t="n">
        <v>31</v>
      </c>
      <c r="G167" s="90" t="inlineStr">
        <is>
          <t>{role:-1},
{id:-1},{id:-1},{id:-1},{id:-1},{id:-1}
{id:40021},{id:40020}</t>
        </is>
      </c>
      <c r="I167" t="n">
        <v>8845</v>
      </c>
      <c r="J167" s="80" t="inlineStr">
        <is>
          <t>魔力波動</t>
        </is>
      </c>
      <c r="K167" t="inlineStr">
        <is>
          <t>buff</t>
        </is>
      </c>
      <c r="L167" t="n">
        <v>9002</v>
      </c>
      <c r="M167" t="inlineStr">
        <is>
          <t>9,10</t>
        </is>
      </c>
      <c r="O167" t="n">
        <v>0.7</v>
      </c>
      <c r="P167" s="80" t="inlineStr">
        <is>
          <t>禁術警報</t>
        </is>
      </c>
      <c r="Q167" t="inlineStr">
        <is>
          <t>debuff</t>
        </is>
      </c>
      <c r="R167" t="n">
        <v>9007</v>
      </c>
      <c r="S167" t="inlineStr">
        <is>
          <t>1,11,12</t>
        </is>
      </c>
      <c r="U167" t="n">
        <v>0.7</v>
      </c>
      <c r="V167" t="n">
        <v>70001</v>
      </c>
      <c r="W167" t="n">
        <v>1</v>
      </c>
      <c r="X167" t="n">
        <v>1</v>
      </c>
      <c r="Y167" t="n">
        <v>70002</v>
      </c>
      <c r="Z167" t="n">
        <v>1</v>
      </c>
      <c r="AA167" t="n">
        <v>1</v>
      </c>
      <c r="AB167" t="n">
        <v>1001</v>
      </c>
      <c r="AC167" t="n">
        <v>50</v>
      </c>
      <c r="AD167" t="n">
        <v>1</v>
      </c>
      <c r="AE167" t="n">
        <v>8000</v>
      </c>
      <c r="AF167" t="n">
        <v>140</v>
      </c>
      <c r="AG167" t="n">
        <v>1</v>
      </c>
    </row>
    <row r="168" ht="38.25" customHeight="1" s="142">
      <c r="A168" t="n">
        <v>1062</v>
      </c>
      <c r="B168" t="inlineStr">
        <is>
          <t>main</t>
        </is>
      </c>
      <c r="C168" t="n">
        <v>3</v>
      </c>
      <c r="D168" t="inlineStr">
        <is>
          <t>3-3</t>
        </is>
      </c>
      <c r="E168" t="n">
        <v>32</v>
      </c>
      <c r="G168" s="90" t="inlineStr">
        <is>
          <t>{role:-1},
{id:-1},{id:-1},{id:-1},{id:-1},{id:-1}
{id:40021},{id:40017}</t>
        </is>
      </c>
      <c r="I168" t="n">
        <v>8970</v>
      </c>
      <c r="J168" s="80" t="inlineStr">
        <is>
          <t>魔力波動</t>
        </is>
      </c>
      <c r="K168" t="inlineStr">
        <is>
          <t>buff</t>
        </is>
      </c>
      <c r="L168" t="n">
        <v>9008</v>
      </c>
      <c r="M168" t="inlineStr">
        <is>
          <t>1,9,13</t>
        </is>
      </c>
      <c r="O168" t="n">
        <v>0.4</v>
      </c>
      <c r="P168" s="80" t="inlineStr">
        <is>
          <t>禁術警報</t>
        </is>
      </c>
      <c r="Q168" t="inlineStr">
        <is>
          <t>debuff</t>
        </is>
      </c>
      <c r="R168" t="n">
        <v>9004</v>
      </c>
      <c r="S168" t="n">
        <v>7</v>
      </c>
      <c r="U168" t="n">
        <v>0.6</v>
      </c>
      <c r="V168" t="n">
        <v>70001</v>
      </c>
      <c r="W168" t="n">
        <v>1</v>
      </c>
      <c r="X168" t="n">
        <v>1</v>
      </c>
      <c r="Y168" t="n">
        <v>70002</v>
      </c>
      <c r="Z168" t="n">
        <v>1</v>
      </c>
      <c r="AA168" t="n">
        <v>1</v>
      </c>
      <c r="AB168" t="n">
        <v>1001</v>
      </c>
      <c r="AC168" t="n">
        <v>50</v>
      </c>
      <c r="AD168" t="n">
        <v>1</v>
      </c>
      <c r="AE168" t="n">
        <v>8000</v>
      </c>
      <c r="AF168" t="n">
        <v>140</v>
      </c>
      <c r="AG168" t="n">
        <v>1</v>
      </c>
    </row>
    <row r="169" ht="38.25" customHeight="1" s="142">
      <c r="A169" t="n">
        <v>1063</v>
      </c>
      <c r="B169" t="inlineStr">
        <is>
          <t>main</t>
        </is>
      </c>
      <c r="C169" t="n">
        <v>3</v>
      </c>
      <c r="D169" t="inlineStr">
        <is>
          <t>3-4</t>
        </is>
      </c>
      <c r="E169" t="n">
        <v>32</v>
      </c>
      <c r="G169" s="90" t="inlineStr">
        <is>
          <t>{role:-1},
{id:-1},{id:-1},{id:-1},{id:-1},{id:-1}
{id:40020},{id:40017},{id:40019}</t>
        </is>
      </c>
      <c r="I169" t="n">
        <v>9095</v>
      </c>
      <c r="J169" s="80" t="inlineStr">
        <is>
          <t>魔力波動</t>
        </is>
      </c>
      <c r="K169" t="inlineStr">
        <is>
          <t>buff</t>
        </is>
      </c>
      <c r="L169" t="n">
        <v>9011</v>
      </c>
      <c r="M169" t="inlineStr">
        <is>
          <t>7,13</t>
        </is>
      </c>
      <c r="O169" t="n">
        <v>0.8</v>
      </c>
      <c r="P169" s="80" t="inlineStr">
        <is>
          <t>禁術警報</t>
        </is>
      </c>
      <c r="Q169" t="inlineStr">
        <is>
          <t>debuff</t>
        </is>
      </c>
      <c r="R169" t="n">
        <v>9004</v>
      </c>
      <c r="S169" t="n">
        <v>4</v>
      </c>
      <c r="U169" t="n">
        <v>0.5</v>
      </c>
      <c r="V169" t="n">
        <v>70001</v>
      </c>
      <c r="W169" t="n">
        <v>1</v>
      </c>
      <c r="X169" t="n">
        <v>1</v>
      </c>
      <c r="Y169" t="n">
        <v>70002</v>
      </c>
      <c r="Z169" t="n">
        <v>1</v>
      </c>
      <c r="AA169" t="n">
        <v>1</v>
      </c>
      <c r="AB169" t="n">
        <v>1001</v>
      </c>
      <c r="AC169" t="n">
        <v>50</v>
      </c>
      <c r="AD169" t="n">
        <v>1</v>
      </c>
      <c r="AE169" t="n">
        <v>8000</v>
      </c>
      <c r="AF169" t="n">
        <v>140</v>
      </c>
      <c r="AG169" t="n">
        <v>1</v>
      </c>
    </row>
    <row r="170" ht="38.25" customHeight="1" s="142">
      <c r="A170" t="n">
        <v>1064</v>
      </c>
      <c r="B170" t="inlineStr">
        <is>
          <t>main</t>
        </is>
      </c>
      <c r="C170" t="n">
        <v>3</v>
      </c>
      <c r="D170" t="inlineStr">
        <is>
          <t>3-5</t>
        </is>
      </c>
      <c r="E170" t="n">
        <v>33</v>
      </c>
      <c r="G170" s="90" t="inlineStr">
        <is>
          <t>{role:-1},
{id:-1},{id:-1},{id:-1},{id:-1},{id:-1}
{id:40018},{id:40018},{id:40018}</t>
        </is>
      </c>
      <c r="I170" t="n">
        <v>9220</v>
      </c>
      <c r="J170" s="80" t="inlineStr">
        <is>
          <t>魔力波動</t>
        </is>
      </c>
      <c r="K170" t="inlineStr">
        <is>
          <t>buff</t>
        </is>
      </c>
      <c r="L170" t="n">
        <v>9007</v>
      </c>
      <c r="M170" t="n">
        <v>7</v>
      </c>
      <c r="O170" t="n">
        <v>0.4</v>
      </c>
      <c r="P170" s="80" t="inlineStr">
        <is>
          <t>禁術警報</t>
        </is>
      </c>
      <c r="Q170" t="inlineStr">
        <is>
          <t>debuff</t>
        </is>
      </c>
      <c r="R170" t="n">
        <v>9004</v>
      </c>
      <c r="S170" t="n">
        <v>12</v>
      </c>
      <c r="U170" t="n">
        <v>0.7</v>
      </c>
      <c r="V170" t="n">
        <v>70001</v>
      </c>
      <c r="W170" t="n">
        <v>1</v>
      </c>
      <c r="X170" t="n">
        <v>1</v>
      </c>
      <c r="Y170" t="n">
        <v>70002</v>
      </c>
      <c r="Z170" t="n">
        <v>1</v>
      </c>
      <c r="AA170" t="n">
        <v>1</v>
      </c>
      <c r="AB170" t="n">
        <v>1001</v>
      </c>
      <c r="AC170" t="n">
        <v>50</v>
      </c>
      <c r="AD170" t="n">
        <v>1</v>
      </c>
      <c r="AE170" t="n">
        <v>8000</v>
      </c>
      <c r="AF170" t="n">
        <v>150</v>
      </c>
      <c r="AG170" t="n">
        <v>1</v>
      </c>
    </row>
    <row r="171" ht="38.25" customHeight="1" s="142">
      <c r="A171" t="n">
        <v>1065</v>
      </c>
      <c r="B171" t="inlineStr">
        <is>
          <t>main</t>
        </is>
      </c>
      <c r="C171" t="n">
        <v>3</v>
      </c>
      <c r="D171" t="inlineStr">
        <is>
          <t>3-6</t>
        </is>
      </c>
      <c r="E171" t="n">
        <v>33</v>
      </c>
      <c r="G171" s="90" t="inlineStr">
        <is>
          <t>{role:-1},
{id:-1},{id:-1},{id:-1},{id:-1},{id:-1}
{id:40018},{id:40021},{id:40021}</t>
        </is>
      </c>
      <c r="I171" t="n">
        <v>9345</v>
      </c>
      <c r="J171" s="80" t="inlineStr">
        <is>
          <t>魔力波動</t>
        </is>
      </c>
      <c r="K171" t="inlineStr">
        <is>
          <t>buff</t>
        </is>
      </c>
      <c r="L171" t="n">
        <v>9011</v>
      </c>
      <c r="M171" t="n">
        <v>4</v>
      </c>
      <c r="O171" t="n">
        <v>0.5</v>
      </c>
      <c r="P171" s="80" t="inlineStr">
        <is>
          <t>禁術警報</t>
        </is>
      </c>
      <c r="Q171" t="inlineStr">
        <is>
          <t>debuff</t>
        </is>
      </c>
      <c r="R171" t="n">
        <v>9008</v>
      </c>
      <c r="S171" t="n">
        <v>12</v>
      </c>
      <c r="U171" t="n">
        <v>0.6</v>
      </c>
      <c r="V171" t="n">
        <v>70001</v>
      </c>
      <c r="W171" t="n">
        <v>1</v>
      </c>
      <c r="X171" t="n">
        <v>1</v>
      </c>
      <c r="Y171" t="n">
        <v>70002</v>
      </c>
      <c r="Z171" t="n">
        <v>1</v>
      </c>
      <c r="AA171" t="n">
        <v>1</v>
      </c>
      <c r="AB171" t="n">
        <v>1001</v>
      </c>
      <c r="AC171" t="n">
        <v>50</v>
      </c>
      <c r="AD171" t="n">
        <v>1</v>
      </c>
      <c r="AE171" t="n">
        <v>8000</v>
      </c>
      <c r="AF171" t="n">
        <v>150</v>
      </c>
      <c r="AG171" t="n">
        <v>1</v>
      </c>
    </row>
    <row r="172" ht="38.25" customHeight="1" s="142">
      <c r="A172" t="n">
        <v>1066</v>
      </c>
      <c r="B172" t="inlineStr">
        <is>
          <t>main</t>
        </is>
      </c>
      <c r="C172" t="n">
        <v>3</v>
      </c>
      <c r="D172" t="inlineStr">
        <is>
          <t>3-7</t>
        </is>
      </c>
      <c r="E172" t="n">
        <v>34</v>
      </c>
      <c r="G172" s="90" t="inlineStr">
        <is>
          <t>{role:-1},
{id:-1},{id:-1},{id:-1},{id:-1},{id:-1}
{id:40021},{id:40018},{id:40017}</t>
        </is>
      </c>
      <c r="I172" t="n">
        <v>9470</v>
      </c>
      <c r="J172" s="80" t="inlineStr">
        <is>
          <t>魔力波動</t>
        </is>
      </c>
      <c r="K172" t="inlineStr">
        <is>
          <t>buff</t>
        </is>
      </c>
      <c r="L172" t="n">
        <v>9012</v>
      </c>
      <c r="M172" t="inlineStr">
        <is>
          <t>11,12</t>
        </is>
      </c>
      <c r="O172" t="n">
        <v>0.9</v>
      </c>
      <c r="P172" s="80" t="inlineStr">
        <is>
          <t>禁術警報</t>
        </is>
      </c>
      <c r="Q172" t="inlineStr">
        <is>
          <t>debuff</t>
        </is>
      </c>
      <c r="R172" t="n">
        <v>9008</v>
      </c>
      <c r="S172" t="inlineStr">
        <is>
          <t>12,13</t>
        </is>
      </c>
      <c r="U172" t="n">
        <v>0.6</v>
      </c>
      <c r="V172" t="n">
        <v>70001</v>
      </c>
      <c r="W172" t="n">
        <v>1</v>
      </c>
      <c r="X172" t="n">
        <v>1</v>
      </c>
      <c r="Y172" t="n">
        <v>70002</v>
      </c>
      <c r="Z172" t="n">
        <v>1</v>
      </c>
      <c r="AA172" t="n">
        <v>1</v>
      </c>
      <c r="AB172" t="n">
        <v>1001</v>
      </c>
      <c r="AC172" t="n">
        <v>50</v>
      </c>
      <c r="AD172" t="n">
        <v>1</v>
      </c>
      <c r="AE172" t="n">
        <v>8000</v>
      </c>
      <c r="AF172" t="n">
        <v>150</v>
      </c>
      <c r="AG172" t="n">
        <v>1</v>
      </c>
    </row>
    <row r="173" ht="38.25" customHeight="1" s="142">
      <c r="A173" t="n">
        <v>1067</v>
      </c>
      <c r="B173" t="inlineStr">
        <is>
          <t>main</t>
        </is>
      </c>
      <c r="C173" t="n">
        <v>3</v>
      </c>
      <c r="D173" t="inlineStr">
        <is>
          <t>3-8</t>
        </is>
      </c>
      <c r="E173" t="n">
        <v>34</v>
      </c>
      <c r="G173" s="90" t="inlineStr">
        <is>
          <t>{role:-1},
{id:-1},{id:-1},{id:-1},{id:-1},{id:-1}
{id:40018},{id:40021},{id:40017}</t>
        </is>
      </c>
      <c r="I173" t="n">
        <v>9595</v>
      </c>
      <c r="J173" s="80" t="inlineStr">
        <is>
          <t>魔力波動</t>
        </is>
      </c>
      <c r="K173" t="inlineStr">
        <is>
          <t>buff</t>
        </is>
      </c>
      <c r="L173" t="n">
        <v>9012</v>
      </c>
      <c r="M173" t="n">
        <v>6</v>
      </c>
      <c r="O173" t="n">
        <v>0.6</v>
      </c>
      <c r="P173" s="80" t="inlineStr">
        <is>
          <t>禁術警報</t>
        </is>
      </c>
      <c r="Q173" t="inlineStr">
        <is>
          <t>debuff</t>
        </is>
      </c>
      <c r="R173" t="n">
        <v>9003</v>
      </c>
      <c r="S173" t="inlineStr">
        <is>
          <t>3,4,7</t>
        </is>
      </c>
      <c r="U173" t="n">
        <v>0.8</v>
      </c>
      <c r="V173" t="n">
        <v>70001</v>
      </c>
      <c r="W173" t="n">
        <v>1</v>
      </c>
      <c r="X173" t="n">
        <v>1</v>
      </c>
      <c r="Y173" t="n">
        <v>70002</v>
      </c>
      <c r="Z173" t="n">
        <v>1</v>
      </c>
      <c r="AA173" t="n">
        <v>1</v>
      </c>
      <c r="AB173" t="n">
        <v>1001</v>
      </c>
      <c r="AC173" t="n">
        <v>50</v>
      </c>
      <c r="AD173" t="n">
        <v>1</v>
      </c>
      <c r="AE173" t="n">
        <v>8000</v>
      </c>
      <c r="AF173" t="n">
        <v>160</v>
      </c>
      <c r="AG173" t="n">
        <v>1</v>
      </c>
    </row>
    <row r="174" ht="38.25" customHeight="1" s="142">
      <c r="A174" t="n">
        <v>1068</v>
      </c>
      <c r="B174" t="inlineStr">
        <is>
          <t>main</t>
        </is>
      </c>
      <c r="C174" t="n">
        <v>3</v>
      </c>
      <c r="D174" t="inlineStr">
        <is>
          <t>3-9</t>
        </is>
      </c>
      <c r="E174" t="n">
        <v>35</v>
      </c>
      <c r="G174" s="90" t="inlineStr">
        <is>
          <t>{role:-1},
{id:-1},{id:-1},{id:-1},{id:-1},{id:-1}
{id:40020},{id:40021},{id:40021}</t>
        </is>
      </c>
      <c r="I174" t="n">
        <v>9720</v>
      </c>
      <c r="J174" s="80" t="inlineStr">
        <is>
          <t>魔力波動</t>
        </is>
      </c>
      <c r="K174" t="inlineStr">
        <is>
          <t>buff</t>
        </is>
      </c>
      <c r="L174" t="n">
        <v>9001</v>
      </c>
      <c r="M174" t="inlineStr">
        <is>
          <t>10,11</t>
        </is>
      </c>
      <c r="O174" t="n">
        <v>0.5</v>
      </c>
      <c r="P174" s="80" t="inlineStr">
        <is>
          <t>禁術警報</t>
        </is>
      </c>
      <c r="Q174" t="inlineStr">
        <is>
          <t>debuff</t>
        </is>
      </c>
      <c r="R174" t="n">
        <v>9004</v>
      </c>
      <c r="S174" t="inlineStr">
        <is>
          <t>7,11</t>
        </is>
      </c>
      <c r="U174" t="n">
        <v>0.5</v>
      </c>
      <c r="V174" t="n">
        <v>70001</v>
      </c>
      <c r="W174" t="n">
        <v>1</v>
      </c>
      <c r="X174" t="n">
        <v>1</v>
      </c>
      <c r="Y174" t="n">
        <v>70002</v>
      </c>
      <c r="Z174" t="n">
        <v>1</v>
      </c>
      <c r="AA174" t="n">
        <v>1</v>
      </c>
      <c r="AB174" t="n">
        <v>1001</v>
      </c>
      <c r="AC174" t="n">
        <v>50</v>
      </c>
      <c r="AD174" t="n">
        <v>1</v>
      </c>
      <c r="AE174" t="n">
        <v>8000</v>
      </c>
      <c r="AF174" t="n">
        <v>160</v>
      </c>
      <c r="AG174" t="n">
        <v>1</v>
      </c>
    </row>
    <row r="175" ht="38.25" customHeight="1" s="142">
      <c r="A175" t="n">
        <v>1069</v>
      </c>
      <c r="B175" t="inlineStr">
        <is>
          <t>main</t>
        </is>
      </c>
      <c r="C175" t="n">
        <v>3</v>
      </c>
      <c r="D175" t="inlineStr">
        <is>
          <t>3-10</t>
        </is>
      </c>
      <c r="E175" t="n">
        <v>35</v>
      </c>
      <c r="G175" s="90" t="inlineStr">
        <is>
          <t>{role:-1},
{id:-1},{id:-1},{id:-1},{id:-1},{id:-1}
{id:40018},{id:40019},{id:40017},{id:40021}</t>
        </is>
      </c>
      <c r="I175" t="n">
        <v>9845</v>
      </c>
      <c r="J175" s="80" t="inlineStr">
        <is>
          <t>魔力波動</t>
        </is>
      </c>
      <c r="K175" t="inlineStr">
        <is>
          <t>buff</t>
        </is>
      </c>
      <c r="L175" t="n">
        <v>9008</v>
      </c>
      <c r="M175" t="inlineStr">
        <is>
          <t>1,13</t>
        </is>
      </c>
      <c r="O175" t="n">
        <v>0.9</v>
      </c>
      <c r="P175" s="80" t="inlineStr">
        <is>
          <t>禁術警報</t>
        </is>
      </c>
      <c r="Q175" t="inlineStr">
        <is>
          <t>debuff</t>
        </is>
      </c>
      <c r="R175" t="n">
        <v>9010</v>
      </c>
      <c r="S175" t="inlineStr">
        <is>
          <t>1,8</t>
        </is>
      </c>
      <c r="U175" t="n">
        <v>0.2</v>
      </c>
      <c r="V175" t="n">
        <v>70001</v>
      </c>
      <c r="W175" t="n">
        <v>1</v>
      </c>
      <c r="X175" t="n">
        <v>1</v>
      </c>
      <c r="Y175" t="n">
        <v>70002</v>
      </c>
      <c r="Z175" t="n">
        <v>1</v>
      </c>
      <c r="AA175" t="n">
        <v>1</v>
      </c>
      <c r="AB175" t="n">
        <v>1001</v>
      </c>
      <c r="AC175" t="n">
        <v>50</v>
      </c>
      <c r="AD175" t="n">
        <v>1</v>
      </c>
      <c r="AE175" t="n">
        <v>8000</v>
      </c>
      <c r="AF175" t="n">
        <v>160</v>
      </c>
      <c r="AG175" t="n">
        <v>1</v>
      </c>
    </row>
    <row r="176" ht="38.25" customHeight="1" s="142">
      <c r="A176" t="n">
        <v>1070</v>
      </c>
      <c r="B176" t="inlineStr">
        <is>
          <t>main</t>
        </is>
      </c>
      <c r="C176" t="n">
        <v>3</v>
      </c>
      <c r="D176" t="inlineStr">
        <is>
          <t>3-11</t>
        </is>
      </c>
      <c r="E176" t="n">
        <v>36</v>
      </c>
      <c r="G176" s="90" t="inlineStr">
        <is>
          <t>{role:-1},
{id:-1},{id:-1},{id:-1},{id:-1},{id:-1}
{id:40021},{id:40018},{id:40018},{id:40020}</t>
        </is>
      </c>
      <c r="I176" t="n">
        <v>9970</v>
      </c>
      <c r="J176" s="80" t="inlineStr">
        <is>
          <t>魔力波動</t>
        </is>
      </c>
      <c r="K176" t="inlineStr">
        <is>
          <t>buff</t>
        </is>
      </c>
      <c r="L176" t="n">
        <v>9002</v>
      </c>
      <c r="M176" t="inlineStr">
        <is>
          <t>2,6,8</t>
        </is>
      </c>
      <c r="O176" t="n">
        <v>0.7</v>
      </c>
      <c r="P176" s="80" t="inlineStr">
        <is>
          <t>禁術警報</t>
        </is>
      </c>
      <c r="Q176" t="inlineStr">
        <is>
          <t>debuff</t>
        </is>
      </c>
      <c r="R176" t="n">
        <v>9007</v>
      </c>
      <c r="S176" t="inlineStr">
        <is>
          <t>1,5</t>
        </is>
      </c>
      <c r="U176" t="n">
        <v>1</v>
      </c>
      <c r="V176" t="n">
        <v>70001</v>
      </c>
      <c r="W176" t="n">
        <v>1</v>
      </c>
      <c r="X176" t="n">
        <v>1</v>
      </c>
      <c r="Y176" t="n">
        <v>70002</v>
      </c>
      <c r="Z176" t="n">
        <v>1</v>
      </c>
      <c r="AA176" t="n">
        <v>1</v>
      </c>
      <c r="AB176" t="n">
        <v>1001</v>
      </c>
      <c r="AC176" t="n">
        <v>50</v>
      </c>
      <c r="AD176" t="n">
        <v>1</v>
      </c>
      <c r="AE176" t="n">
        <v>8000</v>
      </c>
      <c r="AF176" t="n">
        <v>160</v>
      </c>
      <c r="AG176" t="n">
        <v>1</v>
      </c>
    </row>
    <row r="177" ht="38.25" customHeight="1" s="142">
      <c r="A177" t="n">
        <v>1071</v>
      </c>
      <c r="B177" t="inlineStr">
        <is>
          <t>main</t>
        </is>
      </c>
      <c r="C177" t="n">
        <v>3</v>
      </c>
      <c r="D177" t="inlineStr">
        <is>
          <t>3-12</t>
        </is>
      </c>
      <c r="E177" t="n">
        <v>36</v>
      </c>
      <c r="G177" s="90" t="inlineStr">
        <is>
          <t>{role:-1},
{id:-1},{id:-1},{id:-1},{id:-1},{id:-1}
{id:40020},{id:40019},{id:40021},{id:40019}</t>
        </is>
      </c>
      <c r="I177" t="n">
        <v>10095</v>
      </c>
      <c r="J177" s="80" t="inlineStr">
        <is>
          <t>魔力波動</t>
        </is>
      </c>
      <c r="K177" t="inlineStr">
        <is>
          <t>buff</t>
        </is>
      </c>
      <c r="L177" t="n">
        <v>9005</v>
      </c>
      <c r="M177" t="inlineStr">
        <is>
          <t>4,12</t>
        </is>
      </c>
      <c r="O177" t="n">
        <v>0.8</v>
      </c>
      <c r="P177" s="80" t="inlineStr">
        <is>
          <t>禁術警報</t>
        </is>
      </c>
      <c r="Q177" t="inlineStr">
        <is>
          <t>debuff</t>
        </is>
      </c>
      <c r="R177" t="n">
        <v>9012</v>
      </c>
      <c r="S177" t="inlineStr">
        <is>
          <t>2,5</t>
        </is>
      </c>
      <c r="U177" t="n">
        <v>0.6</v>
      </c>
      <c r="V177" t="n">
        <v>70001</v>
      </c>
      <c r="W177" t="n">
        <v>1</v>
      </c>
      <c r="X177" t="n">
        <v>1</v>
      </c>
      <c r="Y177" t="n">
        <v>70002</v>
      </c>
      <c r="Z177" t="n">
        <v>1</v>
      </c>
      <c r="AA177" t="n">
        <v>1</v>
      </c>
      <c r="AB177" t="n">
        <v>1001</v>
      </c>
      <c r="AC177" t="n">
        <v>50</v>
      </c>
      <c r="AD177" t="n">
        <v>1</v>
      </c>
      <c r="AE177" t="n">
        <v>8000</v>
      </c>
      <c r="AF177" t="n">
        <v>170</v>
      </c>
      <c r="AG177" t="n">
        <v>1</v>
      </c>
    </row>
    <row r="178" ht="38.25" customHeight="1" s="142">
      <c r="A178" t="n">
        <v>1072</v>
      </c>
      <c r="B178" t="inlineStr">
        <is>
          <t>main</t>
        </is>
      </c>
      <c r="C178" t="n">
        <v>3</v>
      </c>
      <c r="D178" t="inlineStr">
        <is>
          <t>3-13</t>
        </is>
      </c>
      <c r="E178" t="n">
        <v>37</v>
      </c>
      <c r="G178" s="90" t="inlineStr">
        <is>
          <t>{role:-1},
{id:-1},{id:-1},{id:-1},{id:-1},{id:-1}
{id:40018},{id:40020},{id:40017},{id:40020},{id:40017}</t>
        </is>
      </c>
      <c r="I178" t="n">
        <v>10220</v>
      </c>
      <c r="J178" s="80" t="inlineStr">
        <is>
          <t>魔力波動</t>
        </is>
      </c>
      <c r="K178" t="inlineStr">
        <is>
          <t>buff</t>
        </is>
      </c>
      <c r="L178" t="n">
        <v>9008</v>
      </c>
      <c r="M178" t="n">
        <v>6</v>
      </c>
      <c r="O178" t="n">
        <v>0.3</v>
      </c>
      <c r="P178" s="80" t="inlineStr">
        <is>
          <t>禁術警報</t>
        </is>
      </c>
      <c r="Q178" t="inlineStr">
        <is>
          <t>debuff</t>
        </is>
      </c>
      <c r="R178" t="n">
        <v>9007</v>
      </c>
      <c r="S178" t="n">
        <v>1</v>
      </c>
      <c r="U178" t="n">
        <v>0.9</v>
      </c>
      <c r="V178" t="n">
        <v>70001</v>
      </c>
      <c r="W178" t="n">
        <v>1</v>
      </c>
      <c r="X178" t="n">
        <v>1</v>
      </c>
      <c r="Y178" t="n">
        <v>70002</v>
      </c>
      <c r="Z178" t="n">
        <v>1</v>
      </c>
      <c r="AA178" t="n">
        <v>1</v>
      </c>
      <c r="AB178" t="n">
        <v>1001</v>
      </c>
      <c r="AC178" t="n">
        <v>50</v>
      </c>
      <c r="AD178" t="n">
        <v>1</v>
      </c>
      <c r="AE178" t="n">
        <v>8000</v>
      </c>
      <c r="AF178" t="n">
        <v>170</v>
      </c>
      <c r="AG178" t="n">
        <v>1</v>
      </c>
    </row>
    <row r="179" ht="38.25" customHeight="1" s="142">
      <c r="A179" t="n">
        <v>1073</v>
      </c>
      <c r="B179" t="inlineStr">
        <is>
          <t>main</t>
        </is>
      </c>
      <c r="C179" t="n">
        <v>3</v>
      </c>
      <c r="D179" t="inlineStr">
        <is>
          <t>3-14</t>
        </is>
      </c>
      <c r="E179" t="n">
        <v>37</v>
      </c>
      <c r="G179" s="90" t="inlineStr">
        <is>
          <t>{role:-1},
{id:-1},{id:-1},{id:-1},{id:-1},{id:-1}
{id:40019},{id:40018},{id:40018},{id:40018},{id:40019}</t>
        </is>
      </c>
      <c r="I179" t="n">
        <v>10345</v>
      </c>
      <c r="J179" s="80" t="inlineStr">
        <is>
          <t>魔力波動</t>
        </is>
      </c>
      <c r="K179" t="inlineStr">
        <is>
          <t>buff</t>
        </is>
      </c>
      <c r="L179" t="n">
        <v>9002</v>
      </c>
      <c r="M179" t="n">
        <v>4</v>
      </c>
      <c r="O179" t="n">
        <v>0.9</v>
      </c>
      <c r="P179" s="80" t="inlineStr">
        <is>
          <t>禁術警報</t>
        </is>
      </c>
      <c r="Q179" t="inlineStr">
        <is>
          <t>debuff</t>
        </is>
      </c>
      <c r="R179" t="n">
        <v>9004</v>
      </c>
      <c r="S179" t="n">
        <v>6</v>
      </c>
      <c r="U179" t="n">
        <v>0.8</v>
      </c>
      <c r="V179" t="n">
        <v>70001</v>
      </c>
      <c r="W179" t="n">
        <v>1</v>
      </c>
      <c r="X179" t="n">
        <v>1</v>
      </c>
      <c r="Y179" t="n">
        <v>70002</v>
      </c>
      <c r="Z179" t="n">
        <v>1</v>
      </c>
      <c r="AA179" t="n">
        <v>1</v>
      </c>
      <c r="AB179" t="n">
        <v>1001</v>
      </c>
      <c r="AC179" t="n">
        <v>50</v>
      </c>
      <c r="AD179" t="n">
        <v>1</v>
      </c>
      <c r="AE179" t="n">
        <v>8000</v>
      </c>
      <c r="AF179" t="n">
        <v>170</v>
      </c>
      <c r="AG179" t="n">
        <v>1</v>
      </c>
    </row>
    <row r="180" ht="38.25" customHeight="1" s="142">
      <c r="A180" t="n">
        <v>1074</v>
      </c>
      <c r="B180" t="inlineStr">
        <is>
          <t>main</t>
        </is>
      </c>
      <c r="C180" t="n">
        <v>3</v>
      </c>
      <c r="D180" t="inlineStr">
        <is>
          <t>3-15</t>
        </is>
      </c>
      <c r="E180" t="n">
        <v>38</v>
      </c>
      <c r="G180" s="90" t="inlineStr">
        <is>
          <t>{role:-1},
{id:-1},{id:-1},{id:-1},{id:-1},{id:-1}
{id:40017},{id:40018},{id:40017},{id:40021},{id:40017}</t>
        </is>
      </c>
      <c r="I180" t="n">
        <v>10470</v>
      </c>
      <c r="J180" s="80" t="inlineStr">
        <is>
          <t>魔力波動</t>
        </is>
      </c>
      <c r="K180" t="inlineStr">
        <is>
          <t>buff</t>
        </is>
      </c>
      <c r="L180" t="n">
        <v>9011</v>
      </c>
      <c r="M180" t="n">
        <v>13</v>
      </c>
      <c r="O180" t="n">
        <v>0.4</v>
      </c>
      <c r="P180" s="80" t="inlineStr">
        <is>
          <t>禁術警報</t>
        </is>
      </c>
      <c r="Q180" t="inlineStr">
        <is>
          <t>debuff</t>
        </is>
      </c>
      <c r="R180" t="n">
        <v>9007</v>
      </c>
      <c r="S180" t="n">
        <v>3</v>
      </c>
      <c r="U180" t="n">
        <v>0.3</v>
      </c>
      <c r="V180" t="n">
        <v>70001</v>
      </c>
      <c r="W180" t="n">
        <v>1</v>
      </c>
      <c r="X180" t="n">
        <v>1</v>
      </c>
      <c r="Y180" t="n">
        <v>70002</v>
      </c>
      <c r="Z180" t="n">
        <v>1</v>
      </c>
      <c r="AA180" t="n">
        <v>1</v>
      </c>
      <c r="AB180" t="n">
        <v>1001</v>
      </c>
      <c r="AC180" t="n">
        <v>50</v>
      </c>
      <c r="AD180" t="n">
        <v>1</v>
      </c>
      <c r="AE180" t="n">
        <v>8000</v>
      </c>
      <c r="AF180" t="n">
        <v>180</v>
      </c>
      <c r="AG180" t="n">
        <v>1</v>
      </c>
    </row>
    <row r="181" ht="38.25" customHeight="1" s="142">
      <c r="A181" t="n">
        <v>1075</v>
      </c>
      <c r="B181" t="inlineStr">
        <is>
          <t>main</t>
        </is>
      </c>
      <c r="C181" t="n">
        <v>3</v>
      </c>
      <c r="D181" t="inlineStr">
        <is>
          <t>3-16</t>
        </is>
      </c>
      <c r="E181" t="n">
        <v>38</v>
      </c>
      <c r="G181" s="90" t="inlineStr">
        <is>
          <t>{role:-1},
{id:-1},{id:-1},{id:-1},{id:-1},{id:-1}
{id:40018},{id:40019},{id:40020},{id:40020},{id:40019}</t>
        </is>
      </c>
      <c r="I181" t="n">
        <v>10595</v>
      </c>
      <c r="J181" s="80" t="inlineStr">
        <is>
          <t>魔力波動</t>
        </is>
      </c>
      <c r="K181" t="inlineStr">
        <is>
          <t>buff</t>
        </is>
      </c>
      <c r="L181" t="n">
        <v>9005</v>
      </c>
      <c r="M181" t="inlineStr">
        <is>
          <t>9,10</t>
        </is>
      </c>
      <c r="O181" t="n">
        <v>0.7</v>
      </c>
      <c r="P181" s="80" t="inlineStr">
        <is>
          <t>禁術警報</t>
        </is>
      </c>
      <c r="Q181" t="inlineStr">
        <is>
          <t>debuff</t>
        </is>
      </c>
      <c r="R181" t="n">
        <v>9004</v>
      </c>
      <c r="S181" t="inlineStr">
        <is>
          <t>1,3,13</t>
        </is>
      </c>
      <c r="U181" t="n">
        <v>0.7</v>
      </c>
      <c r="V181" t="n">
        <v>70001</v>
      </c>
      <c r="W181" t="n">
        <v>1</v>
      </c>
      <c r="X181" t="n">
        <v>1</v>
      </c>
      <c r="Y181" t="n">
        <v>70002</v>
      </c>
      <c r="Z181" t="n">
        <v>1</v>
      </c>
      <c r="AA181" t="n">
        <v>1</v>
      </c>
      <c r="AB181" t="n">
        <v>1001</v>
      </c>
      <c r="AC181" t="n">
        <v>50</v>
      </c>
      <c r="AD181" t="n">
        <v>1</v>
      </c>
      <c r="AE181" t="n">
        <v>8000</v>
      </c>
      <c r="AF181" t="n">
        <v>180</v>
      </c>
      <c r="AG181" t="n">
        <v>1</v>
      </c>
    </row>
    <row r="182" ht="38.25" customHeight="1" s="142">
      <c r="A182" t="n">
        <v>1076</v>
      </c>
      <c r="B182" t="inlineStr">
        <is>
          <t>main</t>
        </is>
      </c>
      <c r="C182" t="n">
        <v>3</v>
      </c>
      <c r="D182" t="inlineStr">
        <is>
          <t>3-17</t>
        </is>
      </c>
      <c r="E182" t="n">
        <v>39</v>
      </c>
      <c r="G182" s="90" t="inlineStr">
        <is>
          <t>{role:-1},
{id:-1},{id:-1},{id:-1},{id:-1},{id:-1}
{id:40020},{id:40017},{id:40018},{id:40019},{id:40019}</t>
        </is>
      </c>
      <c r="I182" t="n">
        <v>10720</v>
      </c>
      <c r="J182" s="80" t="inlineStr">
        <is>
          <t>魔力波動</t>
        </is>
      </c>
      <c r="K182" t="inlineStr">
        <is>
          <t>buff</t>
        </is>
      </c>
      <c r="L182" t="n">
        <v>9006</v>
      </c>
      <c r="M182" t="n">
        <v>11</v>
      </c>
      <c r="O182" t="n">
        <v>0.2</v>
      </c>
      <c r="P182" s="80" t="inlineStr">
        <is>
          <t>禁術警報</t>
        </is>
      </c>
      <c r="Q182" t="inlineStr">
        <is>
          <t>debuff</t>
        </is>
      </c>
      <c r="R182" t="n">
        <v>9007</v>
      </c>
      <c r="S182" t="n">
        <v>13</v>
      </c>
      <c r="U182" t="n">
        <v>0.3</v>
      </c>
      <c r="V182" t="n">
        <v>70001</v>
      </c>
      <c r="W182" t="n">
        <v>1</v>
      </c>
      <c r="X182" t="n">
        <v>1</v>
      </c>
      <c r="Y182" t="n">
        <v>70002</v>
      </c>
      <c r="Z182" t="n">
        <v>1</v>
      </c>
      <c r="AA182" t="n">
        <v>1</v>
      </c>
      <c r="AB182" t="n">
        <v>1001</v>
      </c>
      <c r="AC182" t="n">
        <v>50</v>
      </c>
      <c r="AD182" t="n">
        <v>1</v>
      </c>
      <c r="AE182" t="n">
        <v>8000</v>
      </c>
      <c r="AF182" t="n">
        <v>180</v>
      </c>
      <c r="AG182" t="n">
        <v>1</v>
      </c>
    </row>
    <row r="183" ht="38.25" customHeight="1" s="142">
      <c r="A183" t="n">
        <v>1077</v>
      </c>
      <c r="B183" t="inlineStr">
        <is>
          <t>main</t>
        </is>
      </c>
      <c r="C183" t="n">
        <v>3</v>
      </c>
      <c r="D183" t="inlineStr">
        <is>
          <t>3-18</t>
        </is>
      </c>
      <c r="E183" t="n">
        <v>39</v>
      </c>
      <c r="G183" s="90" t="inlineStr">
        <is>
          <t>{role:-1},
{id:-1},{id:-1},{id:-1},{id:-1},{id:-1}
{id:40017},{id:40021},{id:40020},{id:40019},{id:40020}</t>
        </is>
      </c>
      <c r="I183" t="n">
        <v>10845</v>
      </c>
      <c r="J183" s="80" t="inlineStr">
        <is>
          <t>魔力波動</t>
        </is>
      </c>
      <c r="K183" t="inlineStr">
        <is>
          <t>buff</t>
        </is>
      </c>
      <c r="L183" t="n">
        <v>9012</v>
      </c>
      <c r="M183" t="inlineStr">
        <is>
          <t>6,9,10</t>
        </is>
      </c>
      <c r="O183" t="n">
        <v>0.6</v>
      </c>
      <c r="P183" s="80" t="inlineStr">
        <is>
          <t>禁術警報</t>
        </is>
      </c>
      <c r="Q183" t="inlineStr">
        <is>
          <t>debuff</t>
        </is>
      </c>
      <c r="R183" t="n">
        <v>9004</v>
      </c>
      <c r="S183" t="inlineStr">
        <is>
          <t>5,13</t>
        </is>
      </c>
      <c r="U183" t="n">
        <v>0.4</v>
      </c>
      <c r="V183" t="n">
        <v>70001</v>
      </c>
      <c r="W183" t="n">
        <v>1</v>
      </c>
      <c r="X183" t="n">
        <v>1</v>
      </c>
      <c r="Y183" t="n">
        <v>70002</v>
      </c>
      <c r="Z183" t="n">
        <v>1</v>
      </c>
      <c r="AA183" t="n">
        <v>1</v>
      </c>
      <c r="AB183" t="n">
        <v>1001</v>
      </c>
      <c r="AC183" t="n">
        <v>50</v>
      </c>
      <c r="AD183" t="n">
        <v>1</v>
      </c>
      <c r="AE183" t="n">
        <v>8000</v>
      </c>
      <c r="AF183" t="n">
        <v>190</v>
      </c>
      <c r="AG183" t="n">
        <v>1</v>
      </c>
    </row>
    <row r="184" ht="38.25" customHeight="1" s="142">
      <c r="A184" t="n">
        <v>1078</v>
      </c>
      <c r="B184" t="inlineStr">
        <is>
          <t>main</t>
        </is>
      </c>
      <c r="C184" t="n">
        <v>3</v>
      </c>
      <c r="D184" t="inlineStr">
        <is>
          <t>3-19</t>
        </is>
      </c>
      <c r="E184" t="n">
        <v>40</v>
      </c>
      <c r="G184" s="90" t="inlineStr">
        <is>
          <t>{role:-1},
{id:-1},{id:-1},{id:-1},{id:-1},{id:-1}
{id:40020},{id:40019},{id:40017},{id:40021},{id:40020}</t>
        </is>
      </c>
      <c r="I184" t="n">
        <v>10970</v>
      </c>
      <c r="J184" s="80" t="inlineStr">
        <is>
          <t>魔力波動</t>
        </is>
      </c>
      <c r="K184" t="inlineStr">
        <is>
          <t>buff</t>
        </is>
      </c>
      <c r="L184" t="n">
        <v>9008</v>
      </c>
      <c r="M184" t="inlineStr">
        <is>
          <t>1,9,11</t>
        </is>
      </c>
      <c r="O184" t="n">
        <v>0.7</v>
      </c>
      <c r="P184" s="80" t="inlineStr">
        <is>
          <t>禁術警報</t>
        </is>
      </c>
      <c r="Q184" t="inlineStr">
        <is>
          <t>debuff</t>
        </is>
      </c>
      <c r="R184" t="n">
        <v>9003</v>
      </c>
      <c r="S184" t="inlineStr">
        <is>
          <t>6,7</t>
        </is>
      </c>
      <c r="U184" t="n">
        <v>0.5</v>
      </c>
      <c r="V184" t="n">
        <v>70001</v>
      </c>
      <c r="W184" t="n">
        <v>1</v>
      </c>
      <c r="X184" t="n">
        <v>1</v>
      </c>
      <c r="Y184" t="n">
        <v>70002</v>
      </c>
      <c r="Z184" t="n">
        <v>1</v>
      </c>
      <c r="AA184" t="n">
        <v>1</v>
      </c>
      <c r="AB184" t="n">
        <v>1001</v>
      </c>
      <c r="AC184" t="n">
        <v>50</v>
      </c>
      <c r="AD184" t="n">
        <v>1</v>
      </c>
      <c r="AE184" t="n">
        <v>8000</v>
      </c>
      <c r="AF184" t="n">
        <v>190</v>
      </c>
      <c r="AG184" t="n">
        <v>1</v>
      </c>
    </row>
    <row r="185" ht="38.25" customHeight="1" s="142">
      <c r="A185" t="n">
        <v>1079</v>
      </c>
      <c r="B185" t="inlineStr">
        <is>
          <t>main</t>
        </is>
      </c>
      <c r="C185" t="n">
        <v>3</v>
      </c>
      <c r="D185" t="inlineStr">
        <is>
          <t>3-20</t>
        </is>
      </c>
      <c r="E185" t="n">
        <v>40</v>
      </c>
      <c r="G185" s="90" t="inlineStr">
        <is>
          <t>{role:-1},
{id:-1},{id:-1},{id:-1},{id:-1},{id:-1}
{id:40017},{id:40020},{id:40021},{id:40021},{id:40020}</t>
        </is>
      </c>
      <c r="I185" t="n">
        <v>11095</v>
      </c>
      <c r="J185" s="80" t="inlineStr">
        <is>
          <t>魔力波動</t>
        </is>
      </c>
      <c r="K185" t="inlineStr">
        <is>
          <t>buff</t>
        </is>
      </c>
      <c r="L185" t="n">
        <v>9012</v>
      </c>
      <c r="M185" t="inlineStr">
        <is>
          <t>1,8,13</t>
        </is>
      </c>
      <c r="O185" t="n">
        <v>0.6</v>
      </c>
      <c r="P185" s="80" t="inlineStr">
        <is>
          <t>禁術警報</t>
        </is>
      </c>
      <c r="Q185" t="inlineStr">
        <is>
          <t>debuff</t>
        </is>
      </c>
      <c r="R185" t="n">
        <v>9008</v>
      </c>
      <c r="S185" t="inlineStr">
        <is>
          <t>2,10</t>
        </is>
      </c>
      <c r="U185" t="n">
        <v>1</v>
      </c>
      <c r="V185" t="n">
        <v>70001</v>
      </c>
      <c r="W185" t="n">
        <v>1</v>
      </c>
      <c r="X185" t="n">
        <v>1</v>
      </c>
      <c r="Y185" t="n">
        <v>70002</v>
      </c>
      <c r="Z185" t="n">
        <v>1</v>
      </c>
      <c r="AA185" t="n">
        <v>1</v>
      </c>
      <c r="AB185" t="n">
        <v>1001</v>
      </c>
      <c r="AC185" t="n">
        <v>50</v>
      </c>
      <c r="AD185" t="n">
        <v>1</v>
      </c>
      <c r="AE185" t="n">
        <v>8000</v>
      </c>
      <c r="AF185" t="n">
        <v>190</v>
      </c>
      <c r="AG185" t="n">
        <v>1</v>
      </c>
    </row>
    <row r="186" ht="38.25" customHeight="1" s="142">
      <c r="A186" t="n">
        <v>1080</v>
      </c>
      <c r="B186" t="inlineStr">
        <is>
          <t>main</t>
        </is>
      </c>
      <c r="C186" t="n">
        <v>3</v>
      </c>
      <c r="D186" t="inlineStr">
        <is>
          <t>3-21</t>
        </is>
      </c>
      <c r="E186" t="n">
        <v>41</v>
      </c>
      <c r="G186" s="90" t="inlineStr">
        <is>
          <t>{role:-1},
{id:-1},{id:-1},{id:-1},{id:-1},{id:-1}
{id:40020},{id:40018},{id:40021},{id:40020},{id:40021}</t>
        </is>
      </c>
      <c r="I186" t="n">
        <v>11220</v>
      </c>
      <c r="J186" s="80" t="inlineStr">
        <is>
          <t>魔力波動</t>
        </is>
      </c>
      <c r="K186" t="inlineStr">
        <is>
          <t>buff</t>
        </is>
      </c>
      <c r="L186" t="n">
        <v>9006</v>
      </c>
      <c r="M186" t="inlineStr">
        <is>
          <t>1,13</t>
        </is>
      </c>
      <c r="O186" t="n">
        <v>0.6</v>
      </c>
      <c r="P186" s="80" t="inlineStr">
        <is>
          <t>禁術警報</t>
        </is>
      </c>
      <c r="Q186" t="inlineStr">
        <is>
          <t>debuff</t>
        </is>
      </c>
      <c r="R186" t="n">
        <v>9008</v>
      </c>
      <c r="S186" t="inlineStr">
        <is>
          <t>3,6</t>
        </is>
      </c>
      <c r="U186" t="n">
        <v>0.4</v>
      </c>
      <c r="V186" t="n">
        <v>70001</v>
      </c>
      <c r="W186" t="n">
        <v>1</v>
      </c>
      <c r="X186" t="n">
        <v>1</v>
      </c>
      <c r="Y186" t="n">
        <v>70002</v>
      </c>
      <c r="Z186" t="n">
        <v>1</v>
      </c>
      <c r="AA186" t="n">
        <v>1</v>
      </c>
      <c r="AB186" t="n">
        <v>1001</v>
      </c>
      <c r="AC186" t="n">
        <v>50</v>
      </c>
      <c r="AD186" t="n">
        <v>1</v>
      </c>
      <c r="AE186" t="n">
        <v>8000</v>
      </c>
      <c r="AF186" t="n">
        <v>200</v>
      </c>
      <c r="AG186" t="n">
        <v>1</v>
      </c>
    </row>
    <row r="187" ht="38.25" customHeight="1" s="142">
      <c r="A187" t="n">
        <v>1081</v>
      </c>
      <c r="B187" t="inlineStr">
        <is>
          <t>main</t>
        </is>
      </c>
      <c r="C187" t="n">
        <v>3</v>
      </c>
      <c r="D187" t="inlineStr">
        <is>
          <t>3-22</t>
        </is>
      </c>
      <c r="E187" t="n">
        <v>41</v>
      </c>
      <c r="G187" s="90" t="inlineStr">
        <is>
          <t>{role:-1},
{id:-1},{id:-1},{id:-1},{id:-1},{id:-1}
{id:40017},{id:40019},{id:40021},{id:40020},{id:40021}</t>
        </is>
      </c>
      <c r="I187" t="n">
        <v>11345</v>
      </c>
      <c r="J187" s="80" t="inlineStr">
        <is>
          <t>魔力波動</t>
        </is>
      </c>
      <c r="K187" t="inlineStr">
        <is>
          <t>buff</t>
        </is>
      </c>
      <c r="L187" t="n">
        <v>9002</v>
      </c>
      <c r="M187" t="inlineStr">
        <is>
          <t>3,5,8</t>
        </is>
      </c>
      <c r="O187" t="n">
        <v>0.9</v>
      </c>
      <c r="P187" s="80" t="inlineStr">
        <is>
          <t>禁術警報</t>
        </is>
      </c>
      <c r="Q187" t="inlineStr">
        <is>
          <t>debuff</t>
        </is>
      </c>
      <c r="R187" t="n">
        <v>9003</v>
      </c>
      <c r="S187" t="inlineStr">
        <is>
          <t>6,13</t>
        </is>
      </c>
      <c r="U187" t="n">
        <v>0.2</v>
      </c>
      <c r="V187" t="n">
        <v>70001</v>
      </c>
      <c r="W187" t="n">
        <v>1</v>
      </c>
      <c r="X187" t="n">
        <v>1</v>
      </c>
      <c r="Y187" t="n">
        <v>70002</v>
      </c>
      <c r="Z187" t="n">
        <v>1</v>
      </c>
      <c r="AA187" t="n">
        <v>1</v>
      </c>
      <c r="AB187" t="n">
        <v>1001</v>
      </c>
      <c r="AC187" t="n">
        <v>50</v>
      </c>
      <c r="AD187" t="n">
        <v>1</v>
      </c>
      <c r="AE187" t="n">
        <v>8000</v>
      </c>
      <c r="AF187" t="n">
        <v>200</v>
      </c>
      <c r="AG187" t="n">
        <v>1</v>
      </c>
    </row>
    <row r="188" ht="38.25" customHeight="1" s="142">
      <c r="A188" t="n">
        <v>1082</v>
      </c>
      <c r="B188" t="inlineStr">
        <is>
          <t>main</t>
        </is>
      </c>
      <c r="C188" t="n">
        <v>3</v>
      </c>
      <c r="D188" t="inlineStr">
        <is>
          <t>3-23</t>
        </is>
      </c>
      <c r="E188" t="n">
        <v>42</v>
      </c>
      <c r="G188" s="90" t="inlineStr">
        <is>
          <t>{role:-1},
{id:-1},{id:-1},{id:-1},{id:-1},{id:-1}
{id:40020},{id:40021},{id:40017},{id:40020},{id:40020}</t>
        </is>
      </c>
      <c r="I188" t="n">
        <v>11470</v>
      </c>
      <c r="J188" s="80" t="inlineStr">
        <is>
          <t>魔力波動</t>
        </is>
      </c>
      <c r="K188" t="inlineStr">
        <is>
          <t>buff</t>
        </is>
      </c>
      <c r="L188" t="n">
        <v>9001</v>
      </c>
      <c r="M188" t="inlineStr">
        <is>
          <t>4,5,9</t>
        </is>
      </c>
      <c r="O188" t="n">
        <v>0.5</v>
      </c>
      <c r="P188" s="80" t="inlineStr">
        <is>
          <t>禁術警報</t>
        </is>
      </c>
      <c r="Q188" t="inlineStr">
        <is>
          <t>debuff</t>
        </is>
      </c>
      <c r="R188" t="n">
        <v>9008</v>
      </c>
      <c r="S188" t="inlineStr">
        <is>
          <t>5,6,11</t>
        </is>
      </c>
      <c r="U188" t="n">
        <v>0.2</v>
      </c>
      <c r="V188" t="n">
        <v>70001</v>
      </c>
      <c r="W188" t="n">
        <v>1</v>
      </c>
      <c r="X188" t="n">
        <v>1</v>
      </c>
      <c r="Y188" t="n">
        <v>70002</v>
      </c>
      <c r="Z188" t="n">
        <v>1</v>
      </c>
      <c r="AA188" t="n">
        <v>1</v>
      </c>
      <c r="AB188" t="n">
        <v>1001</v>
      </c>
      <c r="AC188" t="n">
        <v>50</v>
      </c>
      <c r="AD188" t="n">
        <v>1</v>
      </c>
      <c r="AE188" t="n">
        <v>8000</v>
      </c>
      <c r="AF188" t="n">
        <v>200</v>
      </c>
      <c r="AG188" t="n">
        <v>1</v>
      </c>
    </row>
    <row r="189" ht="38.25" customHeight="1" s="142">
      <c r="A189" t="n">
        <v>1083</v>
      </c>
      <c r="B189" t="inlineStr">
        <is>
          <t>main</t>
        </is>
      </c>
      <c r="C189" t="n">
        <v>3</v>
      </c>
      <c r="D189" t="inlineStr">
        <is>
          <t>3-24</t>
        </is>
      </c>
      <c r="E189" t="n">
        <v>42</v>
      </c>
      <c r="G189" s="90" t="inlineStr">
        <is>
          <t>{role:-1},
{id:-1},{id:-1},{id:-1},{id:-1},{id:-1}
{id:40020},{id:40021},{id:40020},{id:40017},{id:40019}</t>
        </is>
      </c>
      <c r="I189" t="n">
        <v>11595</v>
      </c>
      <c r="J189" s="80" t="inlineStr">
        <is>
          <t>魔力波動</t>
        </is>
      </c>
      <c r="K189" t="inlineStr">
        <is>
          <t>buff</t>
        </is>
      </c>
      <c r="L189" t="n">
        <v>9001</v>
      </c>
      <c r="M189" t="inlineStr">
        <is>
          <t>3,5</t>
        </is>
      </c>
      <c r="O189" t="n">
        <v>0.9</v>
      </c>
      <c r="P189" s="80" t="inlineStr">
        <is>
          <t>禁術警報</t>
        </is>
      </c>
      <c r="Q189" t="inlineStr">
        <is>
          <t>debuff</t>
        </is>
      </c>
      <c r="R189" t="n">
        <v>9010</v>
      </c>
      <c r="S189" t="inlineStr">
        <is>
          <t>5,7,11</t>
        </is>
      </c>
      <c r="U189" t="n">
        <v>0.8</v>
      </c>
      <c r="V189" t="n">
        <v>70001</v>
      </c>
      <c r="W189" t="n">
        <v>1</v>
      </c>
      <c r="X189" t="n">
        <v>1</v>
      </c>
      <c r="Y189" t="n">
        <v>70002</v>
      </c>
      <c r="Z189" t="n">
        <v>1</v>
      </c>
      <c r="AA189" t="n">
        <v>1</v>
      </c>
      <c r="AB189" t="n">
        <v>1001</v>
      </c>
      <c r="AC189" t="n">
        <v>50</v>
      </c>
      <c r="AD189" t="n">
        <v>1</v>
      </c>
      <c r="AE189" t="n">
        <v>8000</v>
      </c>
      <c r="AF189" t="n">
        <v>210</v>
      </c>
      <c r="AG189" t="n">
        <v>1</v>
      </c>
    </row>
    <row r="190" ht="38.25" customHeight="1" s="142">
      <c r="A190" t="n">
        <v>1084</v>
      </c>
      <c r="B190" t="inlineStr">
        <is>
          <t>main</t>
        </is>
      </c>
      <c r="C190" t="n">
        <v>3</v>
      </c>
      <c r="D190" t="inlineStr">
        <is>
          <t>3-25</t>
        </is>
      </c>
      <c r="E190" t="n">
        <v>43</v>
      </c>
      <c r="G190" s="90" t="inlineStr">
        <is>
          <t>{role:-1},
{id:-1},{id:-1},{id:-1},{id:-1},{id:-1}
{id:40018},{id:40018},{id:40018},{id:40019},{id:40018}</t>
        </is>
      </c>
      <c r="I190" t="n">
        <v>11720</v>
      </c>
      <c r="J190" s="80" t="inlineStr">
        <is>
          <t>魔力波動</t>
        </is>
      </c>
      <c r="K190" t="inlineStr">
        <is>
          <t>buff</t>
        </is>
      </c>
      <c r="L190" t="n">
        <v>9006</v>
      </c>
      <c r="M190" t="n">
        <v>2</v>
      </c>
      <c r="O190" t="n">
        <v>0.6</v>
      </c>
      <c r="P190" s="80" t="inlineStr">
        <is>
          <t>禁術警報</t>
        </is>
      </c>
      <c r="Q190" t="inlineStr">
        <is>
          <t>debuff</t>
        </is>
      </c>
      <c r="R190" t="n">
        <v>9012</v>
      </c>
      <c r="S190" t="inlineStr">
        <is>
          <t>5,6</t>
        </is>
      </c>
      <c r="U190" t="n">
        <v>0.5</v>
      </c>
      <c r="V190" t="n">
        <v>70001</v>
      </c>
      <c r="W190" t="n">
        <v>1</v>
      </c>
      <c r="X190" t="n">
        <v>1</v>
      </c>
      <c r="Y190" t="n">
        <v>70002</v>
      </c>
      <c r="Z190" t="n">
        <v>1</v>
      </c>
      <c r="AA190" t="n">
        <v>1</v>
      </c>
      <c r="AB190" t="n">
        <v>1001</v>
      </c>
      <c r="AC190" t="n">
        <v>50</v>
      </c>
      <c r="AD190" t="n">
        <v>1</v>
      </c>
      <c r="AE190" t="n">
        <v>8000</v>
      </c>
      <c r="AF190" t="n">
        <v>210</v>
      </c>
      <c r="AG190" t="n">
        <v>1</v>
      </c>
    </row>
    <row r="191" ht="38.25" customHeight="1" s="142">
      <c r="A191" t="n">
        <v>1085</v>
      </c>
      <c r="B191" t="inlineStr">
        <is>
          <t>main</t>
        </is>
      </c>
      <c r="C191" t="n">
        <v>3</v>
      </c>
      <c r="D191" t="inlineStr">
        <is>
          <t>3-26</t>
        </is>
      </c>
      <c r="E191" t="n">
        <v>43</v>
      </c>
      <c r="G191" s="90" t="inlineStr">
        <is>
          <t>{role:-1},
{id:-1},{id:-1},{id:-1},{id:-1},{id:-1}
{id:40018},{id:40020},{id:40019},{id:40018},{id:40021}</t>
        </is>
      </c>
      <c r="I191" t="n">
        <v>11845</v>
      </c>
      <c r="J191" s="80" t="inlineStr">
        <is>
          <t>魔力波動</t>
        </is>
      </c>
      <c r="K191" t="inlineStr">
        <is>
          <t>buff</t>
        </is>
      </c>
      <c r="L191" t="n">
        <v>9011</v>
      </c>
      <c r="M191" t="inlineStr">
        <is>
          <t>2,9,13</t>
        </is>
      </c>
      <c r="O191" t="n">
        <v>1</v>
      </c>
      <c r="P191" s="80" t="inlineStr">
        <is>
          <t>禁術警報</t>
        </is>
      </c>
      <c r="Q191" t="inlineStr">
        <is>
          <t>debuff</t>
        </is>
      </c>
      <c r="R191" t="n">
        <v>9010</v>
      </c>
      <c r="S191" t="inlineStr">
        <is>
          <t>8,9,13</t>
        </is>
      </c>
      <c r="U191" t="n">
        <v>0.9</v>
      </c>
      <c r="V191" t="n">
        <v>70001</v>
      </c>
      <c r="W191" t="n">
        <v>1</v>
      </c>
      <c r="X191" t="n">
        <v>1</v>
      </c>
      <c r="Y191" t="n">
        <v>70002</v>
      </c>
      <c r="Z191" t="n">
        <v>1</v>
      </c>
      <c r="AA191" t="n">
        <v>1</v>
      </c>
      <c r="AB191" t="n">
        <v>1001</v>
      </c>
      <c r="AC191" t="n">
        <v>50</v>
      </c>
      <c r="AD191" t="n">
        <v>1</v>
      </c>
      <c r="AE191" t="n">
        <v>8000</v>
      </c>
      <c r="AF191" t="n">
        <v>210</v>
      </c>
      <c r="AG191" t="n">
        <v>1</v>
      </c>
    </row>
    <row r="192" ht="38.25" customHeight="1" s="142">
      <c r="A192" t="n">
        <v>1086</v>
      </c>
      <c r="B192" t="inlineStr">
        <is>
          <t>main</t>
        </is>
      </c>
      <c r="C192" t="n">
        <v>3</v>
      </c>
      <c r="D192" t="inlineStr">
        <is>
          <t>3-27</t>
        </is>
      </c>
      <c r="E192" t="n">
        <v>44</v>
      </c>
      <c r="G192" s="90" t="inlineStr">
        <is>
          <t>{role:-1},
{id:-1},{id:-1},{id:-1},{id:-1},{id:-1}
{id:40018},{id:40021},{id:40018},{id:40018},{id:40018}</t>
        </is>
      </c>
      <c r="I192" t="n">
        <v>11970</v>
      </c>
      <c r="J192" s="80" t="inlineStr">
        <is>
          <t>魔力波動</t>
        </is>
      </c>
      <c r="K192" t="inlineStr">
        <is>
          <t>buff</t>
        </is>
      </c>
      <c r="L192" t="n">
        <v>9011</v>
      </c>
      <c r="M192" t="inlineStr">
        <is>
          <t>5,8,9</t>
        </is>
      </c>
      <c r="O192" t="n">
        <v>0.8</v>
      </c>
      <c r="P192" s="80" t="inlineStr">
        <is>
          <t>禁術警報</t>
        </is>
      </c>
      <c r="Q192" t="inlineStr">
        <is>
          <t>debuff</t>
        </is>
      </c>
      <c r="R192" t="n">
        <v>9011</v>
      </c>
      <c r="S192" t="inlineStr">
        <is>
          <t>7,8,11</t>
        </is>
      </c>
      <c r="U192" t="n">
        <v>0.9</v>
      </c>
      <c r="V192" t="n">
        <v>70001</v>
      </c>
      <c r="W192" t="n">
        <v>1</v>
      </c>
      <c r="X192" t="n">
        <v>1</v>
      </c>
      <c r="Y192" t="n">
        <v>70002</v>
      </c>
      <c r="Z192" t="n">
        <v>1</v>
      </c>
      <c r="AA192" t="n">
        <v>1</v>
      </c>
      <c r="AB192" t="n">
        <v>1001</v>
      </c>
      <c r="AC192" t="n">
        <v>50</v>
      </c>
      <c r="AD192" t="n">
        <v>1</v>
      </c>
      <c r="AE192" t="n">
        <v>8000</v>
      </c>
      <c r="AF192" t="n">
        <v>220</v>
      </c>
      <c r="AG192" t="n">
        <v>1</v>
      </c>
    </row>
    <row r="193" ht="38.25" customHeight="1" s="142">
      <c r="A193" t="n">
        <v>1087</v>
      </c>
      <c r="B193" t="inlineStr">
        <is>
          <t>main</t>
        </is>
      </c>
      <c r="C193" t="n">
        <v>3</v>
      </c>
      <c r="D193" t="inlineStr">
        <is>
          <t>3-28</t>
        </is>
      </c>
      <c r="E193" t="n">
        <v>44</v>
      </c>
      <c r="G193" s="90" t="inlineStr">
        <is>
          <t>{role:-1},
{id:-1},{id:-1},{id:-1},{id:-1},{id:-1}
{id:40017},{id:40021},{id:40017},{id:40019},{id:40019}</t>
        </is>
      </c>
      <c r="I193" t="n">
        <v>12095</v>
      </c>
      <c r="J193" s="80" t="inlineStr">
        <is>
          <t>魔力波動</t>
        </is>
      </c>
      <c r="K193" t="inlineStr">
        <is>
          <t>buff</t>
        </is>
      </c>
      <c r="L193" t="n">
        <v>9006</v>
      </c>
      <c r="M193" t="inlineStr">
        <is>
          <t>3,9</t>
        </is>
      </c>
      <c r="O193" t="n">
        <v>0.3</v>
      </c>
      <c r="P193" s="80" t="inlineStr">
        <is>
          <t>禁術警報</t>
        </is>
      </c>
      <c r="Q193" t="inlineStr">
        <is>
          <t>debuff</t>
        </is>
      </c>
      <c r="R193" t="n">
        <v>9003</v>
      </c>
      <c r="S193" t="n">
        <v>11</v>
      </c>
      <c r="U193" t="n">
        <v>0.6</v>
      </c>
      <c r="V193" t="n">
        <v>70001</v>
      </c>
      <c r="W193" t="n">
        <v>1</v>
      </c>
      <c r="X193" t="n">
        <v>1</v>
      </c>
      <c r="Y193" t="n">
        <v>70002</v>
      </c>
      <c r="Z193" t="n">
        <v>1</v>
      </c>
      <c r="AA193" t="n">
        <v>1</v>
      </c>
      <c r="AB193" t="n">
        <v>1001</v>
      </c>
      <c r="AC193" t="n">
        <v>50</v>
      </c>
      <c r="AD193" t="n">
        <v>1</v>
      </c>
      <c r="AE193" t="n">
        <v>8000</v>
      </c>
      <c r="AF193" t="n">
        <v>220</v>
      </c>
      <c r="AG193" t="n">
        <v>1</v>
      </c>
    </row>
    <row r="194" ht="38.25" customHeight="1" s="142">
      <c r="A194" t="n">
        <v>1088</v>
      </c>
      <c r="B194" t="inlineStr">
        <is>
          <t>main</t>
        </is>
      </c>
      <c r="C194" t="n">
        <v>3</v>
      </c>
      <c r="D194" t="inlineStr">
        <is>
          <t>3-29</t>
        </is>
      </c>
      <c r="E194" t="n">
        <v>45</v>
      </c>
      <c r="G194" s="90" t="inlineStr">
        <is>
          <t>{role:-1},
{id:-1},{id:-1},{id:-1},{id:-1},{id:-1}
{id:40017},{id:40021},{id:40020},{id:40019},{id:40019}</t>
        </is>
      </c>
      <c r="I194" t="n">
        <v>12220</v>
      </c>
      <c r="J194" s="80" t="inlineStr">
        <is>
          <t>魔力波動</t>
        </is>
      </c>
      <c r="K194" t="inlineStr">
        <is>
          <t>buff</t>
        </is>
      </c>
      <c r="L194" t="n">
        <v>9001</v>
      </c>
      <c r="M194" t="n">
        <v>8</v>
      </c>
      <c r="O194" t="n">
        <v>0.6</v>
      </c>
      <c r="P194" s="80" t="inlineStr">
        <is>
          <t>禁術警報</t>
        </is>
      </c>
      <c r="Q194" t="inlineStr">
        <is>
          <t>debuff</t>
        </is>
      </c>
      <c r="R194" t="n">
        <v>9010</v>
      </c>
      <c r="S194" t="inlineStr">
        <is>
          <t>7,10</t>
        </is>
      </c>
      <c r="U194" t="n">
        <v>0.5</v>
      </c>
      <c r="V194" t="n">
        <v>70001</v>
      </c>
      <c r="W194" t="n">
        <v>1</v>
      </c>
      <c r="X194" t="n">
        <v>1</v>
      </c>
      <c r="Y194" t="n">
        <v>70002</v>
      </c>
      <c r="Z194" t="n">
        <v>1</v>
      </c>
      <c r="AA194" t="n">
        <v>1</v>
      </c>
      <c r="AB194" t="n">
        <v>1001</v>
      </c>
      <c r="AC194" t="n">
        <v>50</v>
      </c>
      <c r="AD194" t="n">
        <v>1</v>
      </c>
      <c r="AE194" t="n">
        <v>8000</v>
      </c>
      <c r="AF194" t="n">
        <v>220</v>
      </c>
      <c r="AG194" t="n">
        <v>1</v>
      </c>
    </row>
    <row r="195" ht="38.25" customHeight="1" s="142">
      <c r="A195" t="n">
        <v>1089</v>
      </c>
      <c r="B195" t="inlineStr">
        <is>
          <t>main</t>
        </is>
      </c>
      <c r="C195" t="n">
        <v>3</v>
      </c>
      <c r="D195" t="inlineStr">
        <is>
          <t>3-30</t>
        </is>
      </c>
      <c r="E195" t="n">
        <v>45</v>
      </c>
      <c r="G195" s="90" t="inlineStr">
        <is>
          <t>{role:-1},
{id:-1},{id:-1},{id:-1},{id:-1},{id:-1}
{id:50004},{id:40017},{id:40019},{id:40020},{id:40021}</t>
        </is>
      </c>
      <c r="I195" t="n">
        <v>12345</v>
      </c>
      <c r="J195" s="80" t="inlineStr">
        <is>
          <t>魔力波動</t>
        </is>
      </c>
      <c r="K195" t="inlineStr">
        <is>
          <t>buff</t>
        </is>
      </c>
      <c r="L195" t="n">
        <v>9012</v>
      </c>
      <c r="M195" t="n">
        <v>5</v>
      </c>
      <c r="O195" t="n">
        <v>0.5</v>
      </c>
      <c r="P195" s="80" t="inlineStr">
        <is>
          <t>禁術警報</t>
        </is>
      </c>
      <c r="Q195" t="inlineStr">
        <is>
          <t>debuff</t>
        </is>
      </c>
      <c r="R195" t="n">
        <v>9010</v>
      </c>
      <c r="S195" t="inlineStr">
        <is>
          <t>4,5</t>
        </is>
      </c>
      <c r="U195" t="n">
        <v>0.7</v>
      </c>
      <c r="V195" t="n">
        <v>70001</v>
      </c>
      <c r="W195" t="n">
        <v>1</v>
      </c>
      <c r="X195" t="n">
        <v>1</v>
      </c>
      <c r="Y195" t="n">
        <v>70002</v>
      </c>
      <c r="Z195" t="n">
        <v>1</v>
      </c>
      <c r="AA195" t="n">
        <v>1</v>
      </c>
      <c r="AB195" t="n">
        <v>1001</v>
      </c>
      <c r="AC195" t="n">
        <v>50</v>
      </c>
      <c r="AD195" t="n">
        <v>1</v>
      </c>
      <c r="AE195" t="n">
        <v>8000</v>
      </c>
      <c r="AF195" t="n">
        <v>220</v>
      </c>
      <c r="AG195" t="n">
        <v>1</v>
      </c>
    </row>
    <row r="196" ht="38.25" customHeight="1" s="142">
      <c r="A196" t="n">
        <v>1090</v>
      </c>
      <c r="B196" t="inlineStr">
        <is>
          <t>main</t>
        </is>
      </c>
      <c r="C196" t="n">
        <v>4</v>
      </c>
      <c r="D196" t="inlineStr">
        <is>
          <t>4-1</t>
        </is>
      </c>
      <c r="E196" t="n">
        <v>46</v>
      </c>
      <c r="G196" s="90" t="inlineStr">
        <is>
          <t>{role:-1},
{id:-1},{id:-1},{id:-1},{id:-1},{id:-1}
{id:40026},{id:40022}</t>
        </is>
      </c>
      <c r="I196" t="n">
        <v>12470</v>
      </c>
      <c r="J196" s="80" t="inlineStr">
        <is>
          <t>黑市風聲</t>
        </is>
      </c>
      <c r="K196" t="inlineStr">
        <is>
          <t>buff</t>
        </is>
      </c>
      <c r="L196" t="n">
        <v>9006</v>
      </c>
      <c r="M196" t="n">
        <v>6</v>
      </c>
      <c r="O196" t="n">
        <v>0.9</v>
      </c>
      <c r="P196" s="80" t="inlineStr">
        <is>
          <t>治安緊張</t>
        </is>
      </c>
      <c r="Q196" t="inlineStr">
        <is>
          <t>debuff</t>
        </is>
      </c>
      <c r="R196" t="n">
        <v>9012</v>
      </c>
      <c r="S196" t="inlineStr">
        <is>
          <t>1,3,12</t>
        </is>
      </c>
      <c r="U196" t="n">
        <v>0.4</v>
      </c>
      <c r="V196" t="n">
        <v>70001</v>
      </c>
      <c r="W196" t="n">
        <v>1</v>
      </c>
      <c r="X196" t="n">
        <v>1</v>
      </c>
      <c r="Y196" t="n">
        <v>70002</v>
      </c>
      <c r="Z196" t="n">
        <v>1</v>
      </c>
      <c r="AA196" t="n">
        <v>1</v>
      </c>
      <c r="AB196" t="n">
        <v>1001</v>
      </c>
      <c r="AC196" t="n">
        <v>50</v>
      </c>
      <c r="AD196" t="n">
        <v>1</v>
      </c>
      <c r="AE196" t="n">
        <v>8000</v>
      </c>
      <c r="AF196" t="n">
        <v>230</v>
      </c>
      <c r="AG196" t="n">
        <v>1</v>
      </c>
    </row>
    <row r="197" ht="38.25" customHeight="1" s="142">
      <c r="A197" t="n">
        <v>1091</v>
      </c>
      <c r="B197" t="inlineStr">
        <is>
          <t>main</t>
        </is>
      </c>
      <c r="C197" t="n">
        <v>4</v>
      </c>
      <c r="D197" t="inlineStr">
        <is>
          <t>4-2</t>
        </is>
      </c>
      <c r="E197" t="n">
        <v>46</v>
      </c>
      <c r="G197" s="90" t="inlineStr">
        <is>
          <t>{role:-1},
{id:-1},{id:-1},{id:-1},{id:-1},{id:-1}
{id:40027},{id:40024}</t>
        </is>
      </c>
      <c r="I197" t="n">
        <v>12595</v>
      </c>
      <c r="J197" s="80" t="inlineStr">
        <is>
          <t>黑市風聲</t>
        </is>
      </c>
      <c r="K197" t="inlineStr">
        <is>
          <t>buff</t>
        </is>
      </c>
      <c r="L197" t="n">
        <v>9001</v>
      </c>
      <c r="M197" t="inlineStr">
        <is>
          <t>1,3,12</t>
        </is>
      </c>
      <c r="O197" t="n">
        <v>0.4</v>
      </c>
      <c r="P197" s="80" t="inlineStr">
        <is>
          <t>治安緊張</t>
        </is>
      </c>
      <c r="Q197" t="inlineStr">
        <is>
          <t>debuff</t>
        </is>
      </c>
      <c r="R197" t="n">
        <v>9004</v>
      </c>
      <c r="S197" t="n">
        <v>9</v>
      </c>
      <c r="U197" t="n">
        <v>0.4</v>
      </c>
      <c r="V197" t="n">
        <v>70001</v>
      </c>
      <c r="W197" t="n">
        <v>1</v>
      </c>
      <c r="X197" t="n">
        <v>1</v>
      </c>
      <c r="Y197" t="n">
        <v>70002</v>
      </c>
      <c r="Z197" t="n">
        <v>1</v>
      </c>
      <c r="AA197" t="n">
        <v>1</v>
      </c>
      <c r="AB197" t="n">
        <v>1001</v>
      </c>
      <c r="AC197" t="n">
        <v>50</v>
      </c>
      <c r="AD197" t="n">
        <v>1</v>
      </c>
      <c r="AE197" t="n">
        <v>8000</v>
      </c>
      <c r="AF197" t="n">
        <v>230</v>
      </c>
      <c r="AG197" t="n">
        <v>1</v>
      </c>
    </row>
    <row r="198" ht="38.25" customHeight="1" s="142">
      <c r="A198" t="n">
        <v>1092</v>
      </c>
      <c r="B198" t="inlineStr">
        <is>
          <t>main</t>
        </is>
      </c>
      <c r="C198" t="n">
        <v>4</v>
      </c>
      <c r="D198" t="inlineStr">
        <is>
          <t>4-3</t>
        </is>
      </c>
      <c r="E198" t="n">
        <v>47</v>
      </c>
      <c r="G198" s="90" t="inlineStr">
        <is>
          <t>{role:-1},
{id:-1},{id:-1},{id:-1},{id:-1},{id:-1}
{id:40022},{id:40026}</t>
        </is>
      </c>
      <c r="I198" t="n">
        <v>12720</v>
      </c>
      <c r="J198" s="80" t="inlineStr">
        <is>
          <t>黑市風聲</t>
        </is>
      </c>
      <c r="K198" t="inlineStr">
        <is>
          <t>buff</t>
        </is>
      </c>
      <c r="L198" t="n">
        <v>9002</v>
      </c>
      <c r="M198" t="inlineStr">
        <is>
          <t>1,5,9</t>
        </is>
      </c>
      <c r="O198" t="n">
        <v>0.9</v>
      </c>
      <c r="P198" s="80" t="inlineStr">
        <is>
          <t>治安緊張</t>
        </is>
      </c>
      <c r="Q198" t="inlineStr">
        <is>
          <t>debuff</t>
        </is>
      </c>
      <c r="R198" t="n">
        <v>9008</v>
      </c>
      <c r="S198" t="n">
        <v>4</v>
      </c>
      <c r="U198" t="n">
        <v>0.9</v>
      </c>
      <c r="V198" t="n">
        <v>70001</v>
      </c>
      <c r="W198" t="n">
        <v>1</v>
      </c>
      <c r="X198" t="n">
        <v>1</v>
      </c>
      <c r="Y198" t="n">
        <v>70002</v>
      </c>
      <c r="Z198" t="n">
        <v>1</v>
      </c>
      <c r="AA198" t="n">
        <v>1</v>
      </c>
      <c r="AB198" t="n">
        <v>1001</v>
      </c>
      <c r="AC198" t="n">
        <v>50</v>
      </c>
      <c r="AD198" t="n">
        <v>1</v>
      </c>
      <c r="AE198" t="n">
        <v>8000</v>
      </c>
      <c r="AF198" t="n">
        <v>230</v>
      </c>
      <c r="AG198" t="n">
        <v>1</v>
      </c>
    </row>
    <row r="199" ht="38.25" customHeight="1" s="142">
      <c r="A199" t="n">
        <v>1093</v>
      </c>
      <c r="B199" t="inlineStr">
        <is>
          <t>main</t>
        </is>
      </c>
      <c r="C199" t="n">
        <v>4</v>
      </c>
      <c r="D199" t="inlineStr">
        <is>
          <t>4-4</t>
        </is>
      </c>
      <c r="E199" t="n">
        <v>47</v>
      </c>
      <c r="G199" s="90" t="inlineStr">
        <is>
          <t>{role:-1},
{id:-1},{id:-1},{id:-1},{id:-1},{id:-1}
{id:40026},{id:40025},{id:40026}</t>
        </is>
      </c>
      <c r="I199" t="n">
        <v>12845</v>
      </c>
      <c r="J199" s="80" t="inlineStr">
        <is>
          <t>黑市風聲</t>
        </is>
      </c>
      <c r="K199" t="inlineStr">
        <is>
          <t>buff</t>
        </is>
      </c>
      <c r="L199" t="n">
        <v>9001</v>
      </c>
      <c r="M199" t="n">
        <v>11</v>
      </c>
      <c r="O199" t="n">
        <v>0.5</v>
      </c>
      <c r="P199" s="80" t="inlineStr">
        <is>
          <t>治安緊張</t>
        </is>
      </c>
      <c r="Q199" t="inlineStr">
        <is>
          <t>debuff</t>
        </is>
      </c>
      <c r="R199" t="n">
        <v>9011</v>
      </c>
      <c r="S199" t="inlineStr">
        <is>
          <t>7,13</t>
        </is>
      </c>
      <c r="U199" t="n">
        <v>0.7</v>
      </c>
      <c r="V199" t="n">
        <v>70001</v>
      </c>
      <c r="W199" t="n">
        <v>1</v>
      </c>
      <c r="X199" t="n">
        <v>1</v>
      </c>
      <c r="Y199" t="n">
        <v>70002</v>
      </c>
      <c r="Z199" t="n">
        <v>1</v>
      </c>
      <c r="AA199" t="n">
        <v>1</v>
      </c>
      <c r="AB199" t="n">
        <v>1001</v>
      </c>
      <c r="AC199" t="n">
        <v>50</v>
      </c>
      <c r="AD199" t="n">
        <v>1</v>
      </c>
      <c r="AE199" t="n">
        <v>8000</v>
      </c>
      <c r="AF199" t="n">
        <v>240</v>
      </c>
      <c r="AG199" t="n">
        <v>1</v>
      </c>
    </row>
    <row r="200" ht="38.25" customHeight="1" s="142">
      <c r="A200" t="n">
        <v>1094</v>
      </c>
      <c r="B200" t="inlineStr">
        <is>
          <t>main</t>
        </is>
      </c>
      <c r="C200" t="n">
        <v>4</v>
      </c>
      <c r="D200" t="inlineStr">
        <is>
          <t>4-5</t>
        </is>
      </c>
      <c r="E200" t="n">
        <v>48</v>
      </c>
      <c r="G200" s="90" t="inlineStr">
        <is>
          <t>{role:-1},
{id:-1},{id:-1},{id:-1},{id:-1},{id:-1}
{id:40026},{id:40024},{id:40024}</t>
        </is>
      </c>
      <c r="I200" t="n">
        <v>12970</v>
      </c>
      <c r="J200" s="80" t="inlineStr">
        <is>
          <t>黑市風聲</t>
        </is>
      </c>
      <c r="K200" t="inlineStr">
        <is>
          <t>buff</t>
        </is>
      </c>
      <c r="L200" t="n">
        <v>9012</v>
      </c>
      <c r="M200" t="n">
        <v>8</v>
      </c>
      <c r="O200" t="n">
        <v>0.2</v>
      </c>
      <c r="P200" s="80" t="inlineStr">
        <is>
          <t>治安緊張</t>
        </is>
      </c>
      <c r="Q200" t="inlineStr">
        <is>
          <t>debuff</t>
        </is>
      </c>
      <c r="R200" t="n">
        <v>9004</v>
      </c>
      <c r="S200" t="n">
        <v>12</v>
      </c>
      <c r="U200" t="n">
        <v>0.5</v>
      </c>
      <c r="V200" t="n">
        <v>70001</v>
      </c>
      <c r="W200" t="n">
        <v>1</v>
      </c>
      <c r="X200" t="n">
        <v>1</v>
      </c>
      <c r="Y200" t="n">
        <v>70002</v>
      </c>
      <c r="Z200" t="n">
        <v>1</v>
      </c>
      <c r="AA200" t="n">
        <v>1</v>
      </c>
      <c r="AB200" t="n">
        <v>1001</v>
      </c>
      <c r="AC200" t="n">
        <v>50</v>
      </c>
      <c r="AD200" t="n">
        <v>1</v>
      </c>
      <c r="AE200" t="n">
        <v>8000</v>
      </c>
      <c r="AF200" t="n">
        <v>240</v>
      </c>
      <c r="AG200" t="n">
        <v>1</v>
      </c>
    </row>
    <row r="201" ht="38.25" customHeight="1" s="142">
      <c r="A201" t="n">
        <v>1095</v>
      </c>
      <c r="B201" t="inlineStr">
        <is>
          <t>main</t>
        </is>
      </c>
      <c r="C201" t="n">
        <v>4</v>
      </c>
      <c r="D201" t="inlineStr">
        <is>
          <t>4-6</t>
        </is>
      </c>
      <c r="E201" t="n">
        <v>48</v>
      </c>
      <c r="G201" s="90" t="inlineStr">
        <is>
          <t>{role:-1},
{id:-1},{id:-1},{id:-1},{id:-1},{id:-1}
{id:40027},{id:40025},{id:40027}</t>
        </is>
      </c>
      <c r="I201" t="n">
        <v>13095</v>
      </c>
      <c r="J201" s="80" t="inlineStr">
        <is>
          <t>黑市風聲</t>
        </is>
      </c>
      <c r="K201" t="inlineStr">
        <is>
          <t>buff</t>
        </is>
      </c>
      <c r="L201" t="n">
        <v>9001</v>
      </c>
      <c r="M201" t="inlineStr">
        <is>
          <t>3,5</t>
        </is>
      </c>
      <c r="O201" t="n">
        <v>0.9</v>
      </c>
      <c r="P201" s="80" t="inlineStr">
        <is>
          <t>治安緊張</t>
        </is>
      </c>
      <c r="Q201" t="inlineStr">
        <is>
          <t>debuff</t>
        </is>
      </c>
      <c r="R201" t="n">
        <v>9010</v>
      </c>
      <c r="S201" t="inlineStr">
        <is>
          <t>7,11</t>
        </is>
      </c>
      <c r="U201" t="n">
        <v>0.9</v>
      </c>
      <c r="V201" t="n">
        <v>70001</v>
      </c>
      <c r="W201" t="n">
        <v>1</v>
      </c>
      <c r="X201" t="n">
        <v>1</v>
      </c>
      <c r="Y201" t="n">
        <v>70002</v>
      </c>
      <c r="Z201" t="n">
        <v>1</v>
      </c>
      <c r="AA201" t="n">
        <v>1</v>
      </c>
      <c r="AB201" t="n">
        <v>1001</v>
      </c>
      <c r="AC201" t="n">
        <v>50</v>
      </c>
      <c r="AD201" t="n">
        <v>1</v>
      </c>
      <c r="AE201" t="n">
        <v>8000</v>
      </c>
      <c r="AF201" t="n">
        <v>240</v>
      </c>
      <c r="AG201" t="n">
        <v>1</v>
      </c>
    </row>
    <row r="202" ht="38.25" customHeight="1" s="142">
      <c r="A202" t="n">
        <v>1096</v>
      </c>
      <c r="B202" t="inlineStr">
        <is>
          <t>main</t>
        </is>
      </c>
      <c r="C202" t="n">
        <v>4</v>
      </c>
      <c r="D202" t="inlineStr">
        <is>
          <t>4-7</t>
        </is>
      </c>
      <c r="E202" t="n">
        <v>49</v>
      </c>
      <c r="G202" s="90" t="inlineStr">
        <is>
          <t>{role:-1},
{id:-1},{id:-1},{id:-1},{id:-1},{id:-1}
{id:40026},{id:40024},{id:40026}</t>
        </is>
      </c>
      <c r="I202" t="n">
        <v>13220</v>
      </c>
      <c r="J202" s="80" t="inlineStr">
        <is>
          <t>黑市風聲</t>
        </is>
      </c>
      <c r="K202" t="inlineStr">
        <is>
          <t>buff</t>
        </is>
      </c>
      <c r="L202" t="n">
        <v>9011</v>
      </c>
      <c r="M202" t="n">
        <v>8</v>
      </c>
      <c r="O202" t="n">
        <v>0.3</v>
      </c>
      <c r="P202" s="80" t="inlineStr">
        <is>
          <t>治安緊張</t>
        </is>
      </c>
      <c r="Q202" t="inlineStr">
        <is>
          <t>debuff</t>
        </is>
      </c>
      <c r="R202" t="n">
        <v>9010</v>
      </c>
      <c r="S202" t="inlineStr">
        <is>
          <t>4,7</t>
        </is>
      </c>
      <c r="U202" t="n">
        <v>0.8</v>
      </c>
      <c r="V202" t="n">
        <v>70001</v>
      </c>
      <c r="W202" t="n">
        <v>1</v>
      </c>
      <c r="X202" t="n">
        <v>1</v>
      </c>
      <c r="Y202" t="n">
        <v>70002</v>
      </c>
      <c r="Z202" t="n">
        <v>1</v>
      </c>
      <c r="AA202" t="n">
        <v>1</v>
      </c>
      <c r="AB202" t="n">
        <v>1001</v>
      </c>
      <c r="AC202" t="n">
        <v>50</v>
      </c>
      <c r="AD202" t="n">
        <v>1</v>
      </c>
      <c r="AE202" t="n">
        <v>8000</v>
      </c>
      <c r="AF202" t="n">
        <v>250</v>
      </c>
      <c r="AG202" t="n">
        <v>1</v>
      </c>
    </row>
    <row r="203" ht="38.25" customHeight="1" s="142">
      <c r="A203" t="n">
        <v>1097</v>
      </c>
      <c r="B203" t="inlineStr">
        <is>
          <t>main</t>
        </is>
      </c>
      <c r="C203" t="n">
        <v>4</v>
      </c>
      <c r="D203" t="inlineStr">
        <is>
          <t>4-8</t>
        </is>
      </c>
      <c r="E203" t="n">
        <v>49</v>
      </c>
      <c r="G203" s="90" t="inlineStr">
        <is>
          <t>{role:-1},
{id:-1},{id:-1},{id:-1},{id:-1},{id:-1}
{id:40024},{id:40024},{id:40026}</t>
        </is>
      </c>
      <c r="I203" t="n">
        <v>13345</v>
      </c>
      <c r="J203" s="80" t="inlineStr">
        <is>
          <t>黑市風聲</t>
        </is>
      </c>
      <c r="K203" t="inlineStr">
        <is>
          <t>buff</t>
        </is>
      </c>
      <c r="L203" t="n">
        <v>9008</v>
      </c>
      <c r="M203" t="inlineStr">
        <is>
          <t>1,9</t>
        </is>
      </c>
      <c r="O203" t="n">
        <v>0.3</v>
      </c>
      <c r="P203" s="80" t="inlineStr">
        <is>
          <t>治安緊張</t>
        </is>
      </c>
      <c r="Q203" t="inlineStr">
        <is>
          <t>debuff</t>
        </is>
      </c>
      <c r="R203" t="n">
        <v>9012</v>
      </c>
      <c r="S203" t="n">
        <v>4</v>
      </c>
      <c r="U203" t="n">
        <v>0.9</v>
      </c>
      <c r="V203" t="n">
        <v>70001</v>
      </c>
      <c r="W203" t="n">
        <v>1</v>
      </c>
      <c r="X203" t="n">
        <v>1</v>
      </c>
      <c r="Y203" t="n">
        <v>70002</v>
      </c>
      <c r="Z203" t="n">
        <v>1</v>
      </c>
      <c r="AA203" t="n">
        <v>1</v>
      </c>
      <c r="AB203" t="n">
        <v>1001</v>
      </c>
      <c r="AC203" t="n">
        <v>50</v>
      </c>
      <c r="AD203" t="n">
        <v>1</v>
      </c>
      <c r="AE203" t="n">
        <v>8000</v>
      </c>
      <c r="AF203" t="n">
        <v>250</v>
      </c>
      <c r="AG203" t="n">
        <v>1</v>
      </c>
    </row>
    <row r="204" ht="38.25" customHeight="1" s="142">
      <c r="A204" t="n">
        <v>1098</v>
      </c>
      <c r="B204" t="inlineStr">
        <is>
          <t>main</t>
        </is>
      </c>
      <c r="C204" t="n">
        <v>4</v>
      </c>
      <c r="D204" t="inlineStr">
        <is>
          <t>4-9</t>
        </is>
      </c>
      <c r="E204" t="n">
        <v>50</v>
      </c>
      <c r="G204" s="90" t="inlineStr">
        <is>
          <t>{role:-1},
{id:-1},{id:-1},{id:-1},{id:-1},{id:-1}
{id:40022},{id:40026},{id:40027}</t>
        </is>
      </c>
      <c r="I204" t="n">
        <v>13470</v>
      </c>
      <c r="J204" s="80" t="inlineStr">
        <is>
          <t>黑市風聲</t>
        </is>
      </c>
      <c r="K204" t="inlineStr">
        <is>
          <t>buff</t>
        </is>
      </c>
      <c r="L204" t="n">
        <v>9012</v>
      </c>
      <c r="M204" t="inlineStr">
        <is>
          <t>12,13</t>
        </is>
      </c>
      <c r="O204" t="n">
        <v>1</v>
      </c>
      <c r="P204" s="80" t="inlineStr">
        <is>
          <t>治安緊張</t>
        </is>
      </c>
      <c r="Q204" t="inlineStr">
        <is>
          <t>debuff</t>
        </is>
      </c>
      <c r="R204" t="n">
        <v>9012</v>
      </c>
      <c r="S204" t="inlineStr">
        <is>
          <t>3,6</t>
        </is>
      </c>
      <c r="U204" t="n">
        <v>0.9</v>
      </c>
      <c r="V204" t="n">
        <v>70001</v>
      </c>
      <c r="W204" t="n">
        <v>1</v>
      </c>
      <c r="X204" t="n">
        <v>1</v>
      </c>
      <c r="Y204" t="n">
        <v>70002</v>
      </c>
      <c r="Z204" t="n">
        <v>1</v>
      </c>
      <c r="AA204" t="n">
        <v>1</v>
      </c>
      <c r="AB204" t="n">
        <v>1001</v>
      </c>
      <c r="AC204" t="n">
        <v>50</v>
      </c>
      <c r="AD204" t="n">
        <v>1</v>
      </c>
      <c r="AE204" t="n">
        <v>8000</v>
      </c>
      <c r="AF204" t="n">
        <v>250</v>
      </c>
      <c r="AG204" t="n">
        <v>1</v>
      </c>
    </row>
    <row r="205" ht="38.25" customHeight="1" s="142">
      <c r="A205" t="n">
        <v>1099</v>
      </c>
      <c r="B205" t="inlineStr">
        <is>
          <t>main</t>
        </is>
      </c>
      <c r="C205" t="n">
        <v>4</v>
      </c>
      <c r="D205" t="inlineStr">
        <is>
          <t>4-10</t>
        </is>
      </c>
      <c r="E205" t="n">
        <v>50</v>
      </c>
      <c r="G205" s="90" t="inlineStr">
        <is>
          <t>{role:-1},
{id:-1},{id:-1},{id:-1},{id:-1},{id:-1}
{id:40022},{id:40025},{id:40027},{id:40024}</t>
        </is>
      </c>
      <c r="I205" t="n">
        <v>13595</v>
      </c>
      <c r="J205" s="80" t="inlineStr">
        <is>
          <t>黑市風聲</t>
        </is>
      </c>
      <c r="K205" t="inlineStr">
        <is>
          <t>buff</t>
        </is>
      </c>
      <c r="L205" t="n">
        <v>9007</v>
      </c>
      <c r="M205" t="inlineStr">
        <is>
          <t>1,4,6</t>
        </is>
      </c>
      <c r="O205" t="n">
        <v>0.6</v>
      </c>
      <c r="P205" s="80" t="inlineStr">
        <is>
          <t>治安緊張</t>
        </is>
      </c>
      <c r="Q205" t="inlineStr">
        <is>
          <t>debuff</t>
        </is>
      </c>
      <c r="R205" t="n">
        <v>9012</v>
      </c>
      <c r="S205" t="inlineStr">
        <is>
          <t>8,9,11</t>
        </is>
      </c>
      <c r="U205" t="n">
        <v>0.1</v>
      </c>
      <c r="V205" t="n">
        <v>70001</v>
      </c>
      <c r="W205" t="n">
        <v>1</v>
      </c>
      <c r="X205" t="n">
        <v>1</v>
      </c>
      <c r="Y205" t="n">
        <v>70002</v>
      </c>
      <c r="Z205" t="n">
        <v>1</v>
      </c>
      <c r="AA205" t="n">
        <v>1</v>
      </c>
      <c r="AB205" t="n">
        <v>1001</v>
      </c>
      <c r="AC205" t="n">
        <v>50</v>
      </c>
      <c r="AD205" t="n">
        <v>1</v>
      </c>
      <c r="AE205" t="n">
        <v>8000</v>
      </c>
      <c r="AF205" t="n">
        <v>260</v>
      </c>
      <c r="AG205" t="n">
        <v>1</v>
      </c>
    </row>
    <row r="206" ht="38.25" customHeight="1" s="142">
      <c r="A206" t="n">
        <v>1100</v>
      </c>
      <c r="B206" t="inlineStr">
        <is>
          <t>main</t>
        </is>
      </c>
      <c r="C206" t="n">
        <v>4</v>
      </c>
      <c r="D206" t="inlineStr">
        <is>
          <t>4-11</t>
        </is>
      </c>
      <c r="E206" t="n">
        <v>51</v>
      </c>
      <c r="G206" s="90" t="inlineStr">
        <is>
          <t>{role:-1},
{id:-1},{id:-1},{id:-1},{id:-1},{id:-1}
{id:40022},{id:40026},{id:40024},{id:40025}</t>
        </is>
      </c>
      <c r="I206" t="n">
        <v>13720</v>
      </c>
      <c r="J206" s="80" t="inlineStr">
        <is>
          <t>黑市風聲</t>
        </is>
      </c>
      <c r="K206" t="inlineStr">
        <is>
          <t>buff</t>
        </is>
      </c>
      <c r="L206" t="n">
        <v>9011</v>
      </c>
      <c r="M206" t="inlineStr">
        <is>
          <t>1,12,13</t>
        </is>
      </c>
      <c r="O206" t="n">
        <v>0.2</v>
      </c>
      <c r="P206" s="80" t="inlineStr">
        <is>
          <t>治安緊張</t>
        </is>
      </c>
      <c r="Q206" t="inlineStr">
        <is>
          <t>debuff</t>
        </is>
      </c>
      <c r="R206" t="n">
        <v>9010</v>
      </c>
      <c r="S206" t="n">
        <v>4</v>
      </c>
      <c r="U206" t="n">
        <v>0.7</v>
      </c>
      <c r="V206" t="n">
        <v>70001</v>
      </c>
      <c r="W206" t="n">
        <v>1</v>
      </c>
      <c r="X206" t="n">
        <v>1</v>
      </c>
      <c r="Y206" t="n">
        <v>70002</v>
      </c>
      <c r="Z206" t="n">
        <v>1</v>
      </c>
      <c r="AA206" t="n">
        <v>1</v>
      </c>
      <c r="AB206" t="n">
        <v>1001</v>
      </c>
      <c r="AC206" t="n">
        <v>50</v>
      </c>
      <c r="AD206" t="n">
        <v>1</v>
      </c>
      <c r="AE206" t="n">
        <v>8000</v>
      </c>
      <c r="AF206" t="n">
        <v>260</v>
      </c>
      <c r="AG206" t="n">
        <v>1</v>
      </c>
    </row>
    <row r="207" ht="38.25" customHeight="1" s="142">
      <c r="A207" t="n">
        <v>1101</v>
      </c>
      <c r="B207" t="inlineStr">
        <is>
          <t>main</t>
        </is>
      </c>
      <c r="C207" t="n">
        <v>4</v>
      </c>
      <c r="D207" t="inlineStr">
        <is>
          <t>4-12</t>
        </is>
      </c>
      <c r="E207" t="n">
        <v>51</v>
      </c>
      <c r="G207" s="90" t="inlineStr">
        <is>
          <t>{role:-1},
{id:-1},{id:-1},{id:-1},{id:-1},{id:-1}
{id:40027},{id:40022},{id:40025},{id:40027}</t>
        </is>
      </c>
      <c r="I207" t="n">
        <v>13845</v>
      </c>
      <c r="J207" s="80" t="inlineStr">
        <is>
          <t>黑市風聲</t>
        </is>
      </c>
      <c r="K207" t="inlineStr">
        <is>
          <t>buff</t>
        </is>
      </c>
      <c r="L207" t="n">
        <v>9008</v>
      </c>
      <c r="M207" t="inlineStr">
        <is>
          <t>4,7,13</t>
        </is>
      </c>
      <c r="O207" t="n">
        <v>0.3</v>
      </c>
      <c r="P207" s="80" t="inlineStr">
        <is>
          <t>治安緊張</t>
        </is>
      </c>
      <c r="Q207" t="inlineStr">
        <is>
          <t>debuff</t>
        </is>
      </c>
      <c r="R207" t="n">
        <v>9010</v>
      </c>
      <c r="S207" t="inlineStr">
        <is>
          <t>7,12</t>
        </is>
      </c>
      <c r="U207" t="n">
        <v>0.8</v>
      </c>
      <c r="V207" t="n">
        <v>70001</v>
      </c>
      <c r="W207" t="n">
        <v>1</v>
      </c>
      <c r="X207" t="n">
        <v>1</v>
      </c>
      <c r="Y207" t="n">
        <v>70002</v>
      </c>
      <c r="Z207" t="n">
        <v>1</v>
      </c>
      <c r="AA207" t="n">
        <v>1</v>
      </c>
      <c r="AB207" t="n">
        <v>1001</v>
      </c>
      <c r="AC207" t="n">
        <v>50</v>
      </c>
      <c r="AD207" t="n">
        <v>1</v>
      </c>
      <c r="AE207" t="n">
        <v>8000</v>
      </c>
      <c r="AF207" t="n">
        <v>270</v>
      </c>
      <c r="AG207" t="n">
        <v>1</v>
      </c>
    </row>
    <row r="208" ht="38.25" customHeight="1" s="142">
      <c r="A208" t="n">
        <v>1102</v>
      </c>
      <c r="B208" t="inlineStr">
        <is>
          <t>main</t>
        </is>
      </c>
      <c r="C208" t="n">
        <v>4</v>
      </c>
      <c r="D208" t="inlineStr">
        <is>
          <t>4-13</t>
        </is>
      </c>
      <c r="E208" t="n">
        <v>52</v>
      </c>
      <c r="G208" s="90" t="inlineStr">
        <is>
          <t>{role:-1},
{id:-1},{id:-1},{id:-1},{id:-1},{id:-1}
{id:40027},{id:40024},{id:40025},{id:40027},{id:40024}</t>
        </is>
      </c>
      <c r="I208" t="n">
        <v>13970</v>
      </c>
      <c r="J208" s="80" t="inlineStr">
        <is>
          <t>黑市風聲</t>
        </is>
      </c>
      <c r="K208" t="inlineStr">
        <is>
          <t>buff</t>
        </is>
      </c>
      <c r="L208" t="n">
        <v>9001</v>
      </c>
      <c r="M208" t="inlineStr">
        <is>
          <t>2,4</t>
        </is>
      </c>
      <c r="O208" t="n">
        <v>0.9</v>
      </c>
      <c r="P208" s="80" t="inlineStr">
        <is>
          <t>治安緊張</t>
        </is>
      </c>
      <c r="Q208" t="inlineStr">
        <is>
          <t>debuff</t>
        </is>
      </c>
      <c r="R208" t="n">
        <v>9003</v>
      </c>
      <c r="S208" t="inlineStr">
        <is>
          <t>2,8</t>
        </is>
      </c>
      <c r="U208" t="n">
        <v>0.6</v>
      </c>
      <c r="V208" t="n">
        <v>70001</v>
      </c>
      <c r="W208" t="n">
        <v>1</v>
      </c>
      <c r="X208" t="n">
        <v>1</v>
      </c>
      <c r="Y208" t="n">
        <v>70002</v>
      </c>
      <c r="Z208" t="n">
        <v>1</v>
      </c>
      <c r="AA208" t="n">
        <v>1</v>
      </c>
      <c r="AB208" t="n">
        <v>1001</v>
      </c>
      <c r="AC208" t="n">
        <v>50</v>
      </c>
      <c r="AD208" t="n">
        <v>1</v>
      </c>
      <c r="AE208" t="n">
        <v>8000</v>
      </c>
      <c r="AF208" t="n">
        <v>270</v>
      </c>
      <c r="AG208" t="n">
        <v>1</v>
      </c>
    </row>
    <row r="209" ht="38.25" customHeight="1" s="142">
      <c r="A209" t="n">
        <v>1103</v>
      </c>
      <c r="B209" t="inlineStr">
        <is>
          <t>main</t>
        </is>
      </c>
      <c r="C209" t="n">
        <v>4</v>
      </c>
      <c r="D209" t="inlineStr">
        <is>
          <t>4-14</t>
        </is>
      </c>
      <c r="E209" t="n">
        <v>52</v>
      </c>
      <c r="G209" s="90" t="inlineStr">
        <is>
          <t>{role:-1},
{id:-1},{id:-1},{id:-1},{id:-1},{id:-1}
{id:40024},{id:40022},{id:40027},{id:40027},{id:40025}</t>
        </is>
      </c>
      <c r="I209" t="n">
        <v>14095</v>
      </c>
      <c r="J209" s="80" t="inlineStr">
        <is>
          <t>黑市風聲</t>
        </is>
      </c>
      <c r="K209" t="inlineStr">
        <is>
          <t>buff</t>
        </is>
      </c>
      <c r="L209" t="n">
        <v>9012</v>
      </c>
      <c r="M209" t="inlineStr">
        <is>
          <t>2,8,9</t>
        </is>
      </c>
      <c r="O209" t="n">
        <v>0.3</v>
      </c>
      <c r="P209" s="80" t="inlineStr">
        <is>
          <t>治安緊張</t>
        </is>
      </c>
      <c r="Q209" t="inlineStr">
        <is>
          <t>debuff</t>
        </is>
      </c>
      <c r="R209" t="n">
        <v>9011</v>
      </c>
      <c r="S209" t="n">
        <v>12</v>
      </c>
      <c r="U209" t="n">
        <v>0.7</v>
      </c>
      <c r="V209" t="n">
        <v>70001</v>
      </c>
      <c r="W209" t="n">
        <v>1</v>
      </c>
      <c r="X209" t="n">
        <v>1</v>
      </c>
      <c r="Y209" t="n">
        <v>70002</v>
      </c>
      <c r="Z209" t="n">
        <v>1</v>
      </c>
      <c r="AA209" t="n">
        <v>1</v>
      </c>
      <c r="AB209" t="n">
        <v>1001</v>
      </c>
      <c r="AC209" t="n">
        <v>50</v>
      </c>
      <c r="AD209" t="n">
        <v>1</v>
      </c>
      <c r="AE209" t="n">
        <v>8000</v>
      </c>
      <c r="AF209" t="n">
        <v>270</v>
      </c>
      <c r="AG209" t="n">
        <v>1</v>
      </c>
    </row>
    <row r="210" ht="38.25" customHeight="1" s="142">
      <c r="A210" t="n">
        <v>1104</v>
      </c>
      <c r="B210" t="inlineStr">
        <is>
          <t>main</t>
        </is>
      </c>
      <c r="C210" t="n">
        <v>4</v>
      </c>
      <c r="D210" t="inlineStr">
        <is>
          <t>4-15</t>
        </is>
      </c>
      <c r="E210" t="n">
        <v>53</v>
      </c>
      <c r="G210" s="90" t="inlineStr">
        <is>
          <t>{role:-1},
{id:-1},{id:-1},{id:-1},{id:-1},{id:-1}
{id:40024},{id:40027},{id:40026},{id:40022},{id:40027}</t>
        </is>
      </c>
      <c r="I210" t="n">
        <v>14220</v>
      </c>
      <c r="J210" s="80" t="inlineStr">
        <is>
          <t>黑市風聲</t>
        </is>
      </c>
      <c r="K210" t="inlineStr">
        <is>
          <t>buff</t>
        </is>
      </c>
      <c r="L210" t="n">
        <v>9008</v>
      </c>
      <c r="M210" t="inlineStr">
        <is>
          <t>1,10,11</t>
        </is>
      </c>
      <c r="O210" t="n">
        <v>0.3</v>
      </c>
      <c r="P210" s="80" t="inlineStr">
        <is>
          <t>治安緊張</t>
        </is>
      </c>
      <c r="Q210" t="inlineStr">
        <is>
          <t>debuff</t>
        </is>
      </c>
      <c r="R210" t="n">
        <v>9007</v>
      </c>
      <c r="S210" t="inlineStr">
        <is>
          <t>8,13</t>
        </is>
      </c>
      <c r="U210" t="n">
        <v>0.7</v>
      </c>
      <c r="V210" t="n">
        <v>70001</v>
      </c>
      <c r="W210" t="n">
        <v>1</v>
      </c>
      <c r="X210" t="n">
        <v>1</v>
      </c>
      <c r="Y210" t="n">
        <v>70002</v>
      </c>
      <c r="Z210" t="n">
        <v>1</v>
      </c>
      <c r="AA210" t="n">
        <v>1</v>
      </c>
      <c r="AB210" t="n">
        <v>1001</v>
      </c>
      <c r="AC210" t="n">
        <v>50</v>
      </c>
      <c r="AD210" t="n">
        <v>1</v>
      </c>
      <c r="AE210" t="n">
        <v>8000</v>
      </c>
      <c r="AF210" t="n">
        <v>280</v>
      </c>
      <c r="AG210" t="n">
        <v>1</v>
      </c>
    </row>
    <row r="211" ht="38.25" customHeight="1" s="142">
      <c r="A211" t="n">
        <v>1105</v>
      </c>
      <c r="B211" t="inlineStr">
        <is>
          <t>main</t>
        </is>
      </c>
      <c r="C211" t="n">
        <v>4</v>
      </c>
      <c r="D211" t="inlineStr">
        <is>
          <t>4-16</t>
        </is>
      </c>
      <c r="E211" t="n">
        <v>53</v>
      </c>
      <c r="G211" s="90" t="inlineStr">
        <is>
          <t>{role:-1},
{id:-1},{id:-1},{id:-1},{id:-1},{id:-1}
{id:40024},{id:40026},{id:40026},{id:40026},{id:40022}</t>
        </is>
      </c>
      <c r="I211" t="n">
        <v>14345</v>
      </c>
      <c r="J211" s="80" t="inlineStr">
        <is>
          <t>黑市風聲</t>
        </is>
      </c>
      <c r="K211" t="inlineStr">
        <is>
          <t>buff</t>
        </is>
      </c>
      <c r="L211" t="n">
        <v>9011</v>
      </c>
      <c r="M211" t="n">
        <v>2</v>
      </c>
      <c r="O211" t="n">
        <v>0.9</v>
      </c>
      <c r="P211" s="80" t="inlineStr">
        <is>
          <t>治安緊張</t>
        </is>
      </c>
      <c r="Q211" t="inlineStr">
        <is>
          <t>debuff</t>
        </is>
      </c>
      <c r="R211" t="n">
        <v>9010</v>
      </c>
      <c r="S211" t="inlineStr">
        <is>
          <t>1,6</t>
        </is>
      </c>
      <c r="U211" t="n">
        <v>0.6</v>
      </c>
      <c r="V211" t="n">
        <v>70001</v>
      </c>
      <c r="W211" t="n">
        <v>1</v>
      </c>
      <c r="X211" t="n">
        <v>1</v>
      </c>
      <c r="Y211" t="n">
        <v>70002</v>
      </c>
      <c r="Z211" t="n">
        <v>1</v>
      </c>
      <c r="AA211" t="n">
        <v>1</v>
      </c>
      <c r="AB211" t="n">
        <v>1001</v>
      </c>
      <c r="AC211" t="n">
        <v>50</v>
      </c>
      <c r="AD211" t="n">
        <v>1</v>
      </c>
      <c r="AE211" t="n">
        <v>8000</v>
      </c>
      <c r="AF211" t="n">
        <v>280</v>
      </c>
      <c r="AG211" t="n">
        <v>1</v>
      </c>
    </row>
    <row r="212" ht="38.25" customHeight="1" s="142">
      <c r="A212" t="n">
        <v>1106</v>
      </c>
      <c r="B212" t="inlineStr">
        <is>
          <t>main</t>
        </is>
      </c>
      <c r="C212" t="n">
        <v>4</v>
      </c>
      <c r="D212" t="inlineStr">
        <is>
          <t>4-17</t>
        </is>
      </c>
      <c r="E212" t="n">
        <v>54</v>
      </c>
      <c r="G212" s="90" t="inlineStr">
        <is>
          <t>{role:-1},
{id:-1},{id:-1},{id:-1},{id:-1},{id:-1}
{id:40022},{id:40026},{id:40025},{id:40022},{id:40024}</t>
        </is>
      </c>
      <c r="I212" t="n">
        <v>14470</v>
      </c>
      <c r="J212" s="80" t="inlineStr">
        <is>
          <t>黑市風聲</t>
        </is>
      </c>
      <c r="K212" t="inlineStr">
        <is>
          <t>buff</t>
        </is>
      </c>
      <c r="L212" t="n">
        <v>9011</v>
      </c>
      <c r="M212" t="inlineStr">
        <is>
          <t>9,10</t>
        </is>
      </c>
      <c r="O212" t="n">
        <v>0.8</v>
      </c>
      <c r="P212" s="80" t="inlineStr">
        <is>
          <t>治安緊張</t>
        </is>
      </c>
      <c r="Q212" t="inlineStr">
        <is>
          <t>debuff</t>
        </is>
      </c>
      <c r="R212" t="n">
        <v>9011</v>
      </c>
      <c r="S212" t="inlineStr">
        <is>
          <t>3,8,12</t>
        </is>
      </c>
      <c r="U212" t="n">
        <v>0.5</v>
      </c>
      <c r="V212" t="n">
        <v>70001</v>
      </c>
      <c r="W212" t="n">
        <v>1</v>
      </c>
      <c r="X212" t="n">
        <v>1</v>
      </c>
      <c r="Y212" t="n">
        <v>70002</v>
      </c>
      <c r="Z212" t="n">
        <v>1</v>
      </c>
      <c r="AA212" t="n">
        <v>1</v>
      </c>
      <c r="AB212" t="n">
        <v>1001</v>
      </c>
      <c r="AC212" t="n">
        <v>50</v>
      </c>
      <c r="AD212" t="n">
        <v>1</v>
      </c>
      <c r="AE212" t="n">
        <v>8000</v>
      </c>
      <c r="AF212" t="n">
        <v>280</v>
      </c>
      <c r="AG212" t="n">
        <v>1</v>
      </c>
    </row>
    <row r="213" ht="38.25" customHeight="1" s="142">
      <c r="A213" t="n">
        <v>1107</v>
      </c>
      <c r="B213" t="inlineStr">
        <is>
          <t>main</t>
        </is>
      </c>
      <c r="C213" t="n">
        <v>4</v>
      </c>
      <c r="D213" t="inlineStr">
        <is>
          <t>4-18</t>
        </is>
      </c>
      <c r="E213" t="n">
        <v>54</v>
      </c>
      <c r="G213" s="90" t="inlineStr">
        <is>
          <t>{role:-1},
{id:-1},{id:-1},{id:-1},{id:-1},{id:-1}
{id:40024},{id:40025},{id:40024},{id:40025},{id:40025}</t>
        </is>
      </c>
      <c r="I213" t="n">
        <v>14595</v>
      </c>
      <c r="J213" s="80" t="inlineStr">
        <is>
          <t>黑市風聲</t>
        </is>
      </c>
      <c r="K213" t="inlineStr">
        <is>
          <t>buff</t>
        </is>
      </c>
      <c r="L213" t="n">
        <v>9006</v>
      </c>
      <c r="M213" t="inlineStr">
        <is>
          <t>1,12</t>
        </is>
      </c>
      <c r="O213" t="n">
        <v>0.3</v>
      </c>
      <c r="P213" s="80" t="inlineStr">
        <is>
          <t>治安緊張</t>
        </is>
      </c>
      <c r="Q213" t="inlineStr">
        <is>
          <t>debuff</t>
        </is>
      </c>
      <c r="R213" t="n">
        <v>9011</v>
      </c>
      <c r="S213" t="inlineStr">
        <is>
          <t>4,8,12</t>
        </is>
      </c>
      <c r="U213" t="n">
        <v>0.7</v>
      </c>
      <c r="V213" t="n">
        <v>70001</v>
      </c>
      <c r="W213" t="n">
        <v>1</v>
      </c>
      <c r="X213" t="n">
        <v>1</v>
      </c>
      <c r="Y213" t="n">
        <v>70002</v>
      </c>
      <c r="Z213" t="n">
        <v>1</v>
      </c>
      <c r="AA213" t="n">
        <v>1</v>
      </c>
      <c r="AB213" t="n">
        <v>1001</v>
      </c>
      <c r="AC213" t="n">
        <v>50</v>
      </c>
      <c r="AD213" t="n">
        <v>1</v>
      </c>
      <c r="AE213" t="n">
        <v>8000</v>
      </c>
      <c r="AF213" t="n">
        <v>290</v>
      </c>
      <c r="AG213" t="n">
        <v>1</v>
      </c>
    </row>
    <row r="214" ht="38.25" customHeight="1" s="142">
      <c r="A214" t="n">
        <v>1108</v>
      </c>
      <c r="B214" t="inlineStr">
        <is>
          <t>main</t>
        </is>
      </c>
      <c r="C214" t="n">
        <v>4</v>
      </c>
      <c r="D214" t="inlineStr">
        <is>
          <t>4-19</t>
        </is>
      </c>
      <c r="E214" t="n">
        <v>55</v>
      </c>
      <c r="G214" s="90" t="inlineStr">
        <is>
          <t>{role:-1},
{id:-1},{id:-1},{id:-1},{id:-1},{id:-1}
{id:40027},{id:40024},{id:40025},{id:40026},{id:40027}</t>
        </is>
      </c>
      <c r="I214" t="n">
        <v>14720</v>
      </c>
      <c r="J214" s="80" t="inlineStr">
        <is>
          <t>黑市風聲</t>
        </is>
      </c>
      <c r="K214" t="inlineStr">
        <is>
          <t>buff</t>
        </is>
      </c>
      <c r="L214" t="n">
        <v>9005</v>
      </c>
      <c r="M214" t="inlineStr">
        <is>
          <t>5,7</t>
        </is>
      </c>
      <c r="O214" t="n">
        <v>0.3</v>
      </c>
      <c r="P214" s="80" t="inlineStr">
        <is>
          <t>治安緊張</t>
        </is>
      </c>
      <c r="Q214" t="inlineStr">
        <is>
          <t>debuff</t>
        </is>
      </c>
      <c r="R214" t="n">
        <v>9012</v>
      </c>
      <c r="S214" t="inlineStr">
        <is>
          <t>1,6</t>
        </is>
      </c>
      <c r="U214" t="n">
        <v>0.8</v>
      </c>
      <c r="V214" t="n">
        <v>70001</v>
      </c>
      <c r="W214" t="n">
        <v>1</v>
      </c>
      <c r="X214" t="n">
        <v>1</v>
      </c>
      <c r="Y214" t="n">
        <v>70002</v>
      </c>
      <c r="Z214" t="n">
        <v>1</v>
      </c>
      <c r="AA214" t="n">
        <v>1</v>
      </c>
      <c r="AB214" t="n">
        <v>1001</v>
      </c>
      <c r="AC214" t="n">
        <v>50</v>
      </c>
      <c r="AD214" t="n">
        <v>1</v>
      </c>
      <c r="AE214" t="n">
        <v>8000</v>
      </c>
      <c r="AF214" t="n">
        <v>290</v>
      </c>
      <c r="AG214" t="n">
        <v>1</v>
      </c>
    </row>
    <row r="215" ht="38.25" customHeight="1" s="142">
      <c r="A215" t="n">
        <v>1109</v>
      </c>
      <c r="B215" t="inlineStr">
        <is>
          <t>main</t>
        </is>
      </c>
      <c r="C215" t="n">
        <v>4</v>
      </c>
      <c r="D215" t="inlineStr">
        <is>
          <t>4-20</t>
        </is>
      </c>
      <c r="E215" t="n">
        <v>55</v>
      </c>
      <c r="G215" s="90" t="inlineStr">
        <is>
          <t>{role:-1},
{id:-1},{id:-1},{id:-1},{id:-1},{id:-1}
{id:40027},{id:40022},{id:40026},{id:40025},{id:40027}</t>
        </is>
      </c>
      <c r="I215" t="n">
        <v>14845</v>
      </c>
      <c r="J215" s="80" t="inlineStr">
        <is>
          <t>黑市風聲</t>
        </is>
      </c>
      <c r="K215" t="inlineStr">
        <is>
          <t>buff</t>
        </is>
      </c>
      <c r="L215" t="n">
        <v>9002</v>
      </c>
      <c r="M215" t="inlineStr">
        <is>
          <t>2,11,12</t>
        </is>
      </c>
      <c r="O215" t="n">
        <v>0.9</v>
      </c>
      <c r="P215" s="80" t="inlineStr">
        <is>
          <t>治安緊張</t>
        </is>
      </c>
      <c r="Q215" t="inlineStr">
        <is>
          <t>debuff</t>
        </is>
      </c>
      <c r="R215" t="n">
        <v>9004</v>
      </c>
      <c r="S215" t="inlineStr">
        <is>
          <t>7,8,9</t>
        </is>
      </c>
      <c r="U215" t="n">
        <v>1</v>
      </c>
      <c r="V215" t="n">
        <v>70001</v>
      </c>
      <c r="W215" t="n">
        <v>1</v>
      </c>
      <c r="X215" t="n">
        <v>1</v>
      </c>
      <c r="Y215" t="n">
        <v>70002</v>
      </c>
      <c r="Z215" t="n">
        <v>1</v>
      </c>
      <c r="AA215" t="n">
        <v>1</v>
      </c>
      <c r="AB215" t="n">
        <v>1001</v>
      </c>
      <c r="AC215" t="n">
        <v>50</v>
      </c>
      <c r="AD215" t="n">
        <v>1</v>
      </c>
      <c r="AE215" t="n">
        <v>8000</v>
      </c>
      <c r="AF215" t="n">
        <v>290</v>
      </c>
      <c r="AG215" t="n">
        <v>1</v>
      </c>
    </row>
    <row r="216" ht="38.25" customHeight="1" s="142">
      <c r="A216" t="n">
        <v>1110</v>
      </c>
      <c r="B216" t="inlineStr">
        <is>
          <t>main</t>
        </is>
      </c>
      <c r="C216" t="n">
        <v>4</v>
      </c>
      <c r="D216" t="inlineStr">
        <is>
          <t>4-21</t>
        </is>
      </c>
      <c r="E216" t="n">
        <v>56</v>
      </c>
      <c r="G216" s="90" t="inlineStr">
        <is>
          <t>{role:-1},
{id:-1},{id:-1},{id:-1},{id:-1},{id:-1}
{id:40025},{id:40026},{id:40024},{id:40027},{id:40026}</t>
        </is>
      </c>
      <c r="I216" t="n">
        <v>14970</v>
      </c>
      <c r="J216" s="80" t="inlineStr">
        <is>
          <t>黑市風聲</t>
        </is>
      </c>
      <c r="K216" t="inlineStr">
        <is>
          <t>buff</t>
        </is>
      </c>
      <c r="L216" t="n">
        <v>9001</v>
      </c>
      <c r="M216" t="n">
        <v>3</v>
      </c>
      <c r="O216" t="n">
        <v>0.9</v>
      </c>
      <c r="P216" s="80" t="inlineStr">
        <is>
          <t>治安緊張</t>
        </is>
      </c>
      <c r="Q216" t="inlineStr">
        <is>
          <t>debuff</t>
        </is>
      </c>
      <c r="R216" t="n">
        <v>9003</v>
      </c>
      <c r="S216" t="n">
        <v>11</v>
      </c>
      <c r="U216" t="n">
        <v>0.5</v>
      </c>
      <c r="V216" t="n">
        <v>70001</v>
      </c>
      <c r="W216" t="n">
        <v>1</v>
      </c>
      <c r="X216" t="n">
        <v>1</v>
      </c>
      <c r="Y216" t="n">
        <v>70002</v>
      </c>
      <c r="Z216" t="n">
        <v>1</v>
      </c>
      <c r="AA216" t="n">
        <v>1</v>
      </c>
      <c r="AB216" t="n">
        <v>1001</v>
      </c>
      <c r="AC216" t="n">
        <v>50</v>
      </c>
      <c r="AD216" t="n">
        <v>1</v>
      </c>
      <c r="AE216" t="n">
        <v>8000</v>
      </c>
      <c r="AF216" t="n">
        <v>300</v>
      </c>
      <c r="AG216" t="n">
        <v>1</v>
      </c>
    </row>
    <row r="217" ht="38.25" customHeight="1" s="142">
      <c r="A217" t="n">
        <v>1111</v>
      </c>
      <c r="B217" t="inlineStr">
        <is>
          <t>main</t>
        </is>
      </c>
      <c r="C217" t="n">
        <v>4</v>
      </c>
      <c r="D217" t="inlineStr">
        <is>
          <t>4-22</t>
        </is>
      </c>
      <c r="E217" t="n">
        <v>56</v>
      </c>
      <c r="G217" s="90" t="inlineStr">
        <is>
          <t>{role:-1},
{id:-1},{id:-1},{id:-1},{id:-1},{id:-1}
{id:40026},{id:40027},{id:40025},{id:40024},{id:40022}</t>
        </is>
      </c>
      <c r="I217" t="n">
        <v>15095</v>
      </c>
      <c r="J217" s="80" t="inlineStr">
        <is>
          <t>黑市風聲</t>
        </is>
      </c>
      <c r="K217" t="inlineStr">
        <is>
          <t>buff</t>
        </is>
      </c>
      <c r="L217" t="n">
        <v>9006</v>
      </c>
      <c r="M217" t="inlineStr">
        <is>
          <t>5,8,10</t>
        </is>
      </c>
      <c r="O217" t="n">
        <v>0.4</v>
      </c>
      <c r="P217" s="80" t="inlineStr">
        <is>
          <t>治安緊張</t>
        </is>
      </c>
      <c r="Q217" t="inlineStr">
        <is>
          <t>debuff</t>
        </is>
      </c>
      <c r="R217" t="n">
        <v>9004</v>
      </c>
      <c r="S217" t="inlineStr">
        <is>
          <t>3,6,11</t>
        </is>
      </c>
      <c r="U217" t="n">
        <v>0.7</v>
      </c>
      <c r="V217" t="n">
        <v>70001</v>
      </c>
      <c r="W217" t="n">
        <v>1</v>
      </c>
      <c r="X217" t="n">
        <v>1</v>
      </c>
      <c r="Y217" t="n">
        <v>70002</v>
      </c>
      <c r="Z217" t="n">
        <v>1</v>
      </c>
      <c r="AA217" t="n">
        <v>1</v>
      </c>
      <c r="AB217" t="n">
        <v>1001</v>
      </c>
      <c r="AC217" t="n">
        <v>50</v>
      </c>
      <c r="AD217" t="n">
        <v>1</v>
      </c>
      <c r="AE217" t="n">
        <v>8000</v>
      </c>
      <c r="AF217" t="n">
        <v>300</v>
      </c>
      <c r="AG217" t="n">
        <v>1</v>
      </c>
    </row>
    <row r="218" ht="38.25" customHeight="1" s="142">
      <c r="A218" t="n">
        <v>1112</v>
      </c>
      <c r="B218" t="inlineStr">
        <is>
          <t>main</t>
        </is>
      </c>
      <c r="C218" t="n">
        <v>4</v>
      </c>
      <c r="D218" t="inlineStr">
        <is>
          <t>4-23</t>
        </is>
      </c>
      <c r="E218" t="n">
        <v>57</v>
      </c>
      <c r="G218" s="90" t="inlineStr">
        <is>
          <t>{role:-1},
{id:-1},{id:-1},{id:-1},{id:-1},{id:-1}
{id:40026},{id:40027},{id:40022},{id:40026},{id:40027}</t>
        </is>
      </c>
      <c r="I218" t="n">
        <v>15220</v>
      </c>
      <c r="J218" s="80" t="inlineStr">
        <is>
          <t>黑市風聲</t>
        </is>
      </c>
      <c r="K218" t="inlineStr">
        <is>
          <t>buff</t>
        </is>
      </c>
      <c r="L218" t="n">
        <v>9006</v>
      </c>
      <c r="M218" t="inlineStr">
        <is>
          <t>2,8,9</t>
        </is>
      </c>
      <c r="O218" t="n">
        <v>0.1</v>
      </c>
      <c r="P218" s="80" t="inlineStr">
        <is>
          <t>治安緊張</t>
        </is>
      </c>
      <c r="Q218" t="inlineStr">
        <is>
          <t>debuff</t>
        </is>
      </c>
      <c r="R218" t="n">
        <v>9012</v>
      </c>
      <c r="S218" t="inlineStr">
        <is>
          <t>1,2,8</t>
        </is>
      </c>
      <c r="U218" t="n">
        <v>0.9</v>
      </c>
      <c r="V218" t="n">
        <v>70001</v>
      </c>
      <c r="W218" t="n">
        <v>1</v>
      </c>
      <c r="X218" t="n">
        <v>1</v>
      </c>
      <c r="Y218" t="n">
        <v>70002</v>
      </c>
      <c r="Z218" t="n">
        <v>1</v>
      </c>
      <c r="AA218" t="n">
        <v>1</v>
      </c>
      <c r="AB218" t="n">
        <v>1001</v>
      </c>
      <c r="AC218" t="n">
        <v>50</v>
      </c>
      <c r="AD218" t="n">
        <v>1</v>
      </c>
      <c r="AE218" t="n">
        <v>8000</v>
      </c>
      <c r="AF218" t="n">
        <v>300</v>
      </c>
      <c r="AG218" t="n">
        <v>1</v>
      </c>
    </row>
    <row r="219" ht="38.25" customHeight="1" s="142">
      <c r="A219" t="n">
        <v>1113</v>
      </c>
      <c r="B219" t="inlineStr">
        <is>
          <t>main</t>
        </is>
      </c>
      <c r="C219" t="n">
        <v>4</v>
      </c>
      <c r="D219" t="inlineStr">
        <is>
          <t>4-24</t>
        </is>
      </c>
      <c r="E219" t="n">
        <v>57</v>
      </c>
      <c r="G219" s="90" t="inlineStr">
        <is>
          <t>{role:-1},
{id:-1},{id:-1},{id:-1},{id:-1},{id:-1}
{id:40026},{id:40026},{id:40024},{id:40027},{id:40024}</t>
        </is>
      </c>
      <c r="I219" t="n">
        <v>15345</v>
      </c>
      <c r="J219" s="80" t="inlineStr">
        <is>
          <t>黑市風聲</t>
        </is>
      </c>
      <c r="K219" t="inlineStr">
        <is>
          <t>buff</t>
        </is>
      </c>
      <c r="L219" t="n">
        <v>9011</v>
      </c>
      <c r="M219" t="inlineStr">
        <is>
          <t>1,6</t>
        </is>
      </c>
      <c r="O219" t="n">
        <v>0.4</v>
      </c>
      <c r="P219" s="80" t="inlineStr">
        <is>
          <t>治安緊張</t>
        </is>
      </c>
      <c r="Q219" t="inlineStr">
        <is>
          <t>debuff</t>
        </is>
      </c>
      <c r="R219" t="n">
        <v>9011</v>
      </c>
      <c r="S219" t="inlineStr">
        <is>
          <t>9,10</t>
        </is>
      </c>
      <c r="U219" t="n">
        <v>0.8</v>
      </c>
      <c r="V219" t="n">
        <v>70001</v>
      </c>
      <c r="W219" t="n">
        <v>1</v>
      </c>
      <c r="X219" t="n">
        <v>1</v>
      </c>
      <c r="Y219" t="n">
        <v>70002</v>
      </c>
      <c r="Z219" t="n">
        <v>1</v>
      </c>
      <c r="AA219" t="n">
        <v>1</v>
      </c>
      <c r="AB219" t="n">
        <v>1001</v>
      </c>
      <c r="AC219" t="n">
        <v>50</v>
      </c>
      <c r="AD219" t="n">
        <v>1</v>
      </c>
      <c r="AE219" t="n">
        <v>8000</v>
      </c>
      <c r="AF219" t="n">
        <v>310</v>
      </c>
      <c r="AG219" t="n">
        <v>1</v>
      </c>
    </row>
    <row r="220" ht="38.25" customHeight="1" s="142">
      <c r="A220" t="n">
        <v>1114</v>
      </c>
      <c r="B220" t="inlineStr">
        <is>
          <t>main</t>
        </is>
      </c>
      <c r="C220" t="n">
        <v>4</v>
      </c>
      <c r="D220" t="inlineStr">
        <is>
          <t>4-25</t>
        </is>
      </c>
      <c r="E220" t="n">
        <v>58</v>
      </c>
      <c r="G220" s="90" t="inlineStr">
        <is>
          <t>{role:-1},
{id:-1},{id:-1},{id:-1},{id:-1},{id:-1}
{id:40022},{id:40026},{id:40022},{id:40027},{id:40027}</t>
        </is>
      </c>
      <c r="I220" t="n">
        <v>15470</v>
      </c>
      <c r="J220" s="80" t="inlineStr">
        <is>
          <t>黑市風聲</t>
        </is>
      </c>
      <c r="K220" t="inlineStr">
        <is>
          <t>buff</t>
        </is>
      </c>
      <c r="L220" t="n">
        <v>9011</v>
      </c>
      <c r="M220" t="n">
        <v>7</v>
      </c>
      <c r="O220" t="n">
        <v>0.3</v>
      </c>
      <c r="P220" s="80" t="inlineStr">
        <is>
          <t>治安緊張</t>
        </is>
      </c>
      <c r="Q220" t="inlineStr">
        <is>
          <t>debuff</t>
        </is>
      </c>
      <c r="R220" t="n">
        <v>9011</v>
      </c>
      <c r="S220" t="inlineStr">
        <is>
          <t>1,2,4</t>
        </is>
      </c>
      <c r="U220" t="n">
        <v>0.9</v>
      </c>
      <c r="V220" t="n">
        <v>70001</v>
      </c>
      <c r="W220" t="n">
        <v>1</v>
      </c>
      <c r="X220" t="n">
        <v>1</v>
      </c>
      <c r="Y220" t="n">
        <v>70002</v>
      </c>
      <c r="Z220" t="n">
        <v>1</v>
      </c>
      <c r="AA220" t="n">
        <v>1</v>
      </c>
      <c r="AB220" t="n">
        <v>1001</v>
      </c>
      <c r="AC220" t="n">
        <v>50</v>
      </c>
      <c r="AD220" t="n">
        <v>1</v>
      </c>
      <c r="AE220" t="n">
        <v>8000</v>
      </c>
      <c r="AF220" t="n">
        <v>310</v>
      </c>
      <c r="AG220" t="n">
        <v>1</v>
      </c>
    </row>
    <row r="221" ht="38.25" customHeight="1" s="142">
      <c r="A221" t="n">
        <v>1115</v>
      </c>
      <c r="B221" t="inlineStr">
        <is>
          <t>main</t>
        </is>
      </c>
      <c r="C221" t="n">
        <v>4</v>
      </c>
      <c r="D221" t="inlineStr">
        <is>
          <t>4-26</t>
        </is>
      </c>
      <c r="E221" t="n">
        <v>58</v>
      </c>
      <c r="G221" s="90" t="inlineStr">
        <is>
          <t>{role:-1},
{id:-1},{id:-1},{id:-1},{id:-1},{id:-1}
{id:40025},{id:40024},{id:40026},{id:40025},{id:40022}</t>
        </is>
      </c>
      <c r="I221" t="n">
        <v>15595</v>
      </c>
      <c r="J221" s="80" t="inlineStr">
        <is>
          <t>黑市風聲</t>
        </is>
      </c>
      <c r="K221" t="inlineStr">
        <is>
          <t>buff</t>
        </is>
      </c>
      <c r="L221" t="n">
        <v>9002</v>
      </c>
      <c r="M221" t="n">
        <v>4</v>
      </c>
      <c r="O221" t="n">
        <v>0.1</v>
      </c>
      <c r="P221" s="80" t="inlineStr">
        <is>
          <t>治安緊張</t>
        </is>
      </c>
      <c r="Q221" t="inlineStr">
        <is>
          <t>debuff</t>
        </is>
      </c>
      <c r="R221" t="n">
        <v>9003</v>
      </c>
      <c r="S221" t="n">
        <v>7</v>
      </c>
      <c r="U221" t="n">
        <v>0.3</v>
      </c>
      <c r="V221" t="n">
        <v>70001</v>
      </c>
      <c r="W221" t="n">
        <v>1</v>
      </c>
      <c r="X221" t="n">
        <v>1</v>
      </c>
      <c r="Y221" t="n">
        <v>70002</v>
      </c>
      <c r="Z221" t="n">
        <v>1</v>
      </c>
      <c r="AA221" t="n">
        <v>1</v>
      </c>
      <c r="AB221" t="n">
        <v>1001</v>
      </c>
      <c r="AC221" t="n">
        <v>50</v>
      </c>
      <c r="AD221" t="n">
        <v>1</v>
      </c>
      <c r="AE221" t="n">
        <v>8000</v>
      </c>
      <c r="AF221" t="n">
        <v>310</v>
      </c>
      <c r="AG221" t="n">
        <v>1</v>
      </c>
    </row>
    <row r="222" ht="38.25" customHeight="1" s="142">
      <c r="A222" t="n">
        <v>1116</v>
      </c>
      <c r="B222" t="inlineStr">
        <is>
          <t>main</t>
        </is>
      </c>
      <c r="C222" t="n">
        <v>4</v>
      </c>
      <c r="D222" t="inlineStr">
        <is>
          <t>4-27</t>
        </is>
      </c>
      <c r="E222" t="n">
        <v>59</v>
      </c>
      <c r="G222" s="90" t="inlineStr">
        <is>
          <t>{role:-1},
{id:-1},{id:-1},{id:-1},{id:-1},{id:-1}
{id:40027},{id:40027},{id:40022},{id:40026},{id:40022}</t>
        </is>
      </c>
      <c r="I222" t="n">
        <v>15720</v>
      </c>
      <c r="J222" s="80" t="inlineStr">
        <is>
          <t>黑市風聲</t>
        </is>
      </c>
      <c r="K222" t="inlineStr">
        <is>
          <t>buff</t>
        </is>
      </c>
      <c r="L222" t="n">
        <v>9005</v>
      </c>
      <c r="M222" t="n">
        <v>6</v>
      </c>
      <c r="O222" t="n">
        <v>0.6</v>
      </c>
      <c r="P222" s="80" t="inlineStr">
        <is>
          <t>治安緊張</t>
        </is>
      </c>
      <c r="Q222" t="inlineStr">
        <is>
          <t>debuff</t>
        </is>
      </c>
      <c r="R222" t="n">
        <v>9003</v>
      </c>
      <c r="S222" t="inlineStr">
        <is>
          <t>8,13</t>
        </is>
      </c>
      <c r="U222" t="n">
        <v>0.8</v>
      </c>
      <c r="V222" t="n">
        <v>70001</v>
      </c>
      <c r="W222" t="n">
        <v>1</v>
      </c>
      <c r="X222" t="n">
        <v>1</v>
      </c>
      <c r="Y222" t="n">
        <v>70002</v>
      </c>
      <c r="Z222" t="n">
        <v>1</v>
      </c>
      <c r="AA222" t="n">
        <v>1</v>
      </c>
      <c r="AB222" t="n">
        <v>1001</v>
      </c>
      <c r="AC222" t="n">
        <v>50</v>
      </c>
      <c r="AD222" t="n">
        <v>1</v>
      </c>
      <c r="AE222" t="n">
        <v>8000</v>
      </c>
      <c r="AF222" t="n">
        <v>320</v>
      </c>
      <c r="AG222" t="n">
        <v>1</v>
      </c>
    </row>
    <row r="223" ht="38.25" customHeight="1" s="142">
      <c r="A223" t="n">
        <v>1117</v>
      </c>
      <c r="B223" t="inlineStr">
        <is>
          <t>main</t>
        </is>
      </c>
      <c r="C223" t="n">
        <v>4</v>
      </c>
      <c r="D223" t="inlineStr">
        <is>
          <t>4-28</t>
        </is>
      </c>
      <c r="E223" t="n">
        <v>59</v>
      </c>
      <c r="G223" s="90" t="inlineStr">
        <is>
          <t>{role:-1},
{id:-1},{id:-1},{id:-1},{id:-1},{id:-1}
{id:40024},{id:40026},{id:40026},{id:40024},{id:40024}</t>
        </is>
      </c>
      <c r="I223" t="n">
        <v>15845</v>
      </c>
      <c r="J223" s="80" t="inlineStr">
        <is>
          <t>黑市風聲</t>
        </is>
      </c>
      <c r="K223" t="inlineStr">
        <is>
          <t>buff</t>
        </is>
      </c>
      <c r="L223" t="n">
        <v>9011</v>
      </c>
      <c r="M223" t="inlineStr">
        <is>
          <t>4,8</t>
        </is>
      </c>
      <c r="O223" t="n">
        <v>0.7</v>
      </c>
      <c r="P223" s="80" t="inlineStr">
        <is>
          <t>治安緊張</t>
        </is>
      </c>
      <c r="Q223" t="inlineStr">
        <is>
          <t>debuff</t>
        </is>
      </c>
      <c r="R223" t="n">
        <v>9003</v>
      </c>
      <c r="S223" t="inlineStr">
        <is>
          <t>1,13</t>
        </is>
      </c>
      <c r="U223" t="n">
        <v>0.5</v>
      </c>
      <c r="V223" t="n">
        <v>70001</v>
      </c>
      <c r="W223" t="n">
        <v>1</v>
      </c>
      <c r="X223" t="n">
        <v>1</v>
      </c>
      <c r="Y223" t="n">
        <v>70002</v>
      </c>
      <c r="Z223" t="n">
        <v>1</v>
      </c>
      <c r="AA223" t="n">
        <v>1</v>
      </c>
      <c r="AB223" t="n">
        <v>1001</v>
      </c>
      <c r="AC223" t="n">
        <v>50</v>
      </c>
      <c r="AD223" t="n">
        <v>1</v>
      </c>
      <c r="AE223" t="n">
        <v>8000</v>
      </c>
      <c r="AF223" t="n">
        <v>320</v>
      </c>
      <c r="AG223" t="n">
        <v>1</v>
      </c>
    </row>
    <row r="224" ht="38.25" customHeight="1" s="142">
      <c r="A224" t="n">
        <v>1118</v>
      </c>
      <c r="B224" t="inlineStr">
        <is>
          <t>main</t>
        </is>
      </c>
      <c r="C224" t="n">
        <v>4</v>
      </c>
      <c r="D224" t="inlineStr">
        <is>
          <t>4-29</t>
        </is>
      </c>
      <c r="E224" t="n">
        <v>60</v>
      </c>
      <c r="G224" s="90" t="inlineStr">
        <is>
          <t>{role:-1},
{id:-1},{id:-1},{id:-1},{id:-1},{id:-1}
{id:40026},{id:40027},{id:40026},{id:40024},{id:40027}</t>
        </is>
      </c>
      <c r="I224" t="n">
        <v>15970</v>
      </c>
      <c r="J224" s="80" t="inlineStr">
        <is>
          <t>黑市風聲</t>
        </is>
      </c>
      <c r="K224" t="inlineStr">
        <is>
          <t>buff</t>
        </is>
      </c>
      <c r="L224" t="n">
        <v>9007</v>
      </c>
      <c r="M224" t="inlineStr">
        <is>
          <t>6,11,12</t>
        </is>
      </c>
      <c r="O224" t="n">
        <v>0.6</v>
      </c>
      <c r="P224" s="80" t="inlineStr">
        <is>
          <t>治安緊張</t>
        </is>
      </c>
      <c r="Q224" t="inlineStr">
        <is>
          <t>debuff</t>
        </is>
      </c>
      <c r="R224" t="n">
        <v>9008</v>
      </c>
      <c r="S224" t="n">
        <v>12</v>
      </c>
      <c r="U224" t="n">
        <v>0.3</v>
      </c>
      <c r="V224" t="n">
        <v>70001</v>
      </c>
      <c r="W224" t="n">
        <v>1</v>
      </c>
      <c r="X224" t="n">
        <v>1</v>
      </c>
      <c r="Y224" t="n">
        <v>70002</v>
      </c>
      <c r="Z224" t="n">
        <v>1</v>
      </c>
      <c r="AA224" t="n">
        <v>1</v>
      </c>
      <c r="AB224" t="n">
        <v>1001</v>
      </c>
      <c r="AC224" t="n">
        <v>50</v>
      </c>
      <c r="AD224" t="n">
        <v>1</v>
      </c>
      <c r="AE224" t="n">
        <v>8000</v>
      </c>
      <c r="AF224" t="n">
        <v>320</v>
      </c>
      <c r="AG224" t="n">
        <v>1</v>
      </c>
    </row>
    <row r="225" ht="38.25" customHeight="1" s="142">
      <c r="A225" t="n">
        <v>1119</v>
      </c>
      <c r="B225" t="inlineStr">
        <is>
          <t>main</t>
        </is>
      </c>
      <c r="C225" t="n">
        <v>4</v>
      </c>
      <c r="D225" t="inlineStr">
        <is>
          <t>4-30</t>
        </is>
      </c>
      <c r="E225" t="n">
        <v>60</v>
      </c>
      <c r="G225" s="90" t="inlineStr">
        <is>
          <t>{role:-1},
{id:-1},{id:-1},{id:-1},{id:-1},{id:-1}
{id:50005},{id:40022},{id:40025},{id:40024},{id:40027}</t>
        </is>
      </c>
      <c r="I225" t="n">
        <v>16095</v>
      </c>
      <c r="J225" s="80" t="inlineStr">
        <is>
          <t>黑市風聲</t>
        </is>
      </c>
      <c r="K225" t="inlineStr">
        <is>
          <t>buff</t>
        </is>
      </c>
      <c r="L225" t="n">
        <v>9012</v>
      </c>
      <c r="M225" t="inlineStr">
        <is>
          <t>1,4</t>
        </is>
      </c>
      <c r="O225" t="n">
        <v>0.7</v>
      </c>
      <c r="P225" s="80" t="inlineStr">
        <is>
          <t>治安緊張</t>
        </is>
      </c>
      <c r="Q225" t="inlineStr">
        <is>
          <t>debuff</t>
        </is>
      </c>
      <c r="R225" t="n">
        <v>9004</v>
      </c>
      <c r="S225" t="n">
        <v>4</v>
      </c>
      <c r="U225" t="n">
        <v>0.7</v>
      </c>
      <c r="V225" t="n">
        <v>70001</v>
      </c>
      <c r="W225" t="n">
        <v>1</v>
      </c>
      <c r="X225" t="n">
        <v>1</v>
      </c>
      <c r="Y225" t="n">
        <v>70002</v>
      </c>
      <c r="Z225" t="n">
        <v>1</v>
      </c>
      <c r="AA225" t="n">
        <v>1</v>
      </c>
      <c r="AB225" t="n">
        <v>1001</v>
      </c>
      <c r="AC225" t="n">
        <v>50</v>
      </c>
      <c r="AD225" t="n">
        <v>1</v>
      </c>
      <c r="AE225" t="n">
        <v>8000</v>
      </c>
      <c r="AF225" t="n">
        <v>330</v>
      </c>
      <c r="AG225" t="n">
        <v>1</v>
      </c>
    </row>
    <row r="226" ht="38.25" customHeight="1" s="142">
      <c r="A226" t="n">
        <v>1120</v>
      </c>
      <c r="B226" t="inlineStr">
        <is>
          <t>main</t>
        </is>
      </c>
      <c r="C226" t="n">
        <v>5</v>
      </c>
      <c r="D226" t="inlineStr">
        <is>
          <t>5-1</t>
        </is>
      </c>
      <c r="E226" t="n">
        <v>61</v>
      </c>
      <c r="G226" s="90" t="inlineStr">
        <is>
          <t>{role:-1},
{id:-1},{id:-1},{id:-1},{id:-1},{id:-1}
{id:40031},{id:40031}</t>
        </is>
      </c>
      <c r="I226" t="n">
        <v>16220</v>
      </c>
      <c r="J226" s="80" t="inlineStr">
        <is>
          <t>森林呼吸</t>
        </is>
      </c>
      <c r="K226" t="inlineStr">
        <is>
          <t>buff</t>
        </is>
      </c>
      <c r="L226" t="n">
        <v>9011</v>
      </c>
      <c r="M226" t="inlineStr">
        <is>
          <t>5,6,9</t>
        </is>
      </c>
      <c r="O226" t="n">
        <v>0.6</v>
      </c>
      <c r="P226" s="80" t="inlineStr">
        <is>
          <t>藤蔓纏繞</t>
        </is>
      </c>
      <c r="Q226" t="inlineStr">
        <is>
          <t>debuff</t>
        </is>
      </c>
      <c r="R226" t="n">
        <v>9010</v>
      </c>
      <c r="S226" t="inlineStr">
        <is>
          <t>2,3,8</t>
        </is>
      </c>
      <c r="U226" t="n">
        <v>0.4</v>
      </c>
      <c r="V226" t="n">
        <v>70001</v>
      </c>
      <c r="W226" t="n">
        <v>1</v>
      </c>
      <c r="X226" t="n">
        <v>1</v>
      </c>
      <c r="Y226" t="n">
        <v>70002</v>
      </c>
      <c r="Z226" t="n">
        <v>1</v>
      </c>
      <c r="AA226" t="n">
        <v>1</v>
      </c>
      <c r="AB226" t="n">
        <v>1001</v>
      </c>
      <c r="AC226" t="n">
        <v>50</v>
      </c>
      <c r="AD226" t="n">
        <v>1</v>
      </c>
      <c r="AE226" t="n">
        <v>8000</v>
      </c>
      <c r="AF226" t="n">
        <v>330</v>
      </c>
      <c r="AG226" t="n">
        <v>1</v>
      </c>
    </row>
    <row r="227" ht="38.25" customHeight="1" s="142">
      <c r="A227" t="n">
        <v>1121</v>
      </c>
      <c r="B227" t="inlineStr">
        <is>
          <t>main</t>
        </is>
      </c>
      <c r="C227" t="n">
        <v>5</v>
      </c>
      <c r="D227" t="inlineStr">
        <is>
          <t>5-2</t>
        </is>
      </c>
      <c r="E227" t="n">
        <v>61</v>
      </c>
      <c r="G227" s="90" t="inlineStr">
        <is>
          <t>{role:-1},
{id:-1},{id:-1},{id:-1},{id:-1},{id:-1}
{id:40029},{id:40028}</t>
        </is>
      </c>
      <c r="I227" t="n">
        <v>16345</v>
      </c>
      <c r="J227" s="80" t="inlineStr">
        <is>
          <t>森林呼吸</t>
        </is>
      </c>
      <c r="K227" t="inlineStr">
        <is>
          <t>buff</t>
        </is>
      </c>
      <c r="L227" t="n">
        <v>9001</v>
      </c>
      <c r="M227" t="n">
        <v>6</v>
      </c>
      <c r="O227" t="n">
        <v>0.3</v>
      </c>
      <c r="P227" s="80" t="inlineStr">
        <is>
          <t>藤蔓纏繞</t>
        </is>
      </c>
      <c r="Q227" t="inlineStr">
        <is>
          <t>debuff</t>
        </is>
      </c>
      <c r="R227" t="n">
        <v>9007</v>
      </c>
      <c r="S227" t="inlineStr">
        <is>
          <t>2,5</t>
        </is>
      </c>
      <c r="U227" t="n">
        <v>0.4</v>
      </c>
      <c r="V227" t="n">
        <v>70001</v>
      </c>
      <c r="W227" t="n">
        <v>1</v>
      </c>
      <c r="X227" t="n">
        <v>1</v>
      </c>
      <c r="Y227" t="n">
        <v>70002</v>
      </c>
      <c r="Z227" t="n">
        <v>1</v>
      </c>
      <c r="AA227" t="n">
        <v>1</v>
      </c>
      <c r="AB227" t="n">
        <v>1001</v>
      </c>
      <c r="AC227" t="n">
        <v>50</v>
      </c>
      <c r="AD227" t="n">
        <v>1</v>
      </c>
      <c r="AE227" t="n">
        <v>8000</v>
      </c>
      <c r="AF227" t="n">
        <v>340</v>
      </c>
      <c r="AG227" t="n">
        <v>1</v>
      </c>
    </row>
    <row r="228" ht="38.25" customHeight="1" s="142">
      <c r="A228" t="n">
        <v>1122</v>
      </c>
      <c r="B228" t="inlineStr">
        <is>
          <t>main</t>
        </is>
      </c>
      <c r="C228" t="n">
        <v>5</v>
      </c>
      <c r="D228" t="inlineStr">
        <is>
          <t>5-3</t>
        </is>
      </c>
      <c r="E228" t="n">
        <v>62</v>
      </c>
      <c r="G228" s="90" t="inlineStr">
        <is>
          <t>{role:-1},
{id:-1},{id:-1},{id:-1},{id:-1},{id:-1}
{id:40028},{id:40031}</t>
        </is>
      </c>
      <c r="I228" t="n">
        <v>16470</v>
      </c>
      <c r="J228" s="80" t="inlineStr">
        <is>
          <t>森林呼吸</t>
        </is>
      </c>
      <c r="K228" t="inlineStr">
        <is>
          <t>buff</t>
        </is>
      </c>
      <c r="L228" t="n">
        <v>9006</v>
      </c>
      <c r="M228" t="inlineStr">
        <is>
          <t>6,7,9</t>
        </is>
      </c>
      <c r="O228" t="n">
        <v>0.8</v>
      </c>
      <c r="P228" s="80" t="inlineStr">
        <is>
          <t>藤蔓纏繞</t>
        </is>
      </c>
      <c r="Q228" t="inlineStr">
        <is>
          <t>debuff</t>
        </is>
      </c>
      <c r="R228" t="n">
        <v>9012</v>
      </c>
      <c r="S228" t="n">
        <v>5</v>
      </c>
      <c r="U228" t="n">
        <v>0.7</v>
      </c>
      <c r="V228" t="n">
        <v>70001</v>
      </c>
      <c r="W228" t="n">
        <v>1</v>
      </c>
      <c r="X228" t="n">
        <v>1</v>
      </c>
      <c r="Y228" t="n">
        <v>70002</v>
      </c>
      <c r="Z228" t="n">
        <v>1</v>
      </c>
      <c r="AA228" t="n">
        <v>1</v>
      </c>
      <c r="AB228" t="n">
        <v>1001</v>
      </c>
      <c r="AC228" t="n">
        <v>50</v>
      </c>
      <c r="AD228" t="n">
        <v>1</v>
      </c>
      <c r="AE228" t="n">
        <v>8000</v>
      </c>
      <c r="AF228" t="n">
        <v>340</v>
      </c>
      <c r="AG228" t="n">
        <v>1</v>
      </c>
    </row>
    <row r="229" ht="38.25" customHeight="1" s="142">
      <c r="A229" t="n">
        <v>1123</v>
      </c>
      <c r="B229" t="inlineStr">
        <is>
          <t>main</t>
        </is>
      </c>
      <c r="C229" t="n">
        <v>5</v>
      </c>
      <c r="D229" t="inlineStr">
        <is>
          <t>5-4</t>
        </is>
      </c>
      <c r="E229" t="n">
        <v>62</v>
      </c>
      <c r="G229" s="90" t="inlineStr">
        <is>
          <t>{role:-1},
{id:-1},{id:-1},{id:-1},{id:-1},{id:-1}
{id:40030},{id:40030},{id:40031}</t>
        </is>
      </c>
      <c r="I229" t="n">
        <v>16595</v>
      </c>
      <c r="J229" s="80" t="inlineStr">
        <is>
          <t>森林呼吸</t>
        </is>
      </c>
      <c r="K229" t="inlineStr">
        <is>
          <t>buff</t>
        </is>
      </c>
      <c r="L229" t="n">
        <v>9012</v>
      </c>
      <c r="M229" t="inlineStr">
        <is>
          <t>6,9</t>
        </is>
      </c>
      <c r="O229" t="n">
        <v>1</v>
      </c>
      <c r="P229" s="80" t="inlineStr">
        <is>
          <t>藤蔓纏繞</t>
        </is>
      </c>
      <c r="Q229" t="inlineStr">
        <is>
          <t>debuff</t>
        </is>
      </c>
      <c r="R229" t="n">
        <v>9008</v>
      </c>
      <c r="S229" t="inlineStr">
        <is>
          <t>2,10</t>
        </is>
      </c>
      <c r="U229" t="n">
        <v>0.8</v>
      </c>
      <c r="V229" t="n">
        <v>70001</v>
      </c>
      <c r="W229" t="n">
        <v>1</v>
      </c>
      <c r="X229" t="n">
        <v>1</v>
      </c>
      <c r="Y229" t="n">
        <v>70002</v>
      </c>
      <c r="Z229" t="n">
        <v>1</v>
      </c>
      <c r="AA229" t="n">
        <v>1</v>
      </c>
      <c r="AB229" t="n">
        <v>1001</v>
      </c>
      <c r="AC229" t="n">
        <v>50</v>
      </c>
      <c r="AD229" t="n">
        <v>1</v>
      </c>
      <c r="AE229" t="n">
        <v>8000</v>
      </c>
      <c r="AF229" t="n">
        <v>340</v>
      </c>
      <c r="AG229" t="n">
        <v>1</v>
      </c>
    </row>
    <row r="230" ht="38.25" customHeight="1" s="142">
      <c r="A230" t="n">
        <v>1124</v>
      </c>
      <c r="B230" t="inlineStr">
        <is>
          <t>main</t>
        </is>
      </c>
      <c r="C230" t="n">
        <v>5</v>
      </c>
      <c r="D230" t="inlineStr">
        <is>
          <t>5-5</t>
        </is>
      </c>
      <c r="E230" t="n">
        <v>63</v>
      </c>
      <c r="G230" s="90" t="inlineStr">
        <is>
          <t>{role:-1},
{id:-1},{id:-1},{id:-1},{id:-1},{id:-1}
{id:40028},{id:40030},{id:40033}</t>
        </is>
      </c>
      <c r="I230" t="n">
        <v>16720</v>
      </c>
      <c r="J230" s="80" t="inlineStr">
        <is>
          <t>森林呼吸</t>
        </is>
      </c>
      <c r="K230" t="inlineStr">
        <is>
          <t>buff</t>
        </is>
      </c>
      <c r="L230" t="n">
        <v>9011</v>
      </c>
      <c r="M230" t="inlineStr">
        <is>
          <t>6,10,13</t>
        </is>
      </c>
      <c r="O230" t="n">
        <v>0.9</v>
      </c>
      <c r="P230" s="80" t="inlineStr">
        <is>
          <t>藤蔓纏繞</t>
        </is>
      </c>
      <c r="Q230" t="inlineStr">
        <is>
          <t>debuff</t>
        </is>
      </c>
      <c r="R230" t="n">
        <v>9007</v>
      </c>
      <c r="S230" t="n">
        <v>10</v>
      </c>
      <c r="U230" t="n">
        <v>0.6</v>
      </c>
      <c r="V230" t="n">
        <v>70001</v>
      </c>
      <c r="W230" t="n">
        <v>1</v>
      </c>
      <c r="X230" t="n">
        <v>1</v>
      </c>
      <c r="Y230" t="n">
        <v>70002</v>
      </c>
      <c r="Z230" t="n">
        <v>1</v>
      </c>
      <c r="AA230" t="n">
        <v>1</v>
      </c>
      <c r="AB230" t="n">
        <v>1001</v>
      </c>
      <c r="AC230" t="n">
        <v>50</v>
      </c>
      <c r="AD230" t="n">
        <v>1</v>
      </c>
      <c r="AE230" t="n">
        <v>8000</v>
      </c>
      <c r="AF230" t="n">
        <v>350</v>
      </c>
      <c r="AG230" t="n">
        <v>1</v>
      </c>
    </row>
    <row r="231" ht="38.25" customHeight="1" s="142">
      <c r="A231" t="n">
        <v>1125</v>
      </c>
      <c r="B231" t="inlineStr">
        <is>
          <t>main</t>
        </is>
      </c>
      <c r="C231" t="n">
        <v>5</v>
      </c>
      <c r="D231" t="inlineStr">
        <is>
          <t>5-6</t>
        </is>
      </c>
      <c r="E231" t="n">
        <v>63</v>
      </c>
      <c r="G231" s="90" t="inlineStr">
        <is>
          <t>{role:-1},
{id:-1},{id:-1},{id:-1},{id:-1},{id:-1}
{id:40029},{id:40028},{id:40033}</t>
        </is>
      </c>
      <c r="I231" t="n">
        <v>16845</v>
      </c>
      <c r="J231" s="80" t="inlineStr">
        <is>
          <t>森林呼吸</t>
        </is>
      </c>
      <c r="K231" t="inlineStr">
        <is>
          <t>buff</t>
        </is>
      </c>
      <c r="L231" t="n">
        <v>9001</v>
      </c>
      <c r="M231" t="n">
        <v>1</v>
      </c>
      <c r="O231" t="n">
        <v>0.5</v>
      </c>
      <c r="P231" s="80" t="inlineStr">
        <is>
          <t>藤蔓纏繞</t>
        </is>
      </c>
      <c r="Q231" t="inlineStr">
        <is>
          <t>debuff</t>
        </is>
      </c>
      <c r="R231" t="n">
        <v>9008</v>
      </c>
      <c r="S231" t="n">
        <v>3</v>
      </c>
      <c r="U231" t="n">
        <v>0.3</v>
      </c>
      <c r="V231" t="n">
        <v>70001</v>
      </c>
      <c r="W231" t="n">
        <v>1</v>
      </c>
      <c r="X231" t="n">
        <v>1</v>
      </c>
      <c r="Y231" t="n">
        <v>70002</v>
      </c>
      <c r="Z231" t="n">
        <v>1</v>
      </c>
      <c r="AA231" t="n">
        <v>1</v>
      </c>
      <c r="AB231" t="n">
        <v>1001</v>
      </c>
      <c r="AC231" t="n">
        <v>50</v>
      </c>
      <c r="AD231" t="n">
        <v>1</v>
      </c>
      <c r="AE231" t="n">
        <v>8000</v>
      </c>
      <c r="AF231" t="n">
        <v>350</v>
      </c>
      <c r="AG231" t="n">
        <v>1</v>
      </c>
    </row>
    <row r="232" ht="38.25" customHeight="1" s="142">
      <c r="A232" t="n">
        <v>1126</v>
      </c>
      <c r="B232" t="inlineStr">
        <is>
          <t>main</t>
        </is>
      </c>
      <c r="C232" t="n">
        <v>5</v>
      </c>
      <c r="D232" t="inlineStr">
        <is>
          <t>5-7</t>
        </is>
      </c>
      <c r="E232" t="n">
        <v>64</v>
      </c>
      <c r="G232" s="90" t="inlineStr">
        <is>
          <t>{role:-1},
{id:-1},{id:-1},{id:-1},{id:-1},{id:-1}
{id:40031},{id:40031},{id:40029}</t>
        </is>
      </c>
      <c r="I232" t="n">
        <v>16970</v>
      </c>
      <c r="J232" s="80" t="inlineStr">
        <is>
          <t>森林呼吸</t>
        </is>
      </c>
      <c r="K232" t="inlineStr">
        <is>
          <t>buff</t>
        </is>
      </c>
      <c r="L232" t="n">
        <v>9008</v>
      </c>
      <c r="M232" t="n">
        <v>3</v>
      </c>
      <c r="O232" t="n">
        <v>0.7</v>
      </c>
      <c r="P232" s="80" t="inlineStr">
        <is>
          <t>藤蔓纏繞</t>
        </is>
      </c>
      <c r="Q232" t="inlineStr">
        <is>
          <t>debuff</t>
        </is>
      </c>
      <c r="R232" t="n">
        <v>9004</v>
      </c>
      <c r="S232" t="inlineStr">
        <is>
          <t>7,11</t>
        </is>
      </c>
      <c r="U232" t="n">
        <v>0.4</v>
      </c>
      <c r="V232" t="n">
        <v>70001</v>
      </c>
      <c r="W232" t="n">
        <v>1</v>
      </c>
      <c r="X232" t="n">
        <v>1</v>
      </c>
      <c r="Y232" t="n">
        <v>70002</v>
      </c>
      <c r="Z232" t="n">
        <v>1</v>
      </c>
      <c r="AA232" t="n">
        <v>1</v>
      </c>
      <c r="AB232" t="n">
        <v>1001</v>
      </c>
      <c r="AC232" t="n">
        <v>50</v>
      </c>
      <c r="AD232" t="n">
        <v>1</v>
      </c>
      <c r="AE232" t="n">
        <v>8000</v>
      </c>
      <c r="AF232" t="n">
        <v>350</v>
      </c>
      <c r="AG232" t="n">
        <v>1</v>
      </c>
    </row>
    <row r="233" ht="38.25" customHeight="1" s="142">
      <c r="A233" t="n">
        <v>1127</v>
      </c>
      <c r="B233" t="inlineStr">
        <is>
          <t>main</t>
        </is>
      </c>
      <c r="C233" t="n">
        <v>5</v>
      </c>
      <c r="D233" t="inlineStr">
        <is>
          <t>5-8</t>
        </is>
      </c>
      <c r="E233" t="n">
        <v>64</v>
      </c>
      <c r="G233" s="90" t="inlineStr">
        <is>
          <t>{role:-1},
{id:-1},{id:-1},{id:-1},{id:-1},{id:-1}
{id:40033},{id:40028},{id:40031}</t>
        </is>
      </c>
      <c r="I233" t="n">
        <v>17095</v>
      </c>
      <c r="J233" s="80" t="inlineStr">
        <is>
          <t>森林呼吸</t>
        </is>
      </c>
      <c r="K233" t="inlineStr">
        <is>
          <t>buff</t>
        </is>
      </c>
      <c r="L233" t="n">
        <v>9011</v>
      </c>
      <c r="M233" t="n">
        <v>2</v>
      </c>
      <c r="O233" t="n">
        <v>0.3</v>
      </c>
      <c r="P233" s="80" t="inlineStr">
        <is>
          <t>藤蔓纏繞</t>
        </is>
      </c>
      <c r="Q233" t="inlineStr">
        <is>
          <t>debuff</t>
        </is>
      </c>
      <c r="R233" t="n">
        <v>9010</v>
      </c>
      <c r="S233" t="inlineStr">
        <is>
          <t>6,13</t>
        </is>
      </c>
      <c r="U233" t="n">
        <v>0.9</v>
      </c>
      <c r="V233" t="n">
        <v>70001</v>
      </c>
      <c r="W233" t="n">
        <v>1</v>
      </c>
      <c r="X233" t="n">
        <v>1</v>
      </c>
      <c r="Y233" t="n">
        <v>70002</v>
      </c>
      <c r="Z233" t="n">
        <v>1</v>
      </c>
      <c r="AA233" t="n">
        <v>1</v>
      </c>
      <c r="AB233" t="n">
        <v>1001</v>
      </c>
      <c r="AC233" t="n">
        <v>50</v>
      </c>
      <c r="AD233" t="n">
        <v>1</v>
      </c>
      <c r="AE233" t="n">
        <v>8000</v>
      </c>
      <c r="AF233" t="n">
        <v>360</v>
      </c>
      <c r="AG233" t="n">
        <v>1</v>
      </c>
    </row>
    <row r="234" ht="38.25" customHeight="1" s="142">
      <c r="A234" t="n">
        <v>1128</v>
      </c>
      <c r="B234" t="inlineStr">
        <is>
          <t>main</t>
        </is>
      </c>
      <c r="C234" t="n">
        <v>5</v>
      </c>
      <c r="D234" t="inlineStr">
        <is>
          <t>5-9</t>
        </is>
      </c>
      <c r="E234" t="n">
        <v>65</v>
      </c>
      <c r="G234" s="90" t="inlineStr">
        <is>
          <t>{role:-1},
{id:-1},{id:-1},{id:-1},{id:-1},{id:-1}
{id:40029},{id:40031},{id:40033}</t>
        </is>
      </c>
      <c r="I234" t="n">
        <v>17220</v>
      </c>
      <c r="J234" s="80" t="inlineStr">
        <is>
          <t>森林呼吸</t>
        </is>
      </c>
      <c r="K234" t="inlineStr">
        <is>
          <t>buff</t>
        </is>
      </c>
      <c r="L234" t="n">
        <v>9006</v>
      </c>
      <c r="M234" t="inlineStr">
        <is>
          <t>4,7,10</t>
        </is>
      </c>
      <c r="O234" t="n">
        <v>0.7</v>
      </c>
      <c r="P234" s="80" t="inlineStr">
        <is>
          <t>藤蔓纏繞</t>
        </is>
      </c>
      <c r="Q234" t="inlineStr">
        <is>
          <t>debuff</t>
        </is>
      </c>
      <c r="R234" t="n">
        <v>9011</v>
      </c>
      <c r="S234" t="inlineStr">
        <is>
          <t>1,6,11</t>
        </is>
      </c>
      <c r="U234" t="n">
        <v>0.6</v>
      </c>
      <c r="V234" t="n">
        <v>70001</v>
      </c>
      <c r="W234" t="n">
        <v>1</v>
      </c>
      <c r="X234" t="n">
        <v>1</v>
      </c>
      <c r="Y234" t="n">
        <v>70002</v>
      </c>
      <c r="Z234" t="n">
        <v>1</v>
      </c>
      <c r="AA234" t="n">
        <v>1</v>
      </c>
      <c r="AB234" t="n">
        <v>1001</v>
      </c>
      <c r="AC234" t="n">
        <v>50</v>
      </c>
      <c r="AD234" t="n">
        <v>1</v>
      </c>
      <c r="AE234" t="n">
        <v>8000</v>
      </c>
      <c r="AF234" t="n">
        <v>360</v>
      </c>
      <c r="AG234" t="n">
        <v>1</v>
      </c>
    </row>
    <row r="235" ht="38.25" customHeight="1" s="142">
      <c r="A235" t="n">
        <v>1129</v>
      </c>
      <c r="B235" t="inlineStr">
        <is>
          <t>main</t>
        </is>
      </c>
      <c r="C235" t="n">
        <v>5</v>
      </c>
      <c r="D235" t="inlineStr">
        <is>
          <t>5-10</t>
        </is>
      </c>
      <c r="E235" t="n">
        <v>65</v>
      </c>
      <c r="G235" s="90" t="inlineStr">
        <is>
          <t>{role:-1},
{id:-1},{id:-1},{id:-1},{id:-1},{id:-1}
{id:40031},{id:40030},{id:40028},{id:40033}</t>
        </is>
      </c>
      <c r="I235" t="n">
        <v>17345</v>
      </c>
      <c r="J235" s="80" t="inlineStr">
        <is>
          <t>森林呼吸</t>
        </is>
      </c>
      <c r="K235" t="inlineStr">
        <is>
          <t>buff</t>
        </is>
      </c>
      <c r="L235" t="n">
        <v>9008</v>
      </c>
      <c r="M235" t="n">
        <v>2</v>
      </c>
      <c r="O235" t="n">
        <v>0.6</v>
      </c>
      <c r="P235" s="80" t="inlineStr">
        <is>
          <t>藤蔓纏繞</t>
        </is>
      </c>
      <c r="Q235" t="inlineStr">
        <is>
          <t>debuff</t>
        </is>
      </c>
      <c r="R235" t="n">
        <v>9003</v>
      </c>
      <c r="S235" t="inlineStr">
        <is>
          <t>11,12,13</t>
        </is>
      </c>
      <c r="U235" t="n">
        <v>1</v>
      </c>
      <c r="V235" t="n">
        <v>70001</v>
      </c>
      <c r="W235" t="n">
        <v>1</v>
      </c>
      <c r="X235" t="n">
        <v>1</v>
      </c>
      <c r="Y235" t="n">
        <v>70002</v>
      </c>
      <c r="Z235" t="n">
        <v>1</v>
      </c>
      <c r="AA235" t="n">
        <v>1</v>
      </c>
      <c r="AB235" t="n">
        <v>1001</v>
      </c>
      <c r="AC235" t="n">
        <v>50</v>
      </c>
      <c r="AD235" t="n">
        <v>1</v>
      </c>
      <c r="AE235" t="n">
        <v>8000</v>
      </c>
      <c r="AF235" t="n">
        <v>360</v>
      </c>
      <c r="AG235" t="n">
        <v>1</v>
      </c>
    </row>
    <row r="236" ht="38.25" customHeight="1" s="142">
      <c r="A236" t="n">
        <v>1130</v>
      </c>
      <c r="B236" t="inlineStr">
        <is>
          <t>main</t>
        </is>
      </c>
      <c r="C236" t="n">
        <v>5</v>
      </c>
      <c r="D236" t="inlineStr">
        <is>
          <t>5-11</t>
        </is>
      </c>
      <c r="E236" t="n">
        <v>66</v>
      </c>
      <c r="G236" s="90" t="inlineStr">
        <is>
          <t>{role:-1},
{id:-1},{id:-1},{id:-1},{id:-1},{id:-1}
{id:40031},{id:40028},{id:40029},{id:40031}</t>
        </is>
      </c>
      <c r="I236" t="n">
        <v>17470</v>
      </c>
      <c r="J236" s="80" t="inlineStr">
        <is>
          <t>森林呼吸</t>
        </is>
      </c>
      <c r="K236" t="inlineStr">
        <is>
          <t>buff</t>
        </is>
      </c>
      <c r="L236" t="n">
        <v>9008</v>
      </c>
      <c r="M236" t="inlineStr">
        <is>
          <t>6,11,13</t>
        </is>
      </c>
      <c r="O236" t="n">
        <v>0.8</v>
      </c>
      <c r="P236" s="80" t="inlineStr">
        <is>
          <t>藤蔓纏繞</t>
        </is>
      </c>
      <c r="Q236" t="inlineStr">
        <is>
          <t>debuff</t>
        </is>
      </c>
      <c r="R236" t="n">
        <v>9008</v>
      </c>
      <c r="S236" t="inlineStr">
        <is>
          <t>3,12</t>
        </is>
      </c>
      <c r="U236" t="n">
        <v>0.9</v>
      </c>
      <c r="V236" t="n">
        <v>70001</v>
      </c>
      <c r="W236" t="n">
        <v>1</v>
      </c>
      <c r="X236" t="n">
        <v>1</v>
      </c>
      <c r="Y236" t="n">
        <v>70002</v>
      </c>
      <c r="Z236" t="n">
        <v>1</v>
      </c>
      <c r="AA236" t="n">
        <v>1</v>
      </c>
      <c r="AB236" t="n">
        <v>1001</v>
      </c>
      <c r="AC236" t="n">
        <v>50</v>
      </c>
      <c r="AD236" t="n">
        <v>1</v>
      </c>
      <c r="AE236" t="n">
        <v>8000</v>
      </c>
      <c r="AF236" t="n">
        <v>370</v>
      </c>
      <c r="AG236" t="n">
        <v>1</v>
      </c>
    </row>
    <row r="237" ht="38.25" customHeight="1" s="142">
      <c r="A237" t="n">
        <v>1131</v>
      </c>
      <c r="B237" t="inlineStr">
        <is>
          <t>main</t>
        </is>
      </c>
      <c r="C237" t="n">
        <v>5</v>
      </c>
      <c r="D237" t="inlineStr">
        <is>
          <t>5-12</t>
        </is>
      </c>
      <c r="E237" t="n">
        <v>66</v>
      </c>
      <c r="G237" s="90" t="inlineStr">
        <is>
          <t>{role:-1},
{id:-1},{id:-1},{id:-1},{id:-1},{id:-1}
{id:40033},{id:40033},{id:40029},{id:40028}</t>
        </is>
      </c>
      <c r="I237" t="n">
        <v>17595</v>
      </c>
      <c r="J237" s="80" t="inlineStr">
        <is>
          <t>森林呼吸</t>
        </is>
      </c>
      <c r="K237" t="inlineStr">
        <is>
          <t>buff</t>
        </is>
      </c>
      <c r="L237" t="n">
        <v>9005</v>
      </c>
      <c r="M237" t="inlineStr">
        <is>
          <t>2,5,6</t>
        </is>
      </c>
      <c r="O237" t="n">
        <v>0.8</v>
      </c>
      <c r="P237" s="80" t="inlineStr">
        <is>
          <t>藤蔓纏繞</t>
        </is>
      </c>
      <c r="Q237" t="inlineStr">
        <is>
          <t>debuff</t>
        </is>
      </c>
      <c r="R237" t="n">
        <v>9004</v>
      </c>
      <c r="S237" t="n">
        <v>1</v>
      </c>
      <c r="U237" t="n">
        <v>0.3</v>
      </c>
      <c r="V237" t="n">
        <v>70001</v>
      </c>
      <c r="W237" t="n">
        <v>1</v>
      </c>
      <c r="X237" t="n">
        <v>1</v>
      </c>
      <c r="Y237" t="n">
        <v>70002</v>
      </c>
      <c r="Z237" t="n">
        <v>1</v>
      </c>
      <c r="AA237" t="n">
        <v>1</v>
      </c>
      <c r="AB237" t="n">
        <v>1001</v>
      </c>
      <c r="AC237" t="n">
        <v>50</v>
      </c>
      <c r="AD237" t="n">
        <v>1</v>
      </c>
      <c r="AE237" t="n">
        <v>8000</v>
      </c>
      <c r="AF237" t="n">
        <v>370</v>
      </c>
      <c r="AG237" t="n">
        <v>1</v>
      </c>
    </row>
    <row r="238" ht="38.25" customHeight="1" s="142">
      <c r="A238" t="n">
        <v>1132</v>
      </c>
      <c r="B238" t="inlineStr">
        <is>
          <t>main</t>
        </is>
      </c>
      <c r="C238" t="n">
        <v>5</v>
      </c>
      <c r="D238" t="inlineStr">
        <is>
          <t>5-13</t>
        </is>
      </c>
      <c r="E238" t="n">
        <v>67</v>
      </c>
      <c r="G238" s="90" t="inlineStr">
        <is>
          <t>{role:-1},
{id:-1},{id:-1},{id:-1},{id:-1},{id:-1}
{id:40029},{id:40028},{id:40029},{id:40030},{id:40031}</t>
        </is>
      </c>
      <c r="I238" t="n">
        <v>17720</v>
      </c>
      <c r="J238" s="80" t="inlineStr">
        <is>
          <t>森林呼吸</t>
        </is>
      </c>
      <c r="K238" t="inlineStr">
        <is>
          <t>buff</t>
        </is>
      </c>
      <c r="L238" t="n">
        <v>9011</v>
      </c>
      <c r="M238" t="inlineStr">
        <is>
          <t>4,7</t>
        </is>
      </c>
      <c r="O238" t="n">
        <v>0.6</v>
      </c>
      <c r="P238" s="80" t="inlineStr">
        <is>
          <t>藤蔓纏繞</t>
        </is>
      </c>
      <c r="Q238" t="inlineStr">
        <is>
          <t>debuff</t>
        </is>
      </c>
      <c r="R238" t="n">
        <v>9010</v>
      </c>
      <c r="S238" t="inlineStr">
        <is>
          <t>7,9</t>
        </is>
      </c>
      <c r="U238" t="n">
        <v>0.4</v>
      </c>
      <c r="V238" t="n">
        <v>70001</v>
      </c>
      <c r="W238" t="n">
        <v>1</v>
      </c>
      <c r="X238" t="n">
        <v>1</v>
      </c>
      <c r="Y238" t="n">
        <v>70002</v>
      </c>
      <c r="Z238" t="n">
        <v>1</v>
      </c>
      <c r="AA238" t="n">
        <v>1</v>
      </c>
      <c r="AB238" t="n">
        <v>1001</v>
      </c>
      <c r="AC238" t="n">
        <v>50</v>
      </c>
      <c r="AD238" t="n">
        <v>1</v>
      </c>
      <c r="AE238" t="n">
        <v>8000</v>
      </c>
      <c r="AF238" t="n">
        <v>380</v>
      </c>
      <c r="AG238" t="n">
        <v>1</v>
      </c>
    </row>
    <row r="239" ht="38.25" customHeight="1" s="142">
      <c r="A239" t="n">
        <v>1133</v>
      </c>
      <c r="B239" t="inlineStr">
        <is>
          <t>main</t>
        </is>
      </c>
      <c r="C239" t="n">
        <v>5</v>
      </c>
      <c r="D239" t="inlineStr">
        <is>
          <t>5-14</t>
        </is>
      </c>
      <c r="E239" t="n">
        <v>67</v>
      </c>
      <c r="G239" s="90" t="inlineStr">
        <is>
          <t>{role:-1},
{id:-1},{id:-1},{id:-1},{id:-1},{id:-1}
{id:40029},{id:40029},{id:40031},{id:40030},{id:40028}</t>
        </is>
      </c>
      <c r="I239" t="n">
        <v>17845</v>
      </c>
      <c r="J239" s="80" t="inlineStr">
        <is>
          <t>森林呼吸</t>
        </is>
      </c>
      <c r="K239" t="inlineStr">
        <is>
          <t>buff</t>
        </is>
      </c>
      <c r="L239" t="n">
        <v>9001</v>
      </c>
      <c r="M239" t="inlineStr">
        <is>
          <t>1,2,7</t>
        </is>
      </c>
      <c r="O239" t="n">
        <v>0.4</v>
      </c>
      <c r="P239" s="80" t="inlineStr">
        <is>
          <t>藤蔓纏繞</t>
        </is>
      </c>
      <c r="Q239" t="inlineStr">
        <is>
          <t>debuff</t>
        </is>
      </c>
      <c r="R239" t="n">
        <v>9008</v>
      </c>
      <c r="S239" t="inlineStr">
        <is>
          <t>8,12</t>
        </is>
      </c>
      <c r="U239" t="n">
        <v>0.8</v>
      </c>
      <c r="V239" t="n">
        <v>70001</v>
      </c>
      <c r="W239" t="n">
        <v>1</v>
      </c>
      <c r="X239" t="n">
        <v>1</v>
      </c>
      <c r="Y239" t="n">
        <v>70002</v>
      </c>
      <c r="Z239" t="n">
        <v>1</v>
      </c>
      <c r="AA239" t="n">
        <v>1</v>
      </c>
      <c r="AB239" t="n">
        <v>1001</v>
      </c>
      <c r="AC239" t="n">
        <v>50</v>
      </c>
      <c r="AD239" t="n">
        <v>1</v>
      </c>
      <c r="AE239" t="n">
        <v>8000</v>
      </c>
      <c r="AF239" t="n">
        <v>380</v>
      </c>
      <c r="AG239" t="n">
        <v>1</v>
      </c>
    </row>
    <row r="240" ht="38.25" customHeight="1" s="142">
      <c r="A240" t="n">
        <v>1134</v>
      </c>
      <c r="B240" t="inlineStr">
        <is>
          <t>main</t>
        </is>
      </c>
      <c r="C240" t="n">
        <v>5</v>
      </c>
      <c r="D240" t="inlineStr">
        <is>
          <t>5-15</t>
        </is>
      </c>
      <c r="E240" t="n">
        <v>68</v>
      </c>
      <c r="G240" s="90" t="inlineStr">
        <is>
          <t>{role:-1},
{id:-1},{id:-1},{id:-1},{id:-1},{id:-1}
{id:40033},{id:40030},{id:40033},{id:40030},{id:40028}</t>
        </is>
      </c>
      <c r="I240" t="n">
        <v>17970</v>
      </c>
      <c r="J240" s="80" t="inlineStr">
        <is>
          <t>森林呼吸</t>
        </is>
      </c>
      <c r="K240" t="inlineStr">
        <is>
          <t>buff</t>
        </is>
      </c>
      <c r="L240" t="n">
        <v>9007</v>
      </c>
      <c r="M240" t="inlineStr">
        <is>
          <t>2,8,13</t>
        </is>
      </c>
      <c r="O240" t="n">
        <v>0.5</v>
      </c>
      <c r="P240" s="80" t="inlineStr">
        <is>
          <t>藤蔓纏繞</t>
        </is>
      </c>
      <c r="Q240" t="inlineStr">
        <is>
          <t>debuff</t>
        </is>
      </c>
      <c r="R240" t="n">
        <v>9011</v>
      </c>
      <c r="S240" t="n">
        <v>10</v>
      </c>
      <c r="U240" t="n">
        <v>0.9</v>
      </c>
      <c r="V240" t="n">
        <v>70001</v>
      </c>
      <c r="W240" t="n">
        <v>1</v>
      </c>
      <c r="X240" t="n">
        <v>1</v>
      </c>
      <c r="Y240" t="n">
        <v>70002</v>
      </c>
      <c r="Z240" t="n">
        <v>1</v>
      </c>
      <c r="AA240" t="n">
        <v>1</v>
      </c>
      <c r="AB240" t="n">
        <v>1001</v>
      </c>
      <c r="AC240" t="n">
        <v>50</v>
      </c>
      <c r="AD240" t="n">
        <v>1</v>
      </c>
      <c r="AE240" t="n">
        <v>8000</v>
      </c>
      <c r="AF240" t="n">
        <v>380</v>
      </c>
      <c r="AG240" t="n">
        <v>1</v>
      </c>
    </row>
    <row r="241" ht="38.25" customHeight="1" s="142">
      <c r="A241" t="n">
        <v>1135</v>
      </c>
      <c r="B241" t="inlineStr">
        <is>
          <t>main</t>
        </is>
      </c>
      <c r="C241" t="n">
        <v>5</v>
      </c>
      <c r="D241" t="inlineStr">
        <is>
          <t>5-16</t>
        </is>
      </c>
      <c r="E241" t="n">
        <v>68</v>
      </c>
      <c r="G241" s="90" t="inlineStr">
        <is>
          <t>{role:-1},
{id:-1},{id:-1},{id:-1},{id:-1},{id:-1}
{id:40033},{id:40029},{id:40030},{id:40033},{id:40030}</t>
        </is>
      </c>
      <c r="I241" t="n">
        <v>18095</v>
      </c>
      <c r="J241" s="80" t="inlineStr">
        <is>
          <t>森林呼吸</t>
        </is>
      </c>
      <c r="K241" t="inlineStr">
        <is>
          <t>buff</t>
        </is>
      </c>
      <c r="L241" t="n">
        <v>9011</v>
      </c>
      <c r="M241" t="n">
        <v>3</v>
      </c>
      <c r="O241" t="n">
        <v>0.9</v>
      </c>
      <c r="P241" s="80" t="inlineStr">
        <is>
          <t>藤蔓纏繞</t>
        </is>
      </c>
      <c r="Q241" t="inlineStr">
        <is>
          <t>debuff</t>
        </is>
      </c>
      <c r="R241" t="n">
        <v>9010</v>
      </c>
      <c r="S241" t="inlineStr">
        <is>
          <t>3,9</t>
        </is>
      </c>
      <c r="U241" t="n">
        <v>0.5</v>
      </c>
      <c r="V241" t="n">
        <v>70001</v>
      </c>
      <c r="W241" t="n">
        <v>1</v>
      </c>
      <c r="X241" t="n">
        <v>1</v>
      </c>
      <c r="Y241" t="n">
        <v>70002</v>
      </c>
      <c r="Z241" t="n">
        <v>1</v>
      </c>
      <c r="AA241" t="n">
        <v>1</v>
      </c>
      <c r="AB241" t="n">
        <v>1001</v>
      </c>
      <c r="AC241" t="n">
        <v>50</v>
      </c>
      <c r="AD241" t="n">
        <v>1</v>
      </c>
      <c r="AE241" t="n">
        <v>8000</v>
      </c>
      <c r="AF241" t="n">
        <v>390</v>
      </c>
      <c r="AG241" t="n">
        <v>1</v>
      </c>
    </row>
    <row r="242" ht="38.25" customHeight="1" s="142">
      <c r="A242" t="n">
        <v>1136</v>
      </c>
      <c r="B242" t="inlineStr">
        <is>
          <t>main</t>
        </is>
      </c>
      <c r="C242" t="n">
        <v>5</v>
      </c>
      <c r="D242" t="inlineStr">
        <is>
          <t>5-17</t>
        </is>
      </c>
      <c r="E242" t="n">
        <v>69</v>
      </c>
      <c r="G242" s="90" t="inlineStr">
        <is>
          <t>{role:-1},
{id:-1},{id:-1},{id:-1},{id:-1},{id:-1}
{id:40031},{id:40030},{id:40029},{id:40028},{id:40031}</t>
        </is>
      </c>
      <c r="I242" t="n">
        <v>18220</v>
      </c>
      <c r="J242" s="80" t="inlineStr">
        <is>
          <t>森林呼吸</t>
        </is>
      </c>
      <c r="K242" t="inlineStr">
        <is>
          <t>buff</t>
        </is>
      </c>
      <c r="L242" t="n">
        <v>9011</v>
      </c>
      <c r="M242" t="inlineStr">
        <is>
          <t>3,11</t>
        </is>
      </c>
      <c r="O242" t="n">
        <v>0.3</v>
      </c>
      <c r="P242" s="80" t="inlineStr">
        <is>
          <t>藤蔓纏繞</t>
        </is>
      </c>
      <c r="Q242" t="inlineStr">
        <is>
          <t>debuff</t>
        </is>
      </c>
      <c r="R242" t="n">
        <v>9012</v>
      </c>
      <c r="S242" t="inlineStr">
        <is>
          <t>2,8,12</t>
        </is>
      </c>
      <c r="U242" t="n">
        <v>0.6</v>
      </c>
      <c r="V242" t="n">
        <v>70001</v>
      </c>
      <c r="W242" t="n">
        <v>1</v>
      </c>
      <c r="X242" t="n">
        <v>1</v>
      </c>
      <c r="Y242" t="n">
        <v>70002</v>
      </c>
      <c r="Z242" t="n">
        <v>1</v>
      </c>
      <c r="AA242" t="n">
        <v>1</v>
      </c>
      <c r="AB242" t="n">
        <v>1001</v>
      </c>
      <c r="AC242" t="n">
        <v>50</v>
      </c>
      <c r="AD242" t="n">
        <v>1</v>
      </c>
      <c r="AE242" t="n">
        <v>8000</v>
      </c>
      <c r="AF242" t="n">
        <v>390</v>
      </c>
      <c r="AG242" t="n">
        <v>1</v>
      </c>
    </row>
    <row r="243" ht="38.25" customHeight="1" s="142">
      <c r="A243" t="n">
        <v>1137</v>
      </c>
      <c r="B243" t="inlineStr">
        <is>
          <t>main</t>
        </is>
      </c>
      <c r="C243" t="n">
        <v>5</v>
      </c>
      <c r="D243" t="inlineStr">
        <is>
          <t>5-18</t>
        </is>
      </c>
      <c r="E243" t="n">
        <v>69</v>
      </c>
      <c r="G243" s="90" t="inlineStr">
        <is>
          <t>{role:-1},
{id:-1},{id:-1},{id:-1},{id:-1},{id:-1}
{id:40031},{id:40031},{id:40033},{id:40033},{id:40029}</t>
        </is>
      </c>
      <c r="I243" t="n">
        <v>18345</v>
      </c>
      <c r="J243" s="80" t="inlineStr">
        <is>
          <t>森林呼吸</t>
        </is>
      </c>
      <c r="K243" t="inlineStr">
        <is>
          <t>buff</t>
        </is>
      </c>
      <c r="L243" t="n">
        <v>9006</v>
      </c>
      <c r="M243" t="n">
        <v>12</v>
      </c>
      <c r="O243" t="n">
        <v>0.7</v>
      </c>
      <c r="P243" s="80" t="inlineStr">
        <is>
          <t>藤蔓纏繞</t>
        </is>
      </c>
      <c r="Q243" t="inlineStr">
        <is>
          <t>debuff</t>
        </is>
      </c>
      <c r="R243" t="n">
        <v>9004</v>
      </c>
      <c r="S243" t="inlineStr">
        <is>
          <t>3,10,13</t>
        </is>
      </c>
      <c r="U243" t="n">
        <v>0.8</v>
      </c>
      <c r="V243" t="n">
        <v>70001</v>
      </c>
      <c r="W243" t="n">
        <v>1</v>
      </c>
      <c r="X243" t="n">
        <v>1</v>
      </c>
      <c r="Y243" t="n">
        <v>70002</v>
      </c>
      <c r="Z243" t="n">
        <v>1</v>
      </c>
      <c r="AA243" t="n">
        <v>1</v>
      </c>
      <c r="AB243" t="n">
        <v>1001</v>
      </c>
      <c r="AC243" t="n">
        <v>50</v>
      </c>
      <c r="AD243" t="n">
        <v>1</v>
      </c>
      <c r="AE243" t="n">
        <v>8000</v>
      </c>
      <c r="AF243" t="n">
        <v>390</v>
      </c>
      <c r="AG243" t="n">
        <v>1</v>
      </c>
    </row>
    <row r="244" ht="38.25" customHeight="1" s="142">
      <c r="A244" t="n">
        <v>1138</v>
      </c>
      <c r="B244" t="inlineStr">
        <is>
          <t>main</t>
        </is>
      </c>
      <c r="C244" t="n">
        <v>5</v>
      </c>
      <c r="D244" t="inlineStr">
        <is>
          <t>5-19</t>
        </is>
      </c>
      <c r="E244" t="n">
        <v>70</v>
      </c>
      <c r="G244" s="90" t="inlineStr">
        <is>
          <t>{role:-1},
{id:-1},{id:-1},{id:-1},{id:-1},{id:-1}
{id:40031},{id:40031},{id:40030},{id:40029},{id:40028}</t>
        </is>
      </c>
      <c r="I244" t="n">
        <v>18470</v>
      </c>
      <c r="J244" s="80" t="inlineStr">
        <is>
          <t>森林呼吸</t>
        </is>
      </c>
      <c r="K244" t="inlineStr">
        <is>
          <t>buff</t>
        </is>
      </c>
      <c r="L244" t="n">
        <v>9007</v>
      </c>
      <c r="M244" t="inlineStr">
        <is>
          <t>2,8</t>
        </is>
      </c>
      <c r="O244" t="n">
        <v>0.6</v>
      </c>
      <c r="P244" s="80" t="inlineStr">
        <is>
          <t>藤蔓纏繞</t>
        </is>
      </c>
      <c r="Q244" t="inlineStr">
        <is>
          <t>debuff</t>
        </is>
      </c>
      <c r="R244" t="n">
        <v>9004</v>
      </c>
      <c r="S244" t="n">
        <v>2</v>
      </c>
      <c r="U244" t="n">
        <v>0.7</v>
      </c>
      <c r="V244" t="n">
        <v>70001</v>
      </c>
      <c r="W244" t="n">
        <v>1</v>
      </c>
      <c r="X244" t="n">
        <v>1</v>
      </c>
      <c r="Y244" t="n">
        <v>70002</v>
      </c>
      <c r="Z244" t="n">
        <v>1</v>
      </c>
      <c r="AA244" t="n">
        <v>1</v>
      </c>
      <c r="AB244" t="n">
        <v>1001</v>
      </c>
      <c r="AC244" t="n">
        <v>50</v>
      </c>
      <c r="AD244" t="n">
        <v>1</v>
      </c>
      <c r="AE244" t="n">
        <v>8000</v>
      </c>
      <c r="AF244" t="n">
        <v>400</v>
      </c>
      <c r="AG244" t="n">
        <v>1</v>
      </c>
    </row>
    <row r="245" ht="38.25" customHeight="1" s="142">
      <c r="A245" t="n">
        <v>1139</v>
      </c>
      <c r="B245" t="inlineStr">
        <is>
          <t>main</t>
        </is>
      </c>
      <c r="C245" t="n">
        <v>5</v>
      </c>
      <c r="D245" t="inlineStr">
        <is>
          <t>5-20</t>
        </is>
      </c>
      <c r="E245" t="n">
        <v>70</v>
      </c>
      <c r="G245" s="90" t="inlineStr">
        <is>
          <t>{role:-1},
{id:-1},{id:-1},{id:-1},{id:-1},{id:-1}
{id:40033},{id:40029},{id:40033},{id:40028},{id:40028}</t>
        </is>
      </c>
      <c r="I245" t="n">
        <v>18595</v>
      </c>
      <c r="J245" s="80" t="inlineStr">
        <is>
          <t>森林呼吸</t>
        </is>
      </c>
      <c r="K245" t="inlineStr">
        <is>
          <t>buff</t>
        </is>
      </c>
      <c r="L245" t="n">
        <v>9005</v>
      </c>
      <c r="M245" t="n">
        <v>5</v>
      </c>
      <c r="O245" t="n">
        <v>0.7</v>
      </c>
      <c r="P245" s="80" t="inlineStr">
        <is>
          <t>藤蔓纏繞</t>
        </is>
      </c>
      <c r="Q245" t="inlineStr">
        <is>
          <t>debuff</t>
        </is>
      </c>
      <c r="R245" t="n">
        <v>9010</v>
      </c>
      <c r="S245" t="inlineStr">
        <is>
          <t>4,8</t>
        </is>
      </c>
      <c r="U245" t="n">
        <v>0.5</v>
      </c>
      <c r="V245" t="n">
        <v>70001</v>
      </c>
      <c r="W245" t="n">
        <v>1</v>
      </c>
      <c r="X245" t="n">
        <v>1</v>
      </c>
      <c r="Y245" t="n">
        <v>70002</v>
      </c>
      <c r="Z245" t="n">
        <v>1</v>
      </c>
      <c r="AA245" t="n">
        <v>1</v>
      </c>
      <c r="AB245" t="n">
        <v>1001</v>
      </c>
      <c r="AC245" t="n">
        <v>50</v>
      </c>
      <c r="AD245" t="n">
        <v>1</v>
      </c>
      <c r="AE245" t="n">
        <v>8000</v>
      </c>
      <c r="AF245" t="n">
        <v>400</v>
      </c>
      <c r="AG245" t="n">
        <v>1</v>
      </c>
    </row>
    <row r="246" ht="38.25" customHeight="1" s="142">
      <c r="A246" t="n">
        <v>1140</v>
      </c>
      <c r="B246" t="inlineStr">
        <is>
          <t>main</t>
        </is>
      </c>
      <c r="C246" t="n">
        <v>5</v>
      </c>
      <c r="D246" t="inlineStr">
        <is>
          <t>5-21</t>
        </is>
      </c>
      <c r="E246" t="n">
        <v>71</v>
      </c>
      <c r="G246" s="90" t="inlineStr">
        <is>
          <t>{role:-1},
{id:-1},{id:-1},{id:-1},{id:-1},{id:-1}
{id:40028},{id:40028},{id:40028},{id:40029},{id:40029}</t>
        </is>
      </c>
      <c r="I246" t="n">
        <v>18720</v>
      </c>
      <c r="J246" s="80" t="inlineStr">
        <is>
          <t>森林呼吸</t>
        </is>
      </c>
      <c r="K246" t="inlineStr">
        <is>
          <t>buff</t>
        </is>
      </c>
      <c r="L246" t="n">
        <v>9001</v>
      </c>
      <c r="M246" t="n">
        <v>1</v>
      </c>
      <c r="O246" t="n">
        <v>0.5</v>
      </c>
      <c r="P246" s="80" t="inlineStr">
        <is>
          <t>藤蔓纏繞</t>
        </is>
      </c>
      <c r="Q246" t="inlineStr">
        <is>
          <t>debuff</t>
        </is>
      </c>
      <c r="R246" t="n">
        <v>9008</v>
      </c>
      <c r="S246" t="inlineStr">
        <is>
          <t>1,3,6</t>
        </is>
      </c>
      <c r="U246" t="n">
        <v>0.9</v>
      </c>
      <c r="V246" t="n">
        <v>70001</v>
      </c>
      <c r="W246" t="n">
        <v>1</v>
      </c>
      <c r="X246" t="n">
        <v>1</v>
      </c>
      <c r="Y246" t="n">
        <v>70002</v>
      </c>
      <c r="Z246" t="n">
        <v>1</v>
      </c>
      <c r="AA246" t="n">
        <v>1</v>
      </c>
      <c r="AB246" t="n">
        <v>1001</v>
      </c>
      <c r="AC246" t="n">
        <v>50</v>
      </c>
      <c r="AD246" t="n">
        <v>1</v>
      </c>
      <c r="AE246" t="n">
        <v>8000</v>
      </c>
      <c r="AF246" t="n">
        <v>410</v>
      </c>
      <c r="AG246" t="n">
        <v>1</v>
      </c>
    </row>
    <row r="247" ht="38.25" customHeight="1" s="142">
      <c r="A247" t="n">
        <v>1141</v>
      </c>
      <c r="B247" t="inlineStr">
        <is>
          <t>main</t>
        </is>
      </c>
      <c r="C247" t="n">
        <v>5</v>
      </c>
      <c r="D247" t="inlineStr">
        <is>
          <t>5-22</t>
        </is>
      </c>
      <c r="E247" t="n">
        <v>71</v>
      </c>
      <c r="G247" s="90" t="inlineStr">
        <is>
          <t>{role:-1},
{id:-1},{id:-1},{id:-1},{id:-1},{id:-1}
{id:40033},{id:40029},{id:40028},{id:40028},{id:40033}</t>
        </is>
      </c>
      <c r="I247" t="n">
        <v>18845</v>
      </c>
      <c r="J247" s="80" t="inlineStr">
        <is>
          <t>森林呼吸</t>
        </is>
      </c>
      <c r="K247" t="inlineStr">
        <is>
          <t>buff</t>
        </is>
      </c>
      <c r="L247" t="n">
        <v>9007</v>
      </c>
      <c r="M247" t="inlineStr">
        <is>
          <t>8,13</t>
        </is>
      </c>
      <c r="O247" t="n">
        <v>0.6</v>
      </c>
      <c r="P247" s="80" t="inlineStr">
        <is>
          <t>藤蔓纏繞</t>
        </is>
      </c>
      <c r="Q247" t="inlineStr">
        <is>
          <t>debuff</t>
        </is>
      </c>
      <c r="R247" t="n">
        <v>9008</v>
      </c>
      <c r="S247" t="inlineStr">
        <is>
          <t>3,5,8</t>
        </is>
      </c>
      <c r="U247" t="n">
        <v>0.6</v>
      </c>
      <c r="V247" t="n">
        <v>70001</v>
      </c>
      <c r="W247" t="n">
        <v>1</v>
      </c>
      <c r="X247" t="n">
        <v>1</v>
      </c>
      <c r="Y247" t="n">
        <v>70002</v>
      </c>
      <c r="Z247" t="n">
        <v>1</v>
      </c>
      <c r="AA247" t="n">
        <v>1</v>
      </c>
      <c r="AB247" t="n">
        <v>1001</v>
      </c>
      <c r="AC247" t="n">
        <v>50</v>
      </c>
      <c r="AD247" t="n">
        <v>1</v>
      </c>
      <c r="AE247" t="n">
        <v>8000</v>
      </c>
      <c r="AF247" t="n">
        <v>410</v>
      </c>
      <c r="AG247" t="n">
        <v>1</v>
      </c>
    </row>
    <row r="248" ht="38.25" customHeight="1" s="142">
      <c r="A248" t="n">
        <v>1142</v>
      </c>
      <c r="B248" t="inlineStr">
        <is>
          <t>main</t>
        </is>
      </c>
      <c r="C248" t="n">
        <v>5</v>
      </c>
      <c r="D248" t="inlineStr">
        <is>
          <t>5-23</t>
        </is>
      </c>
      <c r="E248" t="n">
        <v>72</v>
      </c>
      <c r="G248" s="90" t="inlineStr">
        <is>
          <t>{role:-1},
{id:-1},{id:-1},{id:-1},{id:-1},{id:-1}
{id:40030},{id:40030},{id:40028},{id:40030},{id:40028}</t>
        </is>
      </c>
      <c r="I248" t="n">
        <v>18970</v>
      </c>
      <c r="J248" s="80" t="inlineStr">
        <is>
          <t>森林呼吸</t>
        </is>
      </c>
      <c r="K248" t="inlineStr">
        <is>
          <t>buff</t>
        </is>
      </c>
      <c r="L248" t="n">
        <v>9012</v>
      </c>
      <c r="M248" t="inlineStr">
        <is>
          <t>6,7,11</t>
        </is>
      </c>
      <c r="O248" t="n">
        <v>1</v>
      </c>
      <c r="P248" s="80" t="inlineStr">
        <is>
          <t>藤蔓纏繞</t>
        </is>
      </c>
      <c r="Q248" t="inlineStr">
        <is>
          <t>debuff</t>
        </is>
      </c>
      <c r="R248" t="n">
        <v>9003</v>
      </c>
      <c r="S248" t="inlineStr">
        <is>
          <t>5,8,9</t>
        </is>
      </c>
      <c r="U248" t="n">
        <v>0.2</v>
      </c>
      <c r="V248" t="n">
        <v>70001</v>
      </c>
      <c r="W248" t="n">
        <v>1</v>
      </c>
      <c r="X248" t="n">
        <v>1</v>
      </c>
      <c r="Y248" t="n">
        <v>70002</v>
      </c>
      <c r="Z248" t="n">
        <v>1</v>
      </c>
      <c r="AA248" t="n">
        <v>1</v>
      </c>
      <c r="AB248" t="n">
        <v>1001</v>
      </c>
      <c r="AC248" t="n">
        <v>50</v>
      </c>
      <c r="AD248" t="n">
        <v>1</v>
      </c>
      <c r="AE248" t="n">
        <v>8000</v>
      </c>
      <c r="AF248" t="n">
        <v>410</v>
      </c>
      <c r="AG248" t="n">
        <v>1</v>
      </c>
    </row>
    <row r="249" ht="38.25" customHeight="1" s="142">
      <c r="A249" t="n">
        <v>1143</v>
      </c>
      <c r="B249" t="inlineStr">
        <is>
          <t>main</t>
        </is>
      </c>
      <c r="C249" t="n">
        <v>5</v>
      </c>
      <c r="D249" t="inlineStr">
        <is>
          <t>5-24</t>
        </is>
      </c>
      <c r="E249" t="n">
        <v>72</v>
      </c>
      <c r="G249" s="90" t="inlineStr">
        <is>
          <t>{role:-1},
{id:-1},{id:-1},{id:-1},{id:-1},{id:-1}
{id:40033},{id:40029},{id:40028},{id:40031},{id:40033}</t>
        </is>
      </c>
      <c r="I249" t="n">
        <v>19095</v>
      </c>
      <c r="J249" s="80" t="inlineStr">
        <is>
          <t>森林呼吸</t>
        </is>
      </c>
      <c r="K249" t="inlineStr">
        <is>
          <t>buff</t>
        </is>
      </c>
      <c r="L249" t="n">
        <v>9008</v>
      </c>
      <c r="M249" t="inlineStr">
        <is>
          <t>5,10,12</t>
        </is>
      </c>
      <c r="O249" t="n">
        <v>0.8</v>
      </c>
      <c r="P249" s="80" t="inlineStr">
        <is>
          <t>藤蔓纏繞</t>
        </is>
      </c>
      <c r="Q249" t="inlineStr">
        <is>
          <t>debuff</t>
        </is>
      </c>
      <c r="R249" t="n">
        <v>9010</v>
      </c>
      <c r="S249" t="inlineStr">
        <is>
          <t>6,7,10</t>
        </is>
      </c>
      <c r="U249" t="n">
        <v>0.4</v>
      </c>
      <c r="V249" t="n">
        <v>70001</v>
      </c>
      <c r="W249" t="n">
        <v>1</v>
      </c>
      <c r="X249" t="n">
        <v>1</v>
      </c>
      <c r="Y249" t="n">
        <v>70002</v>
      </c>
      <c r="Z249" t="n">
        <v>1</v>
      </c>
      <c r="AA249" t="n">
        <v>1</v>
      </c>
      <c r="AB249" t="n">
        <v>1001</v>
      </c>
      <c r="AC249" t="n">
        <v>50</v>
      </c>
      <c r="AD249" t="n">
        <v>1</v>
      </c>
      <c r="AE249" t="n">
        <v>8000</v>
      </c>
      <c r="AF249" t="n">
        <v>420</v>
      </c>
      <c r="AG249" t="n">
        <v>1</v>
      </c>
    </row>
    <row r="250" ht="38.25" customHeight="1" s="142">
      <c r="A250" t="n">
        <v>1144</v>
      </c>
      <c r="B250" t="inlineStr">
        <is>
          <t>main</t>
        </is>
      </c>
      <c r="C250" t="n">
        <v>5</v>
      </c>
      <c r="D250" t="inlineStr">
        <is>
          <t>5-25</t>
        </is>
      </c>
      <c r="E250" t="n">
        <v>73</v>
      </c>
      <c r="G250" s="90" t="inlineStr">
        <is>
          <t>{role:-1},
{id:-1},{id:-1},{id:-1},{id:-1},{id:-1}
{id:40031},{id:40031},{id:40030},{id:40028},{id:40028}</t>
        </is>
      </c>
      <c r="I250" t="n">
        <v>19220</v>
      </c>
      <c r="J250" s="80" t="inlineStr">
        <is>
          <t>森林呼吸</t>
        </is>
      </c>
      <c r="K250" t="inlineStr">
        <is>
          <t>buff</t>
        </is>
      </c>
      <c r="L250" t="n">
        <v>9006</v>
      </c>
      <c r="M250" t="inlineStr">
        <is>
          <t>2,7</t>
        </is>
      </c>
      <c r="O250" t="n">
        <v>0.3</v>
      </c>
      <c r="P250" s="80" t="inlineStr">
        <is>
          <t>藤蔓纏繞</t>
        </is>
      </c>
      <c r="Q250" t="inlineStr">
        <is>
          <t>debuff</t>
        </is>
      </c>
      <c r="R250" t="n">
        <v>9004</v>
      </c>
      <c r="S250" t="inlineStr">
        <is>
          <t>4,13</t>
        </is>
      </c>
      <c r="U250" t="n">
        <v>0.7</v>
      </c>
      <c r="V250" t="n">
        <v>70001</v>
      </c>
      <c r="W250" t="n">
        <v>1</v>
      </c>
      <c r="X250" t="n">
        <v>1</v>
      </c>
      <c r="Y250" t="n">
        <v>70002</v>
      </c>
      <c r="Z250" t="n">
        <v>1</v>
      </c>
      <c r="AA250" t="n">
        <v>1</v>
      </c>
      <c r="AB250" t="n">
        <v>1001</v>
      </c>
      <c r="AC250" t="n">
        <v>50</v>
      </c>
      <c r="AD250" t="n">
        <v>1</v>
      </c>
      <c r="AE250" t="n">
        <v>8000</v>
      </c>
      <c r="AF250" t="n">
        <v>420</v>
      </c>
      <c r="AG250" t="n">
        <v>1</v>
      </c>
    </row>
    <row r="251" ht="38.25" customHeight="1" s="142">
      <c r="A251" t="n">
        <v>1145</v>
      </c>
      <c r="B251" t="inlineStr">
        <is>
          <t>main</t>
        </is>
      </c>
      <c r="C251" t="n">
        <v>5</v>
      </c>
      <c r="D251" t="inlineStr">
        <is>
          <t>5-26</t>
        </is>
      </c>
      <c r="E251" t="n">
        <v>73</v>
      </c>
      <c r="G251" s="90" t="inlineStr">
        <is>
          <t>{role:-1},
{id:-1},{id:-1},{id:-1},{id:-1},{id:-1}
{id:40028},{id:40031},{id:40031},{id:40031},{id:40029}</t>
        </is>
      </c>
      <c r="I251" t="n">
        <v>19345</v>
      </c>
      <c r="J251" s="80" t="inlineStr">
        <is>
          <t>森林呼吸</t>
        </is>
      </c>
      <c r="K251" t="inlineStr">
        <is>
          <t>buff</t>
        </is>
      </c>
      <c r="L251" t="n">
        <v>9011</v>
      </c>
      <c r="M251" t="n">
        <v>11</v>
      </c>
      <c r="O251" t="n">
        <v>0.1</v>
      </c>
      <c r="P251" s="80" t="inlineStr">
        <is>
          <t>藤蔓纏繞</t>
        </is>
      </c>
      <c r="Q251" t="inlineStr">
        <is>
          <t>debuff</t>
        </is>
      </c>
      <c r="R251" t="n">
        <v>9007</v>
      </c>
      <c r="S251" t="inlineStr">
        <is>
          <t>2,12</t>
        </is>
      </c>
      <c r="U251" t="n">
        <v>0.4</v>
      </c>
      <c r="V251" t="n">
        <v>70001</v>
      </c>
      <c r="W251" t="n">
        <v>1</v>
      </c>
      <c r="X251" t="n">
        <v>1</v>
      </c>
      <c r="Y251" t="n">
        <v>70002</v>
      </c>
      <c r="Z251" t="n">
        <v>1</v>
      </c>
      <c r="AA251" t="n">
        <v>1</v>
      </c>
      <c r="AB251" t="n">
        <v>1001</v>
      </c>
      <c r="AC251" t="n">
        <v>50</v>
      </c>
      <c r="AD251" t="n">
        <v>1</v>
      </c>
      <c r="AE251" t="n">
        <v>8000</v>
      </c>
      <c r="AF251" t="n">
        <v>420</v>
      </c>
      <c r="AG251" t="n">
        <v>1</v>
      </c>
    </row>
    <row r="252" ht="38.25" customHeight="1" s="142">
      <c r="A252" t="n">
        <v>1146</v>
      </c>
      <c r="B252" t="inlineStr">
        <is>
          <t>main</t>
        </is>
      </c>
      <c r="C252" t="n">
        <v>5</v>
      </c>
      <c r="D252" t="inlineStr">
        <is>
          <t>5-27</t>
        </is>
      </c>
      <c r="E252" t="n">
        <v>74</v>
      </c>
      <c r="G252" s="90" t="inlineStr">
        <is>
          <t>{role:-1},
{id:-1},{id:-1},{id:-1},{id:-1},{id:-1}
{id:40028},{id:40029},{id:40029},{id:40028},{id:40029}</t>
        </is>
      </c>
      <c r="I252" t="n">
        <v>19470</v>
      </c>
      <c r="J252" s="80" t="inlineStr">
        <is>
          <t>森林呼吸</t>
        </is>
      </c>
      <c r="K252" t="inlineStr">
        <is>
          <t>buff</t>
        </is>
      </c>
      <c r="L252" t="n">
        <v>9001</v>
      </c>
      <c r="M252" t="inlineStr">
        <is>
          <t>5,12</t>
        </is>
      </c>
      <c r="O252" t="n">
        <v>0.6</v>
      </c>
      <c r="P252" s="80" t="inlineStr">
        <is>
          <t>藤蔓纏繞</t>
        </is>
      </c>
      <c r="Q252" t="inlineStr">
        <is>
          <t>debuff</t>
        </is>
      </c>
      <c r="R252" t="n">
        <v>9008</v>
      </c>
      <c r="S252" t="inlineStr">
        <is>
          <t>2,3,10</t>
        </is>
      </c>
      <c r="U252" t="n">
        <v>0.8</v>
      </c>
      <c r="V252" t="n">
        <v>70001</v>
      </c>
      <c r="W252" t="n">
        <v>1</v>
      </c>
      <c r="X252" t="n">
        <v>1</v>
      </c>
      <c r="Y252" t="n">
        <v>70002</v>
      </c>
      <c r="Z252" t="n">
        <v>1</v>
      </c>
      <c r="AA252" t="n">
        <v>1</v>
      </c>
      <c r="AB252" t="n">
        <v>1001</v>
      </c>
      <c r="AC252" t="n">
        <v>50</v>
      </c>
      <c r="AD252" t="n">
        <v>1</v>
      </c>
      <c r="AE252" t="n">
        <v>8000</v>
      </c>
      <c r="AF252" t="n">
        <v>430</v>
      </c>
      <c r="AG252" t="n">
        <v>1</v>
      </c>
    </row>
    <row r="253" ht="38.25" customHeight="1" s="142">
      <c r="A253" t="n">
        <v>1147</v>
      </c>
      <c r="B253" t="inlineStr">
        <is>
          <t>main</t>
        </is>
      </c>
      <c r="C253" t="n">
        <v>5</v>
      </c>
      <c r="D253" t="inlineStr">
        <is>
          <t>5-28</t>
        </is>
      </c>
      <c r="E253" t="n">
        <v>74</v>
      </c>
      <c r="G253" s="90" t="inlineStr">
        <is>
          <t>{role:-1},
{id:-1},{id:-1},{id:-1},{id:-1},{id:-1}
{id:40029},{id:40031},{id:40031},{id:40029},{id:40031}</t>
        </is>
      </c>
      <c r="I253" t="n">
        <v>19595</v>
      </c>
      <c r="J253" s="80" t="inlineStr">
        <is>
          <t>森林呼吸</t>
        </is>
      </c>
      <c r="K253" t="inlineStr">
        <is>
          <t>buff</t>
        </is>
      </c>
      <c r="L253" t="n">
        <v>9011</v>
      </c>
      <c r="M253" t="n">
        <v>2</v>
      </c>
      <c r="O253" t="n">
        <v>1</v>
      </c>
      <c r="P253" s="80" t="inlineStr">
        <is>
          <t>藤蔓纏繞</t>
        </is>
      </c>
      <c r="Q253" t="inlineStr">
        <is>
          <t>debuff</t>
        </is>
      </c>
      <c r="R253" t="n">
        <v>9007</v>
      </c>
      <c r="S253" t="n">
        <v>4</v>
      </c>
      <c r="U253" t="n">
        <v>0.9</v>
      </c>
      <c r="V253" t="n">
        <v>70001</v>
      </c>
      <c r="W253" t="n">
        <v>1</v>
      </c>
      <c r="X253" t="n">
        <v>1</v>
      </c>
      <c r="Y253" t="n">
        <v>70002</v>
      </c>
      <c r="Z253" t="n">
        <v>1</v>
      </c>
      <c r="AA253" t="n">
        <v>1</v>
      </c>
      <c r="AB253" t="n">
        <v>1001</v>
      </c>
      <c r="AC253" t="n">
        <v>50</v>
      </c>
      <c r="AD253" t="n">
        <v>1</v>
      </c>
      <c r="AE253" t="n">
        <v>8000</v>
      </c>
      <c r="AF253" t="n">
        <v>430</v>
      </c>
      <c r="AG253" t="n">
        <v>1</v>
      </c>
    </row>
    <row r="254" ht="38.25" customHeight="1" s="142">
      <c r="A254" t="n">
        <v>1148</v>
      </c>
      <c r="B254" t="inlineStr">
        <is>
          <t>main</t>
        </is>
      </c>
      <c r="C254" t="n">
        <v>5</v>
      </c>
      <c r="D254" t="inlineStr">
        <is>
          <t>5-29</t>
        </is>
      </c>
      <c r="E254" t="n">
        <v>75</v>
      </c>
      <c r="G254" s="90" t="inlineStr">
        <is>
          <t>{role:-1},
{id:-1},{id:-1},{id:-1},{id:-1},{id:-1}
{id:40031},{id:40033},{id:40033},{id:40029},{id:40030}</t>
        </is>
      </c>
      <c r="I254" t="n">
        <v>19720</v>
      </c>
      <c r="J254" s="80" t="inlineStr">
        <is>
          <t>森林呼吸</t>
        </is>
      </c>
      <c r="K254" t="inlineStr">
        <is>
          <t>buff</t>
        </is>
      </c>
      <c r="L254" t="n">
        <v>9007</v>
      </c>
      <c r="M254" t="n">
        <v>10</v>
      </c>
      <c r="O254" t="n">
        <v>0.5</v>
      </c>
      <c r="P254" s="80" t="inlineStr">
        <is>
          <t>藤蔓纏繞</t>
        </is>
      </c>
      <c r="Q254" t="inlineStr">
        <is>
          <t>debuff</t>
        </is>
      </c>
      <c r="R254" t="n">
        <v>9003</v>
      </c>
      <c r="S254" t="inlineStr">
        <is>
          <t>2,8,9</t>
        </is>
      </c>
      <c r="U254" t="n">
        <v>0.9</v>
      </c>
      <c r="V254" t="n">
        <v>70001</v>
      </c>
      <c r="W254" t="n">
        <v>1</v>
      </c>
      <c r="X254" t="n">
        <v>1</v>
      </c>
      <c r="Y254" t="n">
        <v>70002</v>
      </c>
      <c r="Z254" t="n">
        <v>1</v>
      </c>
      <c r="AA254" t="n">
        <v>1</v>
      </c>
      <c r="AB254" t="n">
        <v>1001</v>
      </c>
      <c r="AC254" t="n">
        <v>50</v>
      </c>
      <c r="AD254" t="n">
        <v>1</v>
      </c>
      <c r="AE254" t="n">
        <v>8000</v>
      </c>
      <c r="AF254" t="n">
        <v>440</v>
      </c>
      <c r="AG254" t="n">
        <v>1</v>
      </c>
    </row>
    <row r="255" ht="38.25" customHeight="1" s="142">
      <c r="A255" t="n">
        <v>1149</v>
      </c>
      <c r="B255" t="inlineStr">
        <is>
          <t>main</t>
        </is>
      </c>
      <c r="C255" t="n">
        <v>5</v>
      </c>
      <c r="D255" t="inlineStr">
        <is>
          <t>5-30</t>
        </is>
      </c>
      <c r="E255" t="n">
        <v>75</v>
      </c>
      <c r="G255" s="90" t="inlineStr">
        <is>
          <t>{role:-1},
{id:-1},{id:-1},{id:-1},{id:-1},{id:-1}
{id:50006},{id:40033},{id:40030},{id:40031},{id:40029}</t>
        </is>
      </c>
      <c r="I255" t="n">
        <v>19845</v>
      </c>
      <c r="J255" s="80" t="inlineStr">
        <is>
          <t>森林呼吸</t>
        </is>
      </c>
      <c r="K255" t="inlineStr">
        <is>
          <t>buff</t>
        </is>
      </c>
      <c r="L255" t="n">
        <v>9002</v>
      </c>
      <c r="M255" t="inlineStr">
        <is>
          <t>5,6</t>
        </is>
      </c>
      <c r="O255" t="n">
        <v>0.7</v>
      </c>
      <c r="P255" s="80" t="inlineStr">
        <is>
          <t>藤蔓纏繞</t>
        </is>
      </c>
      <c r="Q255" t="inlineStr">
        <is>
          <t>debuff</t>
        </is>
      </c>
      <c r="R255" t="n">
        <v>9007</v>
      </c>
      <c r="S255" t="inlineStr">
        <is>
          <t>7,8,13</t>
        </is>
      </c>
      <c r="U255" t="n">
        <v>0.1</v>
      </c>
      <c r="V255" t="n">
        <v>70001</v>
      </c>
      <c r="W255" t="n">
        <v>1</v>
      </c>
      <c r="X255" t="n">
        <v>1</v>
      </c>
      <c r="Y255" t="n">
        <v>70002</v>
      </c>
      <c r="Z255" t="n">
        <v>1</v>
      </c>
      <c r="AA255" t="n">
        <v>1</v>
      </c>
      <c r="AB255" t="n">
        <v>1001</v>
      </c>
      <c r="AC255" t="n">
        <v>50</v>
      </c>
      <c r="AD255" t="n">
        <v>1</v>
      </c>
      <c r="AE255" t="n">
        <v>8000</v>
      </c>
      <c r="AF255" t="n">
        <v>440</v>
      </c>
      <c r="AG255" t="n">
        <v>1</v>
      </c>
    </row>
    <row r="256" ht="38.25" customHeight="1" s="142">
      <c r="A256" t="n">
        <v>1150</v>
      </c>
      <c r="B256" t="inlineStr">
        <is>
          <t>main</t>
        </is>
      </c>
      <c r="C256" t="n">
        <v>6</v>
      </c>
      <c r="D256" t="inlineStr">
        <is>
          <t>6-1</t>
        </is>
      </c>
      <c r="E256" t="n">
        <v>76</v>
      </c>
      <c r="G256" s="90" t="inlineStr">
        <is>
          <t>{role:-1},
{id:-1},{id:-1},{id:-1},{id:-1},{id:-1}
{id:40037},{id:40034}</t>
        </is>
      </c>
      <c r="I256" t="n">
        <v>19970</v>
      </c>
      <c r="J256" s="80" t="inlineStr">
        <is>
          <t>賢者庇護</t>
        </is>
      </c>
      <c r="K256" t="inlineStr">
        <is>
          <t>buff</t>
        </is>
      </c>
      <c r="L256" t="n">
        <v>9006</v>
      </c>
      <c r="M256" t="n">
        <v>4</v>
      </c>
      <c r="O256" t="n">
        <v>0.8</v>
      </c>
      <c r="P256" s="80" t="inlineStr">
        <is>
          <t>知識共鳴</t>
        </is>
      </c>
      <c r="Q256" t="inlineStr">
        <is>
          <t>debuff</t>
        </is>
      </c>
      <c r="R256" t="n">
        <v>9008</v>
      </c>
      <c r="S256" t="inlineStr">
        <is>
          <t>1,6,11</t>
        </is>
      </c>
      <c r="U256" t="n">
        <v>0.9</v>
      </c>
      <c r="V256" t="n">
        <v>70001</v>
      </c>
      <c r="W256" t="n">
        <v>2</v>
      </c>
      <c r="X256" t="n">
        <v>1</v>
      </c>
      <c r="Y256" t="n">
        <v>70002</v>
      </c>
      <c r="Z256" t="n">
        <v>2</v>
      </c>
      <c r="AA256" t="n">
        <v>1</v>
      </c>
      <c r="AB256" t="n">
        <v>1001</v>
      </c>
      <c r="AC256" t="n">
        <v>50</v>
      </c>
      <c r="AD256" t="n">
        <v>1</v>
      </c>
      <c r="AE256" t="n">
        <v>8000</v>
      </c>
      <c r="AF256" t="n">
        <v>440</v>
      </c>
      <c r="AG256" t="n">
        <v>1</v>
      </c>
    </row>
    <row r="257" ht="38.25" customHeight="1" s="142">
      <c r="A257" t="n">
        <v>1151</v>
      </c>
      <c r="B257" t="inlineStr">
        <is>
          <t>main</t>
        </is>
      </c>
      <c r="C257" t="n">
        <v>6</v>
      </c>
      <c r="D257" t="inlineStr">
        <is>
          <t>6-2</t>
        </is>
      </c>
      <c r="E257" t="n">
        <v>76</v>
      </c>
      <c r="G257" s="90" t="inlineStr">
        <is>
          <t>{role:-1},
{id:-1},{id:-1},{id:-1},{id:-1},{id:-1}
{id:40037},{id:40036}</t>
        </is>
      </c>
      <c r="I257" t="n">
        <v>20095</v>
      </c>
      <c r="J257" s="80" t="inlineStr">
        <is>
          <t>賢者庇護</t>
        </is>
      </c>
      <c r="K257" t="inlineStr">
        <is>
          <t>buff</t>
        </is>
      </c>
      <c r="L257" t="n">
        <v>9002</v>
      </c>
      <c r="M257" t="n">
        <v>5</v>
      </c>
      <c r="O257" t="n">
        <v>0.1</v>
      </c>
      <c r="P257" s="80" t="inlineStr">
        <is>
          <t>知識共鳴</t>
        </is>
      </c>
      <c r="Q257" t="inlineStr">
        <is>
          <t>debuff</t>
        </is>
      </c>
      <c r="R257" t="n">
        <v>9008</v>
      </c>
      <c r="S257" t="n">
        <v>5</v>
      </c>
      <c r="U257" t="n">
        <v>0.4</v>
      </c>
      <c r="V257" t="n">
        <v>70001</v>
      </c>
      <c r="W257" t="n">
        <v>2</v>
      </c>
      <c r="X257" t="n">
        <v>1</v>
      </c>
      <c r="Y257" t="n">
        <v>70002</v>
      </c>
      <c r="Z257" t="n">
        <v>2</v>
      </c>
      <c r="AA257" t="n">
        <v>1</v>
      </c>
      <c r="AB257" t="n">
        <v>1001</v>
      </c>
      <c r="AC257" t="n">
        <v>50</v>
      </c>
      <c r="AD257" t="n">
        <v>1</v>
      </c>
      <c r="AE257" t="n">
        <v>8000</v>
      </c>
      <c r="AF257" t="n">
        <v>450</v>
      </c>
      <c r="AG257" t="n">
        <v>1</v>
      </c>
    </row>
    <row r="258" ht="38.25" customHeight="1" s="142">
      <c r="A258" t="n">
        <v>1152</v>
      </c>
      <c r="B258" t="inlineStr">
        <is>
          <t>main</t>
        </is>
      </c>
      <c r="C258" t="n">
        <v>6</v>
      </c>
      <c r="D258" t="inlineStr">
        <is>
          <t>6-3</t>
        </is>
      </c>
      <c r="E258" t="n">
        <v>77</v>
      </c>
      <c r="G258" s="90" t="inlineStr">
        <is>
          <t>{role:-1},
{id:-1},{id:-1},{id:-1},{id:-1},{id:-1}
{id:40034},{id:40034}</t>
        </is>
      </c>
      <c r="I258" t="n">
        <v>20220</v>
      </c>
      <c r="J258" s="80" t="inlineStr">
        <is>
          <t>賢者庇護</t>
        </is>
      </c>
      <c r="K258" t="inlineStr">
        <is>
          <t>buff</t>
        </is>
      </c>
      <c r="L258" t="n">
        <v>9007</v>
      </c>
      <c r="M258" t="inlineStr">
        <is>
          <t>2,13</t>
        </is>
      </c>
      <c r="O258" t="n">
        <v>0.4</v>
      </c>
      <c r="P258" s="80" t="inlineStr">
        <is>
          <t>知識共鳴</t>
        </is>
      </c>
      <c r="Q258" t="inlineStr">
        <is>
          <t>debuff</t>
        </is>
      </c>
      <c r="R258" t="n">
        <v>9012</v>
      </c>
      <c r="S258" t="inlineStr">
        <is>
          <t>1,7,8</t>
        </is>
      </c>
      <c r="U258" t="n">
        <v>0.4</v>
      </c>
      <c r="V258" t="n">
        <v>70001</v>
      </c>
      <c r="W258" t="n">
        <v>2</v>
      </c>
      <c r="X258" t="n">
        <v>1</v>
      </c>
      <c r="Y258" t="n">
        <v>70002</v>
      </c>
      <c r="Z258" t="n">
        <v>2</v>
      </c>
      <c r="AA258" t="n">
        <v>1</v>
      </c>
      <c r="AB258" t="n">
        <v>1001</v>
      </c>
      <c r="AC258" t="n">
        <v>50</v>
      </c>
      <c r="AD258" t="n">
        <v>1</v>
      </c>
      <c r="AE258" t="n">
        <v>8000</v>
      </c>
      <c r="AF258" t="n">
        <v>450</v>
      </c>
      <c r="AG258" t="n">
        <v>1</v>
      </c>
    </row>
    <row r="259" ht="38.25" customHeight="1" s="142">
      <c r="A259" t="n">
        <v>1153</v>
      </c>
      <c r="B259" t="inlineStr">
        <is>
          <t>main</t>
        </is>
      </c>
      <c r="C259" t="n">
        <v>6</v>
      </c>
      <c r="D259" t="inlineStr">
        <is>
          <t>6-4</t>
        </is>
      </c>
      <c r="E259" t="n">
        <v>77</v>
      </c>
      <c r="G259" s="90" t="inlineStr">
        <is>
          <t>{role:-1},
{id:-1},{id:-1},{id:-1},{id:-1},{id:-1}
{id:40038},{id:40034}</t>
        </is>
      </c>
      <c r="I259" t="n">
        <v>20345</v>
      </c>
      <c r="J259" s="80" t="inlineStr">
        <is>
          <t>賢者庇護</t>
        </is>
      </c>
      <c r="K259" t="inlineStr">
        <is>
          <t>buff</t>
        </is>
      </c>
      <c r="L259" t="n">
        <v>9011</v>
      </c>
      <c r="M259" t="inlineStr">
        <is>
          <t>3,8,11</t>
        </is>
      </c>
      <c r="O259" t="n">
        <v>0.6</v>
      </c>
      <c r="P259" s="80" t="inlineStr">
        <is>
          <t>知識共鳴</t>
        </is>
      </c>
      <c r="Q259" t="inlineStr">
        <is>
          <t>debuff</t>
        </is>
      </c>
      <c r="R259" t="n">
        <v>9011</v>
      </c>
      <c r="S259" t="inlineStr">
        <is>
          <t>9,10</t>
        </is>
      </c>
      <c r="U259" t="n">
        <v>1</v>
      </c>
      <c r="V259" t="n">
        <v>70001</v>
      </c>
      <c r="W259" t="n">
        <v>2</v>
      </c>
      <c r="X259" t="n">
        <v>1</v>
      </c>
      <c r="Y259" t="n">
        <v>70002</v>
      </c>
      <c r="Z259" t="n">
        <v>2</v>
      </c>
      <c r="AA259" t="n">
        <v>1</v>
      </c>
      <c r="AB259" t="n">
        <v>1001</v>
      </c>
      <c r="AC259" t="n">
        <v>50</v>
      </c>
      <c r="AD259" t="n">
        <v>1</v>
      </c>
      <c r="AE259" t="n">
        <v>8000</v>
      </c>
      <c r="AF259" t="n">
        <v>450</v>
      </c>
      <c r="AG259" t="n">
        <v>1</v>
      </c>
    </row>
    <row r="260" ht="38.25" customHeight="1" s="142">
      <c r="A260" t="n">
        <v>1154</v>
      </c>
      <c r="B260" t="inlineStr">
        <is>
          <t>main</t>
        </is>
      </c>
      <c r="C260" t="n">
        <v>6</v>
      </c>
      <c r="D260" t="inlineStr">
        <is>
          <t>6-5</t>
        </is>
      </c>
      <c r="E260" t="n">
        <v>78</v>
      </c>
      <c r="G260" s="90" t="inlineStr">
        <is>
          <t>{role:-1},
{id:-1},{id:-1},{id:-1},{id:-1},{id:-1}
{id:40036},{id:40039},{id:40034}</t>
        </is>
      </c>
      <c r="I260" t="n">
        <v>20470</v>
      </c>
      <c r="J260" s="80" t="inlineStr">
        <is>
          <t>賢者庇護</t>
        </is>
      </c>
      <c r="K260" t="inlineStr">
        <is>
          <t>buff</t>
        </is>
      </c>
      <c r="L260" t="n">
        <v>9011</v>
      </c>
      <c r="M260" t="n">
        <v>3</v>
      </c>
      <c r="O260" t="n">
        <v>0.9</v>
      </c>
      <c r="P260" s="80" t="inlineStr">
        <is>
          <t>知識共鳴</t>
        </is>
      </c>
      <c r="Q260" t="inlineStr">
        <is>
          <t>debuff</t>
        </is>
      </c>
      <c r="R260" t="n">
        <v>9004</v>
      </c>
      <c r="S260" t="inlineStr">
        <is>
          <t>2,12</t>
        </is>
      </c>
      <c r="U260" t="n">
        <v>1</v>
      </c>
      <c r="V260" t="n">
        <v>70001</v>
      </c>
      <c r="W260" t="n">
        <v>2</v>
      </c>
      <c r="X260" t="n">
        <v>1</v>
      </c>
      <c r="Y260" t="n">
        <v>70002</v>
      </c>
      <c r="Z260" t="n">
        <v>2</v>
      </c>
      <c r="AA260" t="n">
        <v>1</v>
      </c>
      <c r="AB260" t="n">
        <v>1001</v>
      </c>
      <c r="AC260" t="n">
        <v>50</v>
      </c>
      <c r="AD260" t="n">
        <v>1</v>
      </c>
      <c r="AE260" t="n">
        <v>8000</v>
      </c>
      <c r="AF260" t="n">
        <v>460</v>
      </c>
      <c r="AG260" t="n">
        <v>1</v>
      </c>
    </row>
    <row r="261" ht="38.25" customHeight="1" s="142">
      <c r="A261" t="n">
        <v>1155</v>
      </c>
      <c r="B261" t="inlineStr">
        <is>
          <t>main</t>
        </is>
      </c>
      <c r="C261" t="n">
        <v>6</v>
      </c>
      <c r="D261" t="inlineStr">
        <is>
          <t>6-6</t>
        </is>
      </c>
      <c r="E261" t="n">
        <v>78</v>
      </c>
      <c r="G261" s="90" t="inlineStr">
        <is>
          <t>{role:-1},
{id:-1},{id:-1},{id:-1},{id:-1},{id:-1}
{id:40034},{id:40039},{id:40034}</t>
        </is>
      </c>
      <c r="I261" t="n">
        <v>20595</v>
      </c>
      <c r="J261" s="80" t="inlineStr">
        <is>
          <t>賢者庇護</t>
        </is>
      </c>
      <c r="K261" t="inlineStr">
        <is>
          <t>buff</t>
        </is>
      </c>
      <c r="L261" t="n">
        <v>9012</v>
      </c>
      <c r="M261" t="inlineStr">
        <is>
          <t>6,10</t>
        </is>
      </c>
      <c r="O261" t="n">
        <v>0.9</v>
      </c>
      <c r="P261" s="80" t="inlineStr">
        <is>
          <t>知識共鳴</t>
        </is>
      </c>
      <c r="Q261" t="inlineStr">
        <is>
          <t>debuff</t>
        </is>
      </c>
      <c r="R261" t="n">
        <v>9012</v>
      </c>
      <c r="S261" t="n">
        <v>4</v>
      </c>
      <c r="U261" t="n">
        <v>0.5</v>
      </c>
      <c r="V261" t="n">
        <v>70001</v>
      </c>
      <c r="W261" t="n">
        <v>2</v>
      </c>
      <c r="X261" t="n">
        <v>1</v>
      </c>
      <c r="Y261" t="n">
        <v>70002</v>
      </c>
      <c r="Z261" t="n">
        <v>2</v>
      </c>
      <c r="AA261" t="n">
        <v>1</v>
      </c>
      <c r="AB261" t="n">
        <v>1001</v>
      </c>
      <c r="AC261" t="n">
        <v>50</v>
      </c>
      <c r="AD261" t="n">
        <v>1</v>
      </c>
      <c r="AE261" t="n">
        <v>8000</v>
      </c>
      <c r="AF261" t="n">
        <v>460</v>
      </c>
      <c r="AG261" t="n">
        <v>1</v>
      </c>
    </row>
    <row r="262" ht="38.25" customHeight="1" s="142">
      <c r="A262" t="n">
        <v>1156</v>
      </c>
      <c r="B262" t="inlineStr">
        <is>
          <t>main</t>
        </is>
      </c>
      <c r="C262" t="n">
        <v>6</v>
      </c>
      <c r="D262" t="inlineStr">
        <is>
          <t>6-7</t>
        </is>
      </c>
      <c r="E262" t="n">
        <v>79</v>
      </c>
      <c r="G262" s="90" t="inlineStr">
        <is>
          <t>{role:-1},
{id:-1},{id:-1},{id:-1},{id:-1},{id:-1}
{id:40034},{id:40038},{id:40038}</t>
        </is>
      </c>
      <c r="I262" t="n">
        <v>20720</v>
      </c>
      <c r="J262" s="80" t="inlineStr">
        <is>
          <t>賢者庇護</t>
        </is>
      </c>
      <c r="K262" t="inlineStr">
        <is>
          <t>buff</t>
        </is>
      </c>
      <c r="L262" t="n">
        <v>9012</v>
      </c>
      <c r="M262" t="n">
        <v>6</v>
      </c>
      <c r="O262" t="n">
        <v>0.9</v>
      </c>
      <c r="P262" s="80" t="inlineStr">
        <is>
          <t>知識共鳴</t>
        </is>
      </c>
      <c r="Q262" t="inlineStr">
        <is>
          <t>debuff</t>
        </is>
      </c>
      <c r="R262" t="n">
        <v>9012</v>
      </c>
      <c r="S262" t="inlineStr">
        <is>
          <t>1,4</t>
        </is>
      </c>
      <c r="U262" t="n">
        <v>1</v>
      </c>
      <c r="V262" t="n">
        <v>70001</v>
      </c>
      <c r="W262" t="n">
        <v>2</v>
      </c>
      <c r="X262" t="n">
        <v>1</v>
      </c>
      <c r="Y262" t="n">
        <v>70002</v>
      </c>
      <c r="Z262" t="n">
        <v>2</v>
      </c>
      <c r="AA262" t="n">
        <v>1</v>
      </c>
      <c r="AB262" t="n">
        <v>1001</v>
      </c>
      <c r="AC262" t="n">
        <v>50</v>
      </c>
      <c r="AD262" t="n">
        <v>1</v>
      </c>
      <c r="AE262" t="n">
        <v>8000</v>
      </c>
      <c r="AF262" t="n">
        <v>470</v>
      </c>
      <c r="AG262" t="n">
        <v>1</v>
      </c>
    </row>
    <row r="263" ht="38.25" customHeight="1" s="142">
      <c r="A263" t="n">
        <v>1157</v>
      </c>
      <c r="B263" t="inlineStr">
        <is>
          <t>main</t>
        </is>
      </c>
      <c r="C263" t="n">
        <v>6</v>
      </c>
      <c r="D263" t="inlineStr">
        <is>
          <t>6-8</t>
        </is>
      </c>
      <c r="E263" t="n">
        <v>79</v>
      </c>
      <c r="G263" s="90" t="inlineStr">
        <is>
          <t>{role:-1},
{id:-1},{id:-1},{id:-1},{id:-1},{id:-1}
{id:40038},{id:40036},{id:40034}</t>
        </is>
      </c>
      <c r="I263" t="n">
        <v>20845</v>
      </c>
      <c r="J263" s="80" t="inlineStr">
        <is>
          <t>賢者庇護</t>
        </is>
      </c>
      <c r="K263" t="inlineStr">
        <is>
          <t>buff</t>
        </is>
      </c>
      <c r="L263" t="n">
        <v>9011</v>
      </c>
      <c r="M263" t="inlineStr">
        <is>
          <t>4,10,12</t>
        </is>
      </c>
      <c r="O263" t="n">
        <v>0.5</v>
      </c>
      <c r="P263" s="80" t="inlineStr">
        <is>
          <t>知識共鳴</t>
        </is>
      </c>
      <c r="Q263" t="inlineStr">
        <is>
          <t>debuff</t>
        </is>
      </c>
      <c r="R263" t="n">
        <v>9008</v>
      </c>
      <c r="S263" t="n">
        <v>10</v>
      </c>
      <c r="U263" t="n">
        <v>0.7</v>
      </c>
      <c r="V263" t="n">
        <v>70001</v>
      </c>
      <c r="W263" t="n">
        <v>2</v>
      </c>
      <c r="X263" t="n">
        <v>1</v>
      </c>
      <c r="Y263" t="n">
        <v>70002</v>
      </c>
      <c r="Z263" t="n">
        <v>2</v>
      </c>
      <c r="AA263" t="n">
        <v>1</v>
      </c>
      <c r="AB263" t="n">
        <v>1001</v>
      </c>
      <c r="AC263" t="n">
        <v>50</v>
      </c>
      <c r="AD263" t="n">
        <v>1</v>
      </c>
      <c r="AE263" t="n">
        <v>8000</v>
      </c>
      <c r="AF263" t="n">
        <v>470</v>
      </c>
      <c r="AG263" t="n">
        <v>1</v>
      </c>
    </row>
    <row r="264" ht="38.25" customHeight="1" s="142">
      <c r="A264" t="n">
        <v>1158</v>
      </c>
      <c r="B264" t="inlineStr">
        <is>
          <t>main</t>
        </is>
      </c>
      <c r="C264" t="n">
        <v>6</v>
      </c>
      <c r="D264" t="inlineStr">
        <is>
          <t>6-9</t>
        </is>
      </c>
      <c r="E264" t="n">
        <v>80</v>
      </c>
      <c r="G264" s="90" t="inlineStr">
        <is>
          <t>{role:-1},
{id:-1},{id:-1},{id:-1},{id:-1},{id:-1}
{id:40037},{id:40038},{id:40034}</t>
        </is>
      </c>
      <c r="I264" t="n">
        <v>20970</v>
      </c>
      <c r="J264" s="80" t="inlineStr">
        <is>
          <t>賢者庇護</t>
        </is>
      </c>
      <c r="K264" t="inlineStr">
        <is>
          <t>buff</t>
        </is>
      </c>
      <c r="L264" t="n">
        <v>9006</v>
      </c>
      <c r="M264" t="inlineStr">
        <is>
          <t>8,10,11</t>
        </is>
      </c>
      <c r="O264" t="n">
        <v>0.3</v>
      </c>
      <c r="P264" s="80" t="inlineStr">
        <is>
          <t>知識共鳴</t>
        </is>
      </c>
      <c r="Q264" t="inlineStr">
        <is>
          <t>debuff</t>
        </is>
      </c>
      <c r="R264" t="n">
        <v>9007</v>
      </c>
      <c r="S264" t="n">
        <v>5</v>
      </c>
      <c r="U264" t="n">
        <v>0.2</v>
      </c>
      <c r="V264" t="n">
        <v>70001</v>
      </c>
      <c r="W264" t="n">
        <v>2</v>
      </c>
      <c r="X264" t="n">
        <v>1</v>
      </c>
      <c r="Y264" t="n">
        <v>70002</v>
      </c>
      <c r="Z264" t="n">
        <v>2</v>
      </c>
      <c r="AA264" t="n">
        <v>1</v>
      </c>
      <c r="AB264" t="n">
        <v>1001</v>
      </c>
      <c r="AC264" t="n">
        <v>50</v>
      </c>
      <c r="AD264" t="n">
        <v>1</v>
      </c>
      <c r="AE264" t="n">
        <v>8000</v>
      </c>
      <c r="AF264" t="n">
        <v>470</v>
      </c>
      <c r="AG264" t="n">
        <v>1</v>
      </c>
    </row>
    <row r="265" ht="38.25" customHeight="1" s="142">
      <c r="A265" t="n">
        <v>1159</v>
      </c>
      <c r="B265" t="inlineStr">
        <is>
          <t>main</t>
        </is>
      </c>
      <c r="C265" t="n">
        <v>6</v>
      </c>
      <c r="D265" t="inlineStr">
        <is>
          <t>6-10</t>
        </is>
      </c>
      <c r="E265" t="n">
        <v>80</v>
      </c>
      <c r="G265" s="90" t="inlineStr">
        <is>
          <t>{role:-1},
{id:-1},{id:-1},{id:-1},{id:-1},{id:-1}
{id:40034},{id:40036},{id:40038}</t>
        </is>
      </c>
      <c r="I265" t="n">
        <v>21095</v>
      </c>
      <c r="J265" s="80" t="inlineStr">
        <is>
          <t>賢者庇護</t>
        </is>
      </c>
      <c r="K265" t="inlineStr">
        <is>
          <t>buff</t>
        </is>
      </c>
      <c r="L265" t="n">
        <v>9002</v>
      </c>
      <c r="M265" t="n">
        <v>1</v>
      </c>
      <c r="O265" t="n">
        <v>0.7</v>
      </c>
      <c r="P265" s="80" t="inlineStr">
        <is>
          <t>知識共鳴</t>
        </is>
      </c>
      <c r="Q265" t="inlineStr">
        <is>
          <t>debuff</t>
        </is>
      </c>
      <c r="R265" t="n">
        <v>9007</v>
      </c>
      <c r="S265" t="inlineStr">
        <is>
          <t>7,9,13</t>
        </is>
      </c>
      <c r="U265" t="n">
        <v>0.3</v>
      </c>
      <c r="V265" t="n">
        <v>70001</v>
      </c>
      <c r="W265" t="n">
        <v>2</v>
      </c>
      <c r="X265" t="n">
        <v>1</v>
      </c>
      <c r="Y265" t="n">
        <v>70002</v>
      </c>
      <c r="Z265" t="n">
        <v>2</v>
      </c>
      <c r="AA265" t="n">
        <v>1</v>
      </c>
      <c r="AB265" t="n">
        <v>1001</v>
      </c>
      <c r="AC265" t="n">
        <v>50</v>
      </c>
      <c r="AD265" t="n">
        <v>1</v>
      </c>
      <c r="AE265" t="n">
        <v>8000</v>
      </c>
      <c r="AF265" t="n">
        <v>480</v>
      </c>
      <c r="AG265" t="n">
        <v>1</v>
      </c>
    </row>
    <row r="266" ht="38.25" customHeight="1" s="142">
      <c r="A266" t="n">
        <v>1160</v>
      </c>
      <c r="B266" t="inlineStr">
        <is>
          <t>main</t>
        </is>
      </c>
      <c r="C266" t="n">
        <v>6</v>
      </c>
      <c r="D266" t="inlineStr">
        <is>
          <t>6-11</t>
        </is>
      </c>
      <c r="E266" t="n">
        <v>81</v>
      </c>
      <c r="G266" s="90" t="inlineStr">
        <is>
          <t>{role:-1},
{id:-1},{id:-1},{id:-1},{id:-1},{id:-1}
{id:40039},{id:40037},{id:40037}</t>
        </is>
      </c>
      <c r="I266" t="n">
        <v>21220</v>
      </c>
      <c r="J266" s="80" t="inlineStr">
        <is>
          <t>賢者庇護</t>
        </is>
      </c>
      <c r="K266" t="inlineStr">
        <is>
          <t>buff</t>
        </is>
      </c>
      <c r="L266" t="n">
        <v>9002</v>
      </c>
      <c r="M266" t="inlineStr">
        <is>
          <t>1,6</t>
        </is>
      </c>
      <c r="O266" t="n">
        <v>0.5</v>
      </c>
      <c r="P266" s="80" t="inlineStr">
        <is>
          <t>知識共鳴</t>
        </is>
      </c>
      <c r="Q266" t="inlineStr">
        <is>
          <t>debuff</t>
        </is>
      </c>
      <c r="R266" t="n">
        <v>9004</v>
      </c>
      <c r="S266" t="inlineStr">
        <is>
          <t>1,3,12</t>
        </is>
      </c>
      <c r="U266" t="n">
        <v>0.1</v>
      </c>
      <c r="V266" t="n">
        <v>70001</v>
      </c>
      <c r="W266" t="n">
        <v>2</v>
      </c>
      <c r="X266" t="n">
        <v>1</v>
      </c>
      <c r="Y266" t="n">
        <v>70002</v>
      </c>
      <c r="Z266" t="n">
        <v>2</v>
      </c>
      <c r="AA266" t="n">
        <v>1</v>
      </c>
      <c r="AB266" t="n">
        <v>1001</v>
      </c>
      <c r="AC266" t="n">
        <v>50</v>
      </c>
      <c r="AD266" t="n">
        <v>1</v>
      </c>
      <c r="AE266" t="n">
        <v>8000</v>
      </c>
      <c r="AF266" t="n">
        <v>480</v>
      </c>
      <c r="AG266" t="n">
        <v>1</v>
      </c>
    </row>
    <row r="267" ht="38.25" customHeight="1" s="142">
      <c r="A267" t="n">
        <v>1161</v>
      </c>
      <c r="B267" t="inlineStr">
        <is>
          <t>main</t>
        </is>
      </c>
      <c r="C267" t="n">
        <v>6</v>
      </c>
      <c r="D267" t="inlineStr">
        <is>
          <t>6-12</t>
        </is>
      </c>
      <c r="E267" t="n">
        <v>81</v>
      </c>
      <c r="G267" s="90" t="inlineStr">
        <is>
          <t>{role:-1},
{id:-1},{id:-1},{id:-1},{id:-1},{id:-1}
{id:40037},{id:40037},{id:40038}</t>
        </is>
      </c>
      <c r="I267" t="n">
        <v>21345</v>
      </c>
      <c r="J267" s="80" t="inlineStr">
        <is>
          <t>賢者庇護</t>
        </is>
      </c>
      <c r="K267" t="inlineStr">
        <is>
          <t>buff</t>
        </is>
      </c>
      <c r="L267" t="n">
        <v>9008</v>
      </c>
      <c r="M267" t="n">
        <v>4</v>
      </c>
      <c r="O267" t="n">
        <v>1</v>
      </c>
      <c r="P267" s="80" t="inlineStr">
        <is>
          <t>知識共鳴</t>
        </is>
      </c>
      <c r="Q267" t="inlineStr">
        <is>
          <t>debuff</t>
        </is>
      </c>
      <c r="R267" t="n">
        <v>9008</v>
      </c>
      <c r="S267" t="inlineStr">
        <is>
          <t>1,8,13</t>
        </is>
      </c>
      <c r="U267" t="n">
        <v>0.8</v>
      </c>
      <c r="V267" t="n">
        <v>70001</v>
      </c>
      <c r="W267" t="n">
        <v>2</v>
      </c>
      <c r="X267" t="n">
        <v>1</v>
      </c>
      <c r="Y267" t="n">
        <v>70002</v>
      </c>
      <c r="Z267" t="n">
        <v>2</v>
      </c>
      <c r="AA267" t="n">
        <v>1</v>
      </c>
      <c r="AB267" t="n">
        <v>1001</v>
      </c>
      <c r="AC267" t="n">
        <v>50</v>
      </c>
      <c r="AD267" t="n">
        <v>1</v>
      </c>
      <c r="AE267" t="n">
        <v>8000</v>
      </c>
      <c r="AF267" t="n">
        <v>490</v>
      </c>
      <c r="AG267" t="n">
        <v>1</v>
      </c>
    </row>
    <row r="268" ht="38.25" customHeight="1" s="142">
      <c r="A268" t="n">
        <v>1162</v>
      </c>
      <c r="B268" t="inlineStr">
        <is>
          <t>main</t>
        </is>
      </c>
      <c r="C268" t="n">
        <v>6</v>
      </c>
      <c r="D268" t="inlineStr">
        <is>
          <t>6-13</t>
        </is>
      </c>
      <c r="E268" t="n">
        <v>82</v>
      </c>
      <c r="G268" s="90" t="inlineStr">
        <is>
          <t>{role:-1},
{id:-1},{id:-1},{id:-1},{id:-1},{id:-1}
{id:40037},{id:40036},{id:40034},{id:40038}</t>
        </is>
      </c>
      <c r="I268" t="n">
        <v>21470</v>
      </c>
      <c r="J268" s="80" t="inlineStr">
        <is>
          <t>賢者庇護</t>
        </is>
      </c>
      <c r="K268" t="inlineStr">
        <is>
          <t>buff</t>
        </is>
      </c>
      <c r="L268" t="n">
        <v>9012</v>
      </c>
      <c r="M268" t="n">
        <v>5</v>
      </c>
      <c r="O268" t="n">
        <v>0.4</v>
      </c>
      <c r="P268" s="80" t="inlineStr">
        <is>
          <t>知識共鳴</t>
        </is>
      </c>
      <c r="Q268" t="inlineStr">
        <is>
          <t>debuff</t>
        </is>
      </c>
      <c r="R268" t="n">
        <v>9008</v>
      </c>
      <c r="S268" t="n">
        <v>8</v>
      </c>
      <c r="U268" t="n">
        <v>0.1</v>
      </c>
      <c r="V268" t="n">
        <v>70001</v>
      </c>
      <c r="W268" t="n">
        <v>2</v>
      </c>
      <c r="X268" t="n">
        <v>1</v>
      </c>
      <c r="Y268" t="n">
        <v>70002</v>
      </c>
      <c r="Z268" t="n">
        <v>2</v>
      </c>
      <c r="AA268" t="n">
        <v>1</v>
      </c>
      <c r="AB268" t="n">
        <v>1001</v>
      </c>
      <c r="AC268" t="n">
        <v>50</v>
      </c>
      <c r="AD268" t="n">
        <v>1</v>
      </c>
      <c r="AE268" t="n">
        <v>8000</v>
      </c>
      <c r="AF268" t="n">
        <v>490</v>
      </c>
      <c r="AG268" t="n">
        <v>1</v>
      </c>
    </row>
    <row r="269" ht="38.25" customHeight="1" s="142">
      <c r="A269" t="n">
        <v>1163</v>
      </c>
      <c r="B269" t="inlineStr">
        <is>
          <t>main</t>
        </is>
      </c>
      <c r="C269" t="n">
        <v>6</v>
      </c>
      <c r="D269" t="inlineStr">
        <is>
          <t>6-14</t>
        </is>
      </c>
      <c r="E269" t="n">
        <v>82</v>
      </c>
      <c r="G269" s="90" t="inlineStr">
        <is>
          <t>{role:-1},
{id:-1},{id:-1},{id:-1},{id:-1},{id:-1}
{id:40038},{id:40034},{id:40034},{id:40036}</t>
        </is>
      </c>
      <c r="I269" t="n">
        <v>21595</v>
      </c>
      <c r="J269" s="80" t="inlineStr">
        <is>
          <t>賢者庇護</t>
        </is>
      </c>
      <c r="K269" t="inlineStr">
        <is>
          <t>buff</t>
        </is>
      </c>
      <c r="L269" t="n">
        <v>9007</v>
      </c>
      <c r="M269" t="n">
        <v>3</v>
      </c>
      <c r="O269" t="n">
        <v>0.7</v>
      </c>
      <c r="P269" s="80" t="inlineStr">
        <is>
          <t>知識共鳴</t>
        </is>
      </c>
      <c r="Q269" t="inlineStr">
        <is>
          <t>debuff</t>
        </is>
      </c>
      <c r="R269" t="n">
        <v>9012</v>
      </c>
      <c r="S269" t="inlineStr">
        <is>
          <t>1,3</t>
        </is>
      </c>
      <c r="U269" t="n">
        <v>0.5</v>
      </c>
      <c r="V269" t="n">
        <v>70001</v>
      </c>
      <c r="W269" t="n">
        <v>2</v>
      </c>
      <c r="X269" t="n">
        <v>1</v>
      </c>
      <c r="Y269" t="n">
        <v>70002</v>
      </c>
      <c r="Z269" t="n">
        <v>2</v>
      </c>
      <c r="AA269" t="n">
        <v>1</v>
      </c>
      <c r="AB269" t="n">
        <v>1001</v>
      </c>
      <c r="AC269" t="n">
        <v>50</v>
      </c>
      <c r="AD269" t="n">
        <v>1</v>
      </c>
      <c r="AE269" t="n">
        <v>8000</v>
      </c>
      <c r="AF269" t="n">
        <v>490</v>
      </c>
      <c r="AG269" t="n">
        <v>1</v>
      </c>
    </row>
    <row r="270" ht="38.25" customHeight="1" s="142">
      <c r="A270" t="n">
        <v>1164</v>
      </c>
      <c r="B270" t="inlineStr">
        <is>
          <t>main</t>
        </is>
      </c>
      <c r="C270" t="n">
        <v>6</v>
      </c>
      <c r="D270" t="inlineStr">
        <is>
          <t>6-15</t>
        </is>
      </c>
      <c r="E270" t="n">
        <v>83</v>
      </c>
      <c r="G270" s="90" t="inlineStr">
        <is>
          <t>{role:-1},
{id:-1},{id:-1},{id:-1},{id:-1},{id:-1}
{id:40034},{id:40037},{id:40037},{id:40037}</t>
        </is>
      </c>
      <c r="I270" t="n">
        <v>21720</v>
      </c>
      <c r="J270" s="80" t="inlineStr">
        <is>
          <t>賢者庇護</t>
        </is>
      </c>
      <c r="K270" t="inlineStr">
        <is>
          <t>buff</t>
        </is>
      </c>
      <c r="L270" t="n">
        <v>9006</v>
      </c>
      <c r="M270" t="n">
        <v>4</v>
      </c>
      <c r="O270" t="n">
        <v>0.5</v>
      </c>
      <c r="P270" s="80" t="inlineStr">
        <is>
          <t>知識共鳴</t>
        </is>
      </c>
      <c r="Q270" t="inlineStr">
        <is>
          <t>debuff</t>
        </is>
      </c>
      <c r="R270" t="n">
        <v>9010</v>
      </c>
      <c r="S270" t="inlineStr">
        <is>
          <t>4,5,6</t>
        </is>
      </c>
      <c r="U270" t="n">
        <v>0.3</v>
      </c>
      <c r="V270" t="n">
        <v>70001</v>
      </c>
      <c r="W270" t="n">
        <v>2</v>
      </c>
      <c r="X270" t="n">
        <v>1</v>
      </c>
      <c r="Y270" t="n">
        <v>70002</v>
      </c>
      <c r="Z270" t="n">
        <v>2</v>
      </c>
      <c r="AA270" t="n">
        <v>1</v>
      </c>
      <c r="AB270" t="n">
        <v>1001</v>
      </c>
      <c r="AC270" t="n">
        <v>50</v>
      </c>
      <c r="AD270" t="n">
        <v>1</v>
      </c>
      <c r="AE270" t="n">
        <v>8000</v>
      </c>
      <c r="AF270" t="n">
        <v>500</v>
      </c>
      <c r="AG270" t="n">
        <v>1</v>
      </c>
    </row>
    <row r="271" ht="38.25" customHeight="1" s="142">
      <c r="A271" t="n">
        <v>1165</v>
      </c>
      <c r="B271" t="inlineStr">
        <is>
          <t>main</t>
        </is>
      </c>
      <c r="C271" t="n">
        <v>6</v>
      </c>
      <c r="D271" t="inlineStr">
        <is>
          <t>6-16</t>
        </is>
      </c>
      <c r="E271" t="n">
        <v>83</v>
      </c>
      <c r="G271" s="90" t="inlineStr">
        <is>
          <t>{role:-1},
{id:-1},{id:-1},{id:-1},{id:-1},{id:-1}
{id:40038},{id:40039},{id:40039},{id:40039}</t>
        </is>
      </c>
      <c r="I271" t="n">
        <v>21845</v>
      </c>
      <c r="J271" s="80" t="inlineStr">
        <is>
          <t>賢者庇護</t>
        </is>
      </c>
      <c r="K271" t="inlineStr">
        <is>
          <t>buff</t>
        </is>
      </c>
      <c r="L271" t="n">
        <v>9002</v>
      </c>
      <c r="M271" t="inlineStr">
        <is>
          <t>6,11</t>
        </is>
      </c>
      <c r="O271" t="n">
        <v>1</v>
      </c>
      <c r="P271" s="80" t="inlineStr">
        <is>
          <t>知識共鳴</t>
        </is>
      </c>
      <c r="Q271" t="inlineStr">
        <is>
          <t>debuff</t>
        </is>
      </c>
      <c r="R271" t="n">
        <v>9011</v>
      </c>
      <c r="S271" t="n">
        <v>9</v>
      </c>
      <c r="U271" t="n">
        <v>0.9</v>
      </c>
      <c r="V271" t="n">
        <v>70001</v>
      </c>
      <c r="W271" t="n">
        <v>2</v>
      </c>
      <c r="X271" t="n">
        <v>1</v>
      </c>
      <c r="Y271" t="n">
        <v>70002</v>
      </c>
      <c r="Z271" t="n">
        <v>2</v>
      </c>
      <c r="AA271" t="n">
        <v>1</v>
      </c>
      <c r="AB271" t="n">
        <v>1001</v>
      </c>
      <c r="AC271" t="n">
        <v>50</v>
      </c>
      <c r="AD271" t="n">
        <v>1</v>
      </c>
      <c r="AE271" t="n">
        <v>8000</v>
      </c>
      <c r="AF271" t="n">
        <v>500</v>
      </c>
      <c r="AG271" t="n">
        <v>1</v>
      </c>
    </row>
    <row r="272" ht="38.25" customHeight="1" s="142">
      <c r="A272" t="n">
        <v>1166</v>
      </c>
      <c r="B272" t="inlineStr">
        <is>
          <t>main</t>
        </is>
      </c>
      <c r="C272" t="n">
        <v>6</v>
      </c>
      <c r="D272" t="inlineStr">
        <is>
          <t>6-17</t>
        </is>
      </c>
      <c r="E272" t="n">
        <v>84</v>
      </c>
      <c r="G272" s="90" t="inlineStr">
        <is>
          <t>{role:-1},
{id:-1},{id:-1},{id:-1},{id:-1},{id:-1}
{id:40039},{id:40034},{id:40038},{id:40034},{id:40038}</t>
        </is>
      </c>
      <c r="I272" t="n">
        <v>21970</v>
      </c>
      <c r="J272" s="80" t="inlineStr">
        <is>
          <t>賢者庇護</t>
        </is>
      </c>
      <c r="K272" t="inlineStr">
        <is>
          <t>buff</t>
        </is>
      </c>
      <c r="L272" t="n">
        <v>9001</v>
      </c>
      <c r="M272" t="inlineStr">
        <is>
          <t>7,9</t>
        </is>
      </c>
      <c r="O272" t="n">
        <v>0.3</v>
      </c>
      <c r="P272" s="80" t="inlineStr">
        <is>
          <t>知識共鳴</t>
        </is>
      </c>
      <c r="Q272" t="inlineStr">
        <is>
          <t>debuff</t>
        </is>
      </c>
      <c r="R272" t="n">
        <v>9011</v>
      </c>
      <c r="S272" t="inlineStr">
        <is>
          <t>3,5,12</t>
        </is>
      </c>
      <c r="U272" t="n">
        <v>0.6</v>
      </c>
      <c r="V272" t="n">
        <v>70001</v>
      </c>
      <c r="W272" t="n">
        <v>2</v>
      </c>
      <c r="X272" t="n">
        <v>1</v>
      </c>
      <c r="Y272" t="n">
        <v>70002</v>
      </c>
      <c r="Z272" t="n">
        <v>2</v>
      </c>
      <c r="AA272" t="n">
        <v>1</v>
      </c>
      <c r="AB272" t="n">
        <v>1001</v>
      </c>
      <c r="AC272" t="n">
        <v>50</v>
      </c>
      <c r="AD272" t="n">
        <v>1</v>
      </c>
      <c r="AE272" t="n">
        <v>8000</v>
      </c>
      <c r="AF272" t="n">
        <v>510</v>
      </c>
      <c r="AG272" t="n">
        <v>1</v>
      </c>
    </row>
    <row r="273" ht="38.25" customHeight="1" s="142">
      <c r="A273" t="n">
        <v>1167</v>
      </c>
      <c r="B273" t="inlineStr">
        <is>
          <t>main</t>
        </is>
      </c>
      <c r="C273" t="n">
        <v>6</v>
      </c>
      <c r="D273" t="inlineStr">
        <is>
          <t>6-18</t>
        </is>
      </c>
      <c r="E273" t="n">
        <v>84</v>
      </c>
      <c r="G273" s="90" t="inlineStr">
        <is>
          <t>{role:-1},
{id:-1},{id:-1},{id:-1},{id:-1},{id:-1}
{id:40038},{id:40038},{id:40037},{id:40038},{id:40036}</t>
        </is>
      </c>
      <c r="I273" t="n">
        <v>22095</v>
      </c>
      <c r="J273" s="80" t="inlineStr">
        <is>
          <t>賢者庇護</t>
        </is>
      </c>
      <c r="K273" t="inlineStr">
        <is>
          <t>buff</t>
        </is>
      </c>
      <c r="L273" t="n">
        <v>9005</v>
      </c>
      <c r="M273" t="inlineStr">
        <is>
          <t>4,12</t>
        </is>
      </c>
      <c r="O273" t="n">
        <v>0.9</v>
      </c>
      <c r="P273" s="80" t="inlineStr">
        <is>
          <t>知識共鳴</t>
        </is>
      </c>
      <c r="Q273" t="inlineStr">
        <is>
          <t>debuff</t>
        </is>
      </c>
      <c r="R273" t="n">
        <v>9007</v>
      </c>
      <c r="S273" t="inlineStr">
        <is>
          <t>1,2,8</t>
        </is>
      </c>
      <c r="U273" t="n">
        <v>0.9</v>
      </c>
      <c r="V273" t="n">
        <v>70001</v>
      </c>
      <c r="W273" t="n">
        <v>2</v>
      </c>
      <c r="X273" t="n">
        <v>1</v>
      </c>
      <c r="Y273" t="n">
        <v>70002</v>
      </c>
      <c r="Z273" t="n">
        <v>2</v>
      </c>
      <c r="AA273" t="n">
        <v>1</v>
      </c>
      <c r="AB273" t="n">
        <v>1001</v>
      </c>
      <c r="AC273" t="n">
        <v>50</v>
      </c>
      <c r="AD273" t="n">
        <v>1</v>
      </c>
      <c r="AE273" t="n">
        <v>8000</v>
      </c>
      <c r="AF273" t="n">
        <v>510</v>
      </c>
      <c r="AG273" t="n">
        <v>1</v>
      </c>
    </row>
    <row r="274" ht="38.25" customHeight="1" s="142">
      <c r="A274" t="n">
        <v>1168</v>
      </c>
      <c r="B274" t="inlineStr">
        <is>
          <t>main</t>
        </is>
      </c>
      <c r="C274" t="n">
        <v>6</v>
      </c>
      <c r="D274" t="inlineStr">
        <is>
          <t>6-19</t>
        </is>
      </c>
      <c r="E274" t="n">
        <v>85</v>
      </c>
      <c r="G274" s="90" t="inlineStr">
        <is>
          <t>{role:-1},
{id:-1},{id:-1},{id:-1},{id:-1},{id:-1}
{id:40038},{id:40036},{id:40036},{id:40037},{id:40034}</t>
        </is>
      </c>
      <c r="I274" t="n">
        <v>22220</v>
      </c>
      <c r="J274" s="80" t="inlineStr">
        <is>
          <t>賢者庇護</t>
        </is>
      </c>
      <c r="K274" t="inlineStr">
        <is>
          <t>buff</t>
        </is>
      </c>
      <c r="L274" t="n">
        <v>9002</v>
      </c>
      <c r="M274" t="inlineStr">
        <is>
          <t>2,12</t>
        </is>
      </c>
      <c r="O274" t="n">
        <v>1</v>
      </c>
      <c r="P274" s="80" t="inlineStr">
        <is>
          <t>知識共鳴</t>
        </is>
      </c>
      <c r="Q274" t="inlineStr">
        <is>
          <t>debuff</t>
        </is>
      </c>
      <c r="R274" t="n">
        <v>9004</v>
      </c>
      <c r="S274" t="n">
        <v>11</v>
      </c>
      <c r="U274" t="n">
        <v>0.7</v>
      </c>
      <c r="V274" t="n">
        <v>70001</v>
      </c>
      <c r="W274" t="n">
        <v>2</v>
      </c>
      <c r="X274" t="n">
        <v>1</v>
      </c>
      <c r="Y274" t="n">
        <v>70002</v>
      </c>
      <c r="Z274" t="n">
        <v>2</v>
      </c>
      <c r="AA274" t="n">
        <v>1</v>
      </c>
      <c r="AB274" t="n">
        <v>1001</v>
      </c>
      <c r="AC274" t="n">
        <v>50</v>
      </c>
      <c r="AD274" t="n">
        <v>1</v>
      </c>
      <c r="AE274" t="n">
        <v>8000</v>
      </c>
      <c r="AF274" t="n">
        <v>510</v>
      </c>
      <c r="AG274" t="n">
        <v>1</v>
      </c>
    </row>
    <row r="275" ht="38.25" customHeight="1" s="142">
      <c r="A275" t="n">
        <v>1169</v>
      </c>
      <c r="B275" t="inlineStr">
        <is>
          <t>main</t>
        </is>
      </c>
      <c r="C275" t="n">
        <v>6</v>
      </c>
      <c r="D275" t="inlineStr">
        <is>
          <t>6-20</t>
        </is>
      </c>
      <c r="E275" t="n">
        <v>85</v>
      </c>
      <c r="G275" s="90" t="inlineStr">
        <is>
          <t>{role:-1},
{id:-1},{id:-1},{id:-1},{id:-1},{id:-1}
{id:40036},{id:40038},{id:40038},{id:40034},{id:40036}</t>
        </is>
      </c>
      <c r="I275" t="n">
        <v>22345</v>
      </c>
      <c r="J275" s="80" t="inlineStr">
        <is>
          <t>賢者庇護</t>
        </is>
      </c>
      <c r="K275" t="inlineStr">
        <is>
          <t>buff</t>
        </is>
      </c>
      <c r="L275" t="n">
        <v>9002</v>
      </c>
      <c r="M275" t="inlineStr">
        <is>
          <t>4,7,12</t>
        </is>
      </c>
      <c r="O275" t="n">
        <v>1</v>
      </c>
      <c r="P275" s="80" t="inlineStr">
        <is>
          <t>知識共鳴</t>
        </is>
      </c>
      <c r="Q275" t="inlineStr">
        <is>
          <t>debuff</t>
        </is>
      </c>
      <c r="R275" t="n">
        <v>9004</v>
      </c>
      <c r="S275" t="inlineStr">
        <is>
          <t>1,9,12</t>
        </is>
      </c>
      <c r="U275" t="n">
        <v>0.6</v>
      </c>
      <c r="V275" t="n">
        <v>70001</v>
      </c>
      <c r="W275" t="n">
        <v>2</v>
      </c>
      <c r="X275" t="n">
        <v>1</v>
      </c>
      <c r="Y275" t="n">
        <v>70002</v>
      </c>
      <c r="Z275" t="n">
        <v>2</v>
      </c>
      <c r="AA275" t="n">
        <v>1</v>
      </c>
      <c r="AB275" t="n">
        <v>1001</v>
      </c>
      <c r="AC275" t="n">
        <v>50</v>
      </c>
      <c r="AD275" t="n">
        <v>1</v>
      </c>
      <c r="AE275" t="n">
        <v>8000</v>
      </c>
      <c r="AF275" t="n">
        <v>520</v>
      </c>
      <c r="AG275" t="n">
        <v>1</v>
      </c>
    </row>
    <row r="276" ht="38.25" customHeight="1" s="142">
      <c r="A276" t="n">
        <v>1170</v>
      </c>
      <c r="B276" t="inlineStr">
        <is>
          <t>main</t>
        </is>
      </c>
      <c r="C276" t="n">
        <v>6</v>
      </c>
      <c r="D276" t="inlineStr">
        <is>
          <t>6-21</t>
        </is>
      </c>
      <c r="E276" t="n">
        <v>86</v>
      </c>
      <c r="G276" s="90" t="inlineStr">
        <is>
          <t>{role:-1},
{id:-1},{id:-1},{id:-1},{id:-1},{id:-1}
{id:40038},{id:40037},{id:40039},{id:40034},{id:40039}</t>
        </is>
      </c>
      <c r="I276" t="n">
        <v>22470</v>
      </c>
      <c r="J276" s="80" t="inlineStr">
        <is>
          <t>賢者庇護</t>
        </is>
      </c>
      <c r="K276" t="inlineStr">
        <is>
          <t>buff</t>
        </is>
      </c>
      <c r="L276" t="n">
        <v>9007</v>
      </c>
      <c r="M276" t="inlineStr">
        <is>
          <t>5,9</t>
        </is>
      </c>
      <c r="O276" t="n">
        <v>0.1</v>
      </c>
      <c r="P276" s="80" t="inlineStr">
        <is>
          <t>知識共鳴</t>
        </is>
      </c>
      <c r="Q276" t="inlineStr">
        <is>
          <t>debuff</t>
        </is>
      </c>
      <c r="R276" t="n">
        <v>9004</v>
      </c>
      <c r="S276" t="inlineStr">
        <is>
          <t>2,4,13</t>
        </is>
      </c>
      <c r="U276" t="n">
        <v>0.7</v>
      </c>
      <c r="V276" t="n">
        <v>70001</v>
      </c>
      <c r="W276" t="n">
        <v>2</v>
      </c>
      <c r="X276" t="n">
        <v>1</v>
      </c>
      <c r="Y276" t="n">
        <v>70002</v>
      </c>
      <c r="Z276" t="n">
        <v>2</v>
      </c>
      <c r="AA276" t="n">
        <v>1</v>
      </c>
      <c r="AB276" t="n">
        <v>1001</v>
      </c>
      <c r="AC276" t="n">
        <v>50</v>
      </c>
      <c r="AD276" t="n">
        <v>1</v>
      </c>
      <c r="AE276" t="n">
        <v>8000</v>
      </c>
      <c r="AF276" t="n">
        <v>520</v>
      </c>
      <c r="AG276" t="n">
        <v>1</v>
      </c>
    </row>
    <row r="277" ht="38.25" customHeight="1" s="142">
      <c r="A277" t="n">
        <v>1171</v>
      </c>
      <c r="B277" t="inlineStr">
        <is>
          <t>main</t>
        </is>
      </c>
      <c r="C277" t="n">
        <v>6</v>
      </c>
      <c r="D277" t="inlineStr">
        <is>
          <t>6-22</t>
        </is>
      </c>
      <c r="E277" t="n">
        <v>86</v>
      </c>
      <c r="G277" s="90" t="inlineStr">
        <is>
          <t>{role:-1},
{id:-1},{id:-1},{id:-1},{id:-1},{id:-1}
{id:40034},{id:40034},{id:40036},{id:40038},{id:40039}</t>
        </is>
      </c>
      <c r="I277" t="n">
        <v>22595</v>
      </c>
      <c r="J277" s="80" t="inlineStr">
        <is>
          <t>賢者庇護</t>
        </is>
      </c>
      <c r="K277" t="inlineStr">
        <is>
          <t>buff</t>
        </is>
      </c>
      <c r="L277" t="n">
        <v>9011</v>
      </c>
      <c r="M277" t="inlineStr">
        <is>
          <t>11,12</t>
        </is>
      </c>
      <c r="O277" t="n">
        <v>0.6</v>
      </c>
      <c r="P277" s="80" t="inlineStr">
        <is>
          <t>知識共鳴</t>
        </is>
      </c>
      <c r="Q277" t="inlineStr">
        <is>
          <t>debuff</t>
        </is>
      </c>
      <c r="R277" t="n">
        <v>9008</v>
      </c>
      <c r="S277" t="inlineStr">
        <is>
          <t>3,7</t>
        </is>
      </c>
      <c r="U277" t="n">
        <v>1</v>
      </c>
      <c r="V277" t="n">
        <v>70001</v>
      </c>
      <c r="W277" t="n">
        <v>2</v>
      </c>
      <c r="X277" t="n">
        <v>1</v>
      </c>
      <c r="Y277" t="n">
        <v>70002</v>
      </c>
      <c r="Z277" t="n">
        <v>2</v>
      </c>
      <c r="AA277" t="n">
        <v>1</v>
      </c>
      <c r="AB277" t="n">
        <v>1001</v>
      </c>
      <c r="AC277" t="n">
        <v>50</v>
      </c>
      <c r="AD277" t="n">
        <v>1</v>
      </c>
      <c r="AE277" t="n">
        <v>8000</v>
      </c>
      <c r="AF277" t="n">
        <v>530</v>
      </c>
      <c r="AG277" t="n">
        <v>1</v>
      </c>
    </row>
    <row r="278" ht="38.25" customHeight="1" s="142">
      <c r="A278" t="n">
        <v>1172</v>
      </c>
      <c r="B278" t="inlineStr">
        <is>
          <t>main</t>
        </is>
      </c>
      <c r="C278" t="n">
        <v>6</v>
      </c>
      <c r="D278" t="inlineStr">
        <is>
          <t>6-23</t>
        </is>
      </c>
      <c r="E278" t="n">
        <v>87</v>
      </c>
      <c r="G278" s="90" t="inlineStr">
        <is>
          <t>{role:-1},
{id:-1},{id:-1},{id:-1},{id:-1},{id:-1}
{id:40037},{id:40039},{id:40034},{id:40039},{id:40039}</t>
        </is>
      </c>
      <c r="I278" t="n">
        <v>22720</v>
      </c>
      <c r="J278" s="80" t="inlineStr">
        <is>
          <t>賢者庇護</t>
        </is>
      </c>
      <c r="K278" t="inlineStr">
        <is>
          <t>buff</t>
        </is>
      </c>
      <c r="L278" t="n">
        <v>9002</v>
      </c>
      <c r="M278" t="inlineStr">
        <is>
          <t>3,9,13</t>
        </is>
      </c>
      <c r="O278" t="n">
        <v>0.3</v>
      </c>
      <c r="P278" s="80" t="inlineStr">
        <is>
          <t>知識共鳴</t>
        </is>
      </c>
      <c r="Q278" t="inlineStr">
        <is>
          <t>debuff</t>
        </is>
      </c>
      <c r="R278" t="n">
        <v>9012</v>
      </c>
      <c r="S278" t="inlineStr">
        <is>
          <t>6,12,13</t>
        </is>
      </c>
      <c r="U278" t="n">
        <v>0.7</v>
      </c>
      <c r="V278" t="n">
        <v>70001</v>
      </c>
      <c r="W278" t="n">
        <v>2</v>
      </c>
      <c r="X278" t="n">
        <v>1</v>
      </c>
      <c r="Y278" t="n">
        <v>70002</v>
      </c>
      <c r="Z278" t="n">
        <v>2</v>
      </c>
      <c r="AA278" t="n">
        <v>1</v>
      </c>
      <c r="AB278" t="n">
        <v>1001</v>
      </c>
      <c r="AC278" t="n">
        <v>50</v>
      </c>
      <c r="AD278" t="n">
        <v>1</v>
      </c>
      <c r="AE278" t="n">
        <v>8000</v>
      </c>
      <c r="AF278" t="n">
        <v>530</v>
      </c>
      <c r="AG278" t="n">
        <v>1</v>
      </c>
    </row>
    <row r="279" ht="38.25" customHeight="1" s="142">
      <c r="A279" t="n">
        <v>1173</v>
      </c>
      <c r="B279" t="inlineStr">
        <is>
          <t>main</t>
        </is>
      </c>
      <c r="C279" t="n">
        <v>6</v>
      </c>
      <c r="D279" t="inlineStr">
        <is>
          <t>6-24</t>
        </is>
      </c>
      <c r="E279" t="n">
        <v>87</v>
      </c>
      <c r="G279" s="90" t="inlineStr">
        <is>
          <t>{role:-1},
{id:-1},{id:-1},{id:-1},{id:-1},{id:-1}
{id:40034},{id:40039},{id:40039},{id:40037},{id:40038}</t>
        </is>
      </c>
      <c r="I279" t="n">
        <v>22845</v>
      </c>
      <c r="J279" s="80" t="inlineStr">
        <is>
          <t>賢者庇護</t>
        </is>
      </c>
      <c r="K279" t="inlineStr">
        <is>
          <t>buff</t>
        </is>
      </c>
      <c r="L279" t="n">
        <v>9011</v>
      </c>
      <c r="M279" t="n">
        <v>4</v>
      </c>
      <c r="O279" t="n">
        <v>0.5</v>
      </c>
      <c r="P279" s="80" t="inlineStr">
        <is>
          <t>知識共鳴</t>
        </is>
      </c>
      <c r="Q279" t="inlineStr">
        <is>
          <t>debuff</t>
        </is>
      </c>
      <c r="R279" t="n">
        <v>9008</v>
      </c>
      <c r="S279" t="inlineStr">
        <is>
          <t>10,13</t>
        </is>
      </c>
      <c r="U279" t="n">
        <v>0.7</v>
      </c>
      <c r="V279" t="n">
        <v>70001</v>
      </c>
      <c r="W279" t="n">
        <v>2</v>
      </c>
      <c r="X279" t="n">
        <v>1</v>
      </c>
      <c r="Y279" t="n">
        <v>70002</v>
      </c>
      <c r="Z279" t="n">
        <v>2</v>
      </c>
      <c r="AA279" t="n">
        <v>1</v>
      </c>
      <c r="AB279" t="n">
        <v>1001</v>
      </c>
      <c r="AC279" t="n">
        <v>50</v>
      </c>
      <c r="AD279" t="n">
        <v>1</v>
      </c>
      <c r="AE279" t="n">
        <v>8000</v>
      </c>
      <c r="AF279" t="n">
        <v>530</v>
      </c>
      <c r="AG279" t="n">
        <v>1</v>
      </c>
    </row>
    <row r="280" ht="38.25" customHeight="1" s="142">
      <c r="A280" t="n">
        <v>1174</v>
      </c>
      <c r="B280" t="inlineStr">
        <is>
          <t>main</t>
        </is>
      </c>
      <c r="C280" t="n">
        <v>6</v>
      </c>
      <c r="D280" t="inlineStr">
        <is>
          <t>6-25</t>
        </is>
      </c>
      <c r="E280" t="n">
        <v>88</v>
      </c>
      <c r="G280" s="90" t="inlineStr">
        <is>
          <t>{role:-1},
{id:-1},{id:-1},{id:-1},{id:-1},{id:-1}
{id:40038},{id:40036},{id:40034},{id:40038},{id:40036}</t>
        </is>
      </c>
      <c r="I280" t="n">
        <v>22970</v>
      </c>
      <c r="J280" s="80" t="inlineStr">
        <is>
          <t>賢者庇護</t>
        </is>
      </c>
      <c r="K280" t="inlineStr">
        <is>
          <t>buff</t>
        </is>
      </c>
      <c r="L280" t="n">
        <v>9001</v>
      </c>
      <c r="M280" t="inlineStr">
        <is>
          <t>8,10,11</t>
        </is>
      </c>
      <c r="O280" t="n">
        <v>0.4</v>
      </c>
      <c r="P280" s="80" t="inlineStr">
        <is>
          <t>知識共鳴</t>
        </is>
      </c>
      <c r="Q280" t="inlineStr">
        <is>
          <t>debuff</t>
        </is>
      </c>
      <c r="R280" t="n">
        <v>9012</v>
      </c>
      <c r="S280" t="n">
        <v>10</v>
      </c>
      <c r="U280" t="n">
        <v>0.3</v>
      </c>
      <c r="V280" t="n">
        <v>70001</v>
      </c>
      <c r="W280" t="n">
        <v>2</v>
      </c>
      <c r="X280" t="n">
        <v>1</v>
      </c>
      <c r="Y280" t="n">
        <v>70002</v>
      </c>
      <c r="Z280" t="n">
        <v>2</v>
      </c>
      <c r="AA280" t="n">
        <v>1</v>
      </c>
      <c r="AB280" t="n">
        <v>1001</v>
      </c>
      <c r="AC280" t="n">
        <v>50</v>
      </c>
      <c r="AD280" t="n">
        <v>1</v>
      </c>
      <c r="AE280" t="n">
        <v>8000</v>
      </c>
      <c r="AF280" t="n">
        <v>540</v>
      </c>
      <c r="AG280" t="n">
        <v>1</v>
      </c>
    </row>
    <row r="281" ht="38.25" customHeight="1" s="142">
      <c r="A281" t="n">
        <v>1175</v>
      </c>
      <c r="B281" t="inlineStr">
        <is>
          <t>main</t>
        </is>
      </c>
      <c r="C281" t="n">
        <v>6</v>
      </c>
      <c r="D281" t="inlineStr">
        <is>
          <t>6-26</t>
        </is>
      </c>
      <c r="E281" t="n">
        <v>88</v>
      </c>
      <c r="G281" s="90" t="inlineStr">
        <is>
          <t>{role:-1},
{id:-1},{id:-1},{id:-1},{id:-1},{id:-1}
{id:40039},{id:40037},{id:40036},{id:40036},{id:40037}</t>
        </is>
      </c>
      <c r="I281" t="n">
        <v>23095</v>
      </c>
      <c r="J281" s="80" t="inlineStr">
        <is>
          <t>賢者庇護</t>
        </is>
      </c>
      <c r="K281" t="inlineStr">
        <is>
          <t>buff</t>
        </is>
      </c>
      <c r="L281" t="n">
        <v>9007</v>
      </c>
      <c r="M281" t="n">
        <v>4</v>
      </c>
      <c r="O281" t="n">
        <v>0.6</v>
      </c>
      <c r="P281" s="80" t="inlineStr">
        <is>
          <t>知識共鳴</t>
        </is>
      </c>
      <c r="Q281" t="inlineStr">
        <is>
          <t>debuff</t>
        </is>
      </c>
      <c r="R281" t="n">
        <v>9011</v>
      </c>
      <c r="S281" t="inlineStr">
        <is>
          <t>4,8,11</t>
        </is>
      </c>
      <c r="U281" t="n">
        <v>0.6</v>
      </c>
      <c r="V281" t="n">
        <v>70001</v>
      </c>
      <c r="W281" t="n">
        <v>2</v>
      </c>
      <c r="X281" t="n">
        <v>1</v>
      </c>
      <c r="Y281" t="n">
        <v>70002</v>
      </c>
      <c r="Z281" t="n">
        <v>2</v>
      </c>
      <c r="AA281" t="n">
        <v>1</v>
      </c>
      <c r="AB281" t="n">
        <v>1001</v>
      </c>
      <c r="AC281" t="n">
        <v>50</v>
      </c>
      <c r="AD281" t="n">
        <v>1</v>
      </c>
      <c r="AE281" t="n">
        <v>8000</v>
      </c>
      <c r="AF281" t="n">
        <v>540</v>
      </c>
      <c r="AG281" t="n">
        <v>1</v>
      </c>
    </row>
    <row r="282" ht="38.25" customHeight="1" s="142">
      <c r="A282" t="n">
        <v>1176</v>
      </c>
      <c r="B282" t="inlineStr">
        <is>
          <t>main</t>
        </is>
      </c>
      <c r="C282" t="n">
        <v>6</v>
      </c>
      <c r="D282" t="inlineStr">
        <is>
          <t>6-27</t>
        </is>
      </c>
      <c r="E282" t="n">
        <v>89</v>
      </c>
      <c r="G282" s="90" t="inlineStr">
        <is>
          <t>{role:-1},
{id:-1},{id:-1},{id:-1},{id:-1},{id:-1}
{id:40034},{id:40034},{id:40039},{id:40036},{id:40037}</t>
        </is>
      </c>
      <c r="I282" t="n">
        <v>23220</v>
      </c>
      <c r="J282" s="80" t="inlineStr">
        <is>
          <t>賢者庇護</t>
        </is>
      </c>
      <c r="K282" t="inlineStr">
        <is>
          <t>buff</t>
        </is>
      </c>
      <c r="L282" t="n">
        <v>9011</v>
      </c>
      <c r="M282" t="inlineStr">
        <is>
          <t>8,11,12</t>
        </is>
      </c>
      <c r="O282" t="n">
        <v>0.8</v>
      </c>
      <c r="P282" s="80" t="inlineStr">
        <is>
          <t>知識共鳴</t>
        </is>
      </c>
      <c r="Q282" t="inlineStr">
        <is>
          <t>debuff</t>
        </is>
      </c>
      <c r="R282" t="n">
        <v>9011</v>
      </c>
      <c r="S282" t="inlineStr">
        <is>
          <t>3,8</t>
        </is>
      </c>
      <c r="U282" t="n">
        <v>0.9</v>
      </c>
      <c r="V282" t="n">
        <v>70001</v>
      </c>
      <c r="W282" t="n">
        <v>2</v>
      </c>
      <c r="X282" t="n">
        <v>1</v>
      </c>
      <c r="Y282" t="n">
        <v>70002</v>
      </c>
      <c r="Z282" t="n">
        <v>2</v>
      </c>
      <c r="AA282" t="n">
        <v>1</v>
      </c>
      <c r="AB282" t="n">
        <v>1001</v>
      </c>
      <c r="AC282" t="n">
        <v>50</v>
      </c>
      <c r="AD282" t="n">
        <v>1</v>
      </c>
      <c r="AE282" t="n">
        <v>8000</v>
      </c>
      <c r="AF282" t="n">
        <v>550</v>
      </c>
      <c r="AG282" t="n">
        <v>1</v>
      </c>
    </row>
    <row r="283" ht="38.25" customHeight="1" s="142">
      <c r="A283" t="n">
        <v>1177</v>
      </c>
      <c r="B283" t="inlineStr">
        <is>
          <t>main</t>
        </is>
      </c>
      <c r="C283" t="n">
        <v>6</v>
      </c>
      <c r="D283" t="inlineStr">
        <is>
          <t>6-28</t>
        </is>
      </c>
      <c r="E283" t="n">
        <v>89</v>
      </c>
      <c r="G283" s="90" t="inlineStr">
        <is>
          <t>{role:-1},
{id:-1},{id:-1},{id:-1},{id:-1},{id:-1}
{id:40037},{id:40036},{id:40038},{id:40036},{id:40039}</t>
        </is>
      </c>
      <c r="I283" t="n">
        <v>23345</v>
      </c>
      <c r="J283" s="80" t="inlineStr">
        <is>
          <t>賢者庇護</t>
        </is>
      </c>
      <c r="K283" t="inlineStr">
        <is>
          <t>buff</t>
        </is>
      </c>
      <c r="L283" t="n">
        <v>9001</v>
      </c>
      <c r="M283" t="inlineStr">
        <is>
          <t>1,12</t>
        </is>
      </c>
      <c r="O283" t="n">
        <v>0.2</v>
      </c>
      <c r="P283" s="80" t="inlineStr">
        <is>
          <t>知識共鳴</t>
        </is>
      </c>
      <c r="Q283" t="inlineStr">
        <is>
          <t>debuff</t>
        </is>
      </c>
      <c r="R283" t="n">
        <v>9010</v>
      </c>
      <c r="S283" t="inlineStr">
        <is>
          <t>2,9,10</t>
        </is>
      </c>
      <c r="U283" t="n">
        <v>1</v>
      </c>
      <c r="V283" t="n">
        <v>70001</v>
      </c>
      <c r="W283" t="n">
        <v>2</v>
      </c>
      <c r="X283" t="n">
        <v>1</v>
      </c>
      <c r="Y283" t="n">
        <v>70002</v>
      </c>
      <c r="Z283" t="n">
        <v>2</v>
      </c>
      <c r="AA283" t="n">
        <v>1</v>
      </c>
      <c r="AB283" t="n">
        <v>1001</v>
      </c>
      <c r="AC283" t="n">
        <v>50</v>
      </c>
      <c r="AD283" t="n">
        <v>1</v>
      </c>
      <c r="AE283" t="n">
        <v>8000</v>
      </c>
      <c r="AF283" t="n">
        <v>550</v>
      </c>
      <c r="AG283" t="n">
        <v>1</v>
      </c>
    </row>
    <row r="284" ht="38.25" customHeight="1" s="142">
      <c r="A284" t="n">
        <v>1178</v>
      </c>
      <c r="B284" t="inlineStr">
        <is>
          <t>main</t>
        </is>
      </c>
      <c r="C284" t="n">
        <v>6</v>
      </c>
      <c r="D284" t="inlineStr">
        <is>
          <t>6-29</t>
        </is>
      </c>
      <c r="E284" t="n">
        <v>90</v>
      </c>
      <c r="G284" s="90" t="inlineStr">
        <is>
          <t>{role:-1},
{id:-1},{id:-1},{id:-1},{id:-1},{id:-1}
{id:40037},{id:40039},{id:40038},{id:40038},{id:40038}</t>
        </is>
      </c>
      <c r="I284" t="n">
        <v>23470</v>
      </c>
      <c r="J284" s="80" t="inlineStr">
        <is>
          <t>賢者庇護</t>
        </is>
      </c>
      <c r="K284" t="inlineStr">
        <is>
          <t>buff</t>
        </is>
      </c>
      <c r="L284" t="n">
        <v>9008</v>
      </c>
      <c r="M284" t="inlineStr">
        <is>
          <t>2,3</t>
        </is>
      </c>
      <c r="O284" t="n">
        <v>0.2</v>
      </c>
      <c r="P284" s="80" t="inlineStr">
        <is>
          <t>知識共鳴</t>
        </is>
      </c>
      <c r="Q284" t="inlineStr">
        <is>
          <t>debuff</t>
        </is>
      </c>
      <c r="R284" t="n">
        <v>9010</v>
      </c>
      <c r="S284" t="inlineStr">
        <is>
          <t>6,11</t>
        </is>
      </c>
      <c r="U284" t="n">
        <v>0.5</v>
      </c>
      <c r="V284" t="n">
        <v>70001</v>
      </c>
      <c r="W284" t="n">
        <v>2</v>
      </c>
      <c r="X284" t="n">
        <v>1</v>
      </c>
      <c r="Y284" t="n">
        <v>70002</v>
      </c>
      <c r="Z284" t="n">
        <v>2</v>
      </c>
      <c r="AA284" t="n">
        <v>1</v>
      </c>
      <c r="AB284" t="n">
        <v>1001</v>
      </c>
      <c r="AC284" t="n">
        <v>50</v>
      </c>
      <c r="AD284" t="n">
        <v>1</v>
      </c>
      <c r="AE284" t="n">
        <v>8000</v>
      </c>
      <c r="AF284" t="n">
        <v>550</v>
      </c>
      <c r="AG284" t="n">
        <v>1</v>
      </c>
    </row>
    <row r="285" ht="38.25" customHeight="1" s="142">
      <c r="A285" t="n">
        <v>1179</v>
      </c>
      <c r="B285" t="inlineStr">
        <is>
          <t>main</t>
        </is>
      </c>
      <c r="C285" t="n">
        <v>6</v>
      </c>
      <c r="D285" t="inlineStr">
        <is>
          <t>6-30</t>
        </is>
      </c>
      <c r="E285" t="n">
        <v>90</v>
      </c>
      <c r="G285" s="90" t="inlineStr">
        <is>
          <t>{role:-1},
{id:-1},{id:-1},{id:-1},{id:-1},{id:-1}
{id:40039},{id:40038},{id:40036},{id:40037},{id:40038}</t>
        </is>
      </c>
      <c r="I285" t="n">
        <v>23595</v>
      </c>
      <c r="J285" s="80" t="inlineStr">
        <is>
          <t>賢者庇護</t>
        </is>
      </c>
      <c r="K285" t="inlineStr">
        <is>
          <t>buff</t>
        </is>
      </c>
      <c r="L285" t="n">
        <v>9011</v>
      </c>
      <c r="M285" t="n">
        <v>8</v>
      </c>
      <c r="O285" t="n">
        <v>0.4</v>
      </c>
      <c r="P285" s="80" t="inlineStr">
        <is>
          <t>知識共鳴</t>
        </is>
      </c>
      <c r="Q285" t="inlineStr">
        <is>
          <t>debuff</t>
        </is>
      </c>
      <c r="R285" t="n">
        <v>9012</v>
      </c>
      <c r="S285" t="n">
        <v>11</v>
      </c>
      <c r="U285" t="n">
        <v>0.8</v>
      </c>
      <c r="V285" t="n">
        <v>70001</v>
      </c>
      <c r="W285" t="n">
        <v>2</v>
      </c>
      <c r="X285" t="n">
        <v>1</v>
      </c>
      <c r="Y285" t="n">
        <v>70002</v>
      </c>
      <c r="Z285" t="n">
        <v>2</v>
      </c>
      <c r="AA285" t="n">
        <v>1</v>
      </c>
      <c r="AB285" t="n">
        <v>1001</v>
      </c>
      <c r="AC285" t="n">
        <v>50</v>
      </c>
      <c r="AD285" t="n">
        <v>1</v>
      </c>
      <c r="AE285" t="n">
        <v>8000</v>
      </c>
      <c r="AF285" t="n">
        <v>560</v>
      </c>
      <c r="AG285" t="n">
        <v>1</v>
      </c>
    </row>
    <row r="286" ht="38.25" customHeight="1" s="142">
      <c r="A286" t="n">
        <v>1180</v>
      </c>
      <c r="B286" t="inlineStr">
        <is>
          <t>main</t>
        </is>
      </c>
      <c r="C286" t="n">
        <v>6</v>
      </c>
      <c r="D286" t="inlineStr">
        <is>
          <t>6-31</t>
        </is>
      </c>
      <c r="E286" t="n">
        <v>91</v>
      </c>
      <c r="G286" s="90" t="inlineStr">
        <is>
          <t>{role:-1},
{id:-1},{id:-1},{id:-1},{id:-1},{id:-1}
{id:40039},{id:40034},{id:40036},{id:40039},{id:40037}</t>
        </is>
      </c>
      <c r="I286" t="n">
        <v>23720</v>
      </c>
      <c r="J286" s="80" t="inlineStr">
        <is>
          <t>賢者庇護</t>
        </is>
      </c>
      <c r="K286" t="inlineStr">
        <is>
          <t>buff</t>
        </is>
      </c>
      <c r="L286" t="n">
        <v>9012</v>
      </c>
      <c r="M286" t="inlineStr">
        <is>
          <t>7,10,13</t>
        </is>
      </c>
      <c r="O286" t="n">
        <v>0.9</v>
      </c>
      <c r="P286" s="80" t="inlineStr">
        <is>
          <t>知識共鳴</t>
        </is>
      </c>
      <c r="Q286" t="inlineStr">
        <is>
          <t>debuff</t>
        </is>
      </c>
      <c r="R286" t="n">
        <v>9012</v>
      </c>
      <c r="S286" t="n">
        <v>8</v>
      </c>
      <c r="U286" t="n">
        <v>0.5</v>
      </c>
      <c r="V286" t="n">
        <v>70001</v>
      </c>
      <c r="W286" t="n">
        <v>2</v>
      </c>
      <c r="X286" t="n">
        <v>1</v>
      </c>
      <c r="Y286" t="n">
        <v>70002</v>
      </c>
      <c r="Z286" t="n">
        <v>2</v>
      </c>
      <c r="AA286" t="n">
        <v>1</v>
      </c>
      <c r="AB286" t="n">
        <v>1001</v>
      </c>
      <c r="AC286" t="n">
        <v>50</v>
      </c>
      <c r="AD286" t="n">
        <v>1</v>
      </c>
      <c r="AE286" t="n">
        <v>8000</v>
      </c>
      <c r="AF286" t="n">
        <v>560</v>
      </c>
      <c r="AG286" t="n">
        <v>1</v>
      </c>
    </row>
    <row r="287" ht="38.25" customHeight="1" s="142">
      <c r="A287" t="n">
        <v>1181</v>
      </c>
      <c r="B287" t="inlineStr">
        <is>
          <t>main</t>
        </is>
      </c>
      <c r="C287" t="n">
        <v>6</v>
      </c>
      <c r="D287" t="inlineStr">
        <is>
          <t>6-32</t>
        </is>
      </c>
      <c r="E287" t="n">
        <v>91</v>
      </c>
      <c r="G287" s="90" t="inlineStr">
        <is>
          <t>{role:-1},
{id:-1},{id:-1},{id:-1},{id:-1},{id:-1}
{id:40038},{id:40034},{id:40034},{id:40037},{id:40039}</t>
        </is>
      </c>
      <c r="I287" t="n">
        <v>23845</v>
      </c>
      <c r="J287" s="80" t="inlineStr">
        <is>
          <t>賢者庇護</t>
        </is>
      </c>
      <c r="K287" t="inlineStr">
        <is>
          <t>buff</t>
        </is>
      </c>
      <c r="L287" t="n">
        <v>9007</v>
      </c>
      <c r="M287" t="inlineStr">
        <is>
          <t>4,7</t>
        </is>
      </c>
      <c r="O287" t="n">
        <v>0.8</v>
      </c>
      <c r="P287" s="80" t="inlineStr">
        <is>
          <t>知識共鳴</t>
        </is>
      </c>
      <c r="Q287" t="inlineStr">
        <is>
          <t>debuff</t>
        </is>
      </c>
      <c r="R287" t="n">
        <v>9010</v>
      </c>
      <c r="S287" t="n">
        <v>12</v>
      </c>
      <c r="U287" t="n">
        <v>0.2</v>
      </c>
      <c r="V287" t="n">
        <v>70001</v>
      </c>
      <c r="W287" t="n">
        <v>2</v>
      </c>
      <c r="X287" t="n">
        <v>1</v>
      </c>
      <c r="Y287" t="n">
        <v>70002</v>
      </c>
      <c r="Z287" t="n">
        <v>2</v>
      </c>
      <c r="AA287" t="n">
        <v>1</v>
      </c>
      <c r="AB287" t="n">
        <v>1001</v>
      </c>
      <c r="AC287" t="n">
        <v>50</v>
      </c>
      <c r="AD287" t="n">
        <v>1</v>
      </c>
      <c r="AE287" t="n">
        <v>8000</v>
      </c>
      <c r="AF287" t="n">
        <v>570</v>
      </c>
      <c r="AG287" t="n">
        <v>1</v>
      </c>
    </row>
    <row r="288" ht="38.25" customHeight="1" s="142">
      <c r="A288" t="n">
        <v>1182</v>
      </c>
      <c r="B288" t="inlineStr">
        <is>
          <t>main</t>
        </is>
      </c>
      <c r="C288" t="n">
        <v>6</v>
      </c>
      <c r="D288" t="inlineStr">
        <is>
          <t>6-33</t>
        </is>
      </c>
      <c r="E288" t="n">
        <v>92</v>
      </c>
      <c r="G288" s="90" t="inlineStr">
        <is>
          <t>{role:-1},
{id:-1},{id:-1},{id:-1},{id:-1},{id:-1}
{id:40036},{id:40038},{id:40038},{id:40038},{id:40038}</t>
        </is>
      </c>
      <c r="I288" t="n">
        <v>23970</v>
      </c>
      <c r="J288" s="80" t="inlineStr">
        <is>
          <t>賢者庇護</t>
        </is>
      </c>
      <c r="K288" t="inlineStr">
        <is>
          <t>buff</t>
        </is>
      </c>
      <c r="L288" t="n">
        <v>9007</v>
      </c>
      <c r="M288" t="inlineStr">
        <is>
          <t>1,3</t>
        </is>
      </c>
      <c r="O288" t="n">
        <v>0.1</v>
      </c>
      <c r="P288" s="80" t="inlineStr">
        <is>
          <t>知識共鳴</t>
        </is>
      </c>
      <c r="Q288" t="inlineStr">
        <is>
          <t>debuff</t>
        </is>
      </c>
      <c r="R288" t="n">
        <v>9012</v>
      </c>
      <c r="S288" t="inlineStr">
        <is>
          <t>3,5,6</t>
        </is>
      </c>
      <c r="U288" t="n">
        <v>0.4</v>
      </c>
      <c r="V288" t="n">
        <v>70001</v>
      </c>
      <c r="W288" t="n">
        <v>2</v>
      </c>
      <c r="X288" t="n">
        <v>1</v>
      </c>
      <c r="Y288" t="n">
        <v>70002</v>
      </c>
      <c r="Z288" t="n">
        <v>2</v>
      </c>
      <c r="AA288" t="n">
        <v>1</v>
      </c>
      <c r="AB288" t="n">
        <v>1001</v>
      </c>
      <c r="AC288" t="n">
        <v>50</v>
      </c>
      <c r="AD288" t="n">
        <v>1</v>
      </c>
      <c r="AE288" t="n">
        <v>8000</v>
      </c>
      <c r="AF288" t="n">
        <v>570</v>
      </c>
      <c r="AG288" t="n">
        <v>1</v>
      </c>
    </row>
    <row r="289" ht="38.25" customHeight="1" s="142">
      <c r="A289" t="n">
        <v>1183</v>
      </c>
      <c r="B289" t="inlineStr">
        <is>
          <t>main</t>
        </is>
      </c>
      <c r="C289" t="n">
        <v>6</v>
      </c>
      <c r="D289" t="inlineStr">
        <is>
          <t>6-34</t>
        </is>
      </c>
      <c r="E289" t="n">
        <v>92</v>
      </c>
      <c r="G289" s="90" t="inlineStr">
        <is>
          <t>{role:-1},
{id:-1},{id:-1},{id:-1},{id:-1},{id:-1}
{id:40038},{id:40039},{id:40038},{id:40038},{id:40037}</t>
        </is>
      </c>
      <c r="I289" t="n">
        <v>24095</v>
      </c>
      <c r="J289" s="80" t="inlineStr">
        <is>
          <t>賢者庇護</t>
        </is>
      </c>
      <c r="K289" t="inlineStr">
        <is>
          <t>buff</t>
        </is>
      </c>
      <c r="L289" t="n">
        <v>9001</v>
      </c>
      <c r="M289" t="inlineStr">
        <is>
          <t>7,11</t>
        </is>
      </c>
      <c r="O289" t="n">
        <v>0.7</v>
      </c>
      <c r="P289" s="80" t="inlineStr">
        <is>
          <t>知識共鳴</t>
        </is>
      </c>
      <c r="Q289" t="inlineStr">
        <is>
          <t>debuff</t>
        </is>
      </c>
      <c r="R289" t="n">
        <v>9011</v>
      </c>
      <c r="S289" t="inlineStr">
        <is>
          <t>3,7,9</t>
        </is>
      </c>
      <c r="U289" t="n">
        <v>0.6</v>
      </c>
      <c r="V289" t="n">
        <v>70001</v>
      </c>
      <c r="W289" t="n">
        <v>2</v>
      </c>
      <c r="X289" t="n">
        <v>1</v>
      </c>
      <c r="Y289" t="n">
        <v>70002</v>
      </c>
      <c r="Z289" t="n">
        <v>2</v>
      </c>
      <c r="AA289" t="n">
        <v>1</v>
      </c>
      <c r="AB289" t="n">
        <v>1001</v>
      </c>
      <c r="AC289" t="n">
        <v>50</v>
      </c>
      <c r="AD289" t="n">
        <v>1</v>
      </c>
      <c r="AE289" t="n">
        <v>8000</v>
      </c>
      <c r="AF289" t="n">
        <v>570</v>
      </c>
      <c r="AG289" t="n">
        <v>1</v>
      </c>
    </row>
    <row r="290" ht="38.25" customHeight="1" s="142">
      <c r="A290" t="n">
        <v>1184</v>
      </c>
      <c r="B290" t="inlineStr">
        <is>
          <t>main</t>
        </is>
      </c>
      <c r="C290" t="n">
        <v>6</v>
      </c>
      <c r="D290" t="inlineStr">
        <is>
          <t>6-35</t>
        </is>
      </c>
      <c r="E290" t="n">
        <v>93</v>
      </c>
      <c r="G290" s="90" t="inlineStr">
        <is>
          <t>{role:-1},
{id:-1},{id:-1},{id:-1},{id:-1},{id:-1}
{id:40039},{id:40039},{id:40038},{id:40038},{id:40037}</t>
        </is>
      </c>
      <c r="I290" t="n">
        <v>24220</v>
      </c>
      <c r="J290" s="80" t="inlineStr">
        <is>
          <t>賢者庇護</t>
        </is>
      </c>
      <c r="K290" t="inlineStr">
        <is>
          <t>buff</t>
        </is>
      </c>
      <c r="L290" t="n">
        <v>9002</v>
      </c>
      <c r="M290" t="inlineStr">
        <is>
          <t>9,13</t>
        </is>
      </c>
      <c r="O290" t="n">
        <v>0.2</v>
      </c>
      <c r="P290" s="80" t="inlineStr">
        <is>
          <t>知識共鳴</t>
        </is>
      </c>
      <c r="Q290" t="inlineStr">
        <is>
          <t>debuff</t>
        </is>
      </c>
      <c r="R290" t="n">
        <v>9011</v>
      </c>
      <c r="S290" t="inlineStr">
        <is>
          <t>5,10</t>
        </is>
      </c>
      <c r="U290" t="n">
        <v>0.9</v>
      </c>
      <c r="V290" t="n">
        <v>70001</v>
      </c>
      <c r="W290" t="n">
        <v>2</v>
      </c>
      <c r="X290" t="n">
        <v>1</v>
      </c>
      <c r="Y290" t="n">
        <v>70002</v>
      </c>
      <c r="Z290" t="n">
        <v>2</v>
      </c>
      <c r="AA290" t="n">
        <v>1</v>
      </c>
      <c r="AB290" t="n">
        <v>1001</v>
      </c>
      <c r="AC290" t="n">
        <v>50</v>
      </c>
      <c r="AD290" t="n">
        <v>1</v>
      </c>
      <c r="AE290" t="n">
        <v>8000</v>
      </c>
      <c r="AF290" t="n">
        <v>580</v>
      </c>
      <c r="AG290" t="n">
        <v>1</v>
      </c>
    </row>
    <row r="291" ht="38.25" customHeight="1" s="142">
      <c r="A291" t="n">
        <v>1185</v>
      </c>
      <c r="B291" t="inlineStr">
        <is>
          <t>main</t>
        </is>
      </c>
      <c r="C291" t="n">
        <v>6</v>
      </c>
      <c r="D291" t="inlineStr">
        <is>
          <t>6-36</t>
        </is>
      </c>
      <c r="E291" t="n">
        <v>93</v>
      </c>
      <c r="G291" s="90" t="inlineStr">
        <is>
          <t>{role:-1},
{id:-1},{id:-1},{id:-1},{id:-1},{id:-1}
{id:40036},{id:40038},{id:40037},{id:40034},{id:40038}</t>
        </is>
      </c>
      <c r="I291" t="n">
        <v>24345</v>
      </c>
      <c r="J291" s="80" t="inlineStr">
        <is>
          <t>賢者庇護</t>
        </is>
      </c>
      <c r="K291" t="inlineStr">
        <is>
          <t>buff</t>
        </is>
      </c>
      <c r="L291" t="n">
        <v>9006</v>
      </c>
      <c r="M291" t="inlineStr">
        <is>
          <t>6,9</t>
        </is>
      </c>
      <c r="O291" t="n">
        <v>0.9</v>
      </c>
      <c r="P291" s="80" t="inlineStr">
        <is>
          <t>知識共鳴</t>
        </is>
      </c>
      <c r="Q291" t="inlineStr">
        <is>
          <t>debuff</t>
        </is>
      </c>
      <c r="R291" t="n">
        <v>9010</v>
      </c>
      <c r="S291" t="n">
        <v>12</v>
      </c>
      <c r="U291" t="n">
        <v>0.9</v>
      </c>
      <c r="V291" t="n">
        <v>70001</v>
      </c>
      <c r="W291" t="n">
        <v>2</v>
      </c>
      <c r="X291" t="n">
        <v>1</v>
      </c>
      <c r="Y291" t="n">
        <v>70002</v>
      </c>
      <c r="Z291" t="n">
        <v>2</v>
      </c>
      <c r="AA291" t="n">
        <v>1</v>
      </c>
      <c r="AB291" t="n">
        <v>1001</v>
      </c>
      <c r="AC291" t="n">
        <v>50</v>
      </c>
      <c r="AD291" t="n">
        <v>1</v>
      </c>
      <c r="AE291" t="n">
        <v>8000</v>
      </c>
      <c r="AF291" t="n">
        <v>580</v>
      </c>
      <c r="AG291" t="n">
        <v>1</v>
      </c>
    </row>
    <row r="292" ht="38.25" customHeight="1" s="142">
      <c r="A292" t="n">
        <v>1186</v>
      </c>
      <c r="B292" t="inlineStr">
        <is>
          <t>main</t>
        </is>
      </c>
      <c r="C292" t="n">
        <v>6</v>
      </c>
      <c r="D292" t="inlineStr">
        <is>
          <t>6-37</t>
        </is>
      </c>
      <c r="E292" t="n">
        <v>94</v>
      </c>
      <c r="G292" s="90" t="inlineStr">
        <is>
          <t>{role:-1},
{id:-1},{id:-1},{id:-1},{id:-1},{id:-1}
{id:40037},{id:40037},{id:40038},{id:40036},{id:40034}</t>
        </is>
      </c>
      <c r="I292" t="n">
        <v>24470</v>
      </c>
      <c r="J292" s="80" t="inlineStr">
        <is>
          <t>賢者庇護</t>
        </is>
      </c>
      <c r="K292" t="inlineStr">
        <is>
          <t>buff</t>
        </is>
      </c>
      <c r="L292" t="n">
        <v>9001</v>
      </c>
      <c r="M292" t="inlineStr">
        <is>
          <t>1,8</t>
        </is>
      </c>
      <c r="O292" t="n">
        <v>0.9</v>
      </c>
      <c r="P292" s="80" t="inlineStr">
        <is>
          <t>知識共鳴</t>
        </is>
      </c>
      <c r="Q292" t="inlineStr">
        <is>
          <t>debuff</t>
        </is>
      </c>
      <c r="R292" t="n">
        <v>9012</v>
      </c>
      <c r="S292" t="n">
        <v>12</v>
      </c>
      <c r="U292" t="n">
        <v>0.5</v>
      </c>
      <c r="V292" t="n">
        <v>70001</v>
      </c>
      <c r="W292" t="n">
        <v>2</v>
      </c>
      <c r="X292" t="n">
        <v>1</v>
      </c>
      <c r="Y292" t="n">
        <v>70002</v>
      </c>
      <c r="Z292" t="n">
        <v>2</v>
      </c>
      <c r="AA292" t="n">
        <v>1</v>
      </c>
      <c r="AB292" t="n">
        <v>1001</v>
      </c>
      <c r="AC292" t="n">
        <v>50</v>
      </c>
      <c r="AD292" t="n">
        <v>1</v>
      </c>
      <c r="AE292" t="n">
        <v>8000</v>
      </c>
      <c r="AF292" t="n">
        <v>590</v>
      </c>
      <c r="AG292" t="n">
        <v>1</v>
      </c>
    </row>
    <row r="293" ht="38.25" customHeight="1" s="142">
      <c r="A293" t="n">
        <v>1187</v>
      </c>
      <c r="B293" t="inlineStr">
        <is>
          <t>main</t>
        </is>
      </c>
      <c r="C293" t="n">
        <v>6</v>
      </c>
      <c r="D293" t="inlineStr">
        <is>
          <t>6-38</t>
        </is>
      </c>
      <c r="E293" t="n">
        <v>94</v>
      </c>
      <c r="G293" s="90" t="inlineStr">
        <is>
          <t>{role:-1},
{id:-1},{id:-1},{id:-1},{id:-1},{id:-1}
{id:40038},{id:40036},{id:40036},{id:40039},{id:40036}</t>
        </is>
      </c>
      <c r="I293" t="n">
        <v>24595</v>
      </c>
      <c r="J293" s="80" t="inlineStr">
        <is>
          <t>賢者庇護</t>
        </is>
      </c>
      <c r="K293" t="inlineStr">
        <is>
          <t>buff</t>
        </is>
      </c>
      <c r="L293" t="n">
        <v>9012</v>
      </c>
      <c r="M293" t="inlineStr">
        <is>
          <t>5,9</t>
        </is>
      </c>
      <c r="O293" t="n">
        <v>0.7</v>
      </c>
      <c r="P293" s="80" t="inlineStr">
        <is>
          <t>知識共鳴</t>
        </is>
      </c>
      <c r="Q293" t="inlineStr">
        <is>
          <t>debuff</t>
        </is>
      </c>
      <c r="R293" t="n">
        <v>9007</v>
      </c>
      <c r="S293" t="n">
        <v>1</v>
      </c>
      <c r="U293" t="n">
        <v>0.8</v>
      </c>
      <c r="V293" t="n">
        <v>70001</v>
      </c>
      <c r="W293" t="n">
        <v>2</v>
      </c>
      <c r="X293" t="n">
        <v>1</v>
      </c>
      <c r="Y293" t="n">
        <v>70002</v>
      </c>
      <c r="Z293" t="n">
        <v>2</v>
      </c>
      <c r="AA293" t="n">
        <v>1</v>
      </c>
      <c r="AB293" t="n">
        <v>1001</v>
      </c>
      <c r="AC293" t="n">
        <v>50</v>
      </c>
      <c r="AD293" t="n">
        <v>1</v>
      </c>
      <c r="AE293" t="n">
        <v>8000</v>
      </c>
      <c r="AF293" t="n">
        <v>590</v>
      </c>
      <c r="AG293" t="n">
        <v>1</v>
      </c>
    </row>
    <row r="294" ht="38.25" customHeight="1" s="142">
      <c r="A294" t="n">
        <v>1188</v>
      </c>
      <c r="B294" t="inlineStr">
        <is>
          <t>main</t>
        </is>
      </c>
      <c r="C294" t="n">
        <v>6</v>
      </c>
      <c r="D294" t="inlineStr">
        <is>
          <t>6-39</t>
        </is>
      </c>
      <c r="E294" t="n">
        <v>95</v>
      </c>
      <c r="G294" s="90" t="inlineStr">
        <is>
          <t>{role:-1},
{id:-1},{id:-1},{id:-1},{id:-1},{id:-1}
{id:40036},{id:40034},{id:40039},{id:40037},{id:40038}</t>
        </is>
      </c>
      <c r="I294" t="n">
        <v>24720</v>
      </c>
      <c r="J294" s="80" t="inlineStr">
        <is>
          <t>賢者庇護</t>
        </is>
      </c>
      <c r="K294" t="inlineStr">
        <is>
          <t>buff</t>
        </is>
      </c>
      <c r="L294" t="n">
        <v>9005</v>
      </c>
      <c r="M294" t="n">
        <v>13</v>
      </c>
      <c r="O294" t="n">
        <v>0.2</v>
      </c>
      <c r="P294" s="80" t="inlineStr">
        <is>
          <t>知識共鳴</t>
        </is>
      </c>
      <c r="Q294" t="inlineStr">
        <is>
          <t>debuff</t>
        </is>
      </c>
      <c r="R294" t="n">
        <v>9003</v>
      </c>
      <c r="S294" t="inlineStr">
        <is>
          <t>6,7,8</t>
        </is>
      </c>
      <c r="U294" t="n">
        <v>0.6</v>
      </c>
      <c r="V294" t="n">
        <v>70001</v>
      </c>
      <c r="W294" t="n">
        <v>2</v>
      </c>
      <c r="X294" t="n">
        <v>1</v>
      </c>
      <c r="Y294" t="n">
        <v>70002</v>
      </c>
      <c r="Z294" t="n">
        <v>2</v>
      </c>
      <c r="AA294" t="n">
        <v>1</v>
      </c>
      <c r="AB294" t="n">
        <v>1001</v>
      </c>
      <c r="AC294" t="n">
        <v>50</v>
      </c>
      <c r="AD294" t="n">
        <v>1</v>
      </c>
      <c r="AE294" t="n">
        <v>8000</v>
      </c>
      <c r="AF294" t="n">
        <v>590</v>
      </c>
      <c r="AG294" t="n">
        <v>1</v>
      </c>
    </row>
    <row r="295" ht="38.25" customHeight="1" s="142">
      <c r="A295" t="n">
        <v>1189</v>
      </c>
      <c r="B295" t="inlineStr">
        <is>
          <t>main</t>
        </is>
      </c>
      <c r="C295" t="n">
        <v>6</v>
      </c>
      <c r="D295" t="inlineStr">
        <is>
          <t>6-40</t>
        </is>
      </c>
      <c r="E295" t="n">
        <v>95</v>
      </c>
      <c r="G295" s="90" t="inlineStr">
        <is>
          <t>{role:-1},
{id:-1},{id:-1},{id:-1},{id:-1},{id:-1}
{id:50007},{id:40039},{id:40034},{id:40037},{id:40036}</t>
        </is>
      </c>
      <c r="I295" t="n">
        <v>24845</v>
      </c>
      <c r="J295" s="80" t="inlineStr">
        <is>
          <t>賢者庇護</t>
        </is>
      </c>
      <c r="K295" t="inlineStr">
        <is>
          <t>buff</t>
        </is>
      </c>
      <c r="L295" t="n">
        <v>9001</v>
      </c>
      <c r="M295" t="n">
        <v>2</v>
      </c>
      <c r="O295" t="n">
        <v>0.3</v>
      </c>
      <c r="P295" s="80" t="inlineStr">
        <is>
          <t>知識共鳴</t>
        </is>
      </c>
      <c r="Q295" t="inlineStr">
        <is>
          <t>debuff</t>
        </is>
      </c>
      <c r="R295" t="n">
        <v>9012</v>
      </c>
      <c r="S295" t="inlineStr">
        <is>
          <t>6,10,12</t>
        </is>
      </c>
      <c r="U295" t="n">
        <v>0.2</v>
      </c>
      <c r="V295" t="n">
        <v>70001</v>
      </c>
      <c r="W295" t="n">
        <v>2</v>
      </c>
      <c r="X295" t="n">
        <v>1</v>
      </c>
      <c r="Y295" t="n">
        <v>70002</v>
      </c>
      <c r="Z295" t="n">
        <v>2</v>
      </c>
      <c r="AA295" t="n">
        <v>1</v>
      </c>
      <c r="AB295" t="n">
        <v>1001</v>
      </c>
      <c r="AC295" t="n">
        <v>50</v>
      </c>
      <c r="AD295" t="n">
        <v>1</v>
      </c>
      <c r="AE295" t="n">
        <v>8000</v>
      </c>
      <c r="AF295" t="n">
        <v>600</v>
      </c>
      <c r="AG295" t="n">
        <v>1</v>
      </c>
    </row>
    <row r="296" ht="38.25" customHeight="1" s="142">
      <c r="A296" t="n">
        <v>1190</v>
      </c>
      <c r="B296" t="inlineStr">
        <is>
          <t>main</t>
        </is>
      </c>
      <c r="C296" t="n">
        <v>7</v>
      </c>
      <c r="D296" t="inlineStr">
        <is>
          <t>7-1</t>
        </is>
      </c>
      <c r="E296" t="n">
        <v>96</v>
      </c>
      <c r="G296" s="90" t="inlineStr">
        <is>
          <t>{role:-1},
{id:-1},{id:-1},{id:-1},{id:-1},{id:-1}
{id:40040},{id:40044}</t>
        </is>
      </c>
      <c r="I296" t="n">
        <v>24970</v>
      </c>
      <c r="J296" s="80" t="inlineStr">
        <is>
          <t>法陣震盪</t>
        </is>
      </c>
      <c r="K296" t="inlineStr">
        <is>
          <t>buff</t>
        </is>
      </c>
      <c r="L296" t="n">
        <v>9005</v>
      </c>
      <c r="M296" t="inlineStr">
        <is>
          <t>3,4,12</t>
        </is>
      </c>
      <c r="O296" t="n">
        <v>0.6</v>
      </c>
      <c r="P296" s="80" t="inlineStr">
        <is>
          <t>虛空侵蝕</t>
        </is>
      </c>
      <c r="Q296" t="inlineStr">
        <is>
          <t>debuff</t>
        </is>
      </c>
      <c r="R296" t="n">
        <v>9007</v>
      </c>
      <c r="S296" t="inlineStr">
        <is>
          <t>1,4,11</t>
        </is>
      </c>
      <c r="U296" t="n">
        <v>0.5</v>
      </c>
      <c r="V296" t="n">
        <v>70001</v>
      </c>
      <c r="W296" t="n">
        <v>2</v>
      </c>
      <c r="X296" t="n">
        <v>1</v>
      </c>
      <c r="Y296" t="n">
        <v>70002</v>
      </c>
      <c r="Z296" t="n">
        <v>2</v>
      </c>
      <c r="AA296" t="n">
        <v>1</v>
      </c>
      <c r="AB296" t="n">
        <v>1001</v>
      </c>
      <c r="AC296" t="n">
        <v>50</v>
      </c>
      <c r="AD296" t="n">
        <v>1</v>
      </c>
      <c r="AE296" t="n">
        <v>8000</v>
      </c>
      <c r="AF296" t="n">
        <v>600</v>
      </c>
      <c r="AG296" t="n">
        <v>1</v>
      </c>
    </row>
    <row r="297" ht="38.25" customHeight="1" s="142">
      <c r="A297" t="n">
        <v>1191</v>
      </c>
      <c r="B297" t="inlineStr">
        <is>
          <t>main</t>
        </is>
      </c>
      <c r="C297" t="n">
        <v>7</v>
      </c>
      <c r="D297" t="inlineStr">
        <is>
          <t>7-2</t>
        </is>
      </c>
      <c r="E297" t="n">
        <v>96</v>
      </c>
      <c r="G297" s="90" t="inlineStr">
        <is>
          <t>{role:-1},
{id:-1},{id:-1},{id:-1},{id:-1},{id:-1}
{id:40073},{id:40044}</t>
        </is>
      </c>
      <c r="I297" t="n">
        <v>25095</v>
      </c>
      <c r="J297" s="80" t="inlineStr">
        <is>
          <t>法陣震盪</t>
        </is>
      </c>
      <c r="K297" t="inlineStr">
        <is>
          <t>buff</t>
        </is>
      </c>
      <c r="L297" t="n">
        <v>9001</v>
      </c>
      <c r="M297" t="inlineStr">
        <is>
          <t>4,13</t>
        </is>
      </c>
      <c r="O297" t="n">
        <v>0.9</v>
      </c>
      <c r="P297" s="80" t="inlineStr">
        <is>
          <t>虛空侵蝕</t>
        </is>
      </c>
      <c r="Q297" t="inlineStr">
        <is>
          <t>debuff</t>
        </is>
      </c>
      <c r="R297" t="n">
        <v>9003</v>
      </c>
      <c r="S297" t="inlineStr">
        <is>
          <t>2,11,13</t>
        </is>
      </c>
      <c r="U297" t="n">
        <v>0.7</v>
      </c>
      <c r="V297" t="n">
        <v>70001</v>
      </c>
      <c r="W297" t="n">
        <v>2</v>
      </c>
      <c r="X297" t="n">
        <v>1</v>
      </c>
      <c r="Y297" t="n">
        <v>70002</v>
      </c>
      <c r="Z297" t="n">
        <v>2</v>
      </c>
      <c r="AA297" t="n">
        <v>1</v>
      </c>
      <c r="AB297" t="n">
        <v>1001</v>
      </c>
      <c r="AC297" t="n">
        <v>50</v>
      </c>
      <c r="AD297" t="n">
        <v>1</v>
      </c>
      <c r="AE297" t="n">
        <v>8000</v>
      </c>
      <c r="AF297" t="n">
        <v>610</v>
      </c>
      <c r="AG297" t="n">
        <v>1</v>
      </c>
    </row>
    <row r="298" ht="38.25" customHeight="1" s="142">
      <c r="A298" t="n">
        <v>1192</v>
      </c>
      <c r="B298" t="inlineStr">
        <is>
          <t>main</t>
        </is>
      </c>
      <c r="C298" t="n">
        <v>7</v>
      </c>
      <c r="D298" t="inlineStr">
        <is>
          <t>7-3</t>
        </is>
      </c>
      <c r="E298" t="n">
        <v>97</v>
      </c>
      <c r="G298" s="90" t="inlineStr">
        <is>
          <t>{role:-1},
{id:-1},{id:-1},{id:-1},{id:-1},{id:-1}
{id:40073},{id:40043}</t>
        </is>
      </c>
      <c r="I298" t="n">
        <v>25220</v>
      </c>
      <c r="J298" s="80" t="inlineStr">
        <is>
          <t>法陣震盪</t>
        </is>
      </c>
      <c r="K298" t="inlineStr">
        <is>
          <t>buff</t>
        </is>
      </c>
      <c r="L298" t="n">
        <v>9007</v>
      </c>
      <c r="M298" t="n">
        <v>11</v>
      </c>
      <c r="O298" t="n">
        <v>0.6</v>
      </c>
      <c r="P298" s="80" t="inlineStr">
        <is>
          <t>虛空侵蝕</t>
        </is>
      </c>
      <c r="Q298" t="inlineStr">
        <is>
          <t>debuff</t>
        </is>
      </c>
      <c r="R298" t="n">
        <v>9007</v>
      </c>
      <c r="S298" t="n">
        <v>6</v>
      </c>
      <c r="U298" t="n">
        <v>0.2</v>
      </c>
      <c r="V298" t="n">
        <v>70001</v>
      </c>
      <c r="W298" t="n">
        <v>2</v>
      </c>
      <c r="X298" t="n">
        <v>1</v>
      </c>
      <c r="Y298" t="n">
        <v>70002</v>
      </c>
      <c r="Z298" t="n">
        <v>2</v>
      </c>
      <c r="AA298" t="n">
        <v>1</v>
      </c>
      <c r="AB298" t="n">
        <v>1001</v>
      </c>
      <c r="AC298" t="n">
        <v>50</v>
      </c>
      <c r="AD298" t="n">
        <v>1</v>
      </c>
      <c r="AE298" t="n">
        <v>8000</v>
      </c>
      <c r="AF298" t="n">
        <v>610</v>
      </c>
      <c r="AG298" t="n">
        <v>1</v>
      </c>
    </row>
    <row r="299" ht="38.25" customHeight="1" s="142">
      <c r="A299" t="n">
        <v>1193</v>
      </c>
      <c r="B299" t="inlineStr">
        <is>
          <t>main</t>
        </is>
      </c>
      <c r="C299" t="n">
        <v>7</v>
      </c>
      <c r="D299" t="inlineStr">
        <is>
          <t>7-4</t>
        </is>
      </c>
      <c r="E299" t="n">
        <v>97</v>
      </c>
      <c r="G299" s="90" t="inlineStr">
        <is>
          <t>{role:-1},
{id:-1},{id:-1},{id:-1},{id:-1},{id:-1}
{id:40040},{id:40040}</t>
        </is>
      </c>
      <c r="I299" t="n">
        <v>25345</v>
      </c>
      <c r="J299" s="80" t="inlineStr">
        <is>
          <t>法陣震盪</t>
        </is>
      </c>
      <c r="K299" t="inlineStr">
        <is>
          <t>buff</t>
        </is>
      </c>
      <c r="L299" t="n">
        <v>9012</v>
      </c>
      <c r="M299" t="inlineStr">
        <is>
          <t>5,7</t>
        </is>
      </c>
      <c r="O299" t="n">
        <v>0.4</v>
      </c>
      <c r="P299" s="80" t="inlineStr">
        <is>
          <t>虛空侵蝕</t>
        </is>
      </c>
      <c r="Q299" t="inlineStr">
        <is>
          <t>debuff</t>
        </is>
      </c>
      <c r="R299" t="n">
        <v>9003</v>
      </c>
      <c r="S299" t="inlineStr">
        <is>
          <t>1,5</t>
        </is>
      </c>
      <c r="U299" t="n">
        <v>1</v>
      </c>
      <c r="V299" t="n">
        <v>70001</v>
      </c>
      <c r="W299" t="n">
        <v>2</v>
      </c>
      <c r="X299" t="n">
        <v>1</v>
      </c>
      <c r="Y299" t="n">
        <v>70002</v>
      </c>
      <c r="Z299" t="n">
        <v>2</v>
      </c>
      <c r="AA299" t="n">
        <v>1</v>
      </c>
      <c r="AB299" t="n">
        <v>1001</v>
      </c>
      <c r="AC299" t="n">
        <v>50</v>
      </c>
      <c r="AD299" t="n">
        <v>1</v>
      </c>
      <c r="AE299" t="n">
        <v>8000</v>
      </c>
      <c r="AF299" t="n">
        <v>620</v>
      </c>
      <c r="AG299" t="n">
        <v>1</v>
      </c>
    </row>
    <row r="300" ht="38.25" customHeight="1" s="142">
      <c r="A300" t="n">
        <v>1194</v>
      </c>
      <c r="B300" t="inlineStr">
        <is>
          <t>main</t>
        </is>
      </c>
      <c r="C300" t="n">
        <v>7</v>
      </c>
      <c r="D300" t="inlineStr">
        <is>
          <t>7-5</t>
        </is>
      </c>
      <c r="E300" t="n">
        <v>98</v>
      </c>
      <c r="G300" s="90" t="inlineStr">
        <is>
          <t>{role:-1},
{id:-1},{id:-1},{id:-1},{id:-1},{id:-1}
{id:40043},{id:40041},{id:40041}</t>
        </is>
      </c>
      <c r="I300" t="n">
        <v>25470</v>
      </c>
      <c r="J300" s="80" t="inlineStr">
        <is>
          <t>法陣震盪</t>
        </is>
      </c>
      <c r="K300" t="inlineStr">
        <is>
          <t>buff</t>
        </is>
      </c>
      <c r="L300" t="n">
        <v>9001</v>
      </c>
      <c r="M300" t="inlineStr">
        <is>
          <t>8,10</t>
        </is>
      </c>
      <c r="O300" t="n">
        <v>1</v>
      </c>
      <c r="P300" s="80" t="inlineStr">
        <is>
          <t>虛空侵蝕</t>
        </is>
      </c>
      <c r="Q300" t="inlineStr">
        <is>
          <t>debuff</t>
        </is>
      </c>
      <c r="R300" t="n">
        <v>9010</v>
      </c>
      <c r="S300" t="n">
        <v>13</v>
      </c>
      <c r="U300" t="n">
        <v>0.3</v>
      </c>
      <c r="V300" t="n">
        <v>70001</v>
      </c>
      <c r="W300" t="n">
        <v>2</v>
      </c>
      <c r="X300" t="n">
        <v>1</v>
      </c>
      <c r="Y300" t="n">
        <v>70002</v>
      </c>
      <c r="Z300" t="n">
        <v>2</v>
      </c>
      <c r="AA300" t="n">
        <v>1</v>
      </c>
      <c r="AB300" t="n">
        <v>1001</v>
      </c>
      <c r="AC300" t="n">
        <v>50</v>
      </c>
      <c r="AD300" t="n">
        <v>1</v>
      </c>
      <c r="AE300" t="n">
        <v>8000</v>
      </c>
      <c r="AF300" t="n">
        <v>620</v>
      </c>
      <c r="AG300" t="n">
        <v>1</v>
      </c>
    </row>
    <row r="301" ht="38.25" customHeight="1" s="142">
      <c r="A301" t="n">
        <v>1195</v>
      </c>
      <c r="B301" t="inlineStr">
        <is>
          <t>main</t>
        </is>
      </c>
      <c r="C301" t="n">
        <v>7</v>
      </c>
      <c r="D301" t="inlineStr">
        <is>
          <t>7-6</t>
        </is>
      </c>
      <c r="E301" t="n">
        <v>98</v>
      </c>
      <c r="G301" s="90" t="inlineStr">
        <is>
          <t>{role:-1},
{id:-1},{id:-1},{id:-1},{id:-1},{id:-1}
{id:40041},{id:40040},{id:40073}</t>
        </is>
      </c>
      <c r="I301" t="n">
        <v>25595</v>
      </c>
      <c r="J301" s="80" t="inlineStr">
        <is>
          <t>法陣震盪</t>
        </is>
      </c>
      <c r="K301" t="inlineStr">
        <is>
          <t>buff</t>
        </is>
      </c>
      <c r="L301" t="n">
        <v>9008</v>
      </c>
      <c r="M301" t="n">
        <v>3</v>
      </c>
      <c r="O301" t="n">
        <v>0.7</v>
      </c>
      <c r="P301" s="80" t="inlineStr">
        <is>
          <t>虛空侵蝕</t>
        </is>
      </c>
      <c r="Q301" t="inlineStr">
        <is>
          <t>debuff</t>
        </is>
      </c>
      <c r="R301" t="n">
        <v>9007</v>
      </c>
      <c r="S301" t="inlineStr">
        <is>
          <t>3,5,11</t>
        </is>
      </c>
      <c r="U301" t="n">
        <v>0.9</v>
      </c>
      <c r="V301" t="n">
        <v>70001</v>
      </c>
      <c r="W301" t="n">
        <v>2</v>
      </c>
      <c r="X301" t="n">
        <v>1</v>
      </c>
      <c r="Y301" t="n">
        <v>70002</v>
      </c>
      <c r="Z301" t="n">
        <v>2</v>
      </c>
      <c r="AA301" t="n">
        <v>1</v>
      </c>
      <c r="AB301" t="n">
        <v>1001</v>
      </c>
      <c r="AC301" t="n">
        <v>50</v>
      </c>
      <c r="AD301" t="n">
        <v>1</v>
      </c>
      <c r="AE301" t="n">
        <v>8000</v>
      </c>
      <c r="AF301" t="n">
        <v>620</v>
      </c>
      <c r="AG301" t="n">
        <v>1</v>
      </c>
    </row>
    <row r="302" ht="38.25" customHeight="1" s="142">
      <c r="A302" t="n">
        <v>1196</v>
      </c>
      <c r="B302" t="inlineStr">
        <is>
          <t>main</t>
        </is>
      </c>
      <c r="C302" t="n">
        <v>7</v>
      </c>
      <c r="D302" t="inlineStr">
        <is>
          <t>7-7</t>
        </is>
      </c>
      <c r="E302" t="n">
        <v>99</v>
      </c>
      <c r="G302" s="90" t="inlineStr">
        <is>
          <t>{role:-1},
{id:-1},{id:-1},{id:-1},{id:-1},{id:-1}
{id:40041},{id:40044},{id:40073}</t>
        </is>
      </c>
      <c r="I302" t="n">
        <v>25720</v>
      </c>
      <c r="J302" s="80" t="inlineStr">
        <is>
          <t>法陣震盪</t>
        </is>
      </c>
      <c r="K302" t="inlineStr">
        <is>
          <t>buff</t>
        </is>
      </c>
      <c r="L302" t="n">
        <v>9002</v>
      </c>
      <c r="M302" t="inlineStr">
        <is>
          <t>1,4,5</t>
        </is>
      </c>
      <c r="O302" t="n">
        <v>0.6</v>
      </c>
      <c r="P302" s="80" t="inlineStr">
        <is>
          <t>虛空侵蝕</t>
        </is>
      </c>
      <c r="Q302" t="inlineStr">
        <is>
          <t>debuff</t>
        </is>
      </c>
      <c r="R302" t="n">
        <v>9012</v>
      </c>
      <c r="S302" t="n">
        <v>6</v>
      </c>
      <c r="U302" t="n">
        <v>0.3</v>
      </c>
      <c r="V302" t="n">
        <v>70001</v>
      </c>
      <c r="W302" t="n">
        <v>2</v>
      </c>
      <c r="X302" t="n">
        <v>1</v>
      </c>
      <c r="Y302" t="n">
        <v>70002</v>
      </c>
      <c r="Z302" t="n">
        <v>2</v>
      </c>
      <c r="AA302" t="n">
        <v>1</v>
      </c>
      <c r="AB302" t="n">
        <v>1001</v>
      </c>
      <c r="AC302" t="n">
        <v>50</v>
      </c>
      <c r="AD302" t="n">
        <v>1</v>
      </c>
      <c r="AE302" t="n">
        <v>8000</v>
      </c>
      <c r="AF302" t="n">
        <v>630</v>
      </c>
      <c r="AG302" t="n">
        <v>1</v>
      </c>
    </row>
    <row r="303" ht="38.25" customHeight="1" s="142">
      <c r="A303" t="n">
        <v>1197</v>
      </c>
      <c r="B303" t="inlineStr">
        <is>
          <t>main</t>
        </is>
      </c>
      <c r="C303" t="n">
        <v>7</v>
      </c>
      <c r="D303" t="inlineStr">
        <is>
          <t>7-8</t>
        </is>
      </c>
      <c r="E303" t="n">
        <v>99</v>
      </c>
      <c r="G303" s="90" t="inlineStr">
        <is>
          <t>{role:-1},
{id:-1},{id:-1},{id:-1},{id:-1},{id:-1}
{id:40073},{id:40040},{id:40044}</t>
        </is>
      </c>
      <c r="I303" t="n">
        <v>25845</v>
      </c>
      <c r="J303" s="80" t="inlineStr">
        <is>
          <t>法陣震盪</t>
        </is>
      </c>
      <c r="K303" t="inlineStr">
        <is>
          <t>buff</t>
        </is>
      </c>
      <c r="L303" t="n">
        <v>9002</v>
      </c>
      <c r="M303" t="inlineStr">
        <is>
          <t>7,13</t>
        </is>
      </c>
      <c r="O303" t="n">
        <v>0.6</v>
      </c>
      <c r="P303" s="80" t="inlineStr">
        <is>
          <t>虛空侵蝕</t>
        </is>
      </c>
      <c r="Q303" t="inlineStr">
        <is>
          <t>debuff</t>
        </is>
      </c>
      <c r="R303" t="n">
        <v>9008</v>
      </c>
      <c r="S303" t="inlineStr">
        <is>
          <t>4,8</t>
        </is>
      </c>
      <c r="U303" t="n">
        <v>0.2</v>
      </c>
      <c r="V303" t="n">
        <v>70001</v>
      </c>
      <c r="W303" t="n">
        <v>2</v>
      </c>
      <c r="X303" t="n">
        <v>1</v>
      </c>
      <c r="Y303" t="n">
        <v>70002</v>
      </c>
      <c r="Z303" t="n">
        <v>2</v>
      </c>
      <c r="AA303" t="n">
        <v>1</v>
      </c>
      <c r="AB303" t="n">
        <v>1001</v>
      </c>
      <c r="AC303" t="n">
        <v>50</v>
      </c>
      <c r="AD303" t="n">
        <v>1</v>
      </c>
      <c r="AE303" t="n">
        <v>8000</v>
      </c>
      <c r="AF303" t="n">
        <v>630</v>
      </c>
      <c r="AG303" t="n">
        <v>1</v>
      </c>
    </row>
    <row r="304" ht="38.25" customHeight="1" s="142">
      <c r="A304" t="n">
        <v>1198</v>
      </c>
      <c r="B304" t="inlineStr">
        <is>
          <t>main</t>
        </is>
      </c>
      <c r="C304" t="n">
        <v>7</v>
      </c>
      <c r="D304" t="inlineStr">
        <is>
          <t>7-9</t>
        </is>
      </c>
      <c r="E304" t="n">
        <v>100</v>
      </c>
      <c r="G304" s="90" t="inlineStr">
        <is>
          <t>{role:-1},
{id:-1},{id:-1},{id:-1},{id:-1},{id:-1}
{id:40044},{id:40041},{id:40040}</t>
        </is>
      </c>
      <c r="I304" t="n">
        <v>25970</v>
      </c>
      <c r="J304" s="80" t="inlineStr">
        <is>
          <t>法陣震盪</t>
        </is>
      </c>
      <c r="K304" t="inlineStr">
        <is>
          <t>buff</t>
        </is>
      </c>
      <c r="L304" t="n">
        <v>9012</v>
      </c>
      <c r="M304" t="inlineStr">
        <is>
          <t>5,6</t>
        </is>
      </c>
      <c r="O304" t="n">
        <v>0.3</v>
      </c>
      <c r="P304" s="80" t="inlineStr">
        <is>
          <t>虛空侵蝕</t>
        </is>
      </c>
      <c r="Q304" t="inlineStr">
        <is>
          <t>debuff</t>
        </is>
      </c>
      <c r="R304" t="n">
        <v>9007</v>
      </c>
      <c r="S304" t="inlineStr">
        <is>
          <t>8,9,11</t>
        </is>
      </c>
      <c r="U304" t="n">
        <v>0.4</v>
      </c>
      <c r="V304" t="n">
        <v>70001</v>
      </c>
      <c r="W304" t="n">
        <v>2</v>
      </c>
      <c r="X304" t="n">
        <v>1</v>
      </c>
      <c r="Y304" t="n">
        <v>70002</v>
      </c>
      <c r="Z304" t="n">
        <v>2</v>
      </c>
      <c r="AA304" t="n">
        <v>1</v>
      </c>
      <c r="AB304" t="n">
        <v>1001</v>
      </c>
      <c r="AC304" t="n">
        <v>50</v>
      </c>
      <c r="AD304" t="n">
        <v>1</v>
      </c>
      <c r="AE304" t="n">
        <v>8000</v>
      </c>
      <c r="AF304" t="n">
        <v>640</v>
      </c>
      <c r="AG304" t="n">
        <v>1</v>
      </c>
    </row>
    <row r="305" ht="38.25" customHeight="1" s="142">
      <c r="A305" t="n">
        <v>1199</v>
      </c>
      <c r="B305" t="inlineStr">
        <is>
          <t>main</t>
        </is>
      </c>
      <c r="C305" t="n">
        <v>7</v>
      </c>
      <c r="D305" t="inlineStr">
        <is>
          <t>7-10</t>
        </is>
      </c>
      <c r="E305" t="n">
        <v>100</v>
      </c>
      <c r="G305" s="90" t="inlineStr">
        <is>
          <t>{role:-1},
{id:-1},{id:-1},{id:-1},{id:-1},{id:-1}
{id:40041},{id:40073},{id:40040}</t>
        </is>
      </c>
      <c r="I305" t="n">
        <v>26095</v>
      </c>
      <c r="J305" s="80" t="inlineStr">
        <is>
          <t>法陣震盪</t>
        </is>
      </c>
      <c r="K305" t="inlineStr">
        <is>
          <t>buff</t>
        </is>
      </c>
      <c r="L305" t="n">
        <v>9012</v>
      </c>
      <c r="M305" t="inlineStr">
        <is>
          <t>1,5</t>
        </is>
      </c>
      <c r="O305" t="n">
        <v>0.7</v>
      </c>
      <c r="P305" s="80" t="inlineStr">
        <is>
          <t>虛空侵蝕</t>
        </is>
      </c>
      <c r="Q305" t="inlineStr">
        <is>
          <t>debuff</t>
        </is>
      </c>
      <c r="R305" t="n">
        <v>9008</v>
      </c>
      <c r="S305" t="inlineStr">
        <is>
          <t>5,7</t>
        </is>
      </c>
      <c r="U305" t="n">
        <v>0.8</v>
      </c>
      <c r="V305" t="n">
        <v>70001</v>
      </c>
      <c r="W305" t="n">
        <v>2</v>
      </c>
      <c r="X305" t="n">
        <v>1</v>
      </c>
      <c r="Y305" t="n">
        <v>70002</v>
      </c>
      <c r="Z305" t="n">
        <v>2</v>
      </c>
      <c r="AA305" t="n">
        <v>1</v>
      </c>
      <c r="AB305" t="n">
        <v>1001</v>
      </c>
      <c r="AC305" t="n">
        <v>50</v>
      </c>
      <c r="AD305" t="n">
        <v>1</v>
      </c>
      <c r="AE305" t="n">
        <v>8000</v>
      </c>
      <c r="AF305" t="n">
        <v>640</v>
      </c>
      <c r="AG305" t="n">
        <v>1</v>
      </c>
    </row>
    <row r="306" ht="38.25" customHeight="1" s="142">
      <c r="A306" t="n">
        <v>1200</v>
      </c>
      <c r="B306" t="inlineStr">
        <is>
          <t>main</t>
        </is>
      </c>
      <c r="C306" t="n">
        <v>7</v>
      </c>
      <c r="D306" t="inlineStr">
        <is>
          <t>7-11</t>
        </is>
      </c>
      <c r="E306" t="n">
        <v>101</v>
      </c>
      <c r="G306" s="90" t="inlineStr">
        <is>
          <t>{role:-1},
{id:-1},{id:-1},{id:-1},{id:-1},{id:-1}
{id:40041},{id:40044},{id:40041}</t>
        </is>
      </c>
      <c r="I306" t="n">
        <v>26220</v>
      </c>
      <c r="J306" s="80" t="inlineStr">
        <is>
          <t>法陣震盪</t>
        </is>
      </c>
      <c r="K306" t="inlineStr">
        <is>
          <t>buff</t>
        </is>
      </c>
      <c r="L306" t="n">
        <v>9011</v>
      </c>
      <c r="M306" t="inlineStr">
        <is>
          <t>2,3</t>
        </is>
      </c>
      <c r="O306" t="n">
        <v>0.6</v>
      </c>
      <c r="P306" s="80" t="inlineStr">
        <is>
          <t>虛空侵蝕</t>
        </is>
      </c>
      <c r="Q306" t="inlineStr">
        <is>
          <t>debuff</t>
        </is>
      </c>
      <c r="R306" t="n">
        <v>9003</v>
      </c>
      <c r="S306" t="inlineStr">
        <is>
          <t>1,2,11</t>
        </is>
      </c>
      <c r="U306" t="n">
        <v>0.6</v>
      </c>
      <c r="V306" t="n">
        <v>70001</v>
      </c>
      <c r="W306" t="n">
        <v>2</v>
      </c>
      <c r="X306" t="n">
        <v>1</v>
      </c>
      <c r="Y306" t="n">
        <v>70002</v>
      </c>
      <c r="Z306" t="n">
        <v>2</v>
      </c>
      <c r="AA306" t="n">
        <v>1</v>
      </c>
      <c r="AB306" t="n">
        <v>1001</v>
      </c>
      <c r="AC306" t="n">
        <v>50</v>
      </c>
      <c r="AD306" t="n">
        <v>1</v>
      </c>
      <c r="AE306" t="n">
        <v>8000</v>
      </c>
      <c r="AF306" t="n">
        <v>640</v>
      </c>
      <c r="AG306" t="n">
        <v>1</v>
      </c>
    </row>
    <row r="307" ht="38.25" customHeight="1" s="142">
      <c r="A307" t="n">
        <v>1201</v>
      </c>
      <c r="B307" t="inlineStr">
        <is>
          <t>main</t>
        </is>
      </c>
      <c r="C307" t="n">
        <v>7</v>
      </c>
      <c r="D307" t="inlineStr">
        <is>
          <t>7-12</t>
        </is>
      </c>
      <c r="E307" t="n">
        <v>101</v>
      </c>
      <c r="G307" s="90" t="inlineStr">
        <is>
          <t>{role:-1},
{id:-1},{id:-1},{id:-1},{id:-1},{id:-1}
{id:40044},{id:40043},{id:40044}</t>
        </is>
      </c>
      <c r="I307" t="n">
        <v>26345</v>
      </c>
      <c r="J307" s="80" t="inlineStr">
        <is>
          <t>法陣震盪</t>
        </is>
      </c>
      <c r="K307" t="inlineStr">
        <is>
          <t>buff</t>
        </is>
      </c>
      <c r="L307" t="n">
        <v>9006</v>
      </c>
      <c r="M307" t="inlineStr">
        <is>
          <t>5,7</t>
        </is>
      </c>
      <c r="O307" t="n">
        <v>0.3</v>
      </c>
      <c r="P307" s="80" t="inlineStr">
        <is>
          <t>虛空侵蝕</t>
        </is>
      </c>
      <c r="Q307" t="inlineStr">
        <is>
          <t>debuff</t>
        </is>
      </c>
      <c r="R307" t="n">
        <v>9010</v>
      </c>
      <c r="S307" t="inlineStr">
        <is>
          <t>3,5,8</t>
        </is>
      </c>
      <c r="U307" t="n">
        <v>0.4</v>
      </c>
      <c r="V307" t="n">
        <v>70001</v>
      </c>
      <c r="W307" t="n">
        <v>2</v>
      </c>
      <c r="X307" t="n">
        <v>1</v>
      </c>
      <c r="Y307" t="n">
        <v>70002</v>
      </c>
      <c r="Z307" t="n">
        <v>2</v>
      </c>
      <c r="AA307" t="n">
        <v>1</v>
      </c>
      <c r="AB307" t="n">
        <v>1001</v>
      </c>
      <c r="AC307" t="n">
        <v>50</v>
      </c>
      <c r="AD307" t="n">
        <v>1</v>
      </c>
      <c r="AE307" t="n">
        <v>8000</v>
      </c>
      <c r="AF307" t="n">
        <v>650</v>
      </c>
      <c r="AG307" t="n">
        <v>1</v>
      </c>
    </row>
    <row r="308" ht="38.25" customHeight="1" s="142">
      <c r="A308" t="n">
        <v>1202</v>
      </c>
      <c r="B308" t="inlineStr">
        <is>
          <t>main</t>
        </is>
      </c>
      <c r="C308" t="n">
        <v>7</v>
      </c>
      <c r="D308" t="inlineStr">
        <is>
          <t>7-13</t>
        </is>
      </c>
      <c r="E308" t="n">
        <v>102</v>
      </c>
      <c r="G308" s="90" t="inlineStr">
        <is>
          <t>{role:-1},
{id:-1},{id:-1},{id:-1},{id:-1},{id:-1}
{id:40041},{id:40040},{id:40073},{id:40044}</t>
        </is>
      </c>
      <c r="I308" t="n">
        <v>26470</v>
      </c>
      <c r="J308" s="80" t="inlineStr">
        <is>
          <t>法陣震盪</t>
        </is>
      </c>
      <c r="K308" t="inlineStr">
        <is>
          <t>buff</t>
        </is>
      </c>
      <c r="L308" t="n">
        <v>9001</v>
      </c>
      <c r="M308" t="inlineStr">
        <is>
          <t>2,4,10</t>
        </is>
      </c>
      <c r="O308" t="n">
        <v>0.7</v>
      </c>
      <c r="P308" s="80" t="inlineStr">
        <is>
          <t>虛空侵蝕</t>
        </is>
      </c>
      <c r="Q308" t="inlineStr">
        <is>
          <t>debuff</t>
        </is>
      </c>
      <c r="R308" t="n">
        <v>9004</v>
      </c>
      <c r="S308" t="inlineStr">
        <is>
          <t>4,5</t>
        </is>
      </c>
      <c r="U308" t="n">
        <v>0.1</v>
      </c>
      <c r="V308" t="n">
        <v>70001</v>
      </c>
      <c r="W308" t="n">
        <v>2</v>
      </c>
      <c r="X308" t="n">
        <v>1</v>
      </c>
      <c r="Y308" t="n">
        <v>70002</v>
      </c>
      <c r="Z308" t="n">
        <v>2</v>
      </c>
      <c r="AA308" t="n">
        <v>1</v>
      </c>
      <c r="AB308" t="n">
        <v>1001</v>
      </c>
      <c r="AC308" t="n">
        <v>50</v>
      </c>
      <c r="AD308" t="n">
        <v>1</v>
      </c>
      <c r="AE308" t="n">
        <v>8000</v>
      </c>
      <c r="AF308" t="n">
        <v>650</v>
      </c>
      <c r="AG308" t="n">
        <v>1</v>
      </c>
    </row>
    <row r="309" ht="38.25" customHeight="1" s="142">
      <c r="A309" t="n">
        <v>1203</v>
      </c>
      <c r="B309" t="inlineStr">
        <is>
          <t>main</t>
        </is>
      </c>
      <c r="C309" t="n">
        <v>7</v>
      </c>
      <c r="D309" t="inlineStr">
        <is>
          <t>7-14</t>
        </is>
      </c>
      <c r="E309" t="n">
        <v>102</v>
      </c>
      <c r="G309" s="90" t="inlineStr">
        <is>
          <t>{role:-1},
{id:-1},{id:-1},{id:-1},{id:-1},{id:-1}
{id:40041},{id:40044},{id:40040},{id:40073}</t>
        </is>
      </c>
      <c r="I309" t="n">
        <v>26595</v>
      </c>
      <c r="J309" s="80" t="inlineStr">
        <is>
          <t>法陣震盪</t>
        </is>
      </c>
      <c r="K309" t="inlineStr">
        <is>
          <t>buff</t>
        </is>
      </c>
      <c r="L309" t="n">
        <v>9005</v>
      </c>
      <c r="M309" t="n">
        <v>5</v>
      </c>
      <c r="O309" t="n">
        <v>0.9</v>
      </c>
      <c r="P309" s="80" t="inlineStr">
        <is>
          <t>虛空侵蝕</t>
        </is>
      </c>
      <c r="Q309" t="inlineStr">
        <is>
          <t>debuff</t>
        </is>
      </c>
      <c r="R309" t="n">
        <v>9008</v>
      </c>
      <c r="S309" t="inlineStr">
        <is>
          <t>9,12</t>
        </is>
      </c>
      <c r="U309" t="n">
        <v>0.4</v>
      </c>
      <c r="V309" t="n">
        <v>70001</v>
      </c>
      <c r="W309" t="n">
        <v>2</v>
      </c>
      <c r="X309" t="n">
        <v>1</v>
      </c>
      <c r="Y309" t="n">
        <v>70002</v>
      </c>
      <c r="Z309" t="n">
        <v>2</v>
      </c>
      <c r="AA309" t="n">
        <v>1</v>
      </c>
      <c r="AB309" t="n">
        <v>1001</v>
      </c>
      <c r="AC309" t="n">
        <v>50</v>
      </c>
      <c r="AD309" t="n">
        <v>1</v>
      </c>
      <c r="AE309" t="n">
        <v>8000</v>
      </c>
      <c r="AF309" t="n">
        <v>660</v>
      </c>
      <c r="AG309" t="n">
        <v>1</v>
      </c>
    </row>
    <row r="310" ht="38.25" customHeight="1" s="142">
      <c r="A310" t="n">
        <v>1204</v>
      </c>
      <c r="B310" t="inlineStr">
        <is>
          <t>main</t>
        </is>
      </c>
      <c r="C310" t="n">
        <v>7</v>
      </c>
      <c r="D310" t="inlineStr">
        <is>
          <t>7-15</t>
        </is>
      </c>
      <c r="E310" t="n">
        <v>103</v>
      </c>
      <c r="G310" s="90" t="inlineStr">
        <is>
          <t>{role:-1},
{id:-1},{id:-1},{id:-1},{id:-1},{id:-1}
{id:40041},{id:40040},{id:40073},{id:40040}</t>
        </is>
      </c>
      <c r="I310" t="n">
        <v>26720</v>
      </c>
      <c r="J310" s="80" t="inlineStr">
        <is>
          <t>法陣震盪</t>
        </is>
      </c>
      <c r="K310" t="inlineStr">
        <is>
          <t>buff</t>
        </is>
      </c>
      <c r="L310" t="n">
        <v>9005</v>
      </c>
      <c r="M310" t="inlineStr">
        <is>
          <t>1,6</t>
        </is>
      </c>
      <c r="O310" t="n">
        <v>0.9</v>
      </c>
      <c r="P310" s="80" t="inlineStr">
        <is>
          <t>虛空侵蝕</t>
        </is>
      </c>
      <c r="Q310" t="inlineStr">
        <is>
          <t>debuff</t>
        </is>
      </c>
      <c r="R310" t="n">
        <v>9012</v>
      </c>
      <c r="S310" t="inlineStr">
        <is>
          <t>3,8</t>
        </is>
      </c>
      <c r="U310" t="n">
        <v>0.4</v>
      </c>
      <c r="V310" t="n">
        <v>70001</v>
      </c>
      <c r="W310" t="n">
        <v>2</v>
      </c>
      <c r="X310" t="n">
        <v>1</v>
      </c>
      <c r="Y310" t="n">
        <v>70002</v>
      </c>
      <c r="Z310" t="n">
        <v>2</v>
      </c>
      <c r="AA310" t="n">
        <v>1</v>
      </c>
      <c r="AB310" t="n">
        <v>1001</v>
      </c>
      <c r="AC310" t="n">
        <v>50</v>
      </c>
      <c r="AD310" t="n">
        <v>1</v>
      </c>
      <c r="AE310" t="n">
        <v>8000</v>
      </c>
      <c r="AF310" t="n">
        <v>660</v>
      </c>
      <c r="AG310" t="n">
        <v>1</v>
      </c>
    </row>
    <row r="311" ht="38.25" customHeight="1" s="142">
      <c r="A311" t="n">
        <v>1205</v>
      </c>
      <c r="B311" t="inlineStr">
        <is>
          <t>main</t>
        </is>
      </c>
      <c r="C311" t="n">
        <v>7</v>
      </c>
      <c r="D311" t="inlineStr">
        <is>
          <t>7-16</t>
        </is>
      </c>
      <c r="E311" t="n">
        <v>103</v>
      </c>
      <c r="G311" s="90" t="inlineStr">
        <is>
          <t>{role:-1},
{id:-1},{id:-1},{id:-1},{id:-1},{id:-1}
{id:40073},{id:40040},{id:40073},{id:40073}</t>
        </is>
      </c>
      <c r="I311" t="n">
        <v>26845</v>
      </c>
      <c r="J311" s="80" t="inlineStr">
        <is>
          <t>法陣震盪</t>
        </is>
      </c>
      <c r="K311" t="inlineStr">
        <is>
          <t>buff</t>
        </is>
      </c>
      <c r="L311" t="n">
        <v>9011</v>
      </c>
      <c r="M311" t="n">
        <v>13</v>
      </c>
      <c r="O311" t="n">
        <v>1</v>
      </c>
      <c r="P311" s="80" t="inlineStr">
        <is>
          <t>虛空侵蝕</t>
        </is>
      </c>
      <c r="Q311" t="inlineStr">
        <is>
          <t>debuff</t>
        </is>
      </c>
      <c r="R311" t="n">
        <v>9010</v>
      </c>
      <c r="S311" t="n">
        <v>2</v>
      </c>
      <c r="U311" t="n">
        <v>0.8</v>
      </c>
      <c r="V311" t="n">
        <v>70001</v>
      </c>
      <c r="W311" t="n">
        <v>2</v>
      </c>
      <c r="X311" t="n">
        <v>1</v>
      </c>
      <c r="Y311" t="n">
        <v>70002</v>
      </c>
      <c r="Z311" t="n">
        <v>2</v>
      </c>
      <c r="AA311" t="n">
        <v>1</v>
      </c>
      <c r="AB311" t="n">
        <v>1001</v>
      </c>
      <c r="AC311" t="n">
        <v>50</v>
      </c>
      <c r="AD311" t="n">
        <v>1</v>
      </c>
      <c r="AE311" t="n">
        <v>8000</v>
      </c>
      <c r="AF311" t="n">
        <v>670</v>
      </c>
      <c r="AG311" t="n">
        <v>1</v>
      </c>
    </row>
    <row r="312" ht="38.25" customHeight="1" s="142">
      <c r="A312" t="n">
        <v>1206</v>
      </c>
      <c r="B312" t="inlineStr">
        <is>
          <t>main</t>
        </is>
      </c>
      <c r="C312" t="n">
        <v>7</v>
      </c>
      <c r="D312" t="inlineStr">
        <is>
          <t>7-17</t>
        </is>
      </c>
      <c r="E312" t="n">
        <v>104</v>
      </c>
      <c r="G312" s="90" t="inlineStr">
        <is>
          <t>{role:-1},
{id:-1},{id:-1},{id:-1},{id:-1},{id:-1}
{id:40040},{id:40040},{id:40041},{id:40043},{id:40044}</t>
        </is>
      </c>
      <c r="I312" t="n">
        <v>26970</v>
      </c>
      <c r="J312" s="80" t="inlineStr">
        <is>
          <t>法陣震盪</t>
        </is>
      </c>
      <c r="K312" t="inlineStr">
        <is>
          <t>buff</t>
        </is>
      </c>
      <c r="L312" t="n">
        <v>9002</v>
      </c>
      <c r="M312" t="n">
        <v>12</v>
      </c>
      <c r="O312" t="n">
        <v>0.2</v>
      </c>
      <c r="P312" s="80" t="inlineStr">
        <is>
          <t>虛空侵蝕</t>
        </is>
      </c>
      <c r="Q312" t="inlineStr">
        <is>
          <t>debuff</t>
        </is>
      </c>
      <c r="R312" t="n">
        <v>9007</v>
      </c>
      <c r="S312" t="inlineStr">
        <is>
          <t>11,12</t>
        </is>
      </c>
      <c r="U312" t="n">
        <v>0.6</v>
      </c>
      <c r="V312" t="n">
        <v>70001</v>
      </c>
      <c r="W312" t="n">
        <v>2</v>
      </c>
      <c r="X312" t="n">
        <v>1</v>
      </c>
      <c r="Y312" t="n">
        <v>70002</v>
      </c>
      <c r="Z312" t="n">
        <v>2</v>
      </c>
      <c r="AA312" t="n">
        <v>1</v>
      </c>
      <c r="AB312" t="n">
        <v>1001</v>
      </c>
      <c r="AC312" t="n">
        <v>50</v>
      </c>
      <c r="AD312" t="n">
        <v>1</v>
      </c>
      <c r="AE312" t="n">
        <v>8000</v>
      </c>
      <c r="AF312" t="n">
        <v>670</v>
      </c>
      <c r="AG312" t="n">
        <v>1</v>
      </c>
    </row>
    <row r="313" ht="38.25" customHeight="1" s="142">
      <c r="A313" t="n">
        <v>1207</v>
      </c>
      <c r="B313" t="inlineStr">
        <is>
          <t>main</t>
        </is>
      </c>
      <c r="C313" t="n">
        <v>7</v>
      </c>
      <c r="D313" t="inlineStr">
        <is>
          <t>7-18</t>
        </is>
      </c>
      <c r="E313" t="n">
        <v>104</v>
      </c>
      <c r="G313" s="90" t="inlineStr">
        <is>
          <t>{role:-1},
{id:-1},{id:-1},{id:-1},{id:-1},{id:-1}
{id:40073},{id:40040},{id:40044},{id:40043},{id:40043}</t>
        </is>
      </c>
      <c r="I313" t="n">
        <v>27095</v>
      </c>
      <c r="J313" s="80" t="inlineStr">
        <is>
          <t>法陣震盪</t>
        </is>
      </c>
      <c r="K313" t="inlineStr">
        <is>
          <t>buff</t>
        </is>
      </c>
      <c r="L313" t="n">
        <v>9008</v>
      </c>
      <c r="M313" t="inlineStr">
        <is>
          <t>6,10</t>
        </is>
      </c>
      <c r="O313" t="n">
        <v>0.3</v>
      </c>
      <c r="P313" s="80" t="inlineStr">
        <is>
          <t>虛空侵蝕</t>
        </is>
      </c>
      <c r="Q313" t="inlineStr">
        <is>
          <t>debuff</t>
        </is>
      </c>
      <c r="R313" t="n">
        <v>9004</v>
      </c>
      <c r="S313" t="inlineStr">
        <is>
          <t>1,7,10</t>
        </is>
      </c>
      <c r="U313" t="n">
        <v>0.8</v>
      </c>
      <c r="V313" t="n">
        <v>70001</v>
      </c>
      <c r="W313" t="n">
        <v>2</v>
      </c>
      <c r="X313" t="n">
        <v>1</v>
      </c>
      <c r="Y313" t="n">
        <v>70002</v>
      </c>
      <c r="Z313" t="n">
        <v>2</v>
      </c>
      <c r="AA313" t="n">
        <v>1</v>
      </c>
      <c r="AB313" t="n">
        <v>1001</v>
      </c>
      <c r="AC313" t="n">
        <v>50</v>
      </c>
      <c r="AD313" t="n">
        <v>1</v>
      </c>
      <c r="AE313" t="n">
        <v>8000</v>
      </c>
      <c r="AF313" t="n">
        <v>670</v>
      </c>
      <c r="AG313" t="n">
        <v>1</v>
      </c>
    </row>
    <row r="314" ht="38.25" customHeight="1" s="142">
      <c r="A314" t="n">
        <v>1208</v>
      </c>
      <c r="B314" t="inlineStr">
        <is>
          <t>main</t>
        </is>
      </c>
      <c r="C314" t="n">
        <v>7</v>
      </c>
      <c r="D314" t="inlineStr">
        <is>
          <t>7-19</t>
        </is>
      </c>
      <c r="E314" t="n">
        <v>105</v>
      </c>
      <c r="G314" s="90" t="inlineStr">
        <is>
          <t>{role:-1},
{id:-1},{id:-1},{id:-1},{id:-1},{id:-1}
{id:40073},{id:40040},{id:40041},{id:40043},{id:40044}</t>
        </is>
      </c>
      <c r="I314" t="n">
        <v>27220</v>
      </c>
      <c r="J314" s="80" t="inlineStr">
        <is>
          <t>法陣震盪</t>
        </is>
      </c>
      <c r="K314" t="inlineStr">
        <is>
          <t>buff</t>
        </is>
      </c>
      <c r="L314" t="n">
        <v>9012</v>
      </c>
      <c r="M314" t="n">
        <v>8</v>
      </c>
      <c r="O314" t="n">
        <v>0.7</v>
      </c>
      <c r="P314" s="80" t="inlineStr">
        <is>
          <t>虛空侵蝕</t>
        </is>
      </c>
      <c r="Q314" t="inlineStr">
        <is>
          <t>debuff</t>
        </is>
      </c>
      <c r="R314" t="n">
        <v>9004</v>
      </c>
      <c r="S314" t="inlineStr">
        <is>
          <t>3,5</t>
        </is>
      </c>
      <c r="U314" t="n">
        <v>0.7</v>
      </c>
      <c r="V314" t="n">
        <v>70001</v>
      </c>
      <c r="W314" t="n">
        <v>2</v>
      </c>
      <c r="X314" t="n">
        <v>1</v>
      </c>
      <c r="Y314" t="n">
        <v>70002</v>
      </c>
      <c r="Z314" t="n">
        <v>2</v>
      </c>
      <c r="AA314" t="n">
        <v>1</v>
      </c>
      <c r="AB314" t="n">
        <v>1001</v>
      </c>
      <c r="AC314" t="n">
        <v>50</v>
      </c>
      <c r="AD314" t="n">
        <v>1</v>
      </c>
      <c r="AE314" t="n">
        <v>8000</v>
      </c>
      <c r="AF314" t="n">
        <v>680</v>
      </c>
      <c r="AG314" t="n">
        <v>1</v>
      </c>
    </row>
    <row r="315" ht="38.25" customHeight="1" s="142">
      <c r="A315" t="n">
        <v>1209</v>
      </c>
      <c r="B315" t="inlineStr">
        <is>
          <t>main</t>
        </is>
      </c>
      <c r="C315" t="n">
        <v>7</v>
      </c>
      <c r="D315" t="inlineStr">
        <is>
          <t>7-20</t>
        </is>
      </c>
      <c r="E315" t="n">
        <v>105</v>
      </c>
      <c r="G315" s="90" t="inlineStr">
        <is>
          <t>{role:-1},
{id:-1},{id:-1},{id:-1},{id:-1},{id:-1}
{id:40044},{id:40073},{id:40043},{id:40043},{id:40044}</t>
        </is>
      </c>
      <c r="I315" t="n">
        <v>27345</v>
      </c>
      <c r="J315" s="80" t="inlineStr">
        <is>
          <t>法陣震盪</t>
        </is>
      </c>
      <c r="K315" t="inlineStr">
        <is>
          <t>buff</t>
        </is>
      </c>
      <c r="L315" t="n">
        <v>9012</v>
      </c>
      <c r="M315" t="inlineStr">
        <is>
          <t>1,5,8</t>
        </is>
      </c>
      <c r="O315" t="n">
        <v>0.8</v>
      </c>
      <c r="P315" s="80" t="inlineStr">
        <is>
          <t>虛空侵蝕</t>
        </is>
      </c>
      <c r="Q315" t="inlineStr">
        <is>
          <t>debuff</t>
        </is>
      </c>
      <c r="R315" t="n">
        <v>9011</v>
      </c>
      <c r="S315" t="n">
        <v>2</v>
      </c>
      <c r="U315" t="n">
        <v>0.7</v>
      </c>
      <c r="V315" t="n">
        <v>70001</v>
      </c>
      <c r="W315" t="n">
        <v>2</v>
      </c>
      <c r="X315" t="n">
        <v>1</v>
      </c>
      <c r="Y315" t="n">
        <v>70002</v>
      </c>
      <c r="Z315" t="n">
        <v>2</v>
      </c>
      <c r="AA315" t="n">
        <v>1</v>
      </c>
      <c r="AB315" t="n">
        <v>1001</v>
      </c>
      <c r="AC315" t="n">
        <v>50</v>
      </c>
      <c r="AD315" t="n">
        <v>1</v>
      </c>
      <c r="AE315" t="n">
        <v>8000</v>
      </c>
      <c r="AF315" t="n">
        <v>680</v>
      </c>
      <c r="AG315" t="n">
        <v>1</v>
      </c>
    </row>
    <row r="316" ht="38.25" customHeight="1" s="142">
      <c r="A316" t="n">
        <v>1210</v>
      </c>
      <c r="B316" t="inlineStr">
        <is>
          <t>main</t>
        </is>
      </c>
      <c r="C316" t="n">
        <v>7</v>
      </c>
      <c r="D316" t="inlineStr">
        <is>
          <t>7-21</t>
        </is>
      </c>
      <c r="E316" t="n">
        <v>106</v>
      </c>
      <c r="G316" s="90" t="inlineStr">
        <is>
          <t>{role:-1},
{id:-1},{id:-1},{id:-1},{id:-1},{id:-1}
{id:40040},{id:40073},{id:40041},{id:40044},{id:40073}</t>
        </is>
      </c>
      <c r="I316" t="n">
        <v>27470</v>
      </c>
      <c r="J316" s="80" t="inlineStr">
        <is>
          <t>法陣震盪</t>
        </is>
      </c>
      <c r="K316" t="inlineStr">
        <is>
          <t>buff</t>
        </is>
      </c>
      <c r="L316" t="n">
        <v>9011</v>
      </c>
      <c r="M316" t="inlineStr">
        <is>
          <t>1,7,11</t>
        </is>
      </c>
      <c r="O316" t="n">
        <v>0.3</v>
      </c>
      <c r="P316" s="80" t="inlineStr">
        <is>
          <t>虛空侵蝕</t>
        </is>
      </c>
      <c r="Q316" t="inlineStr">
        <is>
          <t>debuff</t>
        </is>
      </c>
      <c r="R316" t="n">
        <v>9007</v>
      </c>
      <c r="S316" t="n">
        <v>9</v>
      </c>
      <c r="U316" t="n">
        <v>0.4</v>
      </c>
      <c r="V316" t="n">
        <v>70001</v>
      </c>
      <c r="W316" t="n">
        <v>2</v>
      </c>
      <c r="X316" t="n">
        <v>1</v>
      </c>
      <c r="Y316" t="n">
        <v>70002</v>
      </c>
      <c r="Z316" t="n">
        <v>2</v>
      </c>
      <c r="AA316" t="n">
        <v>1</v>
      </c>
      <c r="AB316" t="n">
        <v>1001</v>
      </c>
      <c r="AC316" t="n">
        <v>50</v>
      </c>
      <c r="AD316" t="n">
        <v>1</v>
      </c>
      <c r="AE316" t="n">
        <v>8000</v>
      </c>
      <c r="AF316" t="n">
        <v>690</v>
      </c>
      <c r="AG316" t="n">
        <v>1</v>
      </c>
    </row>
    <row r="317" ht="38.25" customHeight="1" s="142">
      <c r="A317" t="n">
        <v>1211</v>
      </c>
      <c r="B317" t="inlineStr">
        <is>
          <t>main</t>
        </is>
      </c>
      <c r="C317" t="n">
        <v>7</v>
      </c>
      <c r="D317" t="inlineStr">
        <is>
          <t>7-22</t>
        </is>
      </c>
      <c r="E317" t="n">
        <v>106</v>
      </c>
      <c r="G317" s="90" t="inlineStr">
        <is>
          <t>{role:-1},
{id:-1},{id:-1},{id:-1},{id:-1},{id:-1}
{id:40040},{id:40043},{id:40041},{id:40043},{id:40044}</t>
        </is>
      </c>
      <c r="I317" t="n">
        <v>27595</v>
      </c>
      <c r="J317" s="80" t="inlineStr">
        <is>
          <t>法陣震盪</t>
        </is>
      </c>
      <c r="K317" t="inlineStr">
        <is>
          <t>buff</t>
        </is>
      </c>
      <c r="L317" t="n">
        <v>9002</v>
      </c>
      <c r="M317" t="inlineStr">
        <is>
          <t>5,13</t>
        </is>
      </c>
      <c r="O317" t="n">
        <v>0.2</v>
      </c>
      <c r="P317" s="80" t="inlineStr">
        <is>
          <t>虛空侵蝕</t>
        </is>
      </c>
      <c r="Q317" t="inlineStr">
        <is>
          <t>debuff</t>
        </is>
      </c>
      <c r="R317" t="n">
        <v>9003</v>
      </c>
      <c r="S317" t="inlineStr">
        <is>
          <t>8,13</t>
        </is>
      </c>
      <c r="U317" t="n">
        <v>0.3</v>
      </c>
      <c r="V317" t="n">
        <v>70001</v>
      </c>
      <c r="W317" t="n">
        <v>2</v>
      </c>
      <c r="X317" t="n">
        <v>1</v>
      </c>
      <c r="Y317" t="n">
        <v>70002</v>
      </c>
      <c r="Z317" t="n">
        <v>2</v>
      </c>
      <c r="AA317" t="n">
        <v>1</v>
      </c>
      <c r="AB317" t="n">
        <v>1001</v>
      </c>
      <c r="AC317" t="n">
        <v>50</v>
      </c>
      <c r="AD317" t="n">
        <v>1</v>
      </c>
      <c r="AE317" t="n">
        <v>8000</v>
      </c>
      <c r="AF317" t="n">
        <v>690</v>
      </c>
      <c r="AG317" t="n">
        <v>1</v>
      </c>
    </row>
    <row r="318" ht="38.25" customHeight="1" s="142">
      <c r="A318" t="n">
        <v>1212</v>
      </c>
      <c r="B318" t="inlineStr">
        <is>
          <t>main</t>
        </is>
      </c>
      <c r="C318" t="n">
        <v>7</v>
      </c>
      <c r="D318" t="inlineStr">
        <is>
          <t>7-23</t>
        </is>
      </c>
      <c r="E318" t="n">
        <v>107</v>
      </c>
      <c r="G318" s="90" t="inlineStr">
        <is>
          <t>{role:-1},
{id:-1},{id:-1},{id:-1},{id:-1},{id:-1}
{id:40043},{id:40040},{id:40041},{id:40073},{id:40073}</t>
        </is>
      </c>
      <c r="I318" t="n">
        <v>27720</v>
      </c>
      <c r="J318" s="80" t="inlineStr">
        <is>
          <t>法陣震盪</t>
        </is>
      </c>
      <c r="K318" t="inlineStr">
        <is>
          <t>buff</t>
        </is>
      </c>
      <c r="L318" t="n">
        <v>9012</v>
      </c>
      <c r="M318" t="inlineStr">
        <is>
          <t>5,6,11</t>
        </is>
      </c>
      <c r="O318" t="n">
        <v>0.9</v>
      </c>
      <c r="P318" s="80" t="inlineStr">
        <is>
          <t>虛空侵蝕</t>
        </is>
      </c>
      <c r="Q318" t="inlineStr">
        <is>
          <t>debuff</t>
        </is>
      </c>
      <c r="R318" t="n">
        <v>9008</v>
      </c>
      <c r="S318" t="inlineStr">
        <is>
          <t>1,3,10</t>
        </is>
      </c>
      <c r="U318" t="n">
        <v>0.9</v>
      </c>
      <c r="V318" t="n">
        <v>70001</v>
      </c>
      <c r="W318" t="n">
        <v>2</v>
      </c>
      <c r="X318" t="n">
        <v>1</v>
      </c>
      <c r="Y318" t="n">
        <v>70002</v>
      </c>
      <c r="Z318" t="n">
        <v>2</v>
      </c>
      <c r="AA318" t="n">
        <v>1</v>
      </c>
      <c r="AB318" t="n">
        <v>1001</v>
      </c>
      <c r="AC318" t="n">
        <v>50</v>
      </c>
      <c r="AD318" t="n">
        <v>1</v>
      </c>
      <c r="AE318" t="n">
        <v>8000</v>
      </c>
      <c r="AF318" t="n">
        <v>700</v>
      </c>
      <c r="AG318" t="n">
        <v>1</v>
      </c>
    </row>
    <row r="319" ht="38.25" customHeight="1" s="142">
      <c r="A319" t="n">
        <v>1213</v>
      </c>
      <c r="B319" t="inlineStr">
        <is>
          <t>main</t>
        </is>
      </c>
      <c r="C319" t="n">
        <v>7</v>
      </c>
      <c r="D319" t="inlineStr">
        <is>
          <t>7-24</t>
        </is>
      </c>
      <c r="E319" t="n">
        <v>107</v>
      </c>
      <c r="G319" s="90" t="inlineStr">
        <is>
          <t>{role:-1},
{id:-1},{id:-1},{id:-1},{id:-1},{id:-1}
{id:40073},{id:40041},{id:40043},{id:40073},{id:40040}</t>
        </is>
      </c>
      <c r="I319" t="n">
        <v>27845</v>
      </c>
      <c r="J319" s="80" t="inlineStr">
        <is>
          <t>法陣震盪</t>
        </is>
      </c>
      <c r="K319" t="inlineStr">
        <is>
          <t>buff</t>
        </is>
      </c>
      <c r="L319" t="n">
        <v>9011</v>
      </c>
      <c r="M319" t="n">
        <v>12</v>
      </c>
      <c r="O319" t="n">
        <v>0.6</v>
      </c>
      <c r="P319" s="80" t="inlineStr">
        <is>
          <t>虛空侵蝕</t>
        </is>
      </c>
      <c r="Q319" t="inlineStr">
        <is>
          <t>debuff</t>
        </is>
      </c>
      <c r="R319" t="n">
        <v>9011</v>
      </c>
      <c r="S319" t="inlineStr">
        <is>
          <t>6,12</t>
        </is>
      </c>
      <c r="U319" t="n">
        <v>0.8</v>
      </c>
      <c r="V319" t="n">
        <v>70001</v>
      </c>
      <c r="W319" t="n">
        <v>2</v>
      </c>
      <c r="X319" t="n">
        <v>1</v>
      </c>
      <c r="Y319" t="n">
        <v>70002</v>
      </c>
      <c r="Z319" t="n">
        <v>2</v>
      </c>
      <c r="AA319" t="n">
        <v>1</v>
      </c>
      <c r="AB319" t="n">
        <v>1001</v>
      </c>
      <c r="AC319" t="n">
        <v>50</v>
      </c>
      <c r="AD319" t="n">
        <v>1</v>
      </c>
      <c r="AE319" t="n">
        <v>8000</v>
      </c>
      <c r="AF319" t="n">
        <v>700</v>
      </c>
      <c r="AG319" t="n">
        <v>1</v>
      </c>
    </row>
    <row r="320" ht="38.25" customHeight="1" s="142">
      <c r="A320" t="n">
        <v>1214</v>
      </c>
      <c r="B320" t="inlineStr">
        <is>
          <t>main</t>
        </is>
      </c>
      <c r="C320" t="n">
        <v>7</v>
      </c>
      <c r="D320" t="inlineStr">
        <is>
          <t>7-25</t>
        </is>
      </c>
      <c r="E320" t="n">
        <v>108</v>
      </c>
      <c r="G320" s="90" t="inlineStr">
        <is>
          <t>{role:-1},
{id:-1},{id:-1},{id:-1},{id:-1},{id:-1}
{id:40044},{id:40073},{id:40043},{id:40041},{id:40044}</t>
        </is>
      </c>
      <c r="I320" t="n">
        <v>27970</v>
      </c>
      <c r="J320" s="80" t="inlineStr">
        <is>
          <t>法陣震盪</t>
        </is>
      </c>
      <c r="K320" t="inlineStr">
        <is>
          <t>buff</t>
        </is>
      </c>
      <c r="L320" t="n">
        <v>9006</v>
      </c>
      <c r="M320" t="inlineStr">
        <is>
          <t>3,7,9</t>
        </is>
      </c>
      <c r="O320" t="n">
        <v>0.5</v>
      </c>
      <c r="P320" s="80" t="inlineStr">
        <is>
          <t>虛空侵蝕</t>
        </is>
      </c>
      <c r="Q320" t="inlineStr">
        <is>
          <t>debuff</t>
        </is>
      </c>
      <c r="R320" t="n">
        <v>9012</v>
      </c>
      <c r="S320" t="inlineStr">
        <is>
          <t>4,10</t>
        </is>
      </c>
      <c r="U320" t="n">
        <v>0.9</v>
      </c>
      <c r="V320" t="n">
        <v>70001</v>
      </c>
      <c r="W320" t="n">
        <v>2</v>
      </c>
      <c r="X320" t="n">
        <v>1</v>
      </c>
      <c r="Y320" t="n">
        <v>70002</v>
      </c>
      <c r="Z320" t="n">
        <v>2</v>
      </c>
      <c r="AA320" t="n">
        <v>1</v>
      </c>
      <c r="AB320" t="n">
        <v>1001</v>
      </c>
      <c r="AC320" t="n">
        <v>50</v>
      </c>
      <c r="AD320" t="n">
        <v>1</v>
      </c>
      <c r="AE320" t="n">
        <v>8000</v>
      </c>
      <c r="AF320" t="n">
        <v>700</v>
      </c>
      <c r="AG320" t="n">
        <v>1</v>
      </c>
    </row>
    <row r="321" ht="38.25" customHeight="1" s="142">
      <c r="A321" t="n">
        <v>1215</v>
      </c>
      <c r="B321" t="inlineStr">
        <is>
          <t>main</t>
        </is>
      </c>
      <c r="C321" t="n">
        <v>7</v>
      </c>
      <c r="D321" t="inlineStr">
        <is>
          <t>7-26</t>
        </is>
      </c>
      <c r="E321" t="n">
        <v>108</v>
      </c>
      <c r="G321" s="90" t="inlineStr">
        <is>
          <t>{role:-1},
{id:-1},{id:-1},{id:-1},{id:-1},{id:-1}
{id:40041},{id:40043},{id:40073},{id:40043},{id:40043}</t>
        </is>
      </c>
      <c r="I321" t="n">
        <v>28095</v>
      </c>
      <c r="J321" s="80" t="inlineStr">
        <is>
          <t>法陣震盪</t>
        </is>
      </c>
      <c r="K321" t="inlineStr">
        <is>
          <t>buff</t>
        </is>
      </c>
      <c r="L321" t="n">
        <v>9011</v>
      </c>
      <c r="M321" t="n">
        <v>3</v>
      </c>
      <c r="O321" t="n">
        <v>0.2</v>
      </c>
      <c r="P321" s="80" t="inlineStr">
        <is>
          <t>虛空侵蝕</t>
        </is>
      </c>
      <c r="Q321" t="inlineStr">
        <is>
          <t>debuff</t>
        </is>
      </c>
      <c r="R321" t="n">
        <v>9011</v>
      </c>
      <c r="S321" t="inlineStr">
        <is>
          <t>7,8</t>
        </is>
      </c>
      <c r="U321" t="n">
        <v>0.9</v>
      </c>
      <c r="V321" t="n">
        <v>70001</v>
      </c>
      <c r="W321" t="n">
        <v>2</v>
      </c>
      <c r="X321" t="n">
        <v>1</v>
      </c>
      <c r="Y321" t="n">
        <v>70002</v>
      </c>
      <c r="Z321" t="n">
        <v>2</v>
      </c>
      <c r="AA321" t="n">
        <v>1</v>
      </c>
      <c r="AB321" t="n">
        <v>1001</v>
      </c>
      <c r="AC321" t="n">
        <v>50</v>
      </c>
      <c r="AD321" t="n">
        <v>1</v>
      </c>
      <c r="AE321" t="n">
        <v>8000</v>
      </c>
      <c r="AF321" t="n">
        <v>710</v>
      </c>
      <c r="AG321" t="n">
        <v>1</v>
      </c>
    </row>
    <row r="322" ht="38.25" customHeight="1" s="142">
      <c r="A322" t="n">
        <v>1216</v>
      </c>
      <c r="B322" t="inlineStr">
        <is>
          <t>main</t>
        </is>
      </c>
      <c r="C322" t="n">
        <v>7</v>
      </c>
      <c r="D322" t="inlineStr">
        <is>
          <t>7-27</t>
        </is>
      </c>
      <c r="E322" t="n">
        <v>109</v>
      </c>
      <c r="G322" s="90" t="inlineStr">
        <is>
          <t>{role:-1},
{id:-1},{id:-1},{id:-1},{id:-1},{id:-1}
{id:40044},{id:40041},{id:40041},{id:40043},{id:40044}</t>
        </is>
      </c>
      <c r="I322" t="n">
        <v>28220</v>
      </c>
      <c r="J322" s="80" t="inlineStr">
        <is>
          <t>法陣震盪</t>
        </is>
      </c>
      <c r="K322" t="inlineStr">
        <is>
          <t>buff</t>
        </is>
      </c>
      <c r="L322" t="n">
        <v>9011</v>
      </c>
      <c r="M322" t="inlineStr">
        <is>
          <t>9,11</t>
        </is>
      </c>
      <c r="O322" t="n">
        <v>0.7</v>
      </c>
      <c r="P322" s="80" t="inlineStr">
        <is>
          <t>虛空侵蝕</t>
        </is>
      </c>
      <c r="Q322" t="inlineStr">
        <is>
          <t>debuff</t>
        </is>
      </c>
      <c r="R322" t="n">
        <v>9003</v>
      </c>
      <c r="S322" t="inlineStr">
        <is>
          <t>10,12</t>
        </is>
      </c>
      <c r="U322" t="n">
        <v>0.6</v>
      </c>
      <c r="V322" t="n">
        <v>70001</v>
      </c>
      <c r="W322" t="n">
        <v>2</v>
      </c>
      <c r="X322" t="n">
        <v>1</v>
      </c>
      <c r="Y322" t="n">
        <v>70002</v>
      </c>
      <c r="Z322" t="n">
        <v>2</v>
      </c>
      <c r="AA322" t="n">
        <v>1</v>
      </c>
      <c r="AB322" t="n">
        <v>1001</v>
      </c>
      <c r="AC322" t="n">
        <v>50</v>
      </c>
      <c r="AD322" t="n">
        <v>1</v>
      </c>
      <c r="AE322" t="n">
        <v>8000</v>
      </c>
      <c r="AF322" t="n">
        <v>710</v>
      </c>
      <c r="AG322" t="n">
        <v>1</v>
      </c>
    </row>
    <row r="323" ht="38.25" customHeight="1" s="142">
      <c r="A323" t="n">
        <v>1217</v>
      </c>
      <c r="B323" t="inlineStr">
        <is>
          <t>main</t>
        </is>
      </c>
      <c r="C323" t="n">
        <v>7</v>
      </c>
      <c r="D323" t="inlineStr">
        <is>
          <t>7-28</t>
        </is>
      </c>
      <c r="E323" t="n">
        <v>109</v>
      </c>
      <c r="G323" s="90" t="inlineStr">
        <is>
          <t>{role:-1},
{id:-1},{id:-1},{id:-1},{id:-1},{id:-1}
{id:40041},{id:40041},{id:40044},{id:40041},{id:40041}</t>
        </is>
      </c>
      <c r="I323" t="n">
        <v>28345</v>
      </c>
      <c r="J323" s="80" t="inlineStr">
        <is>
          <t>法陣震盪</t>
        </is>
      </c>
      <c r="K323" t="inlineStr">
        <is>
          <t>buff</t>
        </is>
      </c>
      <c r="L323" t="n">
        <v>9007</v>
      </c>
      <c r="M323" t="n">
        <v>2</v>
      </c>
      <c r="O323" t="n">
        <v>0.7</v>
      </c>
      <c r="P323" s="80" t="inlineStr">
        <is>
          <t>虛空侵蝕</t>
        </is>
      </c>
      <c r="Q323" t="inlineStr">
        <is>
          <t>debuff</t>
        </is>
      </c>
      <c r="R323" t="n">
        <v>9003</v>
      </c>
      <c r="S323" t="inlineStr">
        <is>
          <t>4,8,13</t>
        </is>
      </c>
      <c r="U323" t="n">
        <v>0.1</v>
      </c>
      <c r="V323" t="n">
        <v>70001</v>
      </c>
      <c r="W323" t="n">
        <v>2</v>
      </c>
      <c r="X323" t="n">
        <v>1</v>
      </c>
      <c r="Y323" t="n">
        <v>70002</v>
      </c>
      <c r="Z323" t="n">
        <v>2</v>
      </c>
      <c r="AA323" t="n">
        <v>1</v>
      </c>
      <c r="AB323" t="n">
        <v>1001</v>
      </c>
      <c r="AC323" t="n">
        <v>50</v>
      </c>
      <c r="AD323" t="n">
        <v>1</v>
      </c>
      <c r="AE323" t="n">
        <v>8000</v>
      </c>
      <c r="AF323" t="n">
        <v>720</v>
      </c>
      <c r="AG323" t="n">
        <v>1</v>
      </c>
    </row>
    <row r="324" ht="38.25" customHeight="1" s="142">
      <c r="A324" t="n">
        <v>1218</v>
      </c>
      <c r="B324" t="inlineStr">
        <is>
          <t>main</t>
        </is>
      </c>
      <c r="C324" t="n">
        <v>7</v>
      </c>
      <c r="D324" t="inlineStr">
        <is>
          <t>7-29</t>
        </is>
      </c>
      <c r="E324" t="n">
        <v>110</v>
      </c>
      <c r="G324" s="90" t="inlineStr">
        <is>
          <t>{role:-1},
{id:-1},{id:-1},{id:-1},{id:-1},{id:-1}
{id:40040},{id:40040},{id:40043},{id:40044},{id:40044}</t>
        </is>
      </c>
      <c r="I324" t="n">
        <v>28470</v>
      </c>
      <c r="J324" s="80" t="inlineStr">
        <is>
          <t>法陣震盪</t>
        </is>
      </c>
      <c r="K324" t="inlineStr">
        <is>
          <t>buff</t>
        </is>
      </c>
      <c r="L324" t="n">
        <v>9012</v>
      </c>
      <c r="M324" t="n">
        <v>2</v>
      </c>
      <c r="O324" t="n">
        <v>0.5</v>
      </c>
      <c r="P324" s="80" t="inlineStr">
        <is>
          <t>虛空侵蝕</t>
        </is>
      </c>
      <c r="Q324" t="inlineStr">
        <is>
          <t>debuff</t>
        </is>
      </c>
      <c r="R324" t="n">
        <v>9004</v>
      </c>
      <c r="S324" t="inlineStr">
        <is>
          <t>11,13</t>
        </is>
      </c>
      <c r="U324" t="n">
        <v>0.9</v>
      </c>
      <c r="V324" t="n">
        <v>70001</v>
      </c>
      <c r="W324" t="n">
        <v>2</v>
      </c>
      <c r="X324" t="n">
        <v>1</v>
      </c>
      <c r="Y324" t="n">
        <v>70002</v>
      </c>
      <c r="Z324" t="n">
        <v>2</v>
      </c>
      <c r="AA324" t="n">
        <v>1</v>
      </c>
      <c r="AB324" t="n">
        <v>1001</v>
      </c>
      <c r="AC324" t="n">
        <v>50</v>
      </c>
      <c r="AD324" t="n">
        <v>1</v>
      </c>
      <c r="AE324" t="n">
        <v>8000</v>
      </c>
      <c r="AF324" t="n">
        <v>720</v>
      </c>
      <c r="AG324" t="n">
        <v>1</v>
      </c>
    </row>
    <row r="325" ht="38.25" customHeight="1" s="142">
      <c r="A325" t="n">
        <v>1219</v>
      </c>
      <c r="B325" t="inlineStr">
        <is>
          <t>main</t>
        </is>
      </c>
      <c r="C325" t="n">
        <v>7</v>
      </c>
      <c r="D325" t="inlineStr">
        <is>
          <t>7-30</t>
        </is>
      </c>
      <c r="E325" t="n">
        <v>110</v>
      </c>
      <c r="G325" s="90" t="inlineStr">
        <is>
          <t>{role:-1},
{id:-1},{id:-1},{id:-1},{id:-1},{id:-1}
{id:40040},{id:40043},{id:40043},{id:40073},{id:40043}</t>
        </is>
      </c>
      <c r="I325" t="n">
        <v>28595</v>
      </c>
      <c r="J325" s="80" t="inlineStr">
        <is>
          <t>法陣震盪</t>
        </is>
      </c>
      <c r="K325" t="inlineStr">
        <is>
          <t>buff</t>
        </is>
      </c>
      <c r="L325" t="n">
        <v>9005</v>
      </c>
      <c r="M325" t="inlineStr">
        <is>
          <t>4,11,13</t>
        </is>
      </c>
      <c r="O325" t="n">
        <v>0.3</v>
      </c>
      <c r="P325" s="80" t="inlineStr">
        <is>
          <t>虛空侵蝕</t>
        </is>
      </c>
      <c r="Q325" t="inlineStr">
        <is>
          <t>debuff</t>
        </is>
      </c>
      <c r="R325" t="n">
        <v>9007</v>
      </c>
      <c r="S325" t="inlineStr">
        <is>
          <t>5,10</t>
        </is>
      </c>
      <c r="U325" t="n">
        <v>0.3</v>
      </c>
      <c r="V325" t="n">
        <v>70001</v>
      </c>
      <c r="W325" t="n">
        <v>2</v>
      </c>
      <c r="X325" t="n">
        <v>1</v>
      </c>
      <c r="Y325" t="n">
        <v>70002</v>
      </c>
      <c r="Z325" t="n">
        <v>2</v>
      </c>
      <c r="AA325" t="n">
        <v>1</v>
      </c>
      <c r="AB325" t="n">
        <v>1001</v>
      </c>
      <c r="AC325" t="n">
        <v>50</v>
      </c>
      <c r="AD325" t="n">
        <v>1</v>
      </c>
      <c r="AE325" t="n">
        <v>8000</v>
      </c>
      <c r="AF325" t="n">
        <v>730</v>
      </c>
      <c r="AG325" t="n">
        <v>1</v>
      </c>
    </row>
    <row r="326" ht="38.25" customHeight="1" s="142">
      <c r="A326" t="n">
        <v>1220</v>
      </c>
      <c r="B326" t="inlineStr">
        <is>
          <t>main</t>
        </is>
      </c>
      <c r="C326" t="n">
        <v>7</v>
      </c>
      <c r="D326" t="inlineStr">
        <is>
          <t>7-31</t>
        </is>
      </c>
      <c r="E326" t="n">
        <v>111</v>
      </c>
      <c r="G326" s="90" t="inlineStr">
        <is>
          <t>{role:-1},
{id:-1},{id:-1},{id:-1},{id:-1},{id:-1}
{id:40041},{id:40073},{id:40040},{id:40073},{id:40073}</t>
        </is>
      </c>
      <c r="I326" t="n">
        <v>28720</v>
      </c>
      <c r="J326" s="80" t="inlineStr">
        <is>
          <t>法陣震盪</t>
        </is>
      </c>
      <c r="K326" t="inlineStr">
        <is>
          <t>buff</t>
        </is>
      </c>
      <c r="L326" t="n">
        <v>9008</v>
      </c>
      <c r="M326" t="inlineStr">
        <is>
          <t>4,8,12</t>
        </is>
      </c>
      <c r="O326" t="n">
        <v>0.9</v>
      </c>
      <c r="P326" s="80" t="inlineStr">
        <is>
          <t>虛空侵蝕</t>
        </is>
      </c>
      <c r="Q326" t="inlineStr">
        <is>
          <t>debuff</t>
        </is>
      </c>
      <c r="R326" t="n">
        <v>9010</v>
      </c>
      <c r="S326" t="n">
        <v>7</v>
      </c>
      <c r="U326" t="n">
        <v>0.8</v>
      </c>
      <c r="V326" t="n">
        <v>70001</v>
      </c>
      <c r="W326" t="n">
        <v>2</v>
      </c>
      <c r="X326" t="n">
        <v>1</v>
      </c>
      <c r="Y326" t="n">
        <v>70002</v>
      </c>
      <c r="Z326" t="n">
        <v>2</v>
      </c>
      <c r="AA326" t="n">
        <v>1</v>
      </c>
      <c r="AB326" t="n">
        <v>1001</v>
      </c>
      <c r="AC326" t="n">
        <v>50</v>
      </c>
      <c r="AD326" t="n">
        <v>1</v>
      </c>
      <c r="AE326" t="n">
        <v>8000</v>
      </c>
      <c r="AF326" t="n">
        <v>730</v>
      </c>
      <c r="AG326" t="n">
        <v>1</v>
      </c>
    </row>
    <row r="327" ht="38.25" customHeight="1" s="142">
      <c r="A327" t="n">
        <v>1221</v>
      </c>
      <c r="B327" t="inlineStr">
        <is>
          <t>main</t>
        </is>
      </c>
      <c r="C327" t="n">
        <v>7</v>
      </c>
      <c r="D327" t="inlineStr">
        <is>
          <t>7-32</t>
        </is>
      </c>
      <c r="E327" t="n">
        <v>111</v>
      </c>
      <c r="G327" s="90" t="inlineStr">
        <is>
          <t>{role:-1},
{id:-1},{id:-1},{id:-1},{id:-1},{id:-1}
{id:40073},{id:40044},{id:40040},{id:40041},{id:40041}</t>
        </is>
      </c>
      <c r="I327" t="n">
        <v>28845</v>
      </c>
      <c r="J327" s="80" t="inlineStr">
        <is>
          <t>法陣震盪</t>
        </is>
      </c>
      <c r="K327" t="inlineStr">
        <is>
          <t>buff</t>
        </is>
      </c>
      <c r="L327" t="n">
        <v>9002</v>
      </c>
      <c r="M327" t="inlineStr">
        <is>
          <t>2,12,13</t>
        </is>
      </c>
      <c r="O327" t="n">
        <v>0.7</v>
      </c>
      <c r="P327" s="80" t="inlineStr">
        <is>
          <t>虛空侵蝕</t>
        </is>
      </c>
      <c r="Q327" t="inlineStr">
        <is>
          <t>debuff</t>
        </is>
      </c>
      <c r="R327" t="n">
        <v>9012</v>
      </c>
      <c r="S327" t="inlineStr">
        <is>
          <t>6,12</t>
        </is>
      </c>
      <c r="U327" t="n">
        <v>0.2</v>
      </c>
      <c r="V327" t="n">
        <v>70001</v>
      </c>
      <c r="W327" t="n">
        <v>2</v>
      </c>
      <c r="X327" t="n">
        <v>1</v>
      </c>
      <c r="Y327" t="n">
        <v>70002</v>
      </c>
      <c r="Z327" t="n">
        <v>2</v>
      </c>
      <c r="AA327" t="n">
        <v>1</v>
      </c>
      <c r="AB327" t="n">
        <v>1001</v>
      </c>
      <c r="AC327" t="n">
        <v>50</v>
      </c>
      <c r="AD327" t="n">
        <v>1</v>
      </c>
      <c r="AE327" t="n">
        <v>8000</v>
      </c>
      <c r="AF327" t="n">
        <v>730</v>
      </c>
      <c r="AG327" t="n">
        <v>1</v>
      </c>
    </row>
    <row r="328" ht="38.25" customHeight="1" s="142">
      <c r="A328" t="n">
        <v>1222</v>
      </c>
      <c r="B328" t="inlineStr">
        <is>
          <t>main</t>
        </is>
      </c>
      <c r="C328" t="n">
        <v>7</v>
      </c>
      <c r="D328" t="inlineStr">
        <is>
          <t>7-33</t>
        </is>
      </c>
      <c r="E328" t="n">
        <v>112</v>
      </c>
      <c r="G328" s="90" t="inlineStr">
        <is>
          <t>{role:-1},
{id:-1},{id:-1},{id:-1},{id:-1},{id:-1}
{id:40044},{id:40044},{id:40073},{id:40073},{id:40044}</t>
        </is>
      </c>
      <c r="I328" t="n">
        <v>28970</v>
      </c>
      <c r="J328" s="80" t="inlineStr">
        <is>
          <t>法陣震盪</t>
        </is>
      </c>
      <c r="K328" t="inlineStr">
        <is>
          <t>buff</t>
        </is>
      </c>
      <c r="L328" t="n">
        <v>9011</v>
      </c>
      <c r="M328" t="n">
        <v>9</v>
      </c>
      <c r="O328" t="n">
        <v>0.6</v>
      </c>
      <c r="P328" s="80" t="inlineStr">
        <is>
          <t>虛空侵蝕</t>
        </is>
      </c>
      <c r="Q328" t="inlineStr">
        <is>
          <t>debuff</t>
        </is>
      </c>
      <c r="R328" t="n">
        <v>9004</v>
      </c>
      <c r="S328" t="inlineStr">
        <is>
          <t>2,10,13</t>
        </is>
      </c>
      <c r="U328" t="n">
        <v>0.9</v>
      </c>
      <c r="V328" t="n">
        <v>70001</v>
      </c>
      <c r="W328" t="n">
        <v>2</v>
      </c>
      <c r="X328" t="n">
        <v>1</v>
      </c>
      <c r="Y328" t="n">
        <v>70002</v>
      </c>
      <c r="Z328" t="n">
        <v>2</v>
      </c>
      <c r="AA328" t="n">
        <v>1</v>
      </c>
      <c r="AB328" t="n">
        <v>1001</v>
      </c>
      <c r="AC328" t="n">
        <v>50</v>
      </c>
      <c r="AD328" t="n">
        <v>1</v>
      </c>
      <c r="AE328" t="n">
        <v>8000</v>
      </c>
      <c r="AF328" t="n">
        <v>740</v>
      </c>
      <c r="AG328" t="n">
        <v>1</v>
      </c>
    </row>
    <row r="329" ht="38.25" customHeight="1" s="142">
      <c r="A329" t="n">
        <v>1223</v>
      </c>
      <c r="B329" t="inlineStr">
        <is>
          <t>main</t>
        </is>
      </c>
      <c r="C329" t="n">
        <v>7</v>
      </c>
      <c r="D329" t="inlineStr">
        <is>
          <t>7-34</t>
        </is>
      </c>
      <c r="E329" t="n">
        <v>112</v>
      </c>
      <c r="G329" s="90" t="inlineStr">
        <is>
          <t>{role:-1},
{id:-1},{id:-1},{id:-1},{id:-1},{id:-1}
{id:40073},{id:40044},{id:40044},{id:40043},{id:40044}</t>
        </is>
      </c>
      <c r="I329" t="n">
        <v>29095</v>
      </c>
      <c r="J329" s="80" t="inlineStr">
        <is>
          <t>法陣震盪</t>
        </is>
      </c>
      <c r="K329" t="inlineStr">
        <is>
          <t>buff</t>
        </is>
      </c>
      <c r="L329" t="n">
        <v>9012</v>
      </c>
      <c r="M329" t="n">
        <v>7</v>
      </c>
      <c r="O329" t="n">
        <v>0.3</v>
      </c>
      <c r="P329" s="80" t="inlineStr">
        <is>
          <t>虛空侵蝕</t>
        </is>
      </c>
      <c r="Q329" t="inlineStr">
        <is>
          <t>debuff</t>
        </is>
      </c>
      <c r="R329" t="n">
        <v>9012</v>
      </c>
      <c r="S329" t="n">
        <v>6</v>
      </c>
      <c r="U329" t="n">
        <v>0.4</v>
      </c>
      <c r="V329" t="n">
        <v>70001</v>
      </c>
      <c r="W329" t="n">
        <v>2</v>
      </c>
      <c r="X329" t="n">
        <v>1</v>
      </c>
      <c r="Y329" t="n">
        <v>70002</v>
      </c>
      <c r="Z329" t="n">
        <v>2</v>
      </c>
      <c r="AA329" t="n">
        <v>1</v>
      </c>
      <c r="AB329" t="n">
        <v>1001</v>
      </c>
      <c r="AC329" t="n">
        <v>50</v>
      </c>
      <c r="AD329" t="n">
        <v>1</v>
      </c>
      <c r="AE329" t="n">
        <v>8000</v>
      </c>
      <c r="AF329" t="n">
        <v>740</v>
      </c>
      <c r="AG329" t="n">
        <v>1</v>
      </c>
    </row>
    <row r="330" ht="38.25" customHeight="1" s="142">
      <c r="A330" t="n">
        <v>1224</v>
      </c>
      <c r="B330" t="inlineStr">
        <is>
          <t>main</t>
        </is>
      </c>
      <c r="C330" t="n">
        <v>7</v>
      </c>
      <c r="D330" t="inlineStr">
        <is>
          <t>7-35</t>
        </is>
      </c>
      <c r="E330" t="n">
        <v>113</v>
      </c>
      <c r="G330" s="90" t="inlineStr">
        <is>
          <t>{role:-1},
{id:-1},{id:-1},{id:-1},{id:-1},{id:-1}
{id:40040},{id:40041},{id:40040},{id:40044},{id:40040}</t>
        </is>
      </c>
      <c r="I330" t="n">
        <v>29220</v>
      </c>
      <c r="J330" s="80" t="inlineStr">
        <is>
          <t>法陣震盪</t>
        </is>
      </c>
      <c r="K330" t="inlineStr">
        <is>
          <t>buff</t>
        </is>
      </c>
      <c r="L330" t="n">
        <v>9007</v>
      </c>
      <c r="M330" t="inlineStr">
        <is>
          <t>8,9,11</t>
        </is>
      </c>
      <c r="O330" t="n">
        <v>0.8</v>
      </c>
      <c r="P330" s="80" t="inlineStr">
        <is>
          <t>虛空侵蝕</t>
        </is>
      </c>
      <c r="Q330" t="inlineStr">
        <is>
          <t>debuff</t>
        </is>
      </c>
      <c r="R330" t="n">
        <v>9008</v>
      </c>
      <c r="S330" t="n">
        <v>4</v>
      </c>
      <c r="U330" t="n">
        <v>0.9</v>
      </c>
      <c r="V330" t="n">
        <v>70001</v>
      </c>
      <c r="W330" t="n">
        <v>2</v>
      </c>
      <c r="X330" t="n">
        <v>1</v>
      </c>
      <c r="Y330" t="n">
        <v>70002</v>
      </c>
      <c r="Z330" t="n">
        <v>2</v>
      </c>
      <c r="AA330" t="n">
        <v>1</v>
      </c>
      <c r="AB330" t="n">
        <v>1001</v>
      </c>
      <c r="AC330" t="n">
        <v>50</v>
      </c>
      <c r="AD330" t="n">
        <v>1</v>
      </c>
      <c r="AE330" t="n">
        <v>8000</v>
      </c>
      <c r="AF330" t="n">
        <v>750</v>
      </c>
      <c r="AG330" t="n">
        <v>1</v>
      </c>
    </row>
    <row r="331" ht="38.25" customHeight="1" s="142">
      <c r="A331" t="n">
        <v>1225</v>
      </c>
      <c r="B331" t="inlineStr">
        <is>
          <t>main</t>
        </is>
      </c>
      <c r="C331" t="n">
        <v>7</v>
      </c>
      <c r="D331" t="inlineStr">
        <is>
          <t>7-36</t>
        </is>
      </c>
      <c r="E331" t="n">
        <v>113</v>
      </c>
      <c r="G331" s="90" t="inlineStr">
        <is>
          <t>{role:-1},
{id:-1},{id:-1},{id:-1},{id:-1},{id:-1}
{id:40073},{id:40041},{id:40073},{id:40043},{id:40040}</t>
        </is>
      </c>
      <c r="I331" t="n">
        <v>29345</v>
      </c>
      <c r="J331" s="80" t="inlineStr">
        <is>
          <t>法陣震盪</t>
        </is>
      </c>
      <c r="K331" t="inlineStr">
        <is>
          <t>buff</t>
        </is>
      </c>
      <c r="L331" t="n">
        <v>9007</v>
      </c>
      <c r="M331" t="inlineStr">
        <is>
          <t>3,7,11</t>
        </is>
      </c>
      <c r="O331" t="n">
        <v>0.9</v>
      </c>
      <c r="P331" s="80" t="inlineStr">
        <is>
          <t>虛空侵蝕</t>
        </is>
      </c>
      <c r="Q331" t="inlineStr">
        <is>
          <t>debuff</t>
        </is>
      </c>
      <c r="R331" t="n">
        <v>9008</v>
      </c>
      <c r="S331" t="inlineStr">
        <is>
          <t>7,13</t>
        </is>
      </c>
      <c r="U331" t="n">
        <v>0.6</v>
      </c>
      <c r="V331" t="n">
        <v>70001</v>
      </c>
      <c r="W331" t="n">
        <v>2</v>
      </c>
      <c r="X331" t="n">
        <v>1</v>
      </c>
      <c r="Y331" t="n">
        <v>70002</v>
      </c>
      <c r="Z331" t="n">
        <v>2</v>
      </c>
      <c r="AA331" t="n">
        <v>1</v>
      </c>
      <c r="AB331" t="n">
        <v>1001</v>
      </c>
      <c r="AC331" t="n">
        <v>50</v>
      </c>
      <c r="AD331" t="n">
        <v>1</v>
      </c>
      <c r="AE331" t="n">
        <v>8000</v>
      </c>
      <c r="AF331" t="n">
        <v>750</v>
      </c>
      <c r="AG331" t="n">
        <v>1</v>
      </c>
    </row>
    <row r="332" ht="38.25" customHeight="1" s="142">
      <c r="A332" t="n">
        <v>1226</v>
      </c>
      <c r="B332" t="inlineStr">
        <is>
          <t>main</t>
        </is>
      </c>
      <c r="C332" t="n">
        <v>7</v>
      </c>
      <c r="D332" t="inlineStr">
        <is>
          <t>7-37</t>
        </is>
      </c>
      <c r="E332" t="n">
        <v>114</v>
      </c>
      <c r="G332" s="90" t="inlineStr">
        <is>
          <t>{role:-1},
{id:-1},{id:-1},{id:-1},{id:-1},{id:-1}
{id:40040},{id:40073},{id:40043},{id:40043},{id:40040}</t>
        </is>
      </c>
      <c r="I332" t="n">
        <v>29470</v>
      </c>
      <c r="J332" s="80" t="inlineStr">
        <is>
          <t>法陣震盪</t>
        </is>
      </c>
      <c r="K332" t="inlineStr">
        <is>
          <t>buff</t>
        </is>
      </c>
      <c r="L332" t="n">
        <v>9012</v>
      </c>
      <c r="M332" t="n">
        <v>2</v>
      </c>
      <c r="O332" t="n">
        <v>0.4</v>
      </c>
      <c r="P332" s="80" t="inlineStr">
        <is>
          <t>虛空侵蝕</t>
        </is>
      </c>
      <c r="Q332" t="inlineStr">
        <is>
          <t>debuff</t>
        </is>
      </c>
      <c r="R332" t="n">
        <v>9010</v>
      </c>
      <c r="S332" t="inlineStr">
        <is>
          <t>5,8,11</t>
        </is>
      </c>
      <c r="U332" t="n">
        <v>0.3</v>
      </c>
      <c r="V332" t="n">
        <v>70001</v>
      </c>
      <c r="W332" t="n">
        <v>2</v>
      </c>
      <c r="X332" t="n">
        <v>1</v>
      </c>
      <c r="Y332" t="n">
        <v>70002</v>
      </c>
      <c r="Z332" t="n">
        <v>2</v>
      </c>
      <c r="AA332" t="n">
        <v>1</v>
      </c>
      <c r="AB332" t="n">
        <v>1001</v>
      </c>
      <c r="AC332" t="n">
        <v>50</v>
      </c>
      <c r="AD332" t="n">
        <v>1</v>
      </c>
      <c r="AE332" t="n">
        <v>8000</v>
      </c>
      <c r="AF332" t="n">
        <v>760</v>
      </c>
      <c r="AG332" t="n">
        <v>1</v>
      </c>
    </row>
    <row r="333" ht="38.25" customHeight="1" s="142">
      <c r="A333" t="n">
        <v>1227</v>
      </c>
      <c r="B333" t="inlineStr">
        <is>
          <t>main</t>
        </is>
      </c>
      <c r="C333" t="n">
        <v>7</v>
      </c>
      <c r="D333" t="inlineStr">
        <is>
          <t>7-38</t>
        </is>
      </c>
      <c r="E333" t="n">
        <v>114</v>
      </c>
      <c r="G333" s="90" t="inlineStr">
        <is>
          <t>{role:-1},
{id:-1},{id:-1},{id:-1},{id:-1},{id:-1}
{id:40040},{id:40041},{id:40041},{id:40040},{id:40041}</t>
        </is>
      </c>
      <c r="I333" t="n">
        <v>29595</v>
      </c>
      <c r="J333" s="80" t="inlineStr">
        <is>
          <t>法陣震盪</t>
        </is>
      </c>
      <c r="K333" t="inlineStr">
        <is>
          <t>buff</t>
        </is>
      </c>
      <c r="L333" t="n">
        <v>9002</v>
      </c>
      <c r="M333" t="n">
        <v>5</v>
      </c>
      <c r="O333" t="n">
        <v>0.7</v>
      </c>
      <c r="P333" s="80" t="inlineStr">
        <is>
          <t>虛空侵蝕</t>
        </is>
      </c>
      <c r="Q333" t="inlineStr">
        <is>
          <t>debuff</t>
        </is>
      </c>
      <c r="R333" t="n">
        <v>9003</v>
      </c>
      <c r="S333" t="inlineStr">
        <is>
          <t>3,5,13</t>
        </is>
      </c>
      <c r="U333" t="n">
        <v>0.1</v>
      </c>
      <c r="V333" t="n">
        <v>70001</v>
      </c>
      <c r="W333" t="n">
        <v>2</v>
      </c>
      <c r="X333" t="n">
        <v>1</v>
      </c>
      <c r="Y333" t="n">
        <v>70002</v>
      </c>
      <c r="Z333" t="n">
        <v>2</v>
      </c>
      <c r="AA333" t="n">
        <v>1</v>
      </c>
      <c r="AB333" t="n">
        <v>1001</v>
      </c>
      <c r="AC333" t="n">
        <v>50</v>
      </c>
      <c r="AD333" t="n">
        <v>1</v>
      </c>
      <c r="AE333" t="n">
        <v>8000</v>
      </c>
      <c r="AF333" t="n">
        <v>760</v>
      </c>
      <c r="AG333" t="n">
        <v>1</v>
      </c>
    </row>
    <row r="334" ht="38.25" customHeight="1" s="142">
      <c r="A334" t="n">
        <v>1228</v>
      </c>
      <c r="B334" t="inlineStr">
        <is>
          <t>main</t>
        </is>
      </c>
      <c r="C334" t="n">
        <v>7</v>
      </c>
      <c r="D334" t="inlineStr">
        <is>
          <t>7-39</t>
        </is>
      </c>
      <c r="E334" t="n">
        <v>115</v>
      </c>
      <c r="G334" s="90" t="inlineStr">
        <is>
          <t>{role:-1},
{id:-1},{id:-1},{id:-1},{id:-1},{id:-1}
{id:40041},{id:40044},{id:40073},{id:40044},{id:40040}</t>
        </is>
      </c>
      <c r="I334" t="n">
        <v>29720</v>
      </c>
      <c r="J334" s="80" t="inlineStr">
        <is>
          <t>法陣震盪</t>
        </is>
      </c>
      <c r="K334" t="inlineStr">
        <is>
          <t>buff</t>
        </is>
      </c>
      <c r="L334" t="n">
        <v>9002</v>
      </c>
      <c r="M334" t="inlineStr">
        <is>
          <t>2,3,4</t>
        </is>
      </c>
      <c r="O334" t="n">
        <v>0.2</v>
      </c>
      <c r="P334" s="80" t="inlineStr">
        <is>
          <t>虛空侵蝕</t>
        </is>
      </c>
      <c r="Q334" t="inlineStr">
        <is>
          <t>debuff</t>
        </is>
      </c>
      <c r="R334" t="n">
        <v>9008</v>
      </c>
      <c r="S334" t="inlineStr">
        <is>
          <t>1,4,6</t>
        </is>
      </c>
      <c r="U334" t="n">
        <v>0.8</v>
      </c>
      <c r="V334" t="n">
        <v>70001</v>
      </c>
      <c r="W334" t="n">
        <v>2</v>
      </c>
      <c r="X334" t="n">
        <v>1</v>
      </c>
      <c r="Y334" t="n">
        <v>70002</v>
      </c>
      <c r="Z334" t="n">
        <v>2</v>
      </c>
      <c r="AA334" t="n">
        <v>1</v>
      </c>
      <c r="AB334" t="n">
        <v>1001</v>
      </c>
      <c r="AC334" t="n">
        <v>50</v>
      </c>
      <c r="AD334" t="n">
        <v>1</v>
      </c>
      <c r="AE334" t="n">
        <v>8000</v>
      </c>
      <c r="AF334" t="n">
        <v>760</v>
      </c>
      <c r="AG334" t="n">
        <v>1</v>
      </c>
    </row>
    <row r="335" ht="38.25" customHeight="1" s="142">
      <c r="A335" t="n">
        <v>1229</v>
      </c>
      <c r="B335" t="inlineStr">
        <is>
          <t>main</t>
        </is>
      </c>
      <c r="C335" t="n">
        <v>7</v>
      </c>
      <c r="D335" t="inlineStr">
        <is>
          <t>7-40</t>
        </is>
      </c>
      <c r="E335" t="n">
        <v>115</v>
      </c>
      <c r="G335" s="90" t="inlineStr">
        <is>
          <t>{role:-1},
{id:-1},{id:-1},{id:-1},{id:-1},{id:-1}
{id:50008},{id:40041},{id:40044},{id:40073},{id:40043}</t>
        </is>
      </c>
      <c r="I335" t="n">
        <v>29845</v>
      </c>
      <c r="J335" s="80" t="inlineStr">
        <is>
          <t>法陣震盪</t>
        </is>
      </c>
      <c r="K335" t="inlineStr">
        <is>
          <t>buff</t>
        </is>
      </c>
      <c r="L335" t="n">
        <v>9001</v>
      </c>
      <c r="M335" t="n">
        <v>5</v>
      </c>
      <c r="O335" t="n">
        <v>0.4</v>
      </c>
      <c r="P335" s="80" t="inlineStr">
        <is>
          <t>虛空侵蝕</t>
        </is>
      </c>
      <c r="Q335" t="inlineStr">
        <is>
          <t>debuff</t>
        </is>
      </c>
      <c r="R335" t="n">
        <v>9008</v>
      </c>
      <c r="S335" t="inlineStr">
        <is>
          <t>8,9,13</t>
        </is>
      </c>
      <c r="U335" t="n">
        <v>0.6</v>
      </c>
      <c r="V335" t="n">
        <v>70001</v>
      </c>
      <c r="W335" t="n">
        <v>2</v>
      </c>
      <c r="X335" t="n">
        <v>1</v>
      </c>
      <c r="Y335" t="n">
        <v>70002</v>
      </c>
      <c r="Z335" t="n">
        <v>2</v>
      </c>
      <c r="AA335" t="n">
        <v>1</v>
      </c>
      <c r="AB335" t="n">
        <v>1001</v>
      </c>
      <c r="AC335" t="n">
        <v>50</v>
      </c>
      <c r="AD335" t="n">
        <v>1</v>
      </c>
      <c r="AE335" t="n">
        <v>8000</v>
      </c>
      <c r="AF335" t="n">
        <v>770</v>
      </c>
      <c r="AG335" t="n">
        <v>1</v>
      </c>
    </row>
    <row r="336" ht="38.25" customHeight="1" s="142">
      <c r="A336" t="n">
        <v>1230</v>
      </c>
      <c r="B336" t="inlineStr">
        <is>
          <t>main</t>
        </is>
      </c>
      <c r="C336" t="n">
        <v>8</v>
      </c>
      <c r="D336" t="inlineStr">
        <is>
          <t>8-1</t>
        </is>
      </c>
      <c r="E336" t="n">
        <v>116</v>
      </c>
      <c r="G336" s="90" t="inlineStr">
        <is>
          <t>{role:-1},
{id:-1},{id:-1},{id:-1},{id:-1},{id:-1}
{id:40074},{id:40032}</t>
        </is>
      </c>
      <c r="I336" t="n">
        <v>29970</v>
      </c>
      <c r="J336" s="80" t="inlineStr">
        <is>
          <t>聖光普照</t>
        </is>
      </c>
      <c r="K336" t="inlineStr">
        <is>
          <t>buff</t>
        </is>
      </c>
      <c r="L336" t="n">
        <v>9008</v>
      </c>
      <c r="M336" t="inlineStr">
        <is>
          <t>1,2,13</t>
        </is>
      </c>
      <c r="O336" t="n">
        <v>0.6</v>
      </c>
      <c r="P336" s="80" t="inlineStr">
        <is>
          <t>光蝕侵擾</t>
        </is>
      </c>
      <c r="Q336" t="inlineStr">
        <is>
          <t>debuff</t>
        </is>
      </c>
      <c r="R336" t="n">
        <v>9003</v>
      </c>
      <c r="S336" t="inlineStr">
        <is>
          <t>3,11,12</t>
        </is>
      </c>
      <c r="U336" t="n">
        <v>0.2</v>
      </c>
      <c r="V336" t="n">
        <v>70001</v>
      </c>
      <c r="W336" t="n">
        <v>2</v>
      </c>
      <c r="X336" t="n">
        <v>1</v>
      </c>
      <c r="Y336" t="n">
        <v>70002</v>
      </c>
      <c r="Z336" t="n">
        <v>2</v>
      </c>
      <c r="AA336" t="n">
        <v>1</v>
      </c>
      <c r="AB336" t="n">
        <v>1001</v>
      </c>
      <c r="AC336" t="n">
        <v>50</v>
      </c>
      <c r="AD336" t="n">
        <v>1</v>
      </c>
      <c r="AE336" t="n">
        <v>8000</v>
      </c>
      <c r="AF336" t="n">
        <v>770</v>
      </c>
      <c r="AG336" t="n">
        <v>1</v>
      </c>
    </row>
    <row r="337" ht="38.25" customHeight="1" s="142">
      <c r="A337" t="n">
        <v>1231</v>
      </c>
      <c r="B337" t="inlineStr">
        <is>
          <t>main</t>
        </is>
      </c>
      <c r="C337" t="n">
        <v>8</v>
      </c>
      <c r="D337" t="inlineStr">
        <is>
          <t>8-2</t>
        </is>
      </c>
      <c r="E337" t="n">
        <v>116</v>
      </c>
      <c r="G337" s="90" t="inlineStr">
        <is>
          <t>{role:-1},
{id:-1},{id:-1},{id:-1},{id:-1},{id:-1}
{id:40046},{id:40042}</t>
        </is>
      </c>
      <c r="I337" t="n">
        <v>30095</v>
      </c>
      <c r="J337" s="80" t="inlineStr">
        <is>
          <t>聖光普照</t>
        </is>
      </c>
      <c r="K337" t="inlineStr">
        <is>
          <t>buff</t>
        </is>
      </c>
      <c r="L337" t="n">
        <v>9008</v>
      </c>
      <c r="M337" t="n">
        <v>8</v>
      </c>
      <c r="O337" t="n">
        <v>0.1</v>
      </c>
      <c r="P337" s="80" t="inlineStr">
        <is>
          <t>光蝕侵擾</t>
        </is>
      </c>
      <c r="Q337" t="inlineStr">
        <is>
          <t>debuff</t>
        </is>
      </c>
      <c r="R337" t="n">
        <v>9007</v>
      </c>
      <c r="S337" t="n">
        <v>9</v>
      </c>
      <c r="U337" t="n">
        <v>0.2</v>
      </c>
      <c r="V337" t="n">
        <v>70001</v>
      </c>
      <c r="W337" t="n">
        <v>2</v>
      </c>
      <c r="X337" t="n">
        <v>1</v>
      </c>
      <c r="Y337" t="n">
        <v>70002</v>
      </c>
      <c r="Z337" t="n">
        <v>2</v>
      </c>
      <c r="AA337" t="n">
        <v>1</v>
      </c>
      <c r="AB337" t="n">
        <v>1001</v>
      </c>
      <c r="AC337" t="n">
        <v>50</v>
      </c>
      <c r="AD337" t="n">
        <v>1</v>
      </c>
      <c r="AE337" t="n">
        <v>8000</v>
      </c>
      <c r="AF337" t="n">
        <v>780</v>
      </c>
      <c r="AG337" t="n">
        <v>1</v>
      </c>
    </row>
    <row r="338" ht="38.25" customHeight="1" s="142">
      <c r="A338" t="n">
        <v>1232</v>
      </c>
      <c r="B338" t="inlineStr">
        <is>
          <t>main</t>
        </is>
      </c>
      <c r="C338" t="n">
        <v>8</v>
      </c>
      <c r="D338" t="inlineStr">
        <is>
          <t>8-3</t>
        </is>
      </c>
      <c r="E338" t="n">
        <v>117</v>
      </c>
      <c r="G338" s="90" t="inlineStr">
        <is>
          <t>{role:-1},
{id:-1},{id:-1},{id:-1},{id:-1},{id:-1}
{id:40042},{id:40047}</t>
        </is>
      </c>
      <c r="I338" t="n">
        <v>30220</v>
      </c>
      <c r="J338" s="80" t="inlineStr">
        <is>
          <t>聖光普照</t>
        </is>
      </c>
      <c r="K338" t="inlineStr">
        <is>
          <t>buff</t>
        </is>
      </c>
      <c r="L338" t="n">
        <v>9011</v>
      </c>
      <c r="M338" t="n">
        <v>2</v>
      </c>
      <c r="O338" t="n">
        <v>0.3</v>
      </c>
      <c r="P338" s="80" t="inlineStr">
        <is>
          <t>光蝕侵擾</t>
        </is>
      </c>
      <c r="Q338" t="inlineStr">
        <is>
          <t>debuff</t>
        </is>
      </c>
      <c r="R338" t="n">
        <v>9007</v>
      </c>
      <c r="S338" t="n">
        <v>13</v>
      </c>
      <c r="U338" t="n">
        <v>0.3</v>
      </c>
      <c r="V338" t="n">
        <v>70001</v>
      </c>
      <c r="W338" t="n">
        <v>2</v>
      </c>
      <c r="X338" t="n">
        <v>1</v>
      </c>
      <c r="Y338" t="n">
        <v>70002</v>
      </c>
      <c r="Z338" t="n">
        <v>2</v>
      </c>
      <c r="AA338" t="n">
        <v>1</v>
      </c>
      <c r="AB338" t="n">
        <v>1001</v>
      </c>
      <c r="AC338" t="n">
        <v>50</v>
      </c>
      <c r="AD338" t="n">
        <v>1</v>
      </c>
      <c r="AE338" t="n">
        <v>8000</v>
      </c>
      <c r="AF338" t="n">
        <v>780</v>
      </c>
      <c r="AG338" t="n">
        <v>1</v>
      </c>
    </row>
    <row r="339" ht="38.25" customHeight="1" s="142">
      <c r="A339" t="n">
        <v>1233</v>
      </c>
      <c r="B339" t="inlineStr">
        <is>
          <t>main</t>
        </is>
      </c>
      <c r="C339" t="n">
        <v>8</v>
      </c>
      <c r="D339" t="inlineStr">
        <is>
          <t>8-4</t>
        </is>
      </c>
      <c r="E339" t="n">
        <v>117</v>
      </c>
      <c r="G339" s="90" t="inlineStr">
        <is>
          <t>{role:-1},
{id:-1},{id:-1},{id:-1},{id:-1},{id:-1}
{id:40047},{id:40042}</t>
        </is>
      </c>
      <c r="I339" t="n">
        <v>30345</v>
      </c>
      <c r="J339" s="80" t="inlineStr">
        <is>
          <t>聖光普照</t>
        </is>
      </c>
      <c r="K339" t="inlineStr">
        <is>
          <t>buff</t>
        </is>
      </c>
      <c r="L339" t="n">
        <v>9012</v>
      </c>
      <c r="M339" t="inlineStr">
        <is>
          <t>5,6</t>
        </is>
      </c>
      <c r="O339" t="n">
        <v>0.4</v>
      </c>
      <c r="P339" s="80" t="inlineStr">
        <is>
          <t>光蝕侵擾</t>
        </is>
      </c>
      <c r="Q339" t="inlineStr">
        <is>
          <t>debuff</t>
        </is>
      </c>
      <c r="R339" t="n">
        <v>9011</v>
      </c>
      <c r="S339" t="n">
        <v>8</v>
      </c>
      <c r="U339" t="n">
        <v>0.8</v>
      </c>
      <c r="V339" t="n">
        <v>70001</v>
      </c>
      <c r="W339" t="n">
        <v>2</v>
      </c>
      <c r="X339" t="n">
        <v>1</v>
      </c>
      <c r="Y339" t="n">
        <v>70002</v>
      </c>
      <c r="Z339" t="n">
        <v>2</v>
      </c>
      <c r="AA339" t="n">
        <v>1</v>
      </c>
      <c r="AB339" t="n">
        <v>1001</v>
      </c>
      <c r="AC339" t="n">
        <v>50</v>
      </c>
      <c r="AD339" t="n">
        <v>1</v>
      </c>
      <c r="AE339" t="n">
        <v>8000</v>
      </c>
      <c r="AF339" t="n">
        <v>790</v>
      </c>
      <c r="AG339" t="n">
        <v>1</v>
      </c>
    </row>
    <row r="340" ht="38.25" customHeight="1" s="142">
      <c r="A340" t="n">
        <v>1234</v>
      </c>
      <c r="B340" t="inlineStr">
        <is>
          <t>main</t>
        </is>
      </c>
      <c r="C340" t="n">
        <v>8</v>
      </c>
      <c r="D340" t="inlineStr">
        <is>
          <t>8-5</t>
        </is>
      </c>
      <c r="E340" t="n">
        <v>118</v>
      </c>
      <c r="G340" s="90" t="inlineStr">
        <is>
          <t>{role:-1},
{id:-1},{id:-1},{id:-1},{id:-1},{id:-1}
{id:40046},{id:40032},{id:40046}</t>
        </is>
      </c>
      <c r="I340" t="n">
        <v>30470</v>
      </c>
      <c r="J340" s="80" t="inlineStr">
        <is>
          <t>聖光普照</t>
        </is>
      </c>
      <c r="K340" t="inlineStr">
        <is>
          <t>buff</t>
        </is>
      </c>
      <c r="L340" t="n">
        <v>9008</v>
      </c>
      <c r="M340" t="inlineStr">
        <is>
          <t>1,9</t>
        </is>
      </c>
      <c r="O340" t="n">
        <v>0.4</v>
      </c>
      <c r="P340" s="80" t="inlineStr">
        <is>
          <t>光蝕侵擾</t>
        </is>
      </c>
      <c r="Q340" t="inlineStr">
        <is>
          <t>debuff</t>
        </is>
      </c>
      <c r="R340" t="n">
        <v>9008</v>
      </c>
      <c r="S340" t="inlineStr">
        <is>
          <t>3,4,8</t>
        </is>
      </c>
      <c r="U340" t="n">
        <v>0.3</v>
      </c>
      <c r="V340" t="n">
        <v>70001</v>
      </c>
      <c r="W340" t="n">
        <v>2</v>
      </c>
      <c r="X340" t="n">
        <v>1</v>
      </c>
      <c r="Y340" t="n">
        <v>70002</v>
      </c>
      <c r="Z340" t="n">
        <v>2</v>
      </c>
      <c r="AA340" t="n">
        <v>1</v>
      </c>
      <c r="AB340" t="n">
        <v>1001</v>
      </c>
      <c r="AC340" t="n">
        <v>50</v>
      </c>
      <c r="AD340" t="n">
        <v>1</v>
      </c>
      <c r="AE340" t="n">
        <v>8000</v>
      </c>
      <c r="AF340" t="n">
        <v>790</v>
      </c>
      <c r="AG340" t="n">
        <v>1</v>
      </c>
    </row>
    <row r="341" ht="38.25" customHeight="1" s="142">
      <c r="A341" t="n">
        <v>1235</v>
      </c>
      <c r="B341" t="inlineStr">
        <is>
          <t>main</t>
        </is>
      </c>
      <c r="C341" t="n">
        <v>8</v>
      </c>
      <c r="D341" t="inlineStr">
        <is>
          <t>8-6</t>
        </is>
      </c>
      <c r="E341" t="n">
        <v>118</v>
      </c>
      <c r="G341" s="90" t="inlineStr">
        <is>
          <t>{role:-1},
{id:-1},{id:-1},{id:-1},{id:-1},{id:-1}
{id:40046},{id:40046},{id:40032}</t>
        </is>
      </c>
      <c r="I341" t="n">
        <v>30595</v>
      </c>
      <c r="J341" s="80" t="inlineStr">
        <is>
          <t>聖光普照</t>
        </is>
      </c>
      <c r="K341" t="inlineStr">
        <is>
          <t>buff</t>
        </is>
      </c>
      <c r="L341" t="n">
        <v>9012</v>
      </c>
      <c r="M341" t="inlineStr">
        <is>
          <t>4,9</t>
        </is>
      </c>
      <c r="O341" t="n">
        <v>0.2</v>
      </c>
      <c r="P341" s="80" t="inlineStr">
        <is>
          <t>光蝕侵擾</t>
        </is>
      </c>
      <c r="Q341" t="inlineStr">
        <is>
          <t>debuff</t>
        </is>
      </c>
      <c r="R341" t="n">
        <v>9008</v>
      </c>
      <c r="S341" t="inlineStr">
        <is>
          <t>1,2,12</t>
        </is>
      </c>
      <c r="U341" t="n">
        <v>0.8</v>
      </c>
      <c r="V341" t="n">
        <v>70001</v>
      </c>
      <c r="W341" t="n">
        <v>2</v>
      </c>
      <c r="X341" t="n">
        <v>1</v>
      </c>
      <c r="Y341" t="n">
        <v>70002</v>
      </c>
      <c r="Z341" t="n">
        <v>2</v>
      </c>
      <c r="AA341" t="n">
        <v>1</v>
      </c>
      <c r="AB341" t="n">
        <v>1001</v>
      </c>
      <c r="AC341" t="n">
        <v>50</v>
      </c>
      <c r="AD341" t="n">
        <v>1</v>
      </c>
      <c r="AE341" t="n">
        <v>8000</v>
      </c>
      <c r="AF341" t="n">
        <v>790</v>
      </c>
      <c r="AG341" t="n">
        <v>1</v>
      </c>
    </row>
    <row r="342" ht="38.25" customHeight="1" s="142">
      <c r="A342" t="n">
        <v>1236</v>
      </c>
      <c r="B342" t="inlineStr">
        <is>
          <t>main</t>
        </is>
      </c>
      <c r="C342" t="n">
        <v>8</v>
      </c>
      <c r="D342" t="inlineStr">
        <is>
          <t>8-7</t>
        </is>
      </c>
      <c r="E342" t="n">
        <v>119</v>
      </c>
      <c r="G342" s="90" t="inlineStr">
        <is>
          <t>{role:-1},
{id:-1},{id:-1},{id:-1},{id:-1},{id:-1}
{id:40046},{id:40042},{id:40042}</t>
        </is>
      </c>
      <c r="I342" t="n">
        <v>30720</v>
      </c>
      <c r="J342" s="80" t="inlineStr">
        <is>
          <t>聖光普照</t>
        </is>
      </c>
      <c r="K342" t="inlineStr">
        <is>
          <t>buff</t>
        </is>
      </c>
      <c r="L342" t="n">
        <v>9005</v>
      </c>
      <c r="M342" t="inlineStr">
        <is>
          <t>3,7,8</t>
        </is>
      </c>
      <c r="O342" t="n">
        <v>0.4</v>
      </c>
      <c r="P342" s="80" t="inlineStr">
        <is>
          <t>光蝕侵擾</t>
        </is>
      </c>
      <c r="Q342" t="inlineStr">
        <is>
          <t>debuff</t>
        </is>
      </c>
      <c r="R342" t="n">
        <v>9003</v>
      </c>
      <c r="S342" t="inlineStr">
        <is>
          <t>4,6,9</t>
        </is>
      </c>
      <c r="U342" t="n">
        <v>0.2</v>
      </c>
      <c r="V342" t="n">
        <v>70001</v>
      </c>
      <c r="W342" t="n">
        <v>2</v>
      </c>
      <c r="X342" t="n">
        <v>1</v>
      </c>
      <c r="Y342" t="n">
        <v>70002</v>
      </c>
      <c r="Z342" t="n">
        <v>2</v>
      </c>
      <c r="AA342" t="n">
        <v>1</v>
      </c>
      <c r="AB342" t="n">
        <v>1001</v>
      </c>
      <c r="AC342" t="n">
        <v>50</v>
      </c>
      <c r="AD342" t="n">
        <v>1</v>
      </c>
      <c r="AE342" t="n">
        <v>8000</v>
      </c>
      <c r="AF342" t="n">
        <v>800</v>
      </c>
      <c r="AG342" t="n">
        <v>1</v>
      </c>
    </row>
    <row r="343" ht="38.25" customHeight="1" s="142">
      <c r="A343" t="n">
        <v>1237</v>
      </c>
      <c r="B343" t="inlineStr">
        <is>
          <t>main</t>
        </is>
      </c>
      <c r="C343" t="n">
        <v>8</v>
      </c>
      <c r="D343" t="inlineStr">
        <is>
          <t>8-8</t>
        </is>
      </c>
      <c r="E343" t="n">
        <v>119</v>
      </c>
      <c r="G343" s="90" t="inlineStr">
        <is>
          <t>{role:-1},
{id:-1},{id:-1},{id:-1},{id:-1},{id:-1}
{id:40047},{id:40046},{id:40047}</t>
        </is>
      </c>
      <c r="I343" t="n">
        <v>30845</v>
      </c>
      <c r="J343" s="80" t="inlineStr">
        <is>
          <t>聖光普照</t>
        </is>
      </c>
      <c r="K343" t="inlineStr">
        <is>
          <t>buff</t>
        </is>
      </c>
      <c r="L343" t="n">
        <v>9011</v>
      </c>
      <c r="M343" t="n">
        <v>6</v>
      </c>
      <c r="O343" t="n">
        <v>0.9</v>
      </c>
      <c r="P343" s="80" t="inlineStr">
        <is>
          <t>光蝕侵擾</t>
        </is>
      </c>
      <c r="Q343" t="inlineStr">
        <is>
          <t>debuff</t>
        </is>
      </c>
      <c r="R343" t="n">
        <v>9003</v>
      </c>
      <c r="S343" t="inlineStr">
        <is>
          <t>9,11,12</t>
        </is>
      </c>
      <c r="U343" t="n">
        <v>0.1</v>
      </c>
      <c r="V343" t="n">
        <v>70001</v>
      </c>
      <c r="W343" t="n">
        <v>2</v>
      </c>
      <c r="X343" t="n">
        <v>1</v>
      </c>
      <c r="Y343" t="n">
        <v>70002</v>
      </c>
      <c r="Z343" t="n">
        <v>2</v>
      </c>
      <c r="AA343" t="n">
        <v>1</v>
      </c>
      <c r="AB343" t="n">
        <v>1001</v>
      </c>
      <c r="AC343" t="n">
        <v>50</v>
      </c>
      <c r="AD343" t="n">
        <v>1</v>
      </c>
      <c r="AE343" t="n">
        <v>8000</v>
      </c>
      <c r="AF343" t="n">
        <v>800</v>
      </c>
      <c r="AG343" t="n">
        <v>1</v>
      </c>
    </row>
    <row r="344" ht="38.25" customHeight="1" s="142">
      <c r="A344" t="n">
        <v>1238</v>
      </c>
      <c r="B344" t="inlineStr">
        <is>
          <t>main</t>
        </is>
      </c>
      <c r="C344" t="n">
        <v>8</v>
      </c>
      <c r="D344" t="inlineStr">
        <is>
          <t>8-9</t>
        </is>
      </c>
      <c r="E344" t="n">
        <v>120</v>
      </c>
      <c r="G344" s="90" t="inlineStr">
        <is>
          <t>{role:-1},
{id:-1},{id:-1},{id:-1},{id:-1},{id:-1}
{id:40047},{id:40047},{id:40046}</t>
        </is>
      </c>
      <c r="I344" t="n">
        <v>30970</v>
      </c>
      <c r="J344" s="80" t="inlineStr">
        <is>
          <t>聖光普照</t>
        </is>
      </c>
      <c r="K344" t="inlineStr">
        <is>
          <t>buff</t>
        </is>
      </c>
      <c r="L344" t="n">
        <v>9011</v>
      </c>
      <c r="M344" t="inlineStr">
        <is>
          <t>9,10,12</t>
        </is>
      </c>
      <c r="O344" t="n">
        <v>0.7</v>
      </c>
      <c r="P344" s="80" t="inlineStr">
        <is>
          <t>光蝕侵擾</t>
        </is>
      </c>
      <c r="Q344" t="inlineStr">
        <is>
          <t>debuff</t>
        </is>
      </c>
      <c r="R344" t="n">
        <v>9011</v>
      </c>
      <c r="S344" t="inlineStr">
        <is>
          <t>1,12</t>
        </is>
      </c>
      <c r="U344" t="n">
        <v>0.7</v>
      </c>
      <c r="V344" t="n">
        <v>70001</v>
      </c>
      <c r="W344" t="n">
        <v>2</v>
      </c>
      <c r="X344" t="n">
        <v>1</v>
      </c>
      <c r="Y344" t="n">
        <v>70002</v>
      </c>
      <c r="Z344" t="n">
        <v>2</v>
      </c>
      <c r="AA344" t="n">
        <v>1</v>
      </c>
      <c r="AB344" t="n">
        <v>1001</v>
      </c>
      <c r="AC344" t="n">
        <v>50</v>
      </c>
      <c r="AD344" t="n">
        <v>1</v>
      </c>
      <c r="AE344" t="n">
        <v>8000</v>
      </c>
      <c r="AF344" t="n">
        <v>810</v>
      </c>
      <c r="AG344" t="n">
        <v>1</v>
      </c>
    </row>
    <row r="345" ht="38.25" customHeight="1" s="142">
      <c r="A345" t="n">
        <v>1239</v>
      </c>
      <c r="B345" t="inlineStr">
        <is>
          <t>main</t>
        </is>
      </c>
      <c r="C345" t="n">
        <v>8</v>
      </c>
      <c r="D345" t="inlineStr">
        <is>
          <t>8-10</t>
        </is>
      </c>
      <c r="E345" t="n">
        <v>120</v>
      </c>
      <c r="G345" s="90" t="inlineStr">
        <is>
          <t>{role:-1},
{id:-1},{id:-1},{id:-1},{id:-1},{id:-1}
{id:40046},{id:40047},{id:40032}</t>
        </is>
      </c>
      <c r="I345" t="n">
        <v>31095</v>
      </c>
      <c r="J345" s="80" t="inlineStr">
        <is>
          <t>聖光普照</t>
        </is>
      </c>
      <c r="K345" t="inlineStr">
        <is>
          <t>buff</t>
        </is>
      </c>
      <c r="L345" t="n">
        <v>9006</v>
      </c>
      <c r="M345" t="inlineStr">
        <is>
          <t>3,7,12</t>
        </is>
      </c>
      <c r="O345" t="n">
        <v>0.7</v>
      </c>
      <c r="P345" s="80" t="inlineStr">
        <is>
          <t>光蝕侵擾</t>
        </is>
      </c>
      <c r="Q345" t="inlineStr">
        <is>
          <t>debuff</t>
        </is>
      </c>
      <c r="R345" t="n">
        <v>9010</v>
      </c>
      <c r="S345" t="n">
        <v>8</v>
      </c>
      <c r="U345" t="n">
        <v>0.3</v>
      </c>
      <c r="V345" t="n">
        <v>70001</v>
      </c>
      <c r="W345" t="n">
        <v>2</v>
      </c>
      <c r="X345" t="n">
        <v>1</v>
      </c>
      <c r="Y345" t="n">
        <v>70002</v>
      </c>
      <c r="Z345" t="n">
        <v>2</v>
      </c>
      <c r="AA345" t="n">
        <v>1</v>
      </c>
      <c r="AB345" t="n">
        <v>1001</v>
      </c>
      <c r="AC345" t="n">
        <v>50</v>
      </c>
      <c r="AD345" t="n">
        <v>1</v>
      </c>
      <c r="AE345" t="n">
        <v>8000</v>
      </c>
      <c r="AF345" t="n">
        <v>810</v>
      </c>
      <c r="AG345" t="n">
        <v>1</v>
      </c>
    </row>
    <row r="346" ht="38.25" customHeight="1" s="142">
      <c r="A346" t="n">
        <v>1240</v>
      </c>
      <c r="B346" t="inlineStr">
        <is>
          <t>main</t>
        </is>
      </c>
      <c r="C346" t="n">
        <v>8</v>
      </c>
      <c r="D346" t="inlineStr">
        <is>
          <t>8-11</t>
        </is>
      </c>
      <c r="E346" t="n">
        <v>121</v>
      </c>
      <c r="G346" s="90" t="inlineStr">
        <is>
          <t>{role:-1},
{id:-1},{id:-1},{id:-1},{id:-1},{id:-1}
{id:40032},{id:40042},{id:40047}</t>
        </is>
      </c>
      <c r="I346" t="n">
        <v>31220</v>
      </c>
      <c r="J346" s="80" t="inlineStr">
        <is>
          <t>聖光普照</t>
        </is>
      </c>
      <c r="K346" t="inlineStr">
        <is>
          <t>buff</t>
        </is>
      </c>
      <c r="L346" t="n">
        <v>9007</v>
      </c>
      <c r="M346" t="inlineStr">
        <is>
          <t>5,8,12</t>
        </is>
      </c>
      <c r="O346" t="n">
        <v>0.1</v>
      </c>
      <c r="P346" s="80" t="inlineStr">
        <is>
          <t>光蝕侵擾</t>
        </is>
      </c>
      <c r="Q346" t="inlineStr">
        <is>
          <t>debuff</t>
        </is>
      </c>
      <c r="R346" t="n">
        <v>9004</v>
      </c>
      <c r="S346" t="n">
        <v>4</v>
      </c>
      <c r="U346" t="n">
        <v>0.9</v>
      </c>
      <c r="V346" t="n">
        <v>70001</v>
      </c>
      <c r="W346" t="n">
        <v>2</v>
      </c>
      <c r="X346" t="n">
        <v>1</v>
      </c>
      <c r="Y346" t="n">
        <v>70002</v>
      </c>
      <c r="Z346" t="n">
        <v>2</v>
      </c>
      <c r="AA346" t="n">
        <v>1</v>
      </c>
      <c r="AB346" t="n">
        <v>1001</v>
      </c>
      <c r="AC346" t="n">
        <v>50</v>
      </c>
      <c r="AD346" t="n">
        <v>1</v>
      </c>
      <c r="AE346" t="n">
        <v>8000</v>
      </c>
      <c r="AF346" t="n">
        <v>820</v>
      </c>
      <c r="AG346" t="n">
        <v>1</v>
      </c>
    </row>
    <row r="347" ht="38.25" customHeight="1" s="142">
      <c r="A347" t="n">
        <v>1241</v>
      </c>
      <c r="B347" t="inlineStr">
        <is>
          <t>main</t>
        </is>
      </c>
      <c r="C347" t="n">
        <v>8</v>
      </c>
      <c r="D347" t="inlineStr">
        <is>
          <t>8-12</t>
        </is>
      </c>
      <c r="E347" t="n">
        <v>121</v>
      </c>
      <c r="G347" s="90" t="inlineStr">
        <is>
          <t>{role:-1},
{id:-1},{id:-1},{id:-1},{id:-1},{id:-1}
{id:40074},{id:40046},{id:40042}</t>
        </is>
      </c>
      <c r="I347" t="n">
        <v>31345</v>
      </c>
      <c r="J347" s="80" t="inlineStr">
        <is>
          <t>聖光普照</t>
        </is>
      </c>
      <c r="K347" t="inlineStr">
        <is>
          <t>buff</t>
        </is>
      </c>
      <c r="L347" t="n">
        <v>9005</v>
      </c>
      <c r="M347" t="n">
        <v>10</v>
      </c>
      <c r="O347" t="n">
        <v>0.8</v>
      </c>
      <c r="P347" s="80" t="inlineStr">
        <is>
          <t>光蝕侵擾</t>
        </is>
      </c>
      <c r="Q347" t="inlineStr">
        <is>
          <t>debuff</t>
        </is>
      </c>
      <c r="R347" t="n">
        <v>9011</v>
      </c>
      <c r="S347" t="inlineStr">
        <is>
          <t>1,2,13</t>
        </is>
      </c>
      <c r="U347" t="n">
        <v>0.8</v>
      </c>
      <c r="V347" t="n">
        <v>70001</v>
      </c>
      <c r="W347" t="n">
        <v>2</v>
      </c>
      <c r="X347" t="n">
        <v>1</v>
      </c>
      <c r="Y347" t="n">
        <v>70002</v>
      </c>
      <c r="Z347" t="n">
        <v>2</v>
      </c>
      <c r="AA347" t="n">
        <v>1</v>
      </c>
      <c r="AB347" t="n">
        <v>1001</v>
      </c>
      <c r="AC347" t="n">
        <v>50</v>
      </c>
      <c r="AD347" t="n">
        <v>1</v>
      </c>
      <c r="AE347" t="n">
        <v>8000</v>
      </c>
      <c r="AF347" t="n">
        <v>820</v>
      </c>
      <c r="AG347" t="n">
        <v>1</v>
      </c>
    </row>
    <row r="348" ht="38.25" customHeight="1" s="142">
      <c r="A348" t="n">
        <v>1242</v>
      </c>
      <c r="B348" t="inlineStr">
        <is>
          <t>main</t>
        </is>
      </c>
      <c r="C348" t="n">
        <v>8</v>
      </c>
      <c r="D348" t="inlineStr">
        <is>
          <t>8-13</t>
        </is>
      </c>
      <c r="E348" t="n">
        <v>122</v>
      </c>
      <c r="G348" s="90" t="inlineStr">
        <is>
          <t>{role:-1},
{id:-1},{id:-1},{id:-1},{id:-1},{id:-1}
{id:40074},{id:40046},{id:40042},{id:40032}</t>
        </is>
      </c>
      <c r="I348" t="n">
        <v>31470</v>
      </c>
      <c r="J348" s="80" t="inlineStr">
        <is>
          <t>聖光普照</t>
        </is>
      </c>
      <c r="K348" t="inlineStr">
        <is>
          <t>buff</t>
        </is>
      </c>
      <c r="L348" t="n">
        <v>9011</v>
      </c>
      <c r="M348" t="inlineStr">
        <is>
          <t>2,12</t>
        </is>
      </c>
      <c r="O348" t="n">
        <v>0.3</v>
      </c>
      <c r="P348" s="80" t="inlineStr">
        <is>
          <t>光蝕侵擾</t>
        </is>
      </c>
      <c r="Q348" t="inlineStr">
        <is>
          <t>debuff</t>
        </is>
      </c>
      <c r="R348" t="n">
        <v>9007</v>
      </c>
      <c r="S348" t="n">
        <v>3</v>
      </c>
      <c r="U348" t="n">
        <v>0.4</v>
      </c>
      <c r="V348" t="n">
        <v>70001</v>
      </c>
      <c r="W348" t="n">
        <v>2</v>
      </c>
      <c r="X348" t="n">
        <v>1</v>
      </c>
      <c r="Y348" t="n">
        <v>70002</v>
      </c>
      <c r="Z348" t="n">
        <v>2</v>
      </c>
      <c r="AA348" t="n">
        <v>1</v>
      </c>
      <c r="AB348" t="n">
        <v>1001</v>
      </c>
      <c r="AC348" t="n">
        <v>50</v>
      </c>
      <c r="AD348" t="n">
        <v>1</v>
      </c>
      <c r="AE348" t="n">
        <v>8000</v>
      </c>
      <c r="AF348" t="n">
        <v>830</v>
      </c>
      <c r="AG348" t="n">
        <v>1</v>
      </c>
    </row>
    <row r="349" ht="38.25" customHeight="1" s="142">
      <c r="A349" t="n">
        <v>1243</v>
      </c>
      <c r="B349" t="inlineStr">
        <is>
          <t>main</t>
        </is>
      </c>
      <c r="C349" t="n">
        <v>8</v>
      </c>
      <c r="D349" t="inlineStr">
        <is>
          <t>8-14</t>
        </is>
      </c>
      <c r="E349" t="n">
        <v>122</v>
      </c>
      <c r="G349" s="90" t="inlineStr">
        <is>
          <t>{role:-1},
{id:-1},{id:-1},{id:-1},{id:-1},{id:-1}
{id:40046},{id:40074},{id:40032},{id:40074}</t>
        </is>
      </c>
      <c r="I349" t="n">
        <v>31595</v>
      </c>
      <c r="J349" s="80" t="inlineStr">
        <is>
          <t>聖光普照</t>
        </is>
      </c>
      <c r="K349" t="inlineStr">
        <is>
          <t>buff</t>
        </is>
      </c>
      <c r="L349" t="n">
        <v>9012</v>
      </c>
      <c r="M349" t="inlineStr">
        <is>
          <t>1,13</t>
        </is>
      </c>
      <c r="O349" t="n">
        <v>0.5</v>
      </c>
      <c r="P349" s="80" t="inlineStr">
        <is>
          <t>光蝕侵擾</t>
        </is>
      </c>
      <c r="Q349" t="inlineStr">
        <is>
          <t>debuff</t>
        </is>
      </c>
      <c r="R349" t="n">
        <v>9004</v>
      </c>
      <c r="S349" t="n">
        <v>6</v>
      </c>
      <c r="U349" t="n">
        <v>1</v>
      </c>
      <c r="V349" t="n">
        <v>70001</v>
      </c>
      <c r="W349" t="n">
        <v>2</v>
      </c>
      <c r="X349" t="n">
        <v>1</v>
      </c>
      <c r="Y349" t="n">
        <v>70002</v>
      </c>
      <c r="Z349" t="n">
        <v>2</v>
      </c>
      <c r="AA349" t="n">
        <v>1</v>
      </c>
      <c r="AB349" t="n">
        <v>1001</v>
      </c>
      <c r="AC349" t="n">
        <v>50</v>
      </c>
      <c r="AD349" t="n">
        <v>1</v>
      </c>
      <c r="AE349" t="n">
        <v>8000</v>
      </c>
      <c r="AF349" t="n">
        <v>830</v>
      </c>
      <c r="AG349" t="n">
        <v>1</v>
      </c>
    </row>
    <row r="350" ht="38.25" customHeight="1" s="142">
      <c r="A350" t="n">
        <v>1244</v>
      </c>
      <c r="B350" t="inlineStr">
        <is>
          <t>main</t>
        </is>
      </c>
      <c r="C350" t="n">
        <v>8</v>
      </c>
      <c r="D350" t="inlineStr">
        <is>
          <t>8-15</t>
        </is>
      </c>
      <c r="E350" t="n">
        <v>123</v>
      </c>
      <c r="G350" s="90" t="inlineStr">
        <is>
          <t>{role:-1},
{id:-1},{id:-1},{id:-1},{id:-1},{id:-1}
{id:40042},{id:40074},{id:40032},{id:40074}</t>
        </is>
      </c>
      <c r="I350" t="n">
        <v>31720</v>
      </c>
      <c r="J350" s="80" t="inlineStr">
        <is>
          <t>聖光普照</t>
        </is>
      </c>
      <c r="K350" t="inlineStr">
        <is>
          <t>buff</t>
        </is>
      </c>
      <c r="L350" t="n">
        <v>9002</v>
      </c>
      <c r="M350" t="n">
        <v>1</v>
      </c>
      <c r="O350" t="n">
        <v>0.9</v>
      </c>
      <c r="P350" s="80" t="inlineStr">
        <is>
          <t>光蝕侵擾</t>
        </is>
      </c>
      <c r="Q350" t="inlineStr">
        <is>
          <t>debuff</t>
        </is>
      </c>
      <c r="R350" t="n">
        <v>9007</v>
      </c>
      <c r="S350" t="inlineStr">
        <is>
          <t>1,3,9</t>
        </is>
      </c>
      <c r="U350" t="n">
        <v>0.4</v>
      </c>
      <c r="V350" t="n">
        <v>70001</v>
      </c>
      <c r="W350" t="n">
        <v>2</v>
      </c>
      <c r="X350" t="n">
        <v>1</v>
      </c>
      <c r="Y350" t="n">
        <v>70002</v>
      </c>
      <c r="Z350" t="n">
        <v>2</v>
      </c>
      <c r="AA350" t="n">
        <v>1</v>
      </c>
      <c r="AB350" t="n">
        <v>1001</v>
      </c>
      <c r="AC350" t="n">
        <v>50</v>
      </c>
      <c r="AD350" t="n">
        <v>1</v>
      </c>
      <c r="AE350" t="n">
        <v>8000</v>
      </c>
      <c r="AF350" t="n">
        <v>830</v>
      </c>
      <c r="AG350" t="n">
        <v>1</v>
      </c>
    </row>
    <row r="351" ht="38.25" customHeight="1" s="142">
      <c r="A351" t="n">
        <v>1245</v>
      </c>
      <c r="B351" t="inlineStr">
        <is>
          <t>main</t>
        </is>
      </c>
      <c r="C351" t="n">
        <v>8</v>
      </c>
      <c r="D351" t="inlineStr">
        <is>
          <t>8-16</t>
        </is>
      </c>
      <c r="E351" t="n">
        <v>123</v>
      </c>
      <c r="G351" s="90" t="inlineStr">
        <is>
          <t>{role:-1},
{id:-1},{id:-1},{id:-1},{id:-1},{id:-1}
{id:40074},{id:40046},{id:40047},{id:40046}</t>
        </is>
      </c>
      <c r="I351" t="n">
        <v>31845</v>
      </c>
      <c r="J351" s="80" t="inlineStr">
        <is>
          <t>聖光普照</t>
        </is>
      </c>
      <c r="K351" t="inlineStr">
        <is>
          <t>buff</t>
        </is>
      </c>
      <c r="L351" t="n">
        <v>9007</v>
      </c>
      <c r="M351" t="inlineStr">
        <is>
          <t>1,3</t>
        </is>
      </c>
      <c r="O351" t="n">
        <v>0.6</v>
      </c>
      <c r="P351" s="80" t="inlineStr">
        <is>
          <t>光蝕侵擾</t>
        </is>
      </c>
      <c r="Q351" t="inlineStr">
        <is>
          <t>debuff</t>
        </is>
      </c>
      <c r="R351" t="n">
        <v>9007</v>
      </c>
      <c r="S351" t="n">
        <v>3</v>
      </c>
      <c r="U351" t="n">
        <v>0.8</v>
      </c>
      <c r="V351" t="n">
        <v>70001</v>
      </c>
      <c r="W351" t="n">
        <v>2</v>
      </c>
      <c r="X351" t="n">
        <v>1</v>
      </c>
      <c r="Y351" t="n">
        <v>70002</v>
      </c>
      <c r="Z351" t="n">
        <v>2</v>
      </c>
      <c r="AA351" t="n">
        <v>1</v>
      </c>
      <c r="AB351" t="n">
        <v>1001</v>
      </c>
      <c r="AC351" t="n">
        <v>50</v>
      </c>
      <c r="AD351" t="n">
        <v>1</v>
      </c>
      <c r="AE351" t="n">
        <v>8000</v>
      </c>
      <c r="AF351" t="n">
        <v>840</v>
      </c>
      <c r="AG351" t="n">
        <v>1</v>
      </c>
    </row>
    <row r="352" ht="38.25" customHeight="1" s="142">
      <c r="A352" t="n">
        <v>1246</v>
      </c>
      <c r="B352" t="inlineStr">
        <is>
          <t>main</t>
        </is>
      </c>
      <c r="C352" t="n">
        <v>8</v>
      </c>
      <c r="D352" t="inlineStr">
        <is>
          <t>8-17</t>
        </is>
      </c>
      <c r="E352" t="n">
        <v>124</v>
      </c>
      <c r="G352" s="90" t="inlineStr">
        <is>
          <t>{role:-1},
{id:-1},{id:-1},{id:-1},{id:-1},{id:-1}
{id:40074},{id:40046},{id:40032},{id:40074},{id:40042}</t>
        </is>
      </c>
      <c r="I352" t="n">
        <v>31970</v>
      </c>
      <c r="J352" s="80" t="inlineStr">
        <is>
          <t>聖光普照</t>
        </is>
      </c>
      <c r="K352" t="inlineStr">
        <is>
          <t>buff</t>
        </is>
      </c>
      <c r="L352" t="n">
        <v>9006</v>
      </c>
      <c r="M352" t="inlineStr">
        <is>
          <t>11,12</t>
        </is>
      </c>
      <c r="O352" t="n">
        <v>0.6</v>
      </c>
      <c r="P352" s="80" t="inlineStr">
        <is>
          <t>光蝕侵擾</t>
        </is>
      </c>
      <c r="Q352" t="inlineStr">
        <is>
          <t>debuff</t>
        </is>
      </c>
      <c r="R352" t="n">
        <v>9003</v>
      </c>
      <c r="S352" t="n">
        <v>4</v>
      </c>
      <c r="U352" t="n">
        <v>0.4</v>
      </c>
      <c r="V352" t="n">
        <v>70001</v>
      </c>
      <c r="W352" t="n">
        <v>2</v>
      </c>
      <c r="X352" t="n">
        <v>1</v>
      </c>
      <c r="Y352" t="n">
        <v>70002</v>
      </c>
      <c r="Z352" t="n">
        <v>2</v>
      </c>
      <c r="AA352" t="n">
        <v>1</v>
      </c>
      <c r="AB352" t="n">
        <v>1001</v>
      </c>
      <c r="AC352" t="n">
        <v>50</v>
      </c>
      <c r="AD352" t="n">
        <v>1</v>
      </c>
      <c r="AE352" t="n">
        <v>8000</v>
      </c>
      <c r="AF352" t="n">
        <v>840</v>
      </c>
      <c r="AG352" t="n">
        <v>1</v>
      </c>
    </row>
    <row r="353" ht="38.25" customHeight="1" s="142">
      <c r="A353" t="n">
        <v>1247</v>
      </c>
      <c r="B353" t="inlineStr">
        <is>
          <t>main</t>
        </is>
      </c>
      <c r="C353" t="n">
        <v>8</v>
      </c>
      <c r="D353" t="inlineStr">
        <is>
          <t>8-18</t>
        </is>
      </c>
      <c r="E353" t="n">
        <v>124</v>
      </c>
      <c r="G353" s="90" t="inlineStr">
        <is>
          <t>{role:-1},
{id:-1},{id:-1},{id:-1},{id:-1},{id:-1}
{id:40074},{id:40047},{id:40042},{id:40042},{id:40042}</t>
        </is>
      </c>
      <c r="I353" t="n">
        <v>32095</v>
      </c>
      <c r="J353" s="80" t="inlineStr">
        <is>
          <t>聖光普照</t>
        </is>
      </c>
      <c r="K353" t="inlineStr">
        <is>
          <t>buff</t>
        </is>
      </c>
      <c r="L353" t="n">
        <v>9001</v>
      </c>
      <c r="M353" t="n">
        <v>5</v>
      </c>
      <c r="O353" t="n">
        <v>1</v>
      </c>
      <c r="P353" s="80" t="inlineStr">
        <is>
          <t>光蝕侵擾</t>
        </is>
      </c>
      <c r="Q353" t="inlineStr">
        <is>
          <t>debuff</t>
        </is>
      </c>
      <c r="R353" t="n">
        <v>9004</v>
      </c>
      <c r="S353" t="n">
        <v>5</v>
      </c>
      <c r="U353" t="n">
        <v>0.4</v>
      </c>
      <c r="V353" t="n">
        <v>70001</v>
      </c>
      <c r="W353" t="n">
        <v>2</v>
      </c>
      <c r="X353" t="n">
        <v>1</v>
      </c>
      <c r="Y353" t="n">
        <v>70002</v>
      </c>
      <c r="Z353" t="n">
        <v>2</v>
      </c>
      <c r="AA353" t="n">
        <v>1</v>
      </c>
      <c r="AB353" t="n">
        <v>1001</v>
      </c>
      <c r="AC353" t="n">
        <v>50</v>
      </c>
      <c r="AD353" t="n">
        <v>1</v>
      </c>
      <c r="AE353" t="n">
        <v>8000</v>
      </c>
      <c r="AF353" t="n">
        <v>850</v>
      </c>
      <c r="AG353" t="n">
        <v>1</v>
      </c>
    </row>
    <row r="354" ht="38.25" customHeight="1" s="142">
      <c r="A354" t="n">
        <v>1248</v>
      </c>
      <c r="B354" t="inlineStr">
        <is>
          <t>main</t>
        </is>
      </c>
      <c r="C354" t="n">
        <v>8</v>
      </c>
      <c r="D354" t="inlineStr">
        <is>
          <t>8-19</t>
        </is>
      </c>
      <c r="E354" t="n">
        <v>125</v>
      </c>
      <c r="G354" s="90" t="inlineStr">
        <is>
          <t>{role:-1},
{id:-1},{id:-1},{id:-1},{id:-1},{id:-1}
{id:40042},{id:40047},{id:40032},{id:40047},{id:40032}</t>
        </is>
      </c>
      <c r="I354" t="n">
        <v>32220</v>
      </c>
      <c r="J354" s="80" t="inlineStr">
        <is>
          <t>聖光普照</t>
        </is>
      </c>
      <c r="K354" t="inlineStr">
        <is>
          <t>buff</t>
        </is>
      </c>
      <c r="L354" t="n">
        <v>9006</v>
      </c>
      <c r="M354" t="n">
        <v>2</v>
      </c>
      <c r="O354" t="n">
        <v>0.5</v>
      </c>
      <c r="P354" s="80" t="inlineStr">
        <is>
          <t>光蝕侵擾</t>
        </is>
      </c>
      <c r="Q354" t="inlineStr">
        <is>
          <t>debuff</t>
        </is>
      </c>
      <c r="R354" t="n">
        <v>9010</v>
      </c>
      <c r="S354" t="inlineStr">
        <is>
          <t>4,11</t>
        </is>
      </c>
      <c r="U354" t="n">
        <v>0.9</v>
      </c>
      <c r="V354" t="n">
        <v>70001</v>
      </c>
      <c r="W354" t="n">
        <v>2</v>
      </c>
      <c r="X354" t="n">
        <v>1</v>
      </c>
      <c r="Y354" t="n">
        <v>70002</v>
      </c>
      <c r="Z354" t="n">
        <v>2</v>
      </c>
      <c r="AA354" t="n">
        <v>1</v>
      </c>
      <c r="AB354" t="n">
        <v>1001</v>
      </c>
      <c r="AC354" t="n">
        <v>50</v>
      </c>
      <c r="AD354" t="n">
        <v>1</v>
      </c>
      <c r="AE354" t="n">
        <v>8000</v>
      </c>
      <c r="AF354" t="n">
        <v>850</v>
      </c>
      <c r="AG354" t="n">
        <v>1</v>
      </c>
    </row>
    <row r="355" ht="38.25" customHeight="1" s="142">
      <c r="A355" t="n">
        <v>1249</v>
      </c>
      <c r="B355" t="inlineStr">
        <is>
          <t>main</t>
        </is>
      </c>
      <c r="C355" t="n">
        <v>8</v>
      </c>
      <c r="D355" t="inlineStr">
        <is>
          <t>8-20</t>
        </is>
      </c>
      <c r="E355" t="n">
        <v>125</v>
      </c>
      <c r="G355" s="90" t="inlineStr">
        <is>
          <t>{role:-1},
{id:-1},{id:-1},{id:-1},{id:-1},{id:-1}
{id:40074},{id:40046},{id:40032},{id:40042},{id:40047}</t>
        </is>
      </c>
      <c r="I355" t="n">
        <v>32345</v>
      </c>
      <c r="J355" s="80" t="inlineStr">
        <is>
          <t>聖光普照</t>
        </is>
      </c>
      <c r="K355" t="inlineStr">
        <is>
          <t>buff</t>
        </is>
      </c>
      <c r="L355" t="n">
        <v>9001</v>
      </c>
      <c r="M355" t="inlineStr">
        <is>
          <t>1,4</t>
        </is>
      </c>
      <c r="O355" t="n">
        <v>0.9</v>
      </c>
      <c r="P355" s="80" t="inlineStr">
        <is>
          <t>光蝕侵擾</t>
        </is>
      </c>
      <c r="Q355" t="inlineStr">
        <is>
          <t>debuff</t>
        </is>
      </c>
      <c r="R355" t="n">
        <v>9011</v>
      </c>
      <c r="S355" t="inlineStr">
        <is>
          <t>4,13</t>
        </is>
      </c>
      <c r="U355" t="n">
        <v>0.7</v>
      </c>
      <c r="V355" t="n">
        <v>70001</v>
      </c>
      <c r="W355" t="n">
        <v>2</v>
      </c>
      <c r="X355" t="n">
        <v>1</v>
      </c>
      <c r="Y355" t="n">
        <v>70002</v>
      </c>
      <c r="Z355" t="n">
        <v>2</v>
      </c>
      <c r="AA355" t="n">
        <v>1</v>
      </c>
      <c r="AB355" t="n">
        <v>1001</v>
      </c>
      <c r="AC355" t="n">
        <v>50</v>
      </c>
      <c r="AD355" t="n">
        <v>1</v>
      </c>
      <c r="AE355" t="n">
        <v>8000</v>
      </c>
      <c r="AF355" t="n">
        <v>860</v>
      </c>
      <c r="AG355" t="n">
        <v>1</v>
      </c>
    </row>
    <row r="356" ht="38.25" customHeight="1" s="142">
      <c r="A356" t="n">
        <v>1250</v>
      </c>
      <c r="B356" t="inlineStr">
        <is>
          <t>main</t>
        </is>
      </c>
      <c r="C356" t="n">
        <v>8</v>
      </c>
      <c r="D356" t="inlineStr">
        <is>
          <t>8-21</t>
        </is>
      </c>
      <c r="E356" t="n">
        <v>126</v>
      </c>
      <c r="G356" s="90" t="inlineStr">
        <is>
          <t>{role:-1},
{id:-1},{id:-1},{id:-1},{id:-1},{id:-1}
{id:40074},{id:40047},{id:40042},{id:40047},{id:40047}</t>
        </is>
      </c>
      <c r="I356" t="n">
        <v>32470</v>
      </c>
      <c r="J356" s="80" t="inlineStr">
        <is>
          <t>聖光普照</t>
        </is>
      </c>
      <c r="K356" t="inlineStr">
        <is>
          <t>buff</t>
        </is>
      </c>
      <c r="L356" t="n">
        <v>9001</v>
      </c>
      <c r="M356" t="inlineStr">
        <is>
          <t>8,13</t>
        </is>
      </c>
      <c r="O356" t="n">
        <v>0.5</v>
      </c>
      <c r="P356" s="80" t="inlineStr">
        <is>
          <t>光蝕侵擾</t>
        </is>
      </c>
      <c r="Q356" t="inlineStr">
        <is>
          <t>debuff</t>
        </is>
      </c>
      <c r="R356" t="n">
        <v>9011</v>
      </c>
      <c r="S356" t="n">
        <v>11</v>
      </c>
      <c r="U356" t="n">
        <v>0.2</v>
      </c>
      <c r="V356" t="n">
        <v>70001</v>
      </c>
      <c r="W356" t="n">
        <v>2</v>
      </c>
      <c r="X356" t="n">
        <v>1</v>
      </c>
      <c r="Y356" t="n">
        <v>70002</v>
      </c>
      <c r="Z356" t="n">
        <v>2</v>
      </c>
      <c r="AA356" t="n">
        <v>1</v>
      </c>
      <c r="AB356" t="n">
        <v>1001</v>
      </c>
      <c r="AC356" t="n">
        <v>50</v>
      </c>
      <c r="AD356" t="n">
        <v>1</v>
      </c>
      <c r="AE356" t="n">
        <v>8000</v>
      </c>
      <c r="AF356" t="n">
        <v>860</v>
      </c>
      <c r="AG356" t="n">
        <v>1</v>
      </c>
    </row>
    <row r="357" ht="38.25" customHeight="1" s="142">
      <c r="A357" t="n">
        <v>1251</v>
      </c>
      <c r="B357" t="inlineStr">
        <is>
          <t>main</t>
        </is>
      </c>
      <c r="C357" t="n">
        <v>8</v>
      </c>
      <c r="D357" t="inlineStr">
        <is>
          <t>8-22</t>
        </is>
      </c>
      <c r="E357" t="n">
        <v>126</v>
      </c>
      <c r="G357" s="90" t="inlineStr">
        <is>
          <t>{role:-1},
{id:-1},{id:-1},{id:-1},{id:-1},{id:-1}
{id:40074},{id:40074},{id:40042},{id:40074},{id:40046}</t>
        </is>
      </c>
      <c r="I357" t="n">
        <v>32595</v>
      </c>
      <c r="J357" s="80" t="inlineStr">
        <is>
          <t>聖光普照</t>
        </is>
      </c>
      <c r="K357" t="inlineStr">
        <is>
          <t>buff</t>
        </is>
      </c>
      <c r="L357" t="n">
        <v>9012</v>
      </c>
      <c r="M357" t="inlineStr">
        <is>
          <t>2,9,12</t>
        </is>
      </c>
      <c r="O357" t="n">
        <v>0.7</v>
      </c>
      <c r="P357" s="80" t="inlineStr">
        <is>
          <t>光蝕侵擾</t>
        </is>
      </c>
      <c r="Q357" t="inlineStr">
        <is>
          <t>debuff</t>
        </is>
      </c>
      <c r="R357" t="n">
        <v>9011</v>
      </c>
      <c r="S357" t="inlineStr">
        <is>
          <t>2,3,7</t>
        </is>
      </c>
      <c r="U357" t="n">
        <v>0.2</v>
      </c>
      <c r="V357" t="n">
        <v>70001</v>
      </c>
      <c r="W357" t="n">
        <v>2</v>
      </c>
      <c r="X357" t="n">
        <v>1</v>
      </c>
      <c r="Y357" t="n">
        <v>70002</v>
      </c>
      <c r="Z357" t="n">
        <v>2</v>
      </c>
      <c r="AA357" t="n">
        <v>1</v>
      </c>
      <c r="AB357" t="n">
        <v>1001</v>
      </c>
      <c r="AC357" t="n">
        <v>50</v>
      </c>
      <c r="AD357" t="n">
        <v>1</v>
      </c>
      <c r="AE357" t="n">
        <v>8000</v>
      </c>
      <c r="AF357" t="n">
        <v>870</v>
      </c>
      <c r="AG357" t="n">
        <v>1</v>
      </c>
    </row>
    <row r="358" ht="38.25" customHeight="1" s="142">
      <c r="A358" t="n">
        <v>1252</v>
      </c>
      <c r="B358" t="inlineStr">
        <is>
          <t>main</t>
        </is>
      </c>
      <c r="C358" t="n">
        <v>8</v>
      </c>
      <c r="D358" t="inlineStr">
        <is>
          <t>8-23</t>
        </is>
      </c>
      <c r="E358" t="n">
        <v>127</v>
      </c>
      <c r="G358" s="90" t="inlineStr">
        <is>
          <t>{role:-1},
{id:-1},{id:-1},{id:-1},{id:-1},{id:-1}
{id:40032},{id:40047},{id:40042},{id:40032},{id:40042}</t>
        </is>
      </c>
      <c r="I358" t="n">
        <v>32720</v>
      </c>
      <c r="J358" s="80" t="inlineStr">
        <is>
          <t>聖光普照</t>
        </is>
      </c>
      <c r="K358" t="inlineStr">
        <is>
          <t>buff</t>
        </is>
      </c>
      <c r="L358" t="n">
        <v>9005</v>
      </c>
      <c r="M358" t="inlineStr">
        <is>
          <t>4,13</t>
        </is>
      </c>
      <c r="O358" t="n">
        <v>0.8</v>
      </c>
      <c r="P358" s="80" t="inlineStr">
        <is>
          <t>光蝕侵擾</t>
        </is>
      </c>
      <c r="Q358" t="inlineStr">
        <is>
          <t>debuff</t>
        </is>
      </c>
      <c r="R358" t="n">
        <v>9011</v>
      </c>
      <c r="S358" t="inlineStr">
        <is>
          <t>3,11</t>
        </is>
      </c>
      <c r="U358" t="n">
        <v>0.7</v>
      </c>
      <c r="V358" t="n">
        <v>70001</v>
      </c>
      <c r="W358" t="n">
        <v>2</v>
      </c>
      <c r="X358" t="n">
        <v>1</v>
      </c>
      <c r="Y358" t="n">
        <v>70002</v>
      </c>
      <c r="Z358" t="n">
        <v>2</v>
      </c>
      <c r="AA358" t="n">
        <v>1</v>
      </c>
      <c r="AB358" t="n">
        <v>1001</v>
      </c>
      <c r="AC358" t="n">
        <v>50</v>
      </c>
      <c r="AD358" t="n">
        <v>1</v>
      </c>
      <c r="AE358" t="n">
        <v>8000</v>
      </c>
      <c r="AF358" t="n">
        <v>870</v>
      </c>
      <c r="AG358" t="n">
        <v>1</v>
      </c>
    </row>
    <row r="359" ht="38.25" customHeight="1" s="142">
      <c r="A359" t="n">
        <v>1253</v>
      </c>
      <c r="B359" t="inlineStr">
        <is>
          <t>main</t>
        </is>
      </c>
      <c r="C359" t="n">
        <v>8</v>
      </c>
      <c r="D359" t="inlineStr">
        <is>
          <t>8-24</t>
        </is>
      </c>
      <c r="E359" t="n">
        <v>127</v>
      </c>
      <c r="G359" s="90" t="inlineStr">
        <is>
          <t>{role:-1},
{id:-1},{id:-1},{id:-1},{id:-1},{id:-1}
{id:40047},{id:40042},{id:40046},{id:40032},{id:40032}</t>
        </is>
      </c>
      <c r="I359" t="n">
        <v>32845</v>
      </c>
      <c r="J359" s="80" t="inlineStr">
        <is>
          <t>聖光普照</t>
        </is>
      </c>
      <c r="K359" t="inlineStr">
        <is>
          <t>buff</t>
        </is>
      </c>
      <c r="L359" t="n">
        <v>9008</v>
      </c>
      <c r="M359" t="inlineStr">
        <is>
          <t>4,13</t>
        </is>
      </c>
      <c r="O359" t="n">
        <v>0.5</v>
      </c>
      <c r="P359" s="80" t="inlineStr">
        <is>
          <t>光蝕侵擾</t>
        </is>
      </c>
      <c r="Q359" t="inlineStr">
        <is>
          <t>debuff</t>
        </is>
      </c>
      <c r="R359" t="n">
        <v>9008</v>
      </c>
      <c r="S359" t="n">
        <v>12</v>
      </c>
      <c r="U359" t="n">
        <v>0.8</v>
      </c>
      <c r="V359" t="n">
        <v>70001</v>
      </c>
      <c r="W359" t="n">
        <v>2</v>
      </c>
      <c r="X359" t="n">
        <v>1</v>
      </c>
      <c r="Y359" t="n">
        <v>70002</v>
      </c>
      <c r="Z359" t="n">
        <v>2</v>
      </c>
      <c r="AA359" t="n">
        <v>1</v>
      </c>
      <c r="AB359" t="n">
        <v>1001</v>
      </c>
      <c r="AC359" t="n">
        <v>50</v>
      </c>
      <c r="AD359" t="n">
        <v>1</v>
      </c>
      <c r="AE359" t="n">
        <v>8000</v>
      </c>
      <c r="AF359" t="n">
        <v>870</v>
      </c>
      <c r="AG359" t="n">
        <v>1</v>
      </c>
    </row>
    <row r="360" ht="38.25" customHeight="1" s="142">
      <c r="A360" t="n">
        <v>1254</v>
      </c>
      <c r="B360" t="inlineStr">
        <is>
          <t>main</t>
        </is>
      </c>
      <c r="C360" t="n">
        <v>8</v>
      </c>
      <c r="D360" t="inlineStr">
        <is>
          <t>8-25</t>
        </is>
      </c>
      <c r="E360" t="n">
        <v>128</v>
      </c>
      <c r="G360" s="90" t="inlineStr">
        <is>
          <t>{role:-1},
{id:-1},{id:-1},{id:-1},{id:-1},{id:-1}
{id:40046},{id:40047},{id:40074},{id:40047},{id:40074}</t>
        </is>
      </c>
      <c r="I360" t="n">
        <v>32970</v>
      </c>
      <c r="J360" s="80" t="inlineStr">
        <is>
          <t>聖光普照</t>
        </is>
      </c>
      <c r="K360" t="inlineStr">
        <is>
          <t>buff</t>
        </is>
      </c>
      <c r="L360" t="n">
        <v>9008</v>
      </c>
      <c r="M360" t="inlineStr">
        <is>
          <t>1,4,5</t>
        </is>
      </c>
      <c r="O360" t="n">
        <v>0.4</v>
      </c>
      <c r="P360" s="80" t="inlineStr">
        <is>
          <t>光蝕侵擾</t>
        </is>
      </c>
      <c r="Q360" t="inlineStr">
        <is>
          <t>debuff</t>
        </is>
      </c>
      <c r="R360" t="n">
        <v>9011</v>
      </c>
      <c r="S360" t="inlineStr">
        <is>
          <t>3,7</t>
        </is>
      </c>
      <c r="U360" t="n">
        <v>0.4</v>
      </c>
      <c r="V360" t="n">
        <v>70001</v>
      </c>
      <c r="W360" t="n">
        <v>2</v>
      </c>
      <c r="X360" t="n">
        <v>1</v>
      </c>
      <c r="Y360" t="n">
        <v>70002</v>
      </c>
      <c r="Z360" t="n">
        <v>2</v>
      </c>
      <c r="AA360" t="n">
        <v>1</v>
      </c>
      <c r="AB360" t="n">
        <v>1001</v>
      </c>
      <c r="AC360" t="n">
        <v>50</v>
      </c>
      <c r="AD360" t="n">
        <v>1</v>
      </c>
      <c r="AE360" t="n">
        <v>8000</v>
      </c>
      <c r="AF360" t="n">
        <v>880</v>
      </c>
      <c r="AG360" t="n">
        <v>1</v>
      </c>
    </row>
    <row r="361" ht="38.25" customHeight="1" s="142">
      <c r="A361" t="n">
        <v>1255</v>
      </c>
      <c r="B361" t="inlineStr">
        <is>
          <t>main</t>
        </is>
      </c>
      <c r="C361" t="n">
        <v>8</v>
      </c>
      <c r="D361" t="inlineStr">
        <is>
          <t>8-26</t>
        </is>
      </c>
      <c r="E361" t="n">
        <v>128</v>
      </c>
      <c r="G361" s="90" t="inlineStr">
        <is>
          <t>{role:-1},
{id:-1},{id:-1},{id:-1},{id:-1},{id:-1}
{id:40032},{id:40046},{id:40047},{id:40042},{id:40074}</t>
        </is>
      </c>
      <c r="I361" t="n">
        <v>33095</v>
      </c>
      <c r="J361" s="80" t="inlineStr">
        <is>
          <t>聖光普照</t>
        </is>
      </c>
      <c r="K361" t="inlineStr">
        <is>
          <t>buff</t>
        </is>
      </c>
      <c r="L361" t="n">
        <v>9006</v>
      </c>
      <c r="M361" t="inlineStr">
        <is>
          <t>3,6,7</t>
        </is>
      </c>
      <c r="O361" t="n">
        <v>0.2</v>
      </c>
      <c r="P361" s="80" t="inlineStr">
        <is>
          <t>光蝕侵擾</t>
        </is>
      </c>
      <c r="Q361" t="inlineStr">
        <is>
          <t>debuff</t>
        </is>
      </c>
      <c r="R361" t="n">
        <v>9003</v>
      </c>
      <c r="S361" t="inlineStr">
        <is>
          <t>5,10,11</t>
        </is>
      </c>
      <c r="U361" t="n">
        <v>0.1</v>
      </c>
      <c r="V361" t="n">
        <v>70001</v>
      </c>
      <c r="W361" t="n">
        <v>2</v>
      </c>
      <c r="X361" t="n">
        <v>1</v>
      </c>
      <c r="Y361" t="n">
        <v>70002</v>
      </c>
      <c r="Z361" t="n">
        <v>2</v>
      </c>
      <c r="AA361" t="n">
        <v>1</v>
      </c>
      <c r="AB361" t="n">
        <v>1001</v>
      </c>
      <c r="AC361" t="n">
        <v>50</v>
      </c>
      <c r="AD361" t="n">
        <v>1</v>
      </c>
      <c r="AE361" t="n">
        <v>8000</v>
      </c>
      <c r="AF361" t="n">
        <v>880</v>
      </c>
      <c r="AG361" t="n">
        <v>1</v>
      </c>
    </row>
    <row r="362" ht="38.25" customHeight="1" s="142">
      <c r="A362" t="n">
        <v>1256</v>
      </c>
      <c r="B362" t="inlineStr">
        <is>
          <t>main</t>
        </is>
      </c>
      <c r="C362" t="n">
        <v>8</v>
      </c>
      <c r="D362" t="inlineStr">
        <is>
          <t>8-27</t>
        </is>
      </c>
      <c r="E362" t="n">
        <v>129</v>
      </c>
      <c r="G362" s="90" t="inlineStr">
        <is>
          <t>{role:-1},
{id:-1},{id:-1},{id:-1},{id:-1},{id:-1}
{id:40032},{id:40042},{id:40032},{id:40032},{id:40046}</t>
        </is>
      </c>
      <c r="I362" t="n">
        <v>33220</v>
      </c>
      <c r="J362" s="80" t="inlineStr">
        <is>
          <t>聖光普照</t>
        </is>
      </c>
      <c r="K362" t="inlineStr">
        <is>
          <t>buff</t>
        </is>
      </c>
      <c r="L362" t="n">
        <v>9005</v>
      </c>
      <c r="M362" t="inlineStr">
        <is>
          <t>7,12</t>
        </is>
      </c>
      <c r="O362" t="n">
        <v>0.6</v>
      </c>
      <c r="P362" s="80" t="inlineStr">
        <is>
          <t>光蝕侵擾</t>
        </is>
      </c>
      <c r="Q362" t="inlineStr">
        <is>
          <t>debuff</t>
        </is>
      </c>
      <c r="R362" t="n">
        <v>9012</v>
      </c>
      <c r="S362" t="inlineStr">
        <is>
          <t>6,7,10</t>
        </is>
      </c>
      <c r="U362" t="n">
        <v>0.9</v>
      </c>
      <c r="V362" t="n">
        <v>70001</v>
      </c>
      <c r="W362" t="n">
        <v>2</v>
      </c>
      <c r="X362" t="n">
        <v>1</v>
      </c>
      <c r="Y362" t="n">
        <v>70002</v>
      </c>
      <c r="Z362" t="n">
        <v>2</v>
      </c>
      <c r="AA362" t="n">
        <v>1</v>
      </c>
      <c r="AB362" t="n">
        <v>1001</v>
      </c>
      <c r="AC362" t="n">
        <v>50</v>
      </c>
      <c r="AD362" t="n">
        <v>1</v>
      </c>
      <c r="AE362" t="n">
        <v>8000</v>
      </c>
      <c r="AF362" t="n">
        <v>890</v>
      </c>
      <c r="AG362" t="n">
        <v>1</v>
      </c>
    </row>
    <row r="363" ht="38.25" customHeight="1" s="142">
      <c r="A363" t="n">
        <v>1257</v>
      </c>
      <c r="B363" t="inlineStr">
        <is>
          <t>main</t>
        </is>
      </c>
      <c r="C363" t="n">
        <v>8</v>
      </c>
      <c r="D363" t="inlineStr">
        <is>
          <t>8-28</t>
        </is>
      </c>
      <c r="E363" t="n">
        <v>129</v>
      </c>
      <c r="G363" s="90" t="inlineStr">
        <is>
          <t>{role:-1},
{id:-1},{id:-1},{id:-1},{id:-1},{id:-1}
{id:40032},{id:40046},{id:40046},{id:40074},{id:40074}</t>
        </is>
      </c>
      <c r="I363" t="n">
        <v>33345</v>
      </c>
      <c r="J363" s="80" t="inlineStr">
        <is>
          <t>聖光普照</t>
        </is>
      </c>
      <c r="K363" t="inlineStr">
        <is>
          <t>buff</t>
        </is>
      </c>
      <c r="L363" t="n">
        <v>9011</v>
      </c>
      <c r="M363" t="n">
        <v>12</v>
      </c>
      <c r="O363" t="n">
        <v>0.9</v>
      </c>
      <c r="P363" s="80" t="inlineStr">
        <is>
          <t>光蝕侵擾</t>
        </is>
      </c>
      <c r="Q363" t="inlineStr">
        <is>
          <t>debuff</t>
        </is>
      </c>
      <c r="R363" t="n">
        <v>9011</v>
      </c>
      <c r="S363" t="inlineStr">
        <is>
          <t>6,7,10</t>
        </is>
      </c>
      <c r="U363" t="n">
        <v>0.2</v>
      </c>
      <c r="V363" t="n">
        <v>70001</v>
      </c>
      <c r="W363" t="n">
        <v>2</v>
      </c>
      <c r="X363" t="n">
        <v>1</v>
      </c>
      <c r="Y363" t="n">
        <v>70002</v>
      </c>
      <c r="Z363" t="n">
        <v>2</v>
      </c>
      <c r="AA363" t="n">
        <v>1</v>
      </c>
      <c r="AB363" t="n">
        <v>1001</v>
      </c>
      <c r="AC363" t="n">
        <v>50</v>
      </c>
      <c r="AD363" t="n">
        <v>1</v>
      </c>
      <c r="AE363" t="n">
        <v>8000</v>
      </c>
      <c r="AF363" t="n">
        <v>890</v>
      </c>
      <c r="AG363" t="n">
        <v>1</v>
      </c>
    </row>
    <row r="364" ht="38.25" customHeight="1" s="142">
      <c r="A364" t="n">
        <v>1258</v>
      </c>
      <c r="B364" t="inlineStr">
        <is>
          <t>main</t>
        </is>
      </c>
      <c r="C364" t="n">
        <v>8</v>
      </c>
      <c r="D364" t="inlineStr">
        <is>
          <t>8-29</t>
        </is>
      </c>
      <c r="E364" t="n">
        <v>130</v>
      </c>
      <c r="G364" s="90" t="inlineStr">
        <is>
          <t>{role:-1},
{id:-1},{id:-1},{id:-1},{id:-1},{id:-1}
{id:40047},{id:40074},{id:40046},{id:40047},{id:40032}</t>
        </is>
      </c>
      <c r="I364" t="n">
        <v>33470</v>
      </c>
      <c r="J364" s="80" t="inlineStr">
        <is>
          <t>聖光普照</t>
        </is>
      </c>
      <c r="K364" t="inlineStr">
        <is>
          <t>buff</t>
        </is>
      </c>
      <c r="L364" t="n">
        <v>9005</v>
      </c>
      <c r="M364" t="n">
        <v>1</v>
      </c>
      <c r="O364" t="n">
        <v>0.8</v>
      </c>
      <c r="P364" s="80" t="inlineStr">
        <is>
          <t>光蝕侵擾</t>
        </is>
      </c>
      <c r="Q364" t="inlineStr">
        <is>
          <t>debuff</t>
        </is>
      </c>
      <c r="R364" t="n">
        <v>9007</v>
      </c>
      <c r="S364" t="inlineStr">
        <is>
          <t>3,9</t>
        </is>
      </c>
      <c r="U364" t="n">
        <v>0.7</v>
      </c>
      <c r="V364" t="n">
        <v>70001</v>
      </c>
      <c r="W364" t="n">
        <v>2</v>
      </c>
      <c r="X364" t="n">
        <v>1</v>
      </c>
      <c r="Y364" t="n">
        <v>70002</v>
      </c>
      <c r="Z364" t="n">
        <v>2</v>
      </c>
      <c r="AA364" t="n">
        <v>1</v>
      </c>
      <c r="AB364" t="n">
        <v>1001</v>
      </c>
      <c r="AC364" t="n">
        <v>50</v>
      </c>
      <c r="AD364" t="n">
        <v>1</v>
      </c>
      <c r="AE364" t="n">
        <v>8000</v>
      </c>
      <c r="AF364" t="n">
        <v>900</v>
      </c>
      <c r="AG364" t="n">
        <v>1</v>
      </c>
    </row>
    <row r="365" ht="38.25" customHeight="1" s="142">
      <c r="A365" t="n">
        <v>1259</v>
      </c>
      <c r="B365" t="inlineStr">
        <is>
          <t>main</t>
        </is>
      </c>
      <c r="C365" t="n">
        <v>8</v>
      </c>
      <c r="D365" t="inlineStr">
        <is>
          <t>8-30</t>
        </is>
      </c>
      <c r="E365" t="n">
        <v>130</v>
      </c>
      <c r="G365" s="90" t="inlineStr">
        <is>
          <t>{role:-1},
{id:-1},{id:-1},{id:-1},{id:-1},{id:-1}
{id:40046},{id:40042},{id:40074},{id:40042},{id:40047}</t>
        </is>
      </c>
      <c r="I365" t="n">
        <v>33595</v>
      </c>
      <c r="J365" s="80" t="inlineStr">
        <is>
          <t>聖光普照</t>
        </is>
      </c>
      <c r="K365" t="inlineStr">
        <is>
          <t>buff</t>
        </is>
      </c>
      <c r="L365" t="n">
        <v>9002</v>
      </c>
      <c r="M365" t="inlineStr">
        <is>
          <t>1,7</t>
        </is>
      </c>
      <c r="O365" t="n">
        <v>0.6</v>
      </c>
      <c r="P365" s="80" t="inlineStr">
        <is>
          <t>光蝕侵擾</t>
        </is>
      </c>
      <c r="Q365" t="inlineStr">
        <is>
          <t>debuff</t>
        </is>
      </c>
      <c r="R365" t="n">
        <v>9004</v>
      </c>
      <c r="S365" t="n">
        <v>5</v>
      </c>
      <c r="U365" t="n">
        <v>0.2</v>
      </c>
      <c r="V365" t="n">
        <v>70001</v>
      </c>
      <c r="W365" t="n">
        <v>2</v>
      </c>
      <c r="X365" t="n">
        <v>1</v>
      </c>
      <c r="Y365" t="n">
        <v>70002</v>
      </c>
      <c r="Z365" t="n">
        <v>2</v>
      </c>
      <c r="AA365" t="n">
        <v>1</v>
      </c>
      <c r="AB365" t="n">
        <v>1001</v>
      </c>
      <c r="AC365" t="n">
        <v>50</v>
      </c>
      <c r="AD365" t="n">
        <v>1</v>
      </c>
      <c r="AE365" t="n">
        <v>8000</v>
      </c>
      <c r="AF365" t="n">
        <v>900</v>
      </c>
      <c r="AG365" t="n">
        <v>1</v>
      </c>
    </row>
    <row r="366" ht="38.25" customHeight="1" s="142">
      <c r="A366" t="n">
        <v>1260</v>
      </c>
      <c r="B366" t="inlineStr">
        <is>
          <t>main</t>
        </is>
      </c>
      <c r="C366" t="n">
        <v>8</v>
      </c>
      <c r="D366" t="inlineStr">
        <is>
          <t>8-31</t>
        </is>
      </c>
      <c r="E366" t="n">
        <v>131</v>
      </c>
      <c r="G366" s="90" t="inlineStr">
        <is>
          <t>{role:-1},
{id:-1},{id:-1},{id:-1},{id:-1},{id:-1}
{id:40042},{id:40032},{id:40046},{id:40032},{id:40042}</t>
        </is>
      </c>
      <c r="I366" t="n">
        <v>33720</v>
      </c>
      <c r="J366" s="80" t="inlineStr">
        <is>
          <t>聖光普照</t>
        </is>
      </c>
      <c r="K366" t="inlineStr">
        <is>
          <t>buff</t>
        </is>
      </c>
      <c r="L366" t="n">
        <v>9007</v>
      </c>
      <c r="M366" t="n">
        <v>10</v>
      </c>
      <c r="O366" t="n">
        <v>0.2</v>
      </c>
      <c r="P366" s="80" t="inlineStr">
        <is>
          <t>光蝕侵擾</t>
        </is>
      </c>
      <c r="Q366" t="inlineStr">
        <is>
          <t>debuff</t>
        </is>
      </c>
      <c r="R366" t="n">
        <v>9012</v>
      </c>
      <c r="S366" t="inlineStr">
        <is>
          <t>4,9,10</t>
        </is>
      </c>
      <c r="U366" t="n">
        <v>0.4</v>
      </c>
      <c r="V366" t="n">
        <v>70001</v>
      </c>
      <c r="W366" t="n">
        <v>2</v>
      </c>
      <c r="X366" t="n">
        <v>1</v>
      </c>
      <c r="Y366" t="n">
        <v>70002</v>
      </c>
      <c r="Z366" t="n">
        <v>2</v>
      </c>
      <c r="AA366" t="n">
        <v>1</v>
      </c>
      <c r="AB366" t="n">
        <v>1001</v>
      </c>
      <c r="AC366" t="n">
        <v>50</v>
      </c>
      <c r="AD366" t="n">
        <v>1</v>
      </c>
      <c r="AE366" t="n">
        <v>8000</v>
      </c>
      <c r="AF366" t="n">
        <v>910</v>
      </c>
      <c r="AG366" t="n">
        <v>1</v>
      </c>
    </row>
    <row r="367" ht="38.25" customHeight="1" s="142">
      <c r="A367" t="n">
        <v>1261</v>
      </c>
      <c r="B367" t="inlineStr">
        <is>
          <t>main</t>
        </is>
      </c>
      <c r="C367" t="n">
        <v>8</v>
      </c>
      <c r="D367" t="inlineStr">
        <is>
          <t>8-32</t>
        </is>
      </c>
      <c r="E367" t="n">
        <v>131</v>
      </c>
      <c r="G367" s="90" t="inlineStr">
        <is>
          <t>{role:-1},
{id:-1},{id:-1},{id:-1},{id:-1},{id:-1}
{id:40042},{id:40074},{id:40074},{id:40046},{id:40042}</t>
        </is>
      </c>
      <c r="I367" t="n">
        <v>33845</v>
      </c>
      <c r="J367" s="80" t="inlineStr">
        <is>
          <t>聖光普照</t>
        </is>
      </c>
      <c r="K367" t="inlineStr">
        <is>
          <t>buff</t>
        </is>
      </c>
      <c r="L367" t="n">
        <v>9006</v>
      </c>
      <c r="M367" t="inlineStr">
        <is>
          <t>1,6,10</t>
        </is>
      </c>
      <c r="O367" t="n">
        <v>0.7</v>
      </c>
      <c r="P367" s="80" t="inlineStr">
        <is>
          <t>光蝕侵擾</t>
        </is>
      </c>
      <c r="Q367" t="inlineStr">
        <is>
          <t>debuff</t>
        </is>
      </c>
      <c r="R367" t="n">
        <v>9007</v>
      </c>
      <c r="S367" t="inlineStr">
        <is>
          <t>2,9</t>
        </is>
      </c>
      <c r="U367" t="n">
        <v>0.7</v>
      </c>
      <c r="V367" t="n">
        <v>70001</v>
      </c>
      <c r="W367" t="n">
        <v>2</v>
      </c>
      <c r="X367" t="n">
        <v>1</v>
      </c>
      <c r="Y367" t="n">
        <v>70002</v>
      </c>
      <c r="Z367" t="n">
        <v>2</v>
      </c>
      <c r="AA367" t="n">
        <v>1</v>
      </c>
      <c r="AB367" t="n">
        <v>1001</v>
      </c>
      <c r="AC367" t="n">
        <v>50</v>
      </c>
      <c r="AD367" t="n">
        <v>1</v>
      </c>
      <c r="AE367" t="n">
        <v>8000</v>
      </c>
      <c r="AF367" t="n">
        <v>910</v>
      </c>
      <c r="AG367" t="n">
        <v>1</v>
      </c>
    </row>
    <row r="368" ht="38.25" customHeight="1" s="142">
      <c r="A368" t="n">
        <v>1262</v>
      </c>
      <c r="B368" t="inlineStr">
        <is>
          <t>main</t>
        </is>
      </c>
      <c r="C368" t="n">
        <v>8</v>
      </c>
      <c r="D368" t="inlineStr">
        <is>
          <t>8-33</t>
        </is>
      </c>
      <c r="E368" t="n">
        <v>132</v>
      </c>
      <c r="G368" s="90" t="inlineStr">
        <is>
          <t>{role:-1},
{id:-1},{id:-1},{id:-1},{id:-1},{id:-1}
{id:40046},{id:40047},{id:40042},{id:40042},{id:40046}</t>
        </is>
      </c>
      <c r="I368" t="n">
        <v>33970</v>
      </c>
      <c r="J368" s="80" t="inlineStr">
        <is>
          <t>聖光普照</t>
        </is>
      </c>
      <c r="K368" t="inlineStr">
        <is>
          <t>buff</t>
        </is>
      </c>
      <c r="L368" t="n">
        <v>9012</v>
      </c>
      <c r="M368" t="inlineStr">
        <is>
          <t>2,6,9</t>
        </is>
      </c>
      <c r="O368" t="n">
        <v>0.2</v>
      </c>
      <c r="P368" s="80" t="inlineStr">
        <is>
          <t>光蝕侵擾</t>
        </is>
      </c>
      <c r="Q368" t="inlineStr">
        <is>
          <t>debuff</t>
        </is>
      </c>
      <c r="R368" t="n">
        <v>9012</v>
      </c>
      <c r="S368" t="n">
        <v>10</v>
      </c>
      <c r="U368" t="n">
        <v>0.3</v>
      </c>
      <c r="V368" t="n">
        <v>70001</v>
      </c>
      <c r="W368" t="n">
        <v>2</v>
      </c>
      <c r="X368" t="n">
        <v>1</v>
      </c>
      <c r="Y368" t="n">
        <v>70002</v>
      </c>
      <c r="Z368" t="n">
        <v>2</v>
      </c>
      <c r="AA368" t="n">
        <v>1</v>
      </c>
      <c r="AB368" t="n">
        <v>1001</v>
      </c>
      <c r="AC368" t="n">
        <v>50</v>
      </c>
      <c r="AD368" t="n">
        <v>1</v>
      </c>
      <c r="AE368" t="n">
        <v>8000</v>
      </c>
      <c r="AF368" t="n">
        <v>920</v>
      </c>
      <c r="AG368" t="n">
        <v>1</v>
      </c>
    </row>
    <row r="369" ht="38.25" customHeight="1" s="142">
      <c r="A369" t="n">
        <v>1263</v>
      </c>
      <c r="B369" t="inlineStr">
        <is>
          <t>main</t>
        </is>
      </c>
      <c r="C369" t="n">
        <v>8</v>
      </c>
      <c r="D369" t="inlineStr">
        <is>
          <t>8-34</t>
        </is>
      </c>
      <c r="E369" t="n">
        <v>132</v>
      </c>
      <c r="G369" s="90" t="inlineStr">
        <is>
          <t>{role:-1},
{id:-1},{id:-1},{id:-1},{id:-1},{id:-1}
{id:40074},{id:40046},{id:40046},{id:40046},{id:40032}</t>
        </is>
      </c>
      <c r="I369" t="n">
        <v>34095</v>
      </c>
      <c r="J369" s="80" t="inlineStr">
        <is>
          <t>聖光普照</t>
        </is>
      </c>
      <c r="K369" t="inlineStr">
        <is>
          <t>buff</t>
        </is>
      </c>
      <c r="L369" t="n">
        <v>9005</v>
      </c>
      <c r="M369" t="n">
        <v>11</v>
      </c>
      <c r="O369" t="n">
        <v>0.1</v>
      </c>
      <c r="P369" s="80" t="inlineStr">
        <is>
          <t>光蝕侵擾</t>
        </is>
      </c>
      <c r="Q369" t="inlineStr">
        <is>
          <t>debuff</t>
        </is>
      </c>
      <c r="R369" t="n">
        <v>9003</v>
      </c>
      <c r="S369" t="inlineStr">
        <is>
          <t>7,8,13</t>
        </is>
      </c>
      <c r="U369" t="n">
        <v>0.4</v>
      </c>
      <c r="V369" t="n">
        <v>70001</v>
      </c>
      <c r="W369" t="n">
        <v>2</v>
      </c>
      <c r="X369" t="n">
        <v>1</v>
      </c>
      <c r="Y369" t="n">
        <v>70002</v>
      </c>
      <c r="Z369" t="n">
        <v>2</v>
      </c>
      <c r="AA369" t="n">
        <v>1</v>
      </c>
      <c r="AB369" t="n">
        <v>1001</v>
      </c>
      <c r="AC369" t="n">
        <v>50</v>
      </c>
      <c r="AD369" t="n">
        <v>1</v>
      </c>
      <c r="AE369" t="n">
        <v>8000</v>
      </c>
      <c r="AF369" t="n">
        <v>920</v>
      </c>
      <c r="AG369" t="n">
        <v>1</v>
      </c>
    </row>
    <row r="370" ht="38.25" customHeight="1" s="142">
      <c r="A370" t="n">
        <v>1264</v>
      </c>
      <c r="B370" t="inlineStr">
        <is>
          <t>main</t>
        </is>
      </c>
      <c r="C370" t="n">
        <v>8</v>
      </c>
      <c r="D370" t="inlineStr">
        <is>
          <t>8-35</t>
        </is>
      </c>
      <c r="E370" t="n">
        <v>133</v>
      </c>
      <c r="G370" s="90" t="inlineStr">
        <is>
          <t>{role:-1},
{id:-1},{id:-1},{id:-1},{id:-1},{id:-1}
{id:40032},{id:40032},{id:40046},{id:40042},{id:40047}</t>
        </is>
      </c>
      <c r="I370" t="n">
        <v>34220</v>
      </c>
      <c r="J370" s="80" t="inlineStr">
        <is>
          <t>聖光普照</t>
        </is>
      </c>
      <c r="K370" t="inlineStr">
        <is>
          <t>buff</t>
        </is>
      </c>
      <c r="L370" t="n">
        <v>9011</v>
      </c>
      <c r="M370" t="inlineStr">
        <is>
          <t>4,8</t>
        </is>
      </c>
      <c r="O370" t="n">
        <v>0.1</v>
      </c>
      <c r="P370" s="80" t="inlineStr">
        <is>
          <t>光蝕侵擾</t>
        </is>
      </c>
      <c r="Q370" t="inlineStr">
        <is>
          <t>debuff</t>
        </is>
      </c>
      <c r="R370" t="n">
        <v>9008</v>
      </c>
      <c r="S370" t="inlineStr">
        <is>
          <t>1,5,8</t>
        </is>
      </c>
      <c r="U370" t="n">
        <v>0.1</v>
      </c>
      <c r="V370" t="n">
        <v>70001</v>
      </c>
      <c r="W370" t="n">
        <v>2</v>
      </c>
      <c r="X370" t="n">
        <v>1</v>
      </c>
      <c r="Y370" t="n">
        <v>70002</v>
      </c>
      <c r="Z370" t="n">
        <v>2</v>
      </c>
      <c r="AA370" t="n">
        <v>1</v>
      </c>
      <c r="AB370" t="n">
        <v>1001</v>
      </c>
      <c r="AC370" t="n">
        <v>50</v>
      </c>
      <c r="AD370" t="n">
        <v>1</v>
      </c>
      <c r="AE370" t="n">
        <v>8000</v>
      </c>
      <c r="AF370" t="n">
        <v>920</v>
      </c>
      <c r="AG370" t="n">
        <v>1</v>
      </c>
    </row>
    <row r="371" ht="38.25" customHeight="1" s="142">
      <c r="A371" t="n">
        <v>1265</v>
      </c>
      <c r="B371" t="inlineStr">
        <is>
          <t>main</t>
        </is>
      </c>
      <c r="C371" t="n">
        <v>8</v>
      </c>
      <c r="D371" t="inlineStr">
        <is>
          <t>8-36</t>
        </is>
      </c>
      <c r="E371" t="n">
        <v>133</v>
      </c>
      <c r="G371" s="90" t="inlineStr">
        <is>
          <t>{role:-1},
{id:-1},{id:-1},{id:-1},{id:-1},{id:-1}
{id:40032},{id:40032},{id:40042},{id:40046},{id:40042}</t>
        </is>
      </c>
      <c r="I371" t="n">
        <v>34345</v>
      </c>
      <c r="J371" s="80" t="inlineStr">
        <is>
          <t>聖光普照</t>
        </is>
      </c>
      <c r="K371" t="inlineStr">
        <is>
          <t>buff</t>
        </is>
      </c>
      <c r="L371" t="n">
        <v>9001</v>
      </c>
      <c r="M371" t="n">
        <v>3</v>
      </c>
      <c r="O371" t="n">
        <v>0.9</v>
      </c>
      <c r="P371" s="80" t="inlineStr">
        <is>
          <t>光蝕侵擾</t>
        </is>
      </c>
      <c r="Q371" t="inlineStr">
        <is>
          <t>debuff</t>
        </is>
      </c>
      <c r="R371" t="n">
        <v>9004</v>
      </c>
      <c r="S371" t="inlineStr">
        <is>
          <t>2,6</t>
        </is>
      </c>
      <c r="U371" t="n">
        <v>0.5</v>
      </c>
      <c r="V371" t="n">
        <v>70001</v>
      </c>
      <c r="W371" t="n">
        <v>2</v>
      </c>
      <c r="X371" t="n">
        <v>1</v>
      </c>
      <c r="Y371" t="n">
        <v>70002</v>
      </c>
      <c r="Z371" t="n">
        <v>2</v>
      </c>
      <c r="AA371" t="n">
        <v>1</v>
      </c>
      <c r="AB371" t="n">
        <v>1001</v>
      </c>
      <c r="AC371" t="n">
        <v>50</v>
      </c>
      <c r="AD371" t="n">
        <v>1</v>
      </c>
      <c r="AE371" t="n">
        <v>8000</v>
      </c>
      <c r="AF371" t="n">
        <v>930</v>
      </c>
      <c r="AG371" t="n">
        <v>1</v>
      </c>
    </row>
    <row r="372" ht="38.25" customHeight="1" s="142">
      <c r="A372" t="n">
        <v>1266</v>
      </c>
      <c r="B372" t="inlineStr">
        <is>
          <t>main</t>
        </is>
      </c>
      <c r="C372" t="n">
        <v>8</v>
      </c>
      <c r="D372" t="inlineStr">
        <is>
          <t>8-37</t>
        </is>
      </c>
      <c r="E372" t="n">
        <v>134</v>
      </c>
      <c r="G372" s="90" t="inlineStr">
        <is>
          <t>{role:-1},
{id:-1},{id:-1},{id:-1},{id:-1},{id:-1}
{id:40047},{id:40046},{id:40047},{id:40032},{id:40032}</t>
        </is>
      </c>
      <c r="I372" t="n">
        <v>34470</v>
      </c>
      <c r="J372" s="80" t="inlineStr">
        <is>
          <t>聖光普照</t>
        </is>
      </c>
      <c r="K372" t="inlineStr">
        <is>
          <t>buff</t>
        </is>
      </c>
      <c r="L372" t="n">
        <v>9011</v>
      </c>
      <c r="M372" t="inlineStr">
        <is>
          <t>4,6,8</t>
        </is>
      </c>
      <c r="O372" t="n">
        <v>0.4</v>
      </c>
      <c r="P372" s="80" t="inlineStr">
        <is>
          <t>光蝕侵擾</t>
        </is>
      </c>
      <c r="Q372" t="inlineStr">
        <is>
          <t>debuff</t>
        </is>
      </c>
      <c r="R372" t="n">
        <v>9010</v>
      </c>
      <c r="S372" t="inlineStr">
        <is>
          <t>1,6,8</t>
        </is>
      </c>
      <c r="U372" t="n">
        <v>0.9</v>
      </c>
      <c r="V372" t="n">
        <v>70001</v>
      </c>
      <c r="W372" t="n">
        <v>2</v>
      </c>
      <c r="X372" t="n">
        <v>1</v>
      </c>
      <c r="Y372" t="n">
        <v>70002</v>
      </c>
      <c r="Z372" t="n">
        <v>2</v>
      </c>
      <c r="AA372" t="n">
        <v>1</v>
      </c>
      <c r="AB372" t="n">
        <v>1001</v>
      </c>
      <c r="AC372" t="n">
        <v>50</v>
      </c>
      <c r="AD372" t="n">
        <v>1</v>
      </c>
      <c r="AE372" t="n">
        <v>8000</v>
      </c>
      <c r="AF372" t="n">
        <v>930</v>
      </c>
      <c r="AG372" t="n">
        <v>1</v>
      </c>
    </row>
    <row r="373" ht="38.25" customHeight="1" s="142">
      <c r="A373" t="n">
        <v>1267</v>
      </c>
      <c r="B373" t="inlineStr">
        <is>
          <t>main</t>
        </is>
      </c>
      <c r="C373" t="n">
        <v>8</v>
      </c>
      <c r="D373" t="inlineStr">
        <is>
          <t>8-38</t>
        </is>
      </c>
      <c r="E373" t="n">
        <v>134</v>
      </c>
      <c r="G373" s="90" t="inlineStr">
        <is>
          <t>{role:-1},
{id:-1},{id:-1},{id:-1},{id:-1},{id:-1}
{id:40046},{id:40042},{id:40047},{id:40074},{id:40047}</t>
        </is>
      </c>
      <c r="I373" t="n">
        <v>34595</v>
      </c>
      <c r="J373" s="80" t="inlineStr">
        <is>
          <t>聖光普照</t>
        </is>
      </c>
      <c r="K373" t="inlineStr">
        <is>
          <t>buff</t>
        </is>
      </c>
      <c r="L373" t="n">
        <v>9008</v>
      </c>
      <c r="M373" t="n">
        <v>1</v>
      </c>
      <c r="O373" t="n">
        <v>0.1</v>
      </c>
      <c r="P373" s="80" t="inlineStr">
        <is>
          <t>光蝕侵擾</t>
        </is>
      </c>
      <c r="Q373" t="inlineStr">
        <is>
          <t>debuff</t>
        </is>
      </c>
      <c r="R373" t="n">
        <v>9007</v>
      </c>
      <c r="S373" t="n">
        <v>4</v>
      </c>
      <c r="U373" t="n">
        <v>0.4</v>
      </c>
      <c r="V373" t="n">
        <v>70001</v>
      </c>
      <c r="W373" t="n">
        <v>2</v>
      </c>
      <c r="X373" t="n">
        <v>1</v>
      </c>
      <c r="Y373" t="n">
        <v>70002</v>
      </c>
      <c r="Z373" t="n">
        <v>2</v>
      </c>
      <c r="AA373" t="n">
        <v>1</v>
      </c>
      <c r="AB373" t="n">
        <v>1001</v>
      </c>
      <c r="AC373" t="n">
        <v>50</v>
      </c>
      <c r="AD373" t="n">
        <v>1</v>
      </c>
      <c r="AE373" t="n">
        <v>8000</v>
      </c>
      <c r="AF373" t="n">
        <v>940</v>
      </c>
      <c r="AG373" t="n">
        <v>1</v>
      </c>
    </row>
    <row r="374" ht="38.25" customHeight="1" s="142">
      <c r="A374" t="n">
        <v>1268</v>
      </c>
      <c r="B374" t="inlineStr">
        <is>
          <t>main</t>
        </is>
      </c>
      <c r="C374" t="n">
        <v>8</v>
      </c>
      <c r="D374" t="inlineStr">
        <is>
          <t>8-39</t>
        </is>
      </c>
      <c r="E374" t="n">
        <v>135</v>
      </c>
      <c r="G374" s="90" t="inlineStr">
        <is>
          <t>{role:-1},
{id:-1},{id:-1},{id:-1},{id:-1},{id:-1}
{id:40074},{id:40042},{id:40047},{id:40047},{id:40046}</t>
        </is>
      </c>
      <c r="I374" t="n">
        <v>34720</v>
      </c>
      <c r="J374" s="80" t="inlineStr">
        <is>
          <t>聖光普照</t>
        </is>
      </c>
      <c r="K374" t="inlineStr">
        <is>
          <t>buff</t>
        </is>
      </c>
      <c r="L374" t="n">
        <v>9007</v>
      </c>
      <c r="M374" t="n">
        <v>12</v>
      </c>
      <c r="O374" t="n">
        <v>0.9</v>
      </c>
      <c r="P374" s="80" t="inlineStr">
        <is>
          <t>光蝕侵擾</t>
        </is>
      </c>
      <c r="Q374" t="inlineStr">
        <is>
          <t>debuff</t>
        </is>
      </c>
      <c r="R374" t="n">
        <v>9008</v>
      </c>
      <c r="S374" t="inlineStr">
        <is>
          <t>9,11,12</t>
        </is>
      </c>
      <c r="U374" t="n">
        <v>0.5</v>
      </c>
      <c r="V374" t="n">
        <v>70001</v>
      </c>
      <c r="W374" t="n">
        <v>2</v>
      </c>
      <c r="X374" t="n">
        <v>1</v>
      </c>
      <c r="Y374" t="n">
        <v>70002</v>
      </c>
      <c r="Z374" t="n">
        <v>2</v>
      </c>
      <c r="AA374" t="n">
        <v>1</v>
      </c>
      <c r="AB374" t="n">
        <v>1001</v>
      </c>
      <c r="AC374" t="n">
        <v>50</v>
      </c>
      <c r="AD374" t="n">
        <v>1</v>
      </c>
      <c r="AE374" t="n">
        <v>8000</v>
      </c>
      <c r="AF374" t="n">
        <v>940</v>
      </c>
      <c r="AG374" t="n">
        <v>1</v>
      </c>
    </row>
    <row r="375" ht="38.25" customHeight="1" s="142">
      <c r="A375" t="n">
        <v>1269</v>
      </c>
      <c r="B375" t="inlineStr">
        <is>
          <t>main</t>
        </is>
      </c>
      <c r="C375" t="n">
        <v>8</v>
      </c>
      <c r="D375" t="inlineStr">
        <is>
          <t>8-40</t>
        </is>
      </c>
      <c r="E375" t="n">
        <v>135</v>
      </c>
      <c r="G375" s="90" t="inlineStr">
        <is>
          <t>{role:-1},
{id:-1},{id:-1},{id:-1},{id:-1},{id:-1}
{id:50009},{id:40074},{id:40032},{id:40047},{id:40046}</t>
        </is>
      </c>
      <c r="I375" t="n">
        <v>34845</v>
      </c>
      <c r="J375" s="80" t="inlineStr">
        <is>
          <t>聖光普照</t>
        </is>
      </c>
      <c r="K375" t="inlineStr">
        <is>
          <t>buff</t>
        </is>
      </c>
      <c r="L375" t="n">
        <v>9007</v>
      </c>
      <c r="M375" t="n">
        <v>8</v>
      </c>
      <c r="O375" t="n">
        <v>0.5</v>
      </c>
      <c r="P375" s="80" t="inlineStr">
        <is>
          <t>光蝕侵擾</t>
        </is>
      </c>
      <c r="Q375" t="inlineStr">
        <is>
          <t>debuff</t>
        </is>
      </c>
      <c r="R375" t="n">
        <v>9003</v>
      </c>
      <c r="S375" t="n">
        <v>4</v>
      </c>
      <c r="U375" t="n">
        <v>0.8</v>
      </c>
      <c r="V375" t="n">
        <v>70001</v>
      </c>
      <c r="W375" t="n">
        <v>2</v>
      </c>
      <c r="X375" t="n">
        <v>1</v>
      </c>
      <c r="Y375" t="n">
        <v>70002</v>
      </c>
      <c r="Z375" t="n">
        <v>2</v>
      </c>
      <c r="AA375" t="n">
        <v>1</v>
      </c>
      <c r="AB375" t="n">
        <v>1001</v>
      </c>
      <c r="AC375" t="n">
        <v>50</v>
      </c>
      <c r="AD375" t="n">
        <v>1</v>
      </c>
      <c r="AE375" t="n">
        <v>8000</v>
      </c>
      <c r="AF375" t="n">
        <v>950</v>
      </c>
      <c r="AG375" t="n">
        <v>1</v>
      </c>
    </row>
    <row r="376" ht="38.25" customHeight="1" s="142">
      <c r="A376" t="n">
        <v>1270</v>
      </c>
      <c r="B376" t="inlineStr">
        <is>
          <t>main</t>
        </is>
      </c>
      <c r="C376" t="n">
        <v>9</v>
      </c>
      <c r="D376" t="inlineStr">
        <is>
          <t>9-1</t>
        </is>
      </c>
      <c r="E376" t="n">
        <v>136</v>
      </c>
      <c r="G376" s="90" t="inlineStr">
        <is>
          <t>{role:-1},
{id:-1},{id:-1},{id:-1},{id:-1},{id:-1}
{id:40075},{id:40050}</t>
        </is>
      </c>
      <c r="I376" t="n">
        <v>34970</v>
      </c>
      <c r="J376" s="80" t="inlineStr">
        <is>
          <t>贖罪回聲</t>
        </is>
      </c>
      <c r="K376" t="inlineStr">
        <is>
          <t>buff</t>
        </is>
      </c>
      <c r="L376" t="n">
        <v>9012</v>
      </c>
      <c r="M376" t="inlineStr">
        <is>
          <t>3,8,9</t>
        </is>
      </c>
      <c r="O376" t="n">
        <v>0.3</v>
      </c>
      <c r="P376" s="80" t="inlineStr">
        <is>
          <t>墮落低語</t>
        </is>
      </c>
      <c r="Q376" t="inlineStr">
        <is>
          <t>debuff</t>
        </is>
      </c>
      <c r="R376" t="n">
        <v>9003</v>
      </c>
      <c r="S376" t="inlineStr">
        <is>
          <t>4,12,13</t>
        </is>
      </c>
      <c r="U376" t="n">
        <v>0.1</v>
      </c>
      <c r="V376" t="n">
        <v>70001</v>
      </c>
      <c r="W376" t="n">
        <v>2</v>
      </c>
      <c r="X376" t="n">
        <v>1</v>
      </c>
      <c r="Y376" t="n">
        <v>70002</v>
      </c>
      <c r="Z376" t="n">
        <v>2</v>
      </c>
      <c r="AA376" t="n">
        <v>1</v>
      </c>
      <c r="AB376" t="n">
        <v>1001</v>
      </c>
      <c r="AC376" t="n">
        <v>50</v>
      </c>
      <c r="AD376" t="n">
        <v>1</v>
      </c>
      <c r="AE376" t="n">
        <v>8000</v>
      </c>
      <c r="AF376" t="n">
        <v>950</v>
      </c>
      <c r="AG376" t="n">
        <v>1</v>
      </c>
    </row>
    <row r="377" ht="38.25" customHeight="1" s="142">
      <c r="A377" t="n">
        <v>1271</v>
      </c>
      <c r="B377" t="inlineStr">
        <is>
          <t>main</t>
        </is>
      </c>
      <c r="C377" t="n">
        <v>9</v>
      </c>
      <c r="D377" t="inlineStr">
        <is>
          <t>9-2</t>
        </is>
      </c>
      <c r="E377" t="n">
        <v>136</v>
      </c>
      <c r="G377" s="90" t="inlineStr">
        <is>
          <t>{role:-1},
{id:-1},{id:-1},{id:-1},{id:-1},{id:-1}
{id:40075},{id:40045}</t>
        </is>
      </c>
      <c r="I377" t="n">
        <v>35095</v>
      </c>
      <c r="J377" s="80" t="inlineStr">
        <is>
          <t>贖罪回聲</t>
        </is>
      </c>
      <c r="K377" t="inlineStr">
        <is>
          <t>buff</t>
        </is>
      </c>
      <c r="L377" t="n">
        <v>9002</v>
      </c>
      <c r="M377" t="inlineStr">
        <is>
          <t>3,9</t>
        </is>
      </c>
      <c r="O377" t="n">
        <v>0.5</v>
      </c>
      <c r="P377" s="80" t="inlineStr">
        <is>
          <t>墮落低語</t>
        </is>
      </c>
      <c r="Q377" t="inlineStr">
        <is>
          <t>debuff</t>
        </is>
      </c>
      <c r="R377" t="n">
        <v>9011</v>
      </c>
      <c r="S377" t="inlineStr">
        <is>
          <t>2,6,10</t>
        </is>
      </c>
      <c r="U377" t="n">
        <v>0.6</v>
      </c>
      <c r="V377" t="n">
        <v>70001</v>
      </c>
      <c r="W377" t="n">
        <v>2</v>
      </c>
      <c r="X377" t="n">
        <v>1</v>
      </c>
      <c r="Y377" t="n">
        <v>70002</v>
      </c>
      <c r="Z377" t="n">
        <v>2</v>
      </c>
      <c r="AA377" t="n">
        <v>1</v>
      </c>
      <c r="AB377" t="n">
        <v>1001</v>
      </c>
      <c r="AC377" t="n">
        <v>50</v>
      </c>
      <c r="AD377" t="n">
        <v>1</v>
      </c>
      <c r="AE377" t="n">
        <v>8000</v>
      </c>
      <c r="AF377" t="n">
        <v>960</v>
      </c>
      <c r="AG377" t="n">
        <v>1</v>
      </c>
    </row>
    <row r="378" ht="38.25" customHeight="1" s="142">
      <c r="A378" t="n">
        <v>1272</v>
      </c>
      <c r="B378" t="inlineStr">
        <is>
          <t>main</t>
        </is>
      </c>
      <c r="C378" t="n">
        <v>9</v>
      </c>
      <c r="D378" t="inlineStr">
        <is>
          <t>9-3</t>
        </is>
      </c>
      <c r="E378" t="n">
        <v>137</v>
      </c>
      <c r="G378" s="90" t="inlineStr">
        <is>
          <t>{role:-1},
{id:-1},{id:-1},{id:-1},{id:-1},{id:-1}
{id:40075},{id:40045}</t>
        </is>
      </c>
      <c r="I378" t="n">
        <v>35220</v>
      </c>
      <c r="J378" s="80" t="inlineStr">
        <is>
          <t>贖罪回聲</t>
        </is>
      </c>
      <c r="K378" t="inlineStr">
        <is>
          <t>buff</t>
        </is>
      </c>
      <c r="L378" t="n">
        <v>9008</v>
      </c>
      <c r="M378" t="n">
        <v>3</v>
      </c>
      <c r="O378" t="n">
        <v>0.5</v>
      </c>
      <c r="P378" s="80" t="inlineStr">
        <is>
          <t>墮落低語</t>
        </is>
      </c>
      <c r="Q378" t="inlineStr">
        <is>
          <t>debuff</t>
        </is>
      </c>
      <c r="R378" t="n">
        <v>9011</v>
      </c>
      <c r="S378" t="inlineStr">
        <is>
          <t>4,8,11</t>
        </is>
      </c>
      <c r="U378" t="n">
        <v>0.8</v>
      </c>
      <c r="V378" t="n">
        <v>70001</v>
      </c>
      <c r="W378" t="n">
        <v>2</v>
      </c>
      <c r="X378" t="n">
        <v>1</v>
      </c>
      <c r="Y378" t="n">
        <v>70002</v>
      </c>
      <c r="Z378" t="n">
        <v>2</v>
      </c>
      <c r="AA378" t="n">
        <v>1</v>
      </c>
      <c r="AB378" t="n">
        <v>1001</v>
      </c>
      <c r="AC378" t="n">
        <v>50</v>
      </c>
      <c r="AD378" t="n">
        <v>1</v>
      </c>
      <c r="AE378" t="n">
        <v>8000</v>
      </c>
      <c r="AF378" t="n">
        <v>960</v>
      </c>
      <c r="AG378" t="n">
        <v>1</v>
      </c>
    </row>
    <row r="379" ht="38.25" customHeight="1" s="142">
      <c r="A379" t="n">
        <v>1273</v>
      </c>
      <c r="B379" t="inlineStr">
        <is>
          <t>main</t>
        </is>
      </c>
      <c r="C379" t="n">
        <v>9</v>
      </c>
      <c r="D379" t="inlineStr">
        <is>
          <t>9-4</t>
        </is>
      </c>
      <c r="E379" t="n">
        <v>137</v>
      </c>
      <c r="G379" s="90" t="inlineStr">
        <is>
          <t>{role:-1},
{id:-1},{id:-1},{id:-1},{id:-1},{id:-1}
{id:40052},{id:40052}</t>
        </is>
      </c>
      <c r="I379" t="n">
        <v>35345</v>
      </c>
      <c r="J379" s="80" t="inlineStr">
        <is>
          <t>贖罪回聲</t>
        </is>
      </c>
      <c r="K379" t="inlineStr">
        <is>
          <t>buff</t>
        </is>
      </c>
      <c r="L379" t="n">
        <v>9007</v>
      </c>
      <c r="M379" t="inlineStr">
        <is>
          <t>4,7</t>
        </is>
      </c>
      <c r="O379" t="n">
        <v>0.1</v>
      </c>
      <c r="P379" s="80" t="inlineStr">
        <is>
          <t>墮落低語</t>
        </is>
      </c>
      <c r="Q379" t="inlineStr">
        <is>
          <t>debuff</t>
        </is>
      </c>
      <c r="R379" t="n">
        <v>9007</v>
      </c>
      <c r="S379" t="inlineStr">
        <is>
          <t>6,13</t>
        </is>
      </c>
      <c r="U379" t="n">
        <v>0.6</v>
      </c>
      <c r="V379" t="n">
        <v>70001</v>
      </c>
      <c r="W379" t="n">
        <v>2</v>
      </c>
      <c r="X379" t="n">
        <v>1</v>
      </c>
      <c r="Y379" t="n">
        <v>70002</v>
      </c>
      <c r="Z379" t="n">
        <v>2</v>
      </c>
      <c r="AA379" t="n">
        <v>1</v>
      </c>
      <c r="AB379" t="n">
        <v>1001</v>
      </c>
      <c r="AC379" t="n">
        <v>50</v>
      </c>
      <c r="AD379" t="n">
        <v>1</v>
      </c>
      <c r="AE379" t="n">
        <v>8000</v>
      </c>
      <c r="AF379" t="n">
        <v>970</v>
      </c>
      <c r="AG379" t="n">
        <v>1</v>
      </c>
    </row>
    <row r="380" ht="38.25" customHeight="1" s="142">
      <c r="A380" t="n">
        <v>1274</v>
      </c>
      <c r="B380" t="inlineStr">
        <is>
          <t>main</t>
        </is>
      </c>
      <c r="C380" t="n">
        <v>9</v>
      </c>
      <c r="D380" t="inlineStr">
        <is>
          <t>9-5</t>
        </is>
      </c>
      <c r="E380" t="n">
        <v>138</v>
      </c>
      <c r="G380" s="90" t="inlineStr">
        <is>
          <t>{role:-1},
{id:-1},{id:-1},{id:-1},{id:-1},{id:-1}
{id:40076},{id:40075},{id:40075}</t>
        </is>
      </c>
      <c r="I380" t="n">
        <v>35470</v>
      </c>
      <c r="J380" s="80" t="inlineStr">
        <is>
          <t>贖罪回聲</t>
        </is>
      </c>
      <c r="K380" t="inlineStr">
        <is>
          <t>buff</t>
        </is>
      </c>
      <c r="L380" t="n">
        <v>9005</v>
      </c>
      <c r="M380" t="inlineStr">
        <is>
          <t>6,12,13</t>
        </is>
      </c>
      <c r="O380" t="n">
        <v>1</v>
      </c>
      <c r="P380" s="80" t="inlineStr">
        <is>
          <t>墮落低語</t>
        </is>
      </c>
      <c r="Q380" t="inlineStr">
        <is>
          <t>debuff</t>
        </is>
      </c>
      <c r="R380" t="n">
        <v>9012</v>
      </c>
      <c r="S380" t="inlineStr">
        <is>
          <t>1,2,12</t>
        </is>
      </c>
      <c r="U380" t="n">
        <v>0.9</v>
      </c>
      <c r="V380" t="n">
        <v>70001</v>
      </c>
      <c r="W380" t="n">
        <v>2</v>
      </c>
      <c r="X380" t="n">
        <v>1</v>
      </c>
      <c r="Y380" t="n">
        <v>70002</v>
      </c>
      <c r="Z380" t="n">
        <v>2</v>
      </c>
      <c r="AA380" t="n">
        <v>1</v>
      </c>
      <c r="AB380" t="n">
        <v>1001</v>
      </c>
      <c r="AC380" t="n">
        <v>50</v>
      </c>
      <c r="AD380" t="n">
        <v>1</v>
      </c>
      <c r="AE380" t="n">
        <v>8000</v>
      </c>
      <c r="AF380" t="n">
        <v>970</v>
      </c>
      <c r="AG380" t="n">
        <v>1</v>
      </c>
    </row>
    <row r="381" ht="38.25" customHeight="1" s="142">
      <c r="A381" t="n">
        <v>1275</v>
      </c>
      <c r="B381" t="inlineStr">
        <is>
          <t>main</t>
        </is>
      </c>
      <c r="C381" t="n">
        <v>9</v>
      </c>
      <c r="D381" t="inlineStr">
        <is>
          <t>9-6</t>
        </is>
      </c>
      <c r="E381" t="n">
        <v>138</v>
      </c>
      <c r="G381" s="90" t="inlineStr">
        <is>
          <t>{role:-1},
{id:-1},{id:-1},{id:-1},{id:-1},{id:-1}
{id:40075},{id:40052},{id:40052}</t>
        </is>
      </c>
      <c r="I381" t="n">
        <v>35595</v>
      </c>
      <c r="J381" s="80" t="inlineStr">
        <is>
          <t>贖罪回聲</t>
        </is>
      </c>
      <c r="K381" t="inlineStr">
        <is>
          <t>buff</t>
        </is>
      </c>
      <c r="L381" t="n">
        <v>9007</v>
      </c>
      <c r="M381" t="n">
        <v>9</v>
      </c>
      <c r="O381" t="n">
        <v>0.6</v>
      </c>
      <c r="P381" s="80" t="inlineStr">
        <is>
          <t>墮落低語</t>
        </is>
      </c>
      <c r="Q381" t="inlineStr">
        <is>
          <t>debuff</t>
        </is>
      </c>
      <c r="R381" t="n">
        <v>9004</v>
      </c>
      <c r="S381" t="inlineStr">
        <is>
          <t>2,5,9</t>
        </is>
      </c>
      <c r="U381" t="n">
        <v>0.4</v>
      </c>
      <c r="V381" t="n">
        <v>70001</v>
      </c>
      <c r="W381" t="n">
        <v>2</v>
      </c>
      <c r="X381" t="n">
        <v>1</v>
      </c>
      <c r="Y381" t="n">
        <v>70002</v>
      </c>
      <c r="Z381" t="n">
        <v>2</v>
      </c>
      <c r="AA381" t="n">
        <v>1</v>
      </c>
      <c r="AB381" t="n">
        <v>1001</v>
      </c>
      <c r="AC381" t="n">
        <v>50</v>
      </c>
      <c r="AD381" t="n">
        <v>1</v>
      </c>
      <c r="AE381" t="n">
        <v>8000</v>
      </c>
      <c r="AF381" t="n">
        <v>980</v>
      </c>
      <c r="AG381" t="n">
        <v>1</v>
      </c>
    </row>
    <row r="382" ht="38.25" customHeight="1" s="142">
      <c r="A382" t="n">
        <v>1276</v>
      </c>
      <c r="B382" t="inlineStr">
        <is>
          <t>main</t>
        </is>
      </c>
      <c r="C382" t="n">
        <v>9</v>
      </c>
      <c r="D382" t="inlineStr">
        <is>
          <t>9-7</t>
        </is>
      </c>
      <c r="E382" t="n">
        <v>139</v>
      </c>
      <c r="G382" s="90" t="inlineStr">
        <is>
          <t>{role:-1},
{id:-1},{id:-1},{id:-1},{id:-1},{id:-1}
{id:40075},{id:40052},{id:40045}</t>
        </is>
      </c>
      <c r="I382" t="n">
        <v>35720</v>
      </c>
      <c r="J382" s="80" t="inlineStr">
        <is>
          <t>贖罪回聲</t>
        </is>
      </c>
      <c r="K382" t="inlineStr">
        <is>
          <t>buff</t>
        </is>
      </c>
      <c r="L382" t="n">
        <v>9001</v>
      </c>
      <c r="M382" t="inlineStr">
        <is>
          <t>6,8</t>
        </is>
      </c>
      <c r="O382" t="n">
        <v>0.7</v>
      </c>
      <c r="P382" s="80" t="inlineStr">
        <is>
          <t>墮落低語</t>
        </is>
      </c>
      <c r="Q382" t="inlineStr">
        <is>
          <t>debuff</t>
        </is>
      </c>
      <c r="R382" t="n">
        <v>9008</v>
      </c>
      <c r="S382" t="n">
        <v>3</v>
      </c>
      <c r="U382" t="n">
        <v>0.5</v>
      </c>
      <c r="V382" t="n">
        <v>70001</v>
      </c>
      <c r="W382" t="n">
        <v>2</v>
      </c>
      <c r="X382" t="n">
        <v>1</v>
      </c>
      <c r="Y382" t="n">
        <v>70002</v>
      </c>
      <c r="Z382" t="n">
        <v>2</v>
      </c>
      <c r="AA382" t="n">
        <v>1</v>
      </c>
      <c r="AB382" t="n">
        <v>1001</v>
      </c>
      <c r="AC382" t="n">
        <v>50</v>
      </c>
      <c r="AD382" t="n">
        <v>1</v>
      </c>
      <c r="AE382" t="n">
        <v>8000</v>
      </c>
      <c r="AF382" t="n">
        <v>980</v>
      </c>
      <c r="AG382" t="n">
        <v>1</v>
      </c>
    </row>
    <row r="383" ht="38.25" customHeight="1" s="142">
      <c r="A383" t="n">
        <v>1277</v>
      </c>
      <c r="B383" t="inlineStr">
        <is>
          <t>main</t>
        </is>
      </c>
      <c r="C383" t="n">
        <v>9</v>
      </c>
      <c r="D383" t="inlineStr">
        <is>
          <t>9-8</t>
        </is>
      </c>
      <c r="E383" t="n">
        <v>139</v>
      </c>
      <c r="G383" s="90" t="inlineStr">
        <is>
          <t>{role:-1},
{id:-1},{id:-1},{id:-1},{id:-1},{id:-1}
{id:40076},{id:40045},{id:40045}</t>
        </is>
      </c>
      <c r="I383" t="n">
        <v>35845</v>
      </c>
      <c r="J383" s="80" t="inlineStr">
        <is>
          <t>贖罪回聲</t>
        </is>
      </c>
      <c r="K383" t="inlineStr">
        <is>
          <t>buff</t>
        </is>
      </c>
      <c r="L383" t="n">
        <v>9011</v>
      </c>
      <c r="M383" t="n">
        <v>5</v>
      </c>
      <c r="O383" t="n">
        <v>0.2</v>
      </c>
      <c r="P383" s="80" t="inlineStr">
        <is>
          <t>墮落低語</t>
        </is>
      </c>
      <c r="Q383" t="inlineStr">
        <is>
          <t>debuff</t>
        </is>
      </c>
      <c r="R383" t="n">
        <v>9004</v>
      </c>
      <c r="S383" t="inlineStr">
        <is>
          <t>2,5</t>
        </is>
      </c>
      <c r="U383" t="n">
        <v>0.9</v>
      </c>
      <c r="V383" t="n">
        <v>70001</v>
      </c>
      <c r="W383" t="n">
        <v>2</v>
      </c>
      <c r="X383" t="n">
        <v>1</v>
      </c>
      <c r="Y383" t="n">
        <v>70002</v>
      </c>
      <c r="Z383" t="n">
        <v>2</v>
      </c>
      <c r="AA383" t="n">
        <v>1</v>
      </c>
      <c r="AB383" t="n">
        <v>1001</v>
      </c>
      <c r="AC383" t="n">
        <v>50</v>
      </c>
      <c r="AD383" t="n">
        <v>1</v>
      </c>
      <c r="AE383" t="n">
        <v>8000</v>
      </c>
      <c r="AF383" t="n">
        <v>980</v>
      </c>
      <c r="AG383" t="n">
        <v>1</v>
      </c>
    </row>
    <row r="384" ht="38.25" customHeight="1" s="142">
      <c r="A384" t="n">
        <v>1278</v>
      </c>
      <c r="B384" t="inlineStr">
        <is>
          <t>main</t>
        </is>
      </c>
      <c r="C384" t="n">
        <v>9</v>
      </c>
      <c r="D384" t="inlineStr">
        <is>
          <t>9-9</t>
        </is>
      </c>
      <c r="E384" t="n">
        <v>140</v>
      </c>
      <c r="G384" s="90" t="inlineStr">
        <is>
          <t>{role:-1},
{id:-1},{id:-1},{id:-1},{id:-1},{id:-1}
{id:40052},{id:40050},{id:40050}</t>
        </is>
      </c>
      <c r="I384" t="n">
        <v>35970</v>
      </c>
      <c r="J384" s="80" t="inlineStr">
        <is>
          <t>贖罪回聲</t>
        </is>
      </c>
      <c r="K384" t="inlineStr">
        <is>
          <t>buff</t>
        </is>
      </c>
      <c r="L384" t="n">
        <v>9012</v>
      </c>
      <c r="M384" t="inlineStr">
        <is>
          <t>9,13</t>
        </is>
      </c>
      <c r="O384" t="n">
        <v>0.5</v>
      </c>
      <c r="P384" s="80" t="inlineStr">
        <is>
          <t>墮落低語</t>
        </is>
      </c>
      <c r="Q384" t="inlineStr">
        <is>
          <t>debuff</t>
        </is>
      </c>
      <c r="R384" t="n">
        <v>9003</v>
      </c>
      <c r="S384" t="n">
        <v>9</v>
      </c>
      <c r="U384" t="n">
        <v>0.5</v>
      </c>
      <c r="V384" t="n">
        <v>70001</v>
      </c>
      <c r="W384" t="n">
        <v>2</v>
      </c>
      <c r="X384" t="n">
        <v>1</v>
      </c>
      <c r="Y384" t="n">
        <v>70002</v>
      </c>
      <c r="Z384" t="n">
        <v>2</v>
      </c>
      <c r="AA384" t="n">
        <v>1</v>
      </c>
      <c r="AB384" t="n">
        <v>1001</v>
      </c>
      <c r="AC384" t="n">
        <v>50</v>
      </c>
      <c r="AD384" t="n">
        <v>1</v>
      </c>
      <c r="AE384" t="n">
        <v>8000</v>
      </c>
      <c r="AF384" t="n">
        <v>990</v>
      </c>
      <c r="AG384" t="n">
        <v>1</v>
      </c>
    </row>
    <row r="385" ht="38.25" customHeight="1" s="142">
      <c r="A385" t="n">
        <v>1279</v>
      </c>
      <c r="B385" t="inlineStr">
        <is>
          <t>main</t>
        </is>
      </c>
      <c r="C385" t="n">
        <v>9</v>
      </c>
      <c r="D385" t="inlineStr">
        <is>
          <t>9-10</t>
        </is>
      </c>
      <c r="E385" t="n">
        <v>140</v>
      </c>
      <c r="G385" s="90" t="inlineStr">
        <is>
          <t>{role:-1},
{id:-1},{id:-1},{id:-1},{id:-1},{id:-1}
{id:40076},{id:40050},{id:40076}</t>
        </is>
      </c>
      <c r="I385" t="n">
        <v>36095</v>
      </c>
      <c r="J385" s="80" t="inlineStr">
        <is>
          <t>贖罪回聲</t>
        </is>
      </c>
      <c r="K385" t="inlineStr">
        <is>
          <t>buff</t>
        </is>
      </c>
      <c r="L385" t="n">
        <v>9001</v>
      </c>
      <c r="M385" t="inlineStr">
        <is>
          <t>4,8,11</t>
        </is>
      </c>
      <c r="O385" t="n">
        <v>0.9</v>
      </c>
      <c r="P385" s="80" t="inlineStr">
        <is>
          <t>墮落低語</t>
        </is>
      </c>
      <c r="Q385" t="inlineStr">
        <is>
          <t>debuff</t>
        </is>
      </c>
      <c r="R385" t="n">
        <v>9010</v>
      </c>
      <c r="S385" t="inlineStr">
        <is>
          <t>1,9,12</t>
        </is>
      </c>
      <c r="U385" t="n">
        <v>1</v>
      </c>
      <c r="V385" t="n">
        <v>70001</v>
      </c>
      <c r="W385" t="n">
        <v>2</v>
      </c>
      <c r="X385" t="n">
        <v>1</v>
      </c>
      <c r="Y385" t="n">
        <v>70002</v>
      </c>
      <c r="Z385" t="n">
        <v>2</v>
      </c>
      <c r="AA385" t="n">
        <v>1</v>
      </c>
      <c r="AB385" t="n">
        <v>1001</v>
      </c>
      <c r="AC385" t="n">
        <v>50</v>
      </c>
      <c r="AD385" t="n">
        <v>1</v>
      </c>
      <c r="AE385" t="n">
        <v>8000</v>
      </c>
      <c r="AF385" t="n">
        <v>990</v>
      </c>
      <c r="AG385" t="n">
        <v>1</v>
      </c>
    </row>
    <row r="386" ht="38.25" customHeight="1" s="142">
      <c r="A386" t="n">
        <v>1280</v>
      </c>
      <c r="B386" t="inlineStr">
        <is>
          <t>main</t>
        </is>
      </c>
      <c r="C386" t="n">
        <v>9</v>
      </c>
      <c r="D386" t="inlineStr">
        <is>
          <t>9-11</t>
        </is>
      </c>
      <c r="E386" t="n">
        <v>141</v>
      </c>
      <c r="G386" s="90" t="inlineStr">
        <is>
          <t>{role:-1},
{id:-1},{id:-1},{id:-1},{id:-1},{id:-1}
{id:40052},{id:40045},{id:40052}</t>
        </is>
      </c>
      <c r="I386" t="n">
        <v>36220</v>
      </c>
      <c r="J386" s="80" t="inlineStr">
        <is>
          <t>贖罪回聲</t>
        </is>
      </c>
      <c r="K386" t="inlineStr">
        <is>
          <t>buff</t>
        </is>
      </c>
      <c r="L386" t="n">
        <v>9001</v>
      </c>
      <c r="M386" t="n">
        <v>10</v>
      </c>
      <c r="O386" t="n">
        <v>0.6</v>
      </c>
      <c r="P386" s="80" t="inlineStr">
        <is>
          <t>墮落低語</t>
        </is>
      </c>
      <c r="Q386" t="inlineStr">
        <is>
          <t>debuff</t>
        </is>
      </c>
      <c r="R386" t="n">
        <v>9004</v>
      </c>
      <c r="S386" t="n">
        <v>12</v>
      </c>
      <c r="U386" t="n">
        <v>0.2</v>
      </c>
      <c r="V386" t="n">
        <v>70001</v>
      </c>
      <c r="W386" t="n">
        <v>2</v>
      </c>
      <c r="X386" t="n">
        <v>1</v>
      </c>
      <c r="Y386" t="n">
        <v>70002</v>
      </c>
      <c r="Z386" t="n">
        <v>2</v>
      </c>
      <c r="AA386" t="n">
        <v>1</v>
      </c>
      <c r="AB386" t="n">
        <v>1001</v>
      </c>
      <c r="AC386" t="n">
        <v>50</v>
      </c>
      <c r="AD386" t="n">
        <v>1</v>
      </c>
      <c r="AE386" t="n">
        <v>8000</v>
      </c>
      <c r="AF386" t="n">
        <v>1000</v>
      </c>
      <c r="AG386" t="n">
        <v>1</v>
      </c>
    </row>
    <row r="387" ht="38.25" customHeight="1" s="142">
      <c r="A387" t="n">
        <v>1281</v>
      </c>
      <c r="B387" t="inlineStr">
        <is>
          <t>main</t>
        </is>
      </c>
      <c r="C387" t="n">
        <v>9</v>
      </c>
      <c r="D387" t="inlineStr">
        <is>
          <t>9-12</t>
        </is>
      </c>
      <c r="E387" t="n">
        <v>141</v>
      </c>
      <c r="G387" s="90" t="inlineStr">
        <is>
          <t>{role:-1},
{id:-1},{id:-1},{id:-1},{id:-1},{id:-1}
{id:40045},{id:40050},{id:40075}</t>
        </is>
      </c>
      <c r="I387" t="n">
        <v>36345</v>
      </c>
      <c r="J387" s="80" t="inlineStr">
        <is>
          <t>贖罪回聲</t>
        </is>
      </c>
      <c r="K387" t="inlineStr">
        <is>
          <t>buff</t>
        </is>
      </c>
      <c r="L387" t="n">
        <v>9006</v>
      </c>
      <c r="M387" t="inlineStr">
        <is>
          <t>1,2,9</t>
        </is>
      </c>
      <c r="O387" t="n">
        <v>0.8</v>
      </c>
      <c r="P387" s="80" t="inlineStr">
        <is>
          <t>墮落低語</t>
        </is>
      </c>
      <c r="Q387" t="inlineStr">
        <is>
          <t>debuff</t>
        </is>
      </c>
      <c r="R387" t="n">
        <v>9011</v>
      </c>
      <c r="S387" t="inlineStr">
        <is>
          <t>2,7</t>
        </is>
      </c>
      <c r="U387" t="n">
        <v>0.6</v>
      </c>
      <c r="V387" t="n">
        <v>70001</v>
      </c>
      <c r="W387" t="n">
        <v>2</v>
      </c>
      <c r="X387" t="n">
        <v>1</v>
      </c>
      <c r="Y387" t="n">
        <v>70002</v>
      </c>
      <c r="Z387" t="n">
        <v>2</v>
      </c>
      <c r="AA387" t="n">
        <v>1</v>
      </c>
      <c r="AB387" t="n">
        <v>1001</v>
      </c>
      <c r="AC387" t="n">
        <v>50</v>
      </c>
      <c r="AD387" t="n">
        <v>1</v>
      </c>
      <c r="AE387" t="n">
        <v>8000</v>
      </c>
      <c r="AF387" t="n">
        <v>1000</v>
      </c>
      <c r="AG387" t="n">
        <v>1</v>
      </c>
    </row>
    <row r="388" ht="38.25" customHeight="1" s="142">
      <c r="A388" t="n">
        <v>1282</v>
      </c>
      <c r="B388" t="inlineStr">
        <is>
          <t>main</t>
        </is>
      </c>
      <c r="C388" t="n">
        <v>9</v>
      </c>
      <c r="D388" t="inlineStr">
        <is>
          <t>9-13</t>
        </is>
      </c>
      <c r="E388" t="n">
        <v>142</v>
      </c>
      <c r="G388" s="90" t="inlineStr">
        <is>
          <t>{role:-1},
{id:-1},{id:-1},{id:-1},{id:-1},{id:-1}
{id:40075},{id:40052},{id:40045},{id:40075}</t>
        </is>
      </c>
      <c r="I388" t="n">
        <v>36470</v>
      </c>
      <c r="J388" s="80" t="inlineStr">
        <is>
          <t>贖罪回聲</t>
        </is>
      </c>
      <c r="K388" t="inlineStr">
        <is>
          <t>buff</t>
        </is>
      </c>
      <c r="L388" t="n">
        <v>9001</v>
      </c>
      <c r="M388" t="inlineStr">
        <is>
          <t>2,6</t>
        </is>
      </c>
      <c r="O388" t="n">
        <v>0.1</v>
      </c>
      <c r="P388" s="80" t="inlineStr">
        <is>
          <t>墮落低語</t>
        </is>
      </c>
      <c r="Q388" t="inlineStr">
        <is>
          <t>debuff</t>
        </is>
      </c>
      <c r="R388" t="n">
        <v>9010</v>
      </c>
      <c r="S388" t="inlineStr">
        <is>
          <t>1,2,11</t>
        </is>
      </c>
      <c r="U388" t="n">
        <v>0.3</v>
      </c>
      <c r="V388" t="n">
        <v>70001</v>
      </c>
      <c r="W388" t="n">
        <v>2</v>
      </c>
      <c r="X388" t="n">
        <v>1</v>
      </c>
      <c r="Y388" t="n">
        <v>70002</v>
      </c>
      <c r="Z388" t="n">
        <v>2</v>
      </c>
      <c r="AA388" t="n">
        <v>1</v>
      </c>
      <c r="AB388" t="n">
        <v>1001</v>
      </c>
      <c r="AC388" t="n">
        <v>50</v>
      </c>
      <c r="AD388" t="n">
        <v>1</v>
      </c>
      <c r="AE388" t="n">
        <v>8000</v>
      </c>
      <c r="AF388" t="n">
        <v>1010</v>
      </c>
      <c r="AG388" t="n">
        <v>1</v>
      </c>
    </row>
    <row r="389" ht="38.25" customHeight="1" s="142">
      <c r="A389" t="n">
        <v>1283</v>
      </c>
      <c r="B389" t="inlineStr">
        <is>
          <t>main</t>
        </is>
      </c>
      <c r="C389" t="n">
        <v>9</v>
      </c>
      <c r="D389" t="inlineStr">
        <is>
          <t>9-14</t>
        </is>
      </c>
      <c r="E389" t="n">
        <v>142</v>
      </c>
      <c r="G389" s="90" t="inlineStr">
        <is>
          <t>{role:-1},
{id:-1},{id:-1},{id:-1},{id:-1},{id:-1}
{id:40045},{id:40076},{id:40050},{id:40050}</t>
        </is>
      </c>
      <c r="I389" t="n">
        <v>36595</v>
      </c>
      <c r="J389" s="80" t="inlineStr">
        <is>
          <t>贖罪回聲</t>
        </is>
      </c>
      <c r="K389" t="inlineStr">
        <is>
          <t>buff</t>
        </is>
      </c>
      <c r="L389" t="n">
        <v>9002</v>
      </c>
      <c r="M389" t="inlineStr">
        <is>
          <t>8,10</t>
        </is>
      </c>
      <c r="O389" t="n">
        <v>0.3</v>
      </c>
      <c r="P389" s="80" t="inlineStr">
        <is>
          <t>墮落低語</t>
        </is>
      </c>
      <c r="Q389" t="inlineStr">
        <is>
          <t>debuff</t>
        </is>
      </c>
      <c r="R389" t="n">
        <v>9004</v>
      </c>
      <c r="S389" t="n">
        <v>1</v>
      </c>
      <c r="U389" t="n">
        <v>0.5</v>
      </c>
      <c r="V389" t="n">
        <v>70001</v>
      </c>
      <c r="W389" t="n">
        <v>2</v>
      </c>
      <c r="X389" t="n">
        <v>1</v>
      </c>
      <c r="Y389" t="n">
        <v>70002</v>
      </c>
      <c r="Z389" t="n">
        <v>2</v>
      </c>
      <c r="AA389" t="n">
        <v>1</v>
      </c>
      <c r="AB389" t="n">
        <v>1001</v>
      </c>
      <c r="AC389" t="n">
        <v>50</v>
      </c>
      <c r="AD389" t="n">
        <v>1</v>
      </c>
      <c r="AE389" t="n">
        <v>8000</v>
      </c>
      <c r="AF389" t="n">
        <v>1010</v>
      </c>
      <c r="AG389" t="n">
        <v>1</v>
      </c>
    </row>
    <row r="390" ht="38.25" customHeight="1" s="142">
      <c r="A390" t="n">
        <v>1284</v>
      </c>
      <c r="B390" t="inlineStr">
        <is>
          <t>main</t>
        </is>
      </c>
      <c r="C390" t="n">
        <v>9</v>
      </c>
      <c r="D390" t="inlineStr">
        <is>
          <t>9-15</t>
        </is>
      </c>
      <c r="E390" t="n">
        <v>143</v>
      </c>
      <c r="G390" s="90" t="inlineStr">
        <is>
          <t>{role:-1},
{id:-1},{id:-1},{id:-1},{id:-1},{id:-1}
{id:40076},{id:40076},{id:40076},{id:40075}</t>
        </is>
      </c>
      <c r="I390" t="n">
        <v>36720</v>
      </c>
      <c r="J390" s="80" t="inlineStr">
        <is>
          <t>贖罪回聲</t>
        </is>
      </c>
      <c r="K390" t="inlineStr">
        <is>
          <t>buff</t>
        </is>
      </c>
      <c r="L390" t="n">
        <v>9001</v>
      </c>
      <c r="M390" t="inlineStr">
        <is>
          <t>1,11</t>
        </is>
      </c>
      <c r="O390" t="n">
        <v>0.3</v>
      </c>
      <c r="P390" s="80" t="inlineStr">
        <is>
          <t>墮落低語</t>
        </is>
      </c>
      <c r="Q390" t="inlineStr">
        <is>
          <t>debuff</t>
        </is>
      </c>
      <c r="R390" t="n">
        <v>9011</v>
      </c>
      <c r="S390" t="inlineStr">
        <is>
          <t>5,9</t>
        </is>
      </c>
      <c r="U390" t="n">
        <v>0.4</v>
      </c>
      <c r="V390" t="n">
        <v>70001</v>
      </c>
      <c r="W390" t="n">
        <v>2</v>
      </c>
      <c r="X390" t="n">
        <v>1</v>
      </c>
      <c r="Y390" t="n">
        <v>70002</v>
      </c>
      <c r="Z390" t="n">
        <v>2</v>
      </c>
      <c r="AA390" t="n">
        <v>1</v>
      </c>
      <c r="AB390" t="n">
        <v>1001</v>
      </c>
      <c r="AC390" t="n">
        <v>50</v>
      </c>
      <c r="AD390" t="n">
        <v>1</v>
      </c>
      <c r="AE390" t="n">
        <v>8000</v>
      </c>
      <c r="AF390" t="n">
        <v>1020</v>
      </c>
      <c r="AG390" t="n">
        <v>1</v>
      </c>
    </row>
    <row r="391" ht="38.25" customHeight="1" s="142">
      <c r="A391" t="n">
        <v>1285</v>
      </c>
      <c r="B391" t="inlineStr">
        <is>
          <t>main</t>
        </is>
      </c>
      <c r="C391" t="n">
        <v>9</v>
      </c>
      <c r="D391" t="inlineStr">
        <is>
          <t>9-16</t>
        </is>
      </c>
      <c r="E391" t="n">
        <v>143</v>
      </c>
      <c r="G391" s="90" t="inlineStr">
        <is>
          <t>{role:-1},
{id:-1},{id:-1},{id:-1},{id:-1},{id:-1}
{id:40045},{id:40052},{id:40075},{id:40076}</t>
        </is>
      </c>
      <c r="I391" t="n">
        <v>36845</v>
      </c>
      <c r="J391" s="80" t="inlineStr">
        <is>
          <t>贖罪回聲</t>
        </is>
      </c>
      <c r="K391" t="inlineStr">
        <is>
          <t>buff</t>
        </is>
      </c>
      <c r="L391" t="n">
        <v>9002</v>
      </c>
      <c r="M391" t="inlineStr">
        <is>
          <t>6,10,11</t>
        </is>
      </c>
      <c r="O391" t="n">
        <v>0.3</v>
      </c>
      <c r="P391" s="80" t="inlineStr">
        <is>
          <t>墮落低語</t>
        </is>
      </c>
      <c r="Q391" t="inlineStr">
        <is>
          <t>debuff</t>
        </is>
      </c>
      <c r="R391" t="n">
        <v>9004</v>
      </c>
      <c r="S391" t="inlineStr">
        <is>
          <t>1,10</t>
        </is>
      </c>
      <c r="U391" t="n">
        <v>0.8</v>
      </c>
      <c r="V391" t="n">
        <v>70001</v>
      </c>
      <c r="W391" t="n">
        <v>2</v>
      </c>
      <c r="X391" t="n">
        <v>1</v>
      </c>
      <c r="Y391" t="n">
        <v>70002</v>
      </c>
      <c r="Z391" t="n">
        <v>2</v>
      </c>
      <c r="AA391" t="n">
        <v>1</v>
      </c>
      <c r="AB391" t="n">
        <v>1001</v>
      </c>
      <c r="AC391" t="n">
        <v>50</v>
      </c>
      <c r="AD391" t="n">
        <v>1</v>
      </c>
      <c r="AE391" t="n">
        <v>8000</v>
      </c>
      <c r="AF391" t="n">
        <v>1020</v>
      </c>
      <c r="AG391" t="n">
        <v>1</v>
      </c>
    </row>
    <row r="392" ht="38.25" customHeight="1" s="142">
      <c r="A392" t="n">
        <v>1286</v>
      </c>
      <c r="B392" t="inlineStr">
        <is>
          <t>main</t>
        </is>
      </c>
      <c r="C392" t="n">
        <v>9</v>
      </c>
      <c r="D392" t="inlineStr">
        <is>
          <t>9-17</t>
        </is>
      </c>
      <c r="E392" t="n">
        <v>144</v>
      </c>
      <c r="G392" s="90" t="inlineStr">
        <is>
          <t>{role:-1},
{id:-1},{id:-1},{id:-1},{id:-1},{id:-1}
{id:40075},{id:40076},{id:40050},{id:40052},{id:40052}</t>
        </is>
      </c>
      <c r="I392" t="n">
        <v>36970</v>
      </c>
      <c r="J392" s="80" t="inlineStr">
        <is>
          <t>贖罪回聲</t>
        </is>
      </c>
      <c r="K392" t="inlineStr">
        <is>
          <t>buff</t>
        </is>
      </c>
      <c r="L392" t="n">
        <v>9005</v>
      </c>
      <c r="M392" t="n">
        <v>5</v>
      </c>
      <c r="O392" t="n">
        <v>0.1</v>
      </c>
      <c r="P392" s="80" t="inlineStr">
        <is>
          <t>墮落低語</t>
        </is>
      </c>
      <c r="Q392" t="inlineStr">
        <is>
          <t>debuff</t>
        </is>
      </c>
      <c r="R392" t="n">
        <v>9003</v>
      </c>
      <c r="S392" t="inlineStr">
        <is>
          <t>5,6,8</t>
        </is>
      </c>
      <c r="U392" t="n">
        <v>0.7</v>
      </c>
      <c r="V392" t="n">
        <v>70001</v>
      </c>
      <c r="W392" t="n">
        <v>2</v>
      </c>
      <c r="X392" t="n">
        <v>1</v>
      </c>
      <c r="Y392" t="n">
        <v>70002</v>
      </c>
      <c r="Z392" t="n">
        <v>2</v>
      </c>
      <c r="AA392" t="n">
        <v>1</v>
      </c>
      <c r="AB392" t="n">
        <v>1001</v>
      </c>
      <c r="AC392" t="n">
        <v>50</v>
      </c>
      <c r="AD392" t="n">
        <v>1</v>
      </c>
      <c r="AE392" t="n">
        <v>8000</v>
      </c>
      <c r="AF392" t="n">
        <v>1030</v>
      </c>
      <c r="AG392" t="n">
        <v>1</v>
      </c>
    </row>
    <row r="393" ht="38.25" customHeight="1" s="142">
      <c r="A393" t="n">
        <v>1287</v>
      </c>
      <c r="B393" t="inlineStr">
        <is>
          <t>main</t>
        </is>
      </c>
      <c r="C393" t="n">
        <v>9</v>
      </c>
      <c r="D393" t="inlineStr">
        <is>
          <t>9-18</t>
        </is>
      </c>
      <c r="E393" t="n">
        <v>144</v>
      </c>
      <c r="G393" s="90" t="inlineStr">
        <is>
          <t>{role:-1},
{id:-1},{id:-1},{id:-1},{id:-1},{id:-1}
{id:40075},{id:40050},{id:40075},{id:40076},{id:40076}</t>
        </is>
      </c>
      <c r="I393" t="n">
        <v>37095</v>
      </c>
      <c r="J393" s="80" t="inlineStr">
        <is>
          <t>贖罪回聲</t>
        </is>
      </c>
      <c r="K393" t="inlineStr">
        <is>
          <t>buff</t>
        </is>
      </c>
      <c r="L393" t="n">
        <v>9012</v>
      </c>
      <c r="M393" t="n">
        <v>7</v>
      </c>
      <c r="O393" t="n">
        <v>0.7</v>
      </c>
      <c r="P393" s="80" t="inlineStr">
        <is>
          <t>墮落低語</t>
        </is>
      </c>
      <c r="Q393" t="inlineStr">
        <is>
          <t>debuff</t>
        </is>
      </c>
      <c r="R393" t="n">
        <v>9008</v>
      </c>
      <c r="S393" t="inlineStr">
        <is>
          <t>4,11</t>
        </is>
      </c>
      <c r="U393" t="n">
        <v>0.4</v>
      </c>
      <c r="V393" t="n">
        <v>70001</v>
      </c>
      <c r="W393" t="n">
        <v>2</v>
      </c>
      <c r="X393" t="n">
        <v>1</v>
      </c>
      <c r="Y393" t="n">
        <v>70002</v>
      </c>
      <c r="Z393" t="n">
        <v>2</v>
      </c>
      <c r="AA393" t="n">
        <v>1</v>
      </c>
      <c r="AB393" t="n">
        <v>1001</v>
      </c>
      <c r="AC393" t="n">
        <v>50</v>
      </c>
      <c r="AD393" t="n">
        <v>1</v>
      </c>
      <c r="AE393" t="n">
        <v>8000</v>
      </c>
      <c r="AF393" t="n">
        <v>1030</v>
      </c>
      <c r="AG393" t="n">
        <v>1</v>
      </c>
    </row>
    <row r="394" ht="38.25" customHeight="1" s="142">
      <c r="A394" t="n">
        <v>1288</v>
      </c>
      <c r="B394" t="inlineStr">
        <is>
          <t>main</t>
        </is>
      </c>
      <c r="C394" t="n">
        <v>9</v>
      </c>
      <c r="D394" t="inlineStr">
        <is>
          <t>9-19</t>
        </is>
      </c>
      <c r="E394" t="n">
        <v>145</v>
      </c>
      <c r="G394" s="90" t="inlineStr">
        <is>
          <t>{role:-1},
{id:-1},{id:-1},{id:-1},{id:-1},{id:-1}
{id:40052},{id:40050},{id:40076},{id:40045},{id:40076}</t>
        </is>
      </c>
      <c r="I394" t="n">
        <v>37220</v>
      </c>
      <c r="J394" s="80" t="inlineStr">
        <is>
          <t>贖罪回聲</t>
        </is>
      </c>
      <c r="K394" t="inlineStr">
        <is>
          <t>buff</t>
        </is>
      </c>
      <c r="L394" t="n">
        <v>9012</v>
      </c>
      <c r="M394" t="n">
        <v>10</v>
      </c>
      <c r="O394" t="n">
        <v>0.6</v>
      </c>
      <c r="P394" s="80" t="inlineStr">
        <is>
          <t>墮落低語</t>
        </is>
      </c>
      <c r="Q394" t="inlineStr">
        <is>
          <t>debuff</t>
        </is>
      </c>
      <c r="R394" t="n">
        <v>9012</v>
      </c>
      <c r="S394" t="inlineStr">
        <is>
          <t>3,4</t>
        </is>
      </c>
      <c r="U394" t="n">
        <v>0.8</v>
      </c>
      <c r="V394" t="n">
        <v>70001</v>
      </c>
      <c r="W394" t="n">
        <v>2</v>
      </c>
      <c r="X394" t="n">
        <v>1</v>
      </c>
      <c r="Y394" t="n">
        <v>70002</v>
      </c>
      <c r="Z394" t="n">
        <v>2</v>
      </c>
      <c r="AA394" t="n">
        <v>1</v>
      </c>
      <c r="AB394" t="n">
        <v>1001</v>
      </c>
      <c r="AC394" t="n">
        <v>50</v>
      </c>
      <c r="AD394" t="n">
        <v>1</v>
      </c>
      <c r="AE394" t="n">
        <v>8000</v>
      </c>
      <c r="AF394" t="n">
        <v>1040</v>
      </c>
      <c r="AG394" t="n">
        <v>1</v>
      </c>
    </row>
    <row r="395" ht="38.25" customHeight="1" s="142">
      <c r="A395" t="n">
        <v>1289</v>
      </c>
      <c r="B395" t="inlineStr">
        <is>
          <t>main</t>
        </is>
      </c>
      <c r="C395" t="n">
        <v>9</v>
      </c>
      <c r="D395" t="inlineStr">
        <is>
          <t>9-20</t>
        </is>
      </c>
      <c r="E395" t="n">
        <v>145</v>
      </c>
      <c r="G395" s="90" t="inlineStr">
        <is>
          <t>{role:-1},
{id:-1},{id:-1},{id:-1},{id:-1},{id:-1}
{id:40052},{id:40075},{id:40076},{id:40076},{id:40045}</t>
        </is>
      </c>
      <c r="I395" t="n">
        <v>37345</v>
      </c>
      <c r="J395" s="80" t="inlineStr">
        <is>
          <t>贖罪回聲</t>
        </is>
      </c>
      <c r="K395" t="inlineStr">
        <is>
          <t>buff</t>
        </is>
      </c>
      <c r="L395" t="n">
        <v>9002</v>
      </c>
      <c r="M395" t="inlineStr">
        <is>
          <t>1,6</t>
        </is>
      </c>
      <c r="O395" t="n">
        <v>0.3</v>
      </c>
      <c r="P395" s="80" t="inlineStr">
        <is>
          <t>墮落低語</t>
        </is>
      </c>
      <c r="Q395" t="inlineStr">
        <is>
          <t>debuff</t>
        </is>
      </c>
      <c r="R395" t="n">
        <v>9011</v>
      </c>
      <c r="S395" t="n">
        <v>13</v>
      </c>
      <c r="U395" t="n">
        <v>0.6</v>
      </c>
      <c r="V395" t="n">
        <v>70001</v>
      </c>
      <c r="W395" t="n">
        <v>2</v>
      </c>
      <c r="X395" t="n">
        <v>1</v>
      </c>
      <c r="Y395" t="n">
        <v>70002</v>
      </c>
      <c r="Z395" t="n">
        <v>2</v>
      </c>
      <c r="AA395" t="n">
        <v>1</v>
      </c>
      <c r="AB395" t="n">
        <v>1001</v>
      </c>
      <c r="AC395" t="n">
        <v>50</v>
      </c>
      <c r="AD395" t="n">
        <v>1</v>
      </c>
      <c r="AE395" t="n">
        <v>8000</v>
      </c>
      <c r="AF395" t="n">
        <v>1040</v>
      </c>
      <c r="AG395" t="n">
        <v>1</v>
      </c>
    </row>
    <row r="396" ht="38.25" customHeight="1" s="142">
      <c r="A396" t="n">
        <v>1290</v>
      </c>
      <c r="B396" t="inlineStr">
        <is>
          <t>main</t>
        </is>
      </c>
      <c r="C396" t="n">
        <v>9</v>
      </c>
      <c r="D396" t="inlineStr">
        <is>
          <t>9-21</t>
        </is>
      </c>
      <c r="E396" t="n">
        <v>146</v>
      </c>
      <c r="G396" s="90" t="inlineStr">
        <is>
          <t>{role:-1},
{id:-1},{id:-1},{id:-1},{id:-1},{id:-1}
{id:40045},{id:40045},{id:40076},{id:40075},{id:40052}</t>
        </is>
      </c>
      <c r="I396" t="n">
        <v>37470</v>
      </c>
      <c r="J396" s="80" t="inlineStr">
        <is>
          <t>贖罪回聲</t>
        </is>
      </c>
      <c r="K396" t="inlineStr">
        <is>
          <t>buff</t>
        </is>
      </c>
      <c r="L396" t="n">
        <v>9008</v>
      </c>
      <c r="M396" t="inlineStr">
        <is>
          <t>3,7</t>
        </is>
      </c>
      <c r="O396" t="n">
        <v>1</v>
      </c>
      <c r="P396" s="80" t="inlineStr">
        <is>
          <t>墮落低語</t>
        </is>
      </c>
      <c r="Q396" t="inlineStr">
        <is>
          <t>debuff</t>
        </is>
      </c>
      <c r="R396" t="n">
        <v>9012</v>
      </c>
      <c r="S396" t="inlineStr">
        <is>
          <t>6,9,11</t>
        </is>
      </c>
      <c r="U396" t="n">
        <v>0.2</v>
      </c>
      <c r="V396" t="n">
        <v>70001</v>
      </c>
      <c r="W396" t="n">
        <v>2</v>
      </c>
      <c r="X396" t="n">
        <v>1</v>
      </c>
      <c r="Y396" t="n">
        <v>70002</v>
      </c>
      <c r="Z396" t="n">
        <v>2</v>
      </c>
      <c r="AA396" t="n">
        <v>1</v>
      </c>
      <c r="AB396" t="n">
        <v>1001</v>
      </c>
      <c r="AC396" t="n">
        <v>50</v>
      </c>
      <c r="AD396" t="n">
        <v>1</v>
      </c>
      <c r="AE396" t="n">
        <v>8000</v>
      </c>
      <c r="AF396" t="n">
        <v>1040</v>
      </c>
      <c r="AG396" t="n">
        <v>1</v>
      </c>
    </row>
    <row r="397" ht="38.25" customHeight="1" s="142">
      <c r="A397" t="n">
        <v>1291</v>
      </c>
      <c r="B397" t="inlineStr">
        <is>
          <t>main</t>
        </is>
      </c>
      <c r="C397" t="n">
        <v>9</v>
      </c>
      <c r="D397" t="inlineStr">
        <is>
          <t>9-22</t>
        </is>
      </c>
      <c r="E397" t="n">
        <v>146</v>
      </c>
      <c r="G397" s="90" t="inlineStr">
        <is>
          <t>{role:-1},
{id:-1},{id:-1},{id:-1},{id:-1},{id:-1}
{id:40052},{id:40076},{id:40075},{id:40052},{id:40075}</t>
        </is>
      </c>
      <c r="I397" t="n">
        <v>37595</v>
      </c>
      <c r="J397" s="80" t="inlineStr">
        <is>
          <t>贖罪回聲</t>
        </is>
      </c>
      <c r="K397" t="inlineStr">
        <is>
          <t>buff</t>
        </is>
      </c>
      <c r="L397" t="n">
        <v>9002</v>
      </c>
      <c r="M397" t="inlineStr">
        <is>
          <t>1,8,13</t>
        </is>
      </c>
      <c r="O397" t="n">
        <v>0.6</v>
      </c>
      <c r="P397" s="80" t="inlineStr">
        <is>
          <t>墮落低語</t>
        </is>
      </c>
      <c r="Q397" t="inlineStr">
        <is>
          <t>debuff</t>
        </is>
      </c>
      <c r="R397" t="n">
        <v>9012</v>
      </c>
      <c r="S397" t="n">
        <v>5</v>
      </c>
      <c r="U397" t="n">
        <v>0.4</v>
      </c>
      <c r="V397" t="n">
        <v>70001</v>
      </c>
      <c r="W397" t="n">
        <v>2</v>
      </c>
      <c r="X397" t="n">
        <v>1</v>
      </c>
      <c r="Y397" t="n">
        <v>70002</v>
      </c>
      <c r="Z397" t="n">
        <v>2</v>
      </c>
      <c r="AA397" t="n">
        <v>1</v>
      </c>
      <c r="AB397" t="n">
        <v>1001</v>
      </c>
      <c r="AC397" t="n">
        <v>50</v>
      </c>
      <c r="AD397" t="n">
        <v>1</v>
      </c>
      <c r="AE397" t="n">
        <v>8000</v>
      </c>
      <c r="AF397" t="n">
        <v>1050</v>
      </c>
      <c r="AG397" t="n">
        <v>1</v>
      </c>
    </row>
    <row r="398" ht="38.25" customHeight="1" s="142">
      <c r="A398" t="n">
        <v>1292</v>
      </c>
      <c r="B398" t="inlineStr">
        <is>
          <t>main</t>
        </is>
      </c>
      <c r="C398" t="n">
        <v>9</v>
      </c>
      <c r="D398" t="inlineStr">
        <is>
          <t>9-23</t>
        </is>
      </c>
      <c r="E398" t="n">
        <v>147</v>
      </c>
      <c r="G398" s="90" t="inlineStr">
        <is>
          <t>{role:-1},
{id:-1},{id:-1},{id:-1},{id:-1},{id:-1}
{id:40075},{id:40076},{id:40052},{id:40045},{id:40050}</t>
        </is>
      </c>
      <c r="I398" t="n">
        <v>37720</v>
      </c>
      <c r="J398" s="80" t="inlineStr">
        <is>
          <t>贖罪回聲</t>
        </is>
      </c>
      <c r="K398" t="inlineStr">
        <is>
          <t>buff</t>
        </is>
      </c>
      <c r="L398" t="n">
        <v>9007</v>
      </c>
      <c r="M398" t="n">
        <v>12</v>
      </c>
      <c r="O398" t="n">
        <v>0.4</v>
      </c>
      <c r="P398" s="80" t="inlineStr">
        <is>
          <t>墮落低語</t>
        </is>
      </c>
      <c r="Q398" t="inlineStr">
        <is>
          <t>debuff</t>
        </is>
      </c>
      <c r="R398" t="n">
        <v>9008</v>
      </c>
      <c r="S398" t="inlineStr">
        <is>
          <t>6,12</t>
        </is>
      </c>
      <c r="U398" t="n">
        <v>0.2</v>
      </c>
      <c r="V398" t="n">
        <v>70001</v>
      </c>
      <c r="W398" t="n">
        <v>2</v>
      </c>
      <c r="X398" t="n">
        <v>1</v>
      </c>
      <c r="Y398" t="n">
        <v>70002</v>
      </c>
      <c r="Z398" t="n">
        <v>2</v>
      </c>
      <c r="AA398" t="n">
        <v>1</v>
      </c>
      <c r="AB398" t="n">
        <v>1001</v>
      </c>
      <c r="AC398" t="n">
        <v>50</v>
      </c>
      <c r="AD398" t="n">
        <v>1</v>
      </c>
      <c r="AE398" t="n">
        <v>8000</v>
      </c>
      <c r="AF398" t="n">
        <v>1050</v>
      </c>
      <c r="AG398" t="n">
        <v>1</v>
      </c>
    </row>
    <row r="399" ht="38.25" customHeight="1" s="142">
      <c r="A399" t="n">
        <v>1293</v>
      </c>
      <c r="B399" t="inlineStr">
        <is>
          <t>main</t>
        </is>
      </c>
      <c r="C399" t="n">
        <v>9</v>
      </c>
      <c r="D399" t="inlineStr">
        <is>
          <t>9-24</t>
        </is>
      </c>
      <c r="E399" t="n">
        <v>147</v>
      </c>
      <c r="G399" s="90" t="inlineStr">
        <is>
          <t>{role:-1},
{id:-1},{id:-1},{id:-1},{id:-1},{id:-1}
{id:40050},{id:40052},{id:40075},{id:40052},{id:40050}</t>
        </is>
      </c>
      <c r="I399" t="n">
        <v>37845</v>
      </c>
      <c r="J399" s="80" t="inlineStr">
        <is>
          <t>贖罪回聲</t>
        </is>
      </c>
      <c r="K399" t="inlineStr">
        <is>
          <t>buff</t>
        </is>
      </c>
      <c r="L399" t="n">
        <v>9005</v>
      </c>
      <c r="M399" t="n">
        <v>11</v>
      </c>
      <c r="O399" t="n">
        <v>0.9</v>
      </c>
      <c r="P399" s="80" t="inlineStr">
        <is>
          <t>墮落低語</t>
        </is>
      </c>
      <c r="Q399" t="inlineStr">
        <is>
          <t>debuff</t>
        </is>
      </c>
      <c r="R399" t="n">
        <v>9012</v>
      </c>
      <c r="S399" t="inlineStr">
        <is>
          <t>3,6,7</t>
        </is>
      </c>
      <c r="U399" t="n">
        <v>0.7</v>
      </c>
      <c r="V399" t="n">
        <v>70001</v>
      </c>
      <c r="W399" t="n">
        <v>2</v>
      </c>
      <c r="X399" t="n">
        <v>1</v>
      </c>
      <c r="Y399" t="n">
        <v>70002</v>
      </c>
      <c r="Z399" t="n">
        <v>2</v>
      </c>
      <c r="AA399" t="n">
        <v>1</v>
      </c>
      <c r="AB399" t="n">
        <v>1001</v>
      </c>
      <c r="AC399" t="n">
        <v>50</v>
      </c>
      <c r="AD399" t="n">
        <v>1</v>
      </c>
      <c r="AE399" t="n">
        <v>8000</v>
      </c>
      <c r="AF399" t="n">
        <v>1060</v>
      </c>
      <c r="AG399" t="n">
        <v>1</v>
      </c>
    </row>
    <row r="400" ht="38.25" customHeight="1" s="142">
      <c r="A400" t="n">
        <v>1294</v>
      </c>
      <c r="B400" t="inlineStr">
        <is>
          <t>main</t>
        </is>
      </c>
      <c r="C400" t="n">
        <v>9</v>
      </c>
      <c r="D400" t="inlineStr">
        <is>
          <t>9-25</t>
        </is>
      </c>
      <c r="E400" t="n">
        <v>148</v>
      </c>
      <c r="G400" s="90" t="inlineStr">
        <is>
          <t>{role:-1},
{id:-1},{id:-1},{id:-1},{id:-1},{id:-1}
{id:40050},{id:40075},{id:40076},{id:40045},{id:40045}</t>
        </is>
      </c>
      <c r="I400" t="n">
        <v>37970</v>
      </c>
      <c r="J400" s="80" t="inlineStr">
        <is>
          <t>贖罪回聲</t>
        </is>
      </c>
      <c r="K400" t="inlineStr">
        <is>
          <t>buff</t>
        </is>
      </c>
      <c r="L400" t="n">
        <v>9001</v>
      </c>
      <c r="M400" t="n">
        <v>5</v>
      </c>
      <c r="O400" t="n">
        <v>0.6</v>
      </c>
      <c r="P400" s="80" t="inlineStr">
        <is>
          <t>墮落低語</t>
        </is>
      </c>
      <c r="Q400" t="inlineStr">
        <is>
          <t>debuff</t>
        </is>
      </c>
      <c r="R400" t="n">
        <v>9008</v>
      </c>
      <c r="S400" t="n">
        <v>13</v>
      </c>
      <c r="U400" t="n">
        <v>1</v>
      </c>
      <c r="V400" t="n">
        <v>70001</v>
      </c>
      <c r="W400" t="n">
        <v>2</v>
      </c>
      <c r="X400" t="n">
        <v>1</v>
      </c>
      <c r="Y400" t="n">
        <v>70002</v>
      </c>
      <c r="Z400" t="n">
        <v>2</v>
      </c>
      <c r="AA400" t="n">
        <v>1</v>
      </c>
      <c r="AB400" t="n">
        <v>1001</v>
      </c>
      <c r="AC400" t="n">
        <v>50</v>
      </c>
      <c r="AD400" t="n">
        <v>1</v>
      </c>
      <c r="AE400" t="n">
        <v>8000</v>
      </c>
      <c r="AF400" t="n">
        <v>1060</v>
      </c>
      <c r="AG400" t="n">
        <v>1</v>
      </c>
    </row>
    <row r="401" ht="38.25" customHeight="1" s="142">
      <c r="A401" t="n">
        <v>1295</v>
      </c>
      <c r="B401" t="inlineStr">
        <is>
          <t>main</t>
        </is>
      </c>
      <c r="C401" t="n">
        <v>9</v>
      </c>
      <c r="D401" t="inlineStr">
        <is>
          <t>9-26</t>
        </is>
      </c>
      <c r="E401" t="n">
        <v>148</v>
      </c>
      <c r="G401" s="90" t="inlineStr">
        <is>
          <t>{role:-1},
{id:-1},{id:-1},{id:-1},{id:-1},{id:-1}
{id:40052},{id:40050},{id:40076},{id:40075},{id:40050}</t>
        </is>
      </c>
      <c r="I401" t="n">
        <v>38095</v>
      </c>
      <c r="J401" s="80" t="inlineStr">
        <is>
          <t>贖罪回聲</t>
        </is>
      </c>
      <c r="K401" t="inlineStr">
        <is>
          <t>buff</t>
        </is>
      </c>
      <c r="L401" t="n">
        <v>9012</v>
      </c>
      <c r="M401" t="inlineStr">
        <is>
          <t>6,11</t>
        </is>
      </c>
      <c r="O401" t="n">
        <v>0.2</v>
      </c>
      <c r="P401" s="80" t="inlineStr">
        <is>
          <t>墮落低語</t>
        </is>
      </c>
      <c r="Q401" t="inlineStr">
        <is>
          <t>debuff</t>
        </is>
      </c>
      <c r="R401" t="n">
        <v>9008</v>
      </c>
      <c r="S401" t="n">
        <v>11</v>
      </c>
      <c r="U401" t="n">
        <v>0.9</v>
      </c>
      <c r="V401" t="n">
        <v>70001</v>
      </c>
      <c r="W401" t="n">
        <v>2</v>
      </c>
      <c r="X401" t="n">
        <v>1</v>
      </c>
      <c r="Y401" t="n">
        <v>70002</v>
      </c>
      <c r="Z401" t="n">
        <v>2</v>
      </c>
      <c r="AA401" t="n">
        <v>1</v>
      </c>
      <c r="AB401" t="n">
        <v>1001</v>
      </c>
      <c r="AC401" t="n">
        <v>50</v>
      </c>
      <c r="AD401" t="n">
        <v>1</v>
      </c>
      <c r="AE401" t="n">
        <v>8000</v>
      </c>
      <c r="AF401" t="n">
        <v>1070</v>
      </c>
      <c r="AG401" t="n">
        <v>1</v>
      </c>
    </row>
    <row r="402" ht="38.25" customHeight="1" s="142">
      <c r="A402" t="n">
        <v>1296</v>
      </c>
      <c r="B402" t="inlineStr">
        <is>
          <t>main</t>
        </is>
      </c>
      <c r="C402" t="n">
        <v>9</v>
      </c>
      <c r="D402" t="inlineStr">
        <is>
          <t>9-27</t>
        </is>
      </c>
      <c r="E402" t="n">
        <v>149</v>
      </c>
      <c r="G402" s="90" t="inlineStr">
        <is>
          <t>{role:-1},
{id:-1},{id:-1},{id:-1},{id:-1},{id:-1}
{id:40052},{id:40052},{id:40050},{id:40045},{id:40052}</t>
        </is>
      </c>
      <c r="I402" t="n">
        <v>38220</v>
      </c>
      <c r="J402" s="80" t="inlineStr">
        <is>
          <t>贖罪回聲</t>
        </is>
      </c>
      <c r="K402" t="inlineStr">
        <is>
          <t>buff</t>
        </is>
      </c>
      <c r="L402" t="n">
        <v>9008</v>
      </c>
      <c r="M402" t="inlineStr">
        <is>
          <t>3,9</t>
        </is>
      </c>
      <c r="O402" t="n">
        <v>0.4</v>
      </c>
      <c r="P402" s="80" t="inlineStr">
        <is>
          <t>墮落低語</t>
        </is>
      </c>
      <c r="Q402" t="inlineStr">
        <is>
          <t>debuff</t>
        </is>
      </c>
      <c r="R402" t="n">
        <v>9010</v>
      </c>
      <c r="S402" t="inlineStr">
        <is>
          <t>10,13</t>
        </is>
      </c>
      <c r="U402" t="n">
        <v>0.5</v>
      </c>
      <c r="V402" t="n">
        <v>70001</v>
      </c>
      <c r="W402" t="n">
        <v>2</v>
      </c>
      <c r="X402" t="n">
        <v>1</v>
      </c>
      <c r="Y402" t="n">
        <v>70002</v>
      </c>
      <c r="Z402" t="n">
        <v>2</v>
      </c>
      <c r="AA402" t="n">
        <v>1</v>
      </c>
      <c r="AB402" t="n">
        <v>1001</v>
      </c>
      <c r="AC402" t="n">
        <v>50</v>
      </c>
      <c r="AD402" t="n">
        <v>1</v>
      </c>
      <c r="AE402" t="n">
        <v>8000</v>
      </c>
      <c r="AF402" t="n">
        <v>1070</v>
      </c>
      <c r="AG402" t="n">
        <v>1</v>
      </c>
    </row>
    <row r="403" ht="38.25" customHeight="1" s="142">
      <c r="A403" t="n">
        <v>1297</v>
      </c>
      <c r="B403" t="inlineStr">
        <is>
          <t>main</t>
        </is>
      </c>
      <c r="C403" t="n">
        <v>9</v>
      </c>
      <c r="D403" t="inlineStr">
        <is>
          <t>9-28</t>
        </is>
      </c>
      <c r="E403" t="n">
        <v>149</v>
      </c>
      <c r="G403" s="90" t="inlineStr">
        <is>
          <t>{role:-1},
{id:-1},{id:-1},{id:-1},{id:-1},{id:-1}
{id:40076},{id:40045},{id:40045},{id:40076},{id:40050}</t>
        </is>
      </c>
      <c r="I403" t="n">
        <v>38345</v>
      </c>
      <c r="J403" s="80" t="inlineStr">
        <is>
          <t>贖罪回聲</t>
        </is>
      </c>
      <c r="K403" t="inlineStr">
        <is>
          <t>buff</t>
        </is>
      </c>
      <c r="L403" t="n">
        <v>9001</v>
      </c>
      <c r="M403" t="n">
        <v>10</v>
      </c>
      <c r="O403" t="n">
        <v>0.7</v>
      </c>
      <c r="P403" s="80" t="inlineStr">
        <is>
          <t>墮落低語</t>
        </is>
      </c>
      <c r="Q403" t="inlineStr">
        <is>
          <t>debuff</t>
        </is>
      </c>
      <c r="R403" t="n">
        <v>9007</v>
      </c>
      <c r="S403" t="inlineStr">
        <is>
          <t>4,6,8</t>
        </is>
      </c>
      <c r="U403" t="n">
        <v>0.6</v>
      </c>
      <c r="V403" t="n">
        <v>70001</v>
      </c>
      <c r="W403" t="n">
        <v>2</v>
      </c>
      <c r="X403" t="n">
        <v>1</v>
      </c>
      <c r="Y403" t="n">
        <v>70002</v>
      </c>
      <c r="Z403" t="n">
        <v>2</v>
      </c>
      <c r="AA403" t="n">
        <v>1</v>
      </c>
      <c r="AB403" t="n">
        <v>1001</v>
      </c>
      <c r="AC403" t="n">
        <v>50</v>
      </c>
      <c r="AD403" t="n">
        <v>1</v>
      </c>
      <c r="AE403" t="n">
        <v>8000</v>
      </c>
      <c r="AF403" t="n">
        <v>1080</v>
      </c>
      <c r="AG403" t="n">
        <v>1</v>
      </c>
    </row>
    <row r="404" ht="38.25" customHeight="1" s="142">
      <c r="A404" t="n">
        <v>1298</v>
      </c>
      <c r="B404" t="inlineStr">
        <is>
          <t>main</t>
        </is>
      </c>
      <c r="C404" t="n">
        <v>9</v>
      </c>
      <c r="D404" t="inlineStr">
        <is>
          <t>9-29</t>
        </is>
      </c>
      <c r="E404" t="n">
        <v>150</v>
      </c>
      <c r="G404" s="90" t="inlineStr">
        <is>
          <t>{role:-1},{state:-60013}
{id:-1},{id:-1},{id:-1},{id:-1},{id:-1}
{id:40075},{id:40045},{id:40045},{id:40050},{id:40052}</t>
        </is>
      </c>
      <c r="I404" t="n">
        <v>38470</v>
      </c>
      <c r="J404" s="80" t="inlineStr">
        <is>
          <t>贖罪回聲</t>
        </is>
      </c>
      <c r="K404" t="inlineStr">
        <is>
          <t>buff</t>
        </is>
      </c>
      <c r="L404" t="n">
        <v>9011</v>
      </c>
      <c r="M404" t="inlineStr">
        <is>
          <t>8,12</t>
        </is>
      </c>
      <c r="O404" t="n">
        <v>0.3</v>
      </c>
      <c r="P404" s="80" t="inlineStr">
        <is>
          <t>墮落低語</t>
        </is>
      </c>
      <c r="Q404" t="inlineStr">
        <is>
          <t>debuff</t>
        </is>
      </c>
      <c r="R404" t="n">
        <v>9012</v>
      </c>
      <c r="S404" t="inlineStr">
        <is>
          <t>3,5</t>
        </is>
      </c>
      <c r="U404" t="n">
        <v>0.5</v>
      </c>
      <c r="V404" t="n">
        <v>70001</v>
      </c>
      <c r="W404" t="n">
        <v>2</v>
      </c>
      <c r="X404" t="n">
        <v>1</v>
      </c>
      <c r="Y404" t="n">
        <v>70002</v>
      </c>
      <c r="Z404" t="n">
        <v>2</v>
      </c>
      <c r="AA404" t="n">
        <v>1</v>
      </c>
      <c r="AB404" t="n">
        <v>1001</v>
      </c>
      <c r="AC404" t="n">
        <v>50</v>
      </c>
      <c r="AD404" t="n">
        <v>1</v>
      </c>
      <c r="AE404" t="n">
        <v>8000</v>
      </c>
      <c r="AF404" t="n">
        <v>1080</v>
      </c>
      <c r="AG404" t="n">
        <v>1</v>
      </c>
    </row>
    <row r="405" ht="38.25" customHeight="1" s="142">
      <c r="A405" t="n">
        <v>1299</v>
      </c>
      <c r="B405" t="inlineStr">
        <is>
          <t>main</t>
        </is>
      </c>
      <c r="C405" t="n">
        <v>9</v>
      </c>
      <c r="D405" t="inlineStr">
        <is>
          <t>9-30</t>
        </is>
      </c>
      <c r="E405" t="n">
        <v>150</v>
      </c>
      <c r="G405" s="90" t="inlineStr">
        <is>
          <t>{role:-1},{state:-60013}
{id:-1},{id:-1},{id:-1},{id:-1},{id:-1}
{id:40052},{id:40075},{id:40052},{id:40052},{id:40045}</t>
        </is>
      </c>
      <c r="I405" t="n">
        <v>38595</v>
      </c>
      <c r="J405" s="80" t="inlineStr">
        <is>
          <t>贖罪回聲</t>
        </is>
      </c>
      <c r="K405" t="inlineStr">
        <is>
          <t>buff</t>
        </is>
      </c>
      <c r="L405" t="n">
        <v>9012</v>
      </c>
      <c r="M405" t="n">
        <v>3</v>
      </c>
      <c r="O405" t="n">
        <v>0.4</v>
      </c>
      <c r="P405" s="80" t="inlineStr">
        <is>
          <t>墮落低語</t>
        </is>
      </c>
      <c r="Q405" t="inlineStr">
        <is>
          <t>debuff</t>
        </is>
      </c>
      <c r="R405" t="n">
        <v>9012</v>
      </c>
      <c r="S405" t="n">
        <v>4</v>
      </c>
      <c r="U405" t="n">
        <v>0.9</v>
      </c>
      <c r="V405" t="n">
        <v>70001</v>
      </c>
      <c r="W405" t="n">
        <v>2</v>
      </c>
      <c r="X405" t="n">
        <v>1</v>
      </c>
      <c r="Y405" t="n">
        <v>70002</v>
      </c>
      <c r="Z405" t="n">
        <v>2</v>
      </c>
      <c r="AA405" t="n">
        <v>1</v>
      </c>
      <c r="AB405" t="n">
        <v>1001</v>
      </c>
      <c r="AC405" t="n">
        <v>50</v>
      </c>
      <c r="AD405" t="n">
        <v>1</v>
      </c>
      <c r="AE405" t="n">
        <v>8000</v>
      </c>
      <c r="AF405" t="n">
        <v>1090</v>
      </c>
      <c r="AG405" t="n">
        <v>1</v>
      </c>
    </row>
    <row r="406" ht="38.25" customHeight="1" s="142">
      <c r="A406" t="n">
        <v>1300</v>
      </c>
      <c r="B406" t="inlineStr">
        <is>
          <t>main</t>
        </is>
      </c>
      <c r="C406" t="n">
        <v>9</v>
      </c>
      <c r="D406" t="inlineStr">
        <is>
          <t>9-31</t>
        </is>
      </c>
      <c r="E406" t="n">
        <v>150</v>
      </c>
      <c r="G406" s="90" t="inlineStr">
        <is>
          <t>{role:-1},{state:-60013}
{id:-1},{id:-1},{id:-1},{id:-1},{id:-1}
{id:40076},{id:40045},{id:40076},{id:40076},{id:40045}</t>
        </is>
      </c>
      <c r="I406" t="n">
        <v>38720</v>
      </c>
      <c r="J406" s="80" t="inlineStr">
        <is>
          <t>贖罪回聲</t>
        </is>
      </c>
      <c r="K406" t="inlineStr">
        <is>
          <t>buff</t>
        </is>
      </c>
      <c r="L406" t="n">
        <v>9001</v>
      </c>
      <c r="M406" t="inlineStr">
        <is>
          <t>4,11,13</t>
        </is>
      </c>
      <c r="O406" t="n">
        <v>0.8</v>
      </c>
      <c r="P406" s="80" t="inlineStr">
        <is>
          <t>墮落低語</t>
        </is>
      </c>
      <c r="Q406" t="inlineStr">
        <is>
          <t>debuff</t>
        </is>
      </c>
      <c r="R406" t="n">
        <v>9010</v>
      </c>
      <c r="S406" t="inlineStr">
        <is>
          <t>2,13</t>
        </is>
      </c>
      <c r="U406" t="n">
        <v>0.9</v>
      </c>
      <c r="V406" t="n">
        <v>70001</v>
      </c>
      <c r="W406" t="n">
        <v>2</v>
      </c>
      <c r="X406" t="n">
        <v>1</v>
      </c>
      <c r="Y406" t="n">
        <v>70002</v>
      </c>
      <c r="Z406" t="n">
        <v>2</v>
      </c>
      <c r="AA406" t="n">
        <v>1</v>
      </c>
      <c r="AB406" t="n">
        <v>1001</v>
      </c>
      <c r="AC406" t="n">
        <v>50</v>
      </c>
      <c r="AD406" t="n">
        <v>1</v>
      </c>
      <c r="AE406" t="n">
        <v>8000</v>
      </c>
      <c r="AF406" t="n">
        <v>1090</v>
      </c>
      <c r="AG406" t="n">
        <v>1</v>
      </c>
    </row>
    <row r="407" ht="38.25" customHeight="1" s="142">
      <c r="A407" t="n">
        <v>1301</v>
      </c>
      <c r="B407" t="inlineStr">
        <is>
          <t>main</t>
        </is>
      </c>
      <c r="C407" t="n">
        <v>9</v>
      </c>
      <c r="D407" t="inlineStr">
        <is>
          <t>9-32</t>
        </is>
      </c>
      <c r="E407" t="n">
        <v>150</v>
      </c>
      <c r="G407" s="90" t="inlineStr">
        <is>
          <t>{role:-1},{state:-60013}
{id:-1},{id:-1},{id:-1},{id:-1},{id:-1}
{id:40076},{id:40052},{id:40045},{id:40050},{id:40076}</t>
        </is>
      </c>
      <c r="I407" t="n">
        <v>38845</v>
      </c>
      <c r="J407" s="80" t="inlineStr">
        <is>
          <t>贖罪回聲</t>
        </is>
      </c>
      <c r="K407" t="inlineStr">
        <is>
          <t>buff</t>
        </is>
      </c>
      <c r="L407" t="n">
        <v>9011</v>
      </c>
      <c r="M407" t="n">
        <v>6</v>
      </c>
      <c r="O407" t="n">
        <v>0.7</v>
      </c>
      <c r="P407" s="80" t="inlineStr">
        <is>
          <t>墮落低語</t>
        </is>
      </c>
      <c r="Q407" t="inlineStr">
        <is>
          <t>debuff</t>
        </is>
      </c>
      <c r="R407" t="n">
        <v>9010</v>
      </c>
      <c r="S407" t="n">
        <v>8</v>
      </c>
      <c r="U407" t="n">
        <v>0.9</v>
      </c>
      <c r="V407" t="n">
        <v>70001</v>
      </c>
      <c r="W407" t="n">
        <v>2</v>
      </c>
      <c r="X407" t="n">
        <v>1</v>
      </c>
      <c r="Y407" t="n">
        <v>70002</v>
      </c>
      <c r="Z407" t="n">
        <v>2</v>
      </c>
      <c r="AA407" t="n">
        <v>1</v>
      </c>
      <c r="AB407" t="n">
        <v>1001</v>
      </c>
      <c r="AC407" t="n">
        <v>50</v>
      </c>
      <c r="AD407" t="n">
        <v>1</v>
      </c>
      <c r="AE407" t="n">
        <v>8000</v>
      </c>
      <c r="AF407" t="n">
        <v>1100</v>
      </c>
      <c r="AG407" t="n">
        <v>1</v>
      </c>
    </row>
    <row r="408" ht="38.25" customHeight="1" s="142">
      <c r="A408" t="n">
        <v>1302</v>
      </c>
      <c r="B408" t="inlineStr">
        <is>
          <t>main</t>
        </is>
      </c>
      <c r="C408" t="n">
        <v>9</v>
      </c>
      <c r="D408" t="inlineStr">
        <is>
          <t>9-33</t>
        </is>
      </c>
      <c r="E408" t="n">
        <v>150</v>
      </c>
      <c r="G408" s="90" t="inlineStr">
        <is>
          <t>{role:-1},{state:-60013}
{id:-1},{id:-1},{id:-1},{id:-1},{id:-1}
{id:40076},{id:40076},{id:40075},{id:40052},{id:40045}</t>
        </is>
      </c>
      <c r="I408" t="n">
        <v>38970</v>
      </c>
      <c r="J408" s="80" t="inlineStr">
        <is>
          <t>贖罪回聲</t>
        </is>
      </c>
      <c r="K408" t="inlineStr">
        <is>
          <t>buff</t>
        </is>
      </c>
      <c r="L408" t="n">
        <v>9008</v>
      </c>
      <c r="M408" t="inlineStr">
        <is>
          <t>2,3,7</t>
        </is>
      </c>
      <c r="O408" t="n">
        <v>0.5</v>
      </c>
      <c r="P408" s="80" t="inlineStr">
        <is>
          <t>墮落低語</t>
        </is>
      </c>
      <c r="Q408" t="inlineStr">
        <is>
          <t>debuff</t>
        </is>
      </c>
      <c r="R408" t="n">
        <v>9010</v>
      </c>
      <c r="S408" t="inlineStr">
        <is>
          <t>8,9,12</t>
        </is>
      </c>
      <c r="U408" t="n">
        <v>0.4</v>
      </c>
      <c r="V408" t="n">
        <v>70001</v>
      </c>
      <c r="W408" t="n">
        <v>2</v>
      </c>
      <c r="X408" t="n">
        <v>1</v>
      </c>
      <c r="Y408" t="n">
        <v>70002</v>
      </c>
      <c r="Z408" t="n">
        <v>2</v>
      </c>
      <c r="AA408" t="n">
        <v>1</v>
      </c>
      <c r="AB408" t="n">
        <v>1001</v>
      </c>
      <c r="AC408" t="n">
        <v>50</v>
      </c>
      <c r="AD408" t="n">
        <v>1</v>
      </c>
      <c r="AE408" t="n">
        <v>8000</v>
      </c>
      <c r="AF408" t="n">
        <v>1100</v>
      </c>
      <c r="AG408" t="n">
        <v>1</v>
      </c>
    </row>
    <row r="409" ht="38.25" customHeight="1" s="142">
      <c r="A409" t="n">
        <v>1303</v>
      </c>
      <c r="B409" t="inlineStr">
        <is>
          <t>main</t>
        </is>
      </c>
      <c r="C409" t="n">
        <v>9</v>
      </c>
      <c r="D409" t="inlineStr">
        <is>
          <t>9-34</t>
        </is>
      </c>
      <c r="E409" t="n">
        <v>150</v>
      </c>
      <c r="G409" s="90" t="inlineStr">
        <is>
          <t>{role:-1},{state:-60013}
{id:-1},{id:-1},{id:-1},{id:-1},{id:-1}
{id:40050},{id:40052},{id:40075},{id:40076},{id:40045}</t>
        </is>
      </c>
      <c r="I409" t="n">
        <v>39095</v>
      </c>
      <c r="J409" s="80" t="inlineStr">
        <is>
          <t>贖罪回聲</t>
        </is>
      </c>
      <c r="K409" t="inlineStr">
        <is>
          <t>buff</t>
        </is>
      </c>
      <c r="L409" t="n">
        <v>9008</v>
      </c>
      <c r="M409" t="inlineStr">
        <is>
          <t>3,4,12</t>
        </is>
      </c>
      <c r="O409" t="n">
        <v>0.5</v>
      </c>
      <c r="P409" s="80" t="inlineStr">
        <is>
          <t>墮落低語</t>
        </is>
      </c>
      <c r="Q409" t="inlineStr">
        <is>
          <t>debuff</t>
        </is>
      </c>
      <c r="R409" t="n">
        <v>9008</v>
      </c>
      <c r="S409" t="inlineStr">
        <is>
          <t>10,11</t>
        </is>
      </c>
      <c r="U409" t="n">
        <v>0.5</v>
      </c>
      <c r="V409" t="n">
        <v>70001</v>
      </c>
      <c r="W409" t="n">
        <v>2</v>
      </c>
      <c r="X409" t="n">
        <v>1</v>
      </c>
      <c r="Y409" t="n">
        <v>70002</v>
      </c>
      <c r="Z409" t="n">
        <v>2</v>
      </c>
      <c r="AA409" t="n">
        <v>1</v>
      </c>
      <c r="AB409" t="n">
        <v>1001</v>
      </c>
      <c r="AC409" t="n">
        <v>50</v>
      </c>
      <c r="AD409" t="n">
        <v>1</v>
      </c>
      <c r="AE409" t="n">
        <v>8000</v>
      </c>
      <c r="AF409" t="n">
        <v>1110</v>
      </c>
      <c r="AG409" t="n">
        <v>1</v>
      </c>
    </row>
    <row r="410" ht="38.25" customHeight="1" s="142">
      <c r="A410" t="n">
        <v>1304</v>
      </c>
      <c r="B410" t="inlineStr">
        <is>
          <t>main</t>
        </is>
      </c>
      <c r="C410" t="n">
        <v>9</v>
      </c>
      <c r="D410" t="inlineStr">
        <is>
          <t>9-35</t>
        </is>
      </c>
      <c r="E410" t="n">
        <v>150</v>
      </c>
      <c r="G410" s="90" t="inlineStr">
        <is>
          <t>{role:-1},{state:-60013}
{id:-1},{id:-1},{id:-1},{id:-1},{id:-1}
{id:40076},{id:40045},{id:40050},{id:40076},{id:40075}</t>
        </is>
      </c>
      <c r="I410" t="n">
        <v>39220</v>
      </c>
      <c r="J410" s="80" t="inlineStr">
        <is>
          <t>贖罪回聲</t>
        </is>
      </c>
      <c r="K410" t="inlineStr">
        <is>
          <t>buff</t>
        </is>
      </c>
      <c r="L410" t="n">
        <v>9012</v>
      </c>
      <c r="M410" t="inlineStr">
        <is>
          <t>2,4</t>
        </is>
      </c>
      <c r="O410" t="n">
        <v>0.9</v>
      </c>
      <c r="P410" s="80" t="inlineStr">
        <is>
          <t>墮落低語</t>
        </is>
      </c>
      <c r="Q410" t="inlineStr">
        <is>
          <t>debuff</t>
        </is>
      </c>
      <c r="R410" t="n">
        <v>9010</v>
      </c>
      <c r="S410" t="inlineStr">
        <is>
          <t>1,4,12</t>
        </is>
      </c>
      <c r="U410" t="n">
        <v>0.8</v>
      </c>
      <c r="V410" t="n">
        <v>70001</v>
      </c>
      <c r="W410" t="n">
        <v>2</v>
      </c>
      <c r="X410" t="n">
        <v>1</v>
      </c>
      <c r="Y410" t="n">
        <v>70002</v>
      </c>
      <c r="Z410" t="n">
        <v>2</v>
      </c>
      <c r="AA410" t="n">
        <v>1</v>
      </c>
      <c r="AB410" t="n">
        <v>1001</v>
      </c>
      <c r="AC410" t="n">
        <v>50</v>
      </c>
      <c r="AD410" t="n">
        <v>1</v>
      </c>
      <c r="AE410" t="n">
        <v>8000</v>
      </c>
      <c r="AF410" t="n">
        <v>1110</v>
      </c>
      <c r="AG410" t="n">
        <v>1</v>
      </c>
    </row>
    <row r="411" ht="38.25" customHeight="1" s="142">
      <c r="A411" t="n">
        <v>1305</v>
      </c>
      <c r="B411" t="inlineStr">
        <is>
          <t>main</t>
        </is>
      </c>
      <c r="C411" t="n">
        <v>9</v>
      </c>
      <c r="D411" t="inlineStr">
        <is>
          <t>9-36</t>
        </is>
      </c>
      <c r="E411" t="n">
        <v>150</v>
      </c>
      <c r="G411" s="90" t="inlineStr">
        <is>
          <t>{role:-1},{state:-60013}
{id:-1},{id:-1},{id:-1},{id:-1},{id:-1}
{id:40075},{id:40045},{id:40050},{id:40050},{id:40076}</t>
        </is>
      </c>
      <c r="I411" t="n">
        <v>39345</v>
      </c>
      <c r="J411" s="80" t="inlineStr">
        <is>
          <t>贖罪回聲</t>
        </is>
      </c>
      <c r="K411" t="inlineStr">
        <is>
          <t>buff</t>
        </is>
      </c>
      <c r="L411" t="n">
        <v>9006</v>
      </c>
      <c r="M411" t="n">
        <v>9</v>
      </c>
      <c r="O411" t="n">
        <v>0.2</v>
      </c>
      <c r="P411" s="80" t="inlineStr">
        <is>
          <t>墮落低語</t>
        </is>
      </c>
      <c r="Q411" t="inlineStr">
        <is>
          <t>debuff</t>
        </is>
      </c>
      <c r="R411" t="n">
        <v>9007</v>
      </c>
      <c r="S411" t="inlineStr">
        <is>
          <t>9,10</t>
        </is>
      </c>
      <c r="U411" t="n">
        <v>0.1</v>
      </c>
      <c r="V411" t="n">
        <v>70001</v>
      </c>
      <c r="W411" t="n">
        <v>2</v>
      </c>
      <c r="X411" t="n">
        <v>1</v>
      </c>
      <c r="Y411" t="n">
        <v>70002</v>
      </c>
      <c r="Z411" t="n">
        <v>2</v>
      </c>
      <c r="AA411" t="n">
        <v>1</v>
      </c>
      <c r="AB411" t="n">
        <v>1001</v>
      </c>
      <c r="AC411" t="n">
        <v>50</v>
      </c>
      <c r="AD411" t="n">
        <v>1</v>
      </c>
      <c r="AE411" t="n">
        <v>8000</v>
      </c>
      <c r="AF411" t="n">
        <v>1120</v>
      </c>
      <c r="AG411" t="n">
        <v>1</v>
      </c>
    </row>
    <row r="412" ht="38.25" customHeight="1" s="142">
      <c r="A412" t="n">
        <v>1306</v>
      </c>
      <c r="B412" t="inlineStr">
        <is>
          <t>main</t>
        </is>
      </c>
      <c r="C412" t="n">
        <v>9</v>
      </c>
      <c r="D412" t="inlineStr">
        <is>
          <t>9-37</t>
        </is>
      </c>
      <c r="E412" t="n">
        <v>150</v>
      </c>
      <c r="G412" s="90" t="inlineStr">
        <is>
          <t>{role:-1},{state:-60013}
{id:-1},{id:-1},{id:-1},{id:-1},{id:-1}
{id:40050},{id:40050},{id:40045},{id:40075},{id:40052}</t>
        </is>
      </c>
      <c r="I412" t="n">
        <v>39470</v>
      </c>
      <c r="J412" s="80" t="inlineStr">
        <is>
          <t>贖罪回聲</t>
        </is>
      </c>
      <c r="K412" t="inlineStr">
        <is>
          <t>buff</t>
        </is>
      </c>
      <c r="L412" t="n">
        <v>9005</v>
      </c>
      <c r="M412" t="inlineStr">
        <is>
          <t>1,4,6</t>
        </is>
      </c>
      <c r="O412" t="n">
        <v>0.8</v>
      </c>
      <c r="P412" s="80" t="inlineStr">
        <is>
          <t>墮落低語</t>
        </is>
      </c>
      <c r="Q412" t="inlineStr">
        <is>
          <t>debuff</t>
        </is>
      </c>
      <c r="R412" t="n">
        <v>9012</v>
      </c>
      <c r="S412" t="inlineStr">
        <is>
          <t>1,10</t>
        </is>
      </c>
      <c r="U412" t="n">
        <v>0.8</v>
      </c>
      <c r="V412" t="n">
        <v>70001</v>
      </c>
      <c r="W412" t="n">
        <v>2</v>
      </c>
      <c r="X412" t="n">
        <v>1</v>
      </c>
      <c r="Y412" t="n">
        <v>70002</v>
      </c>
      <c r="Z412" t="n">
        <v>2</v>
      </c>
      <c r="AA412" t="n">
        <v>1</v>
      </c>
      <c r="AB412" t="n">
        <v>1001</v>
      </c>
      <c r="AC412" t="n">
        <v>50</v>
      </c>
      <c r="AD412" t="n">
        <v>1</v>
      </c>
      <c r="AE412" t="n">
        <v>8000</v>
      </c>
      <c r="AF412" t="n">
        <v>1120</v>
      </c>
      <c r="AG412" t="n">
        <v>1</v>
      </c>
    </row>
    <row r="413" ht="38.25" customHeight="1" s="142">
      <c r="A413" t="n">
        <v>1307</v>
      </c>
      <c r="B413" t="inlineStr">
        <is>
          <t>main</t>
        </is>
      </c>
      <c r="C413" t="n">
        <v>9</v>
      </c>
      <c r="D413" t="inlineStr">
        <is>
          <t>9-38</t>
        </is>
      </c>
      <c r="E413" t="n">
        <v>150</v>
      </c>
      <c r="G413" s="90" t="inlineStr">
        <is>
          <t>{role:-1},{state:-60013}
{id:-1},{id:-1},{id:-1},{id:-1},{id:-1}
{id:40045},{id:40076},{id:40076},{id:40076},{id:40052}</t>
        </is>
      </c>
      <c r="I413" t="n">
        <v>39595</v>
      </c>
      <c r="J413" s="80" t="inlineStr">
        <is>
          <t>贖罪回聲</t>
        </is>
      </c>
      <c r="K413" t="inlineStr">
        <is>
          <t>buff</t>
        </is>
      </c>
      <c r="L413" t="n">
        <v>9012</v>
      </c>
      <c r="M413" t="inlineStr">
        <is>
          <t>11,13</t>
        </is>
      </c>
      <c r="O413" t="n">
        <v>0.3</v>
      </c>
      <c r="P413" s="80" t="inlineStr">
        <is>
          <t>墮落低語</t>
        </is>
      </c>
      <c r="Q413" t="inlineStr">
        <is>
          <t>debuff</t>
        </is>
      </c>
      <c r="R413" t="n">
        <v>9007</v>
      </c>
      <c r="S413" t="inlineStr">
        <is>
          <t>3,11,12</t>
        </is>
      </c>
      <c r="U413" t="n">
        <v>0.6</v>
      </c>
      <c r="V413" t="n">
        <v>70001</v>
      </c>
      <c r="W413" t="n">
        <v>2</v>
      </c>
      <c r="X413" t="n">
        <v>1</v>
      </c>
      <c r="Y413" t="n">
        <v>70002</v>
      </c>
      <c r="Z413" t="n">
        <v>2</v>
      </c>
      <c r="AA413" t="n">
        <v>1</v>
      </c>
      <c r="AB413" t="n">
        <v>1001</v>
      </c>
      <c r="AC413" t="n">
        <v>50</v>
      </c>
      <c r="AD413" t="n">
        <v>1</v>
      </c>
      <c r="AE413" t="n">
        <v>8000</v>
      </c>
      <c r="AF413" t="n">
        <v>1130</v>
      </c>
      <c r="AG413" t="n">
        <v>1</v>
      </c>
    </row>
    <row r="414" ht="38.25" customHeight="1" s="142">
      <c r="A414" t="n">
        <v>1308</v>
      </c>
      <c r="B414" t="inlineStr">
        <is>
          <t>main</t>
        </is>
      </c>
      <c r="C414" t="n">
        <v>9</v>
      </c>
      <c r="D414" t="inlineStr">
        <is>
          <t>9-39</t>
        </is>
      </c>
      <c r="E414" t="n">
        <v>150</v>
      </c>
      <c r="G414" s="90" t="inlineStr">
        <is>
          <t>{role:-1},{state:-60013}
{id:-1},{id:-1},{id:-1},{id:-1},{id:-1}
{id:40045},{id:40050},{id:40075},{id:40045},{id:40075}</t>
        </is>
      </c>
      <c r="I414" t="n">
        <v>39720</v>
      </c>
      <c r="J414" s="80" t="inlineStr">
        <is>
          <t>贖罪回聲</t>
        </is>
      </c>
      <c r="K414" t="inlineStr">
        <is>
          <t>buff</t>
        </is>
      </c>
      <c r="L414" t="n">
        <v>9001</v>
      </c>
      <c r="M414" t="n">
        <v>7</v>
      </c>
      <c r="O414" t="n">
        <v>0.9</v>
      </c>
      <c r="P414" s="80" t="inlineStr">
        <is>
          <t>墮落低語</t>
        </is>
      </c>
      <c r="Q414" t="inlineStr">
        <is>
          <t>debuff</t>
        </is>
      </c>
      <c r="R414" t="n">
        <v>9004</v>
      </c>
      <c r="S414" t="inlineStr">
        <is>
          <t>3,4,10</t>
        </is>
      </c>
      <c r="U414" t="n">
        <v>0.7</v>
      </c>
      <c r="V414" t="n">
        <v>70001</v>
      </c>
      <c r="W414" t="n">
        <v>2</v>
      </c>
      <c r="X414" t="n">
        <v>1</v>
      </c>
      <c r="Y414" t="n">
        <v>70002</v>
      </c>
      <c r="Z414" t="n">
        <v>2</v>
      </c>
      <c r="AA414" t="n">
        <v>1</v>
      </c>
      <c r="AB414" t="n">
        <v>1001</v>
      </c>
      <c r="AC414" t="n">
        <v>50</v>
      </c>
      <c r="AD414" t="n">
        <v>1</v>
      </c>
      <c r="AE414" t="n">
        <v>8000</v>
      </c>
      <c r="AF414" t="n">
        <v>1130</v>
      </c>
      <c r="AG414" t="n">
        <v>1</v>
      </c>
    </row>
    <row r="415" ht="38.25" customHeight="1" s="142">
      <c r="A415" t="n">
        <v>1309</v>
      </c>
      <c r="B415" t="inlineStr">
        <is>
          <t>main</t>
        </is>
      </c>
      <c r="C415" t="n">
        <v>9</v>
      </c>
      <c r="D415" t="inlineStr">
        <is>
          <t>9-40</t>
        </is>
      </c>
      <c r="E415" t="n">
        <v>150</v>
      </c>
      <c r="G415" s="90" t="inlineStr">
        <is>
          <t>{role:-1},{state:-60013}
{id:-1},{id:-1},{id:-1},{id:-1},{id:-1}
{id:50010},{id:40076},{id:40052},{id:40050},{id:40075}</t>
        </is>
      </c>
      <c r="I415" t="n">
        <v>39845</v>
      </c>
      <c r="J415" s="80" t="inlineStr">
        <is>
          <t>贖罪回聲</t>
        </is>
      </c>
      <c r="K415" t="inlineStr">
        <is>
          <t>buff</t>
        </is>
      </c>
      <c r="L415" t="n">
        <v>9005</v>
      </c>
      <c r="M415" t="inlineStr">
        <is>
          <t>5,8,11</t>
        </is>
      </c>
      <c r="O415" t="n">
        <v>0.3</v>
      </c>
      <c r="P415" s="80" t="inlineStr">
        <is>
          <t>墮落低語</t>
        </is>
      </c>
      <c r="Q415" t="inlineStr">
        <is>
          <t>debuff</t>
        </is>
      </c>
      <c r="R415" t="n">
        <v>9007</v>
      </c>
      <c r="S415" t="inlineStr">
        <is>
          <t>6,9</t>
        </is>
      </c>
      <c r="U415" t="n">
        <v>0.6</v>
      </c>
      <c r="V415" t="n">
        <v>70001</v>
      </c>
      <c r="W415" t="n">
        <v>2</v>
      </c>
      <c r="X415" t="n">
        <v>1</v>
      </c>
      <c r="Y415" t="n">
        <v>70002</v>
      </c>
      <c r="Z415" t="n">
        <v>2</v>
      </c>
      <c r="AA415" t="n">
        <v>1</v>
      </c>
      <c r="AB415" t="n">
        <v>1001</v>
      </c>
      <c r="AC415" t="n">
        <v>50</v>
      </c>
      <c r="AD415" t="n">
        <v>1</v>
      </c>
      <c r="AE415" t="n">
        <v>8000</v>
      </c>
      <c r="AF415" t="n">
        <v>1130</v>
      </c>
      <c r="AG415" t="n">
        <v>1</v>
      </c>
    </row>
    <row r="416" ht="38.25" customHeight="1" s="142">
      <c r="A416" t="n">
        <v>1310</v>
      </c>
      <c r="B416" t="inlineStr">
        <is>
          <t>main</t>
        </is>
      </c>
      <c r="C416" t="n">
        <v>10</v>
      </c>
      <c r="D416" t="inlineStr">
        <is>
          <t>10-1</t>
        </is>
      </c>
      <c r="E416" t="n">
        <v>150</v>
      </c>
      <c r="G416" s="90" t="inlineStr">
        <is>
          <t>{role:-1},{state:-60014}
{id:-1},{id:-1},{id:-1},{id:-1},{id:-1}
{id:40078},{id:40077}</t>
        </is>
      </c>
      <c r="I416" t="n">
        <v>39970</v>
      </c>
      <c r="J416" s="80" t="inlineStr">
        <is>
          <t>誓約光輝</t>
        </is>
      </c>
      <c r="K416" t="inlineStr">
        <is>
          <t>buff</t>
        </is>
      </c>
      <c r="L416" t="n">
        <v>9002</v>
      </c>
      <c r="M416" t="inlineStr">
        <is>
          <t>3,7</t>
        </is>
      </c>
      <c r="O416" t="n">
        <v>0.9</v>
      </c>
      <c r="P416" s="80" t="inlineStr">
        <is>
          <t>神殿守護</t>
        </is>
      </c>
      <c r="Q416" t="inlineStr">
        <is>
          <t>debuff</t>
        </is>
      </c>
      <c r="R416" t="n">
        <v>9008</v>
      </c>
      <c r="S416" t="n">
        <v>7</v>
      </c>
      <c r="U416" t="n">
        <v>0.9</v>
      </c>
      <c r="V416" t="n">
        <v>70001</v>
      </c>
      <c r="W416" t="n">
        <v>2</v>
      </c>
      <c r="X416" t="n">
        <v>1</v>
      </c>
      <c r="Y416" t="n">
        <v>70002</v>
      </c>
      <c r="Z416" t="n">
        <v>2</v>
      </c>
      <c r="AA416" t="n">
        <v>1</v>
      </c>
      <c r="AB416" t="n">
        <v>1001</v>
      </c>
      <c r="AC416" t="n">
        <v>50</v>
      </c>
      <c r="AD416" t="n">
        <v>1</v>
      </c>
      <c r="AE416" t="n">
        <v>8000</v>
      </c>
      <c r="AF416" t="n">
        <v>1140</v>
      </c>
      <c r="AG416" t="n">
        <v>1</v>
      </c>
    </row>
    <row r="417" ht="38.25" customHeight="1" s="142">
      <c r="A417" t="n">
        <v>1311</v>
      </c>
      <c r="B417" t="inlineStr">
        <is>
          <t>main</t>
        </is>
      </c>
      <c r="C417" t="n">
        <v>10</v>
      </c>
      <c r="D417" t="inlineStr">
        <is>
          <t>10-2</t>
        </is>
      </c>
      <c r="E417" t="n">
        <v>150</v>
      </c>
      <c r="G417" s="90" t="inlineStr">
        <is>
          <t>{role:-1},{state:-60014}
{id:-1},{id:-1},{id:-1},{id:-1},{id:-1}
{id:40048},{id:40078}</t>
        </is>
      </c>
      <c r="I417" t="n">
        <v>40095</v>
      </c>
      <c r="J417" s="80" t="inlineStr">
        <is>
          <t>誓約光輝</t>
        </is>
      </c>
      <c r="K417" t="inlineStr">
        <is>
          <t>buff</t>
        </is>
      </c>
      <c r="L417" t="n">
        <v>9008</v>
      </c>
      <c r="M417" t="inlineStr">
        <is>
          <t>3,7,12</t>
        </is>
      </c>
      <c r="O417" t="n">
        <v>0.4</v>
      </c>
      <c r="P417" s="80" t="inlineStr">
        <is>
          <t>神殿守護</t>
        </is>
      </c>
      <c r="Q417" t="inlineStr">
        <is>
          <t>debuff</t>
        </is>
      </c>
      <c r="R417" t="n">
        <v>9007</v>
      </c>
      <c r="S417" t="inlineStr">
        <is>
          <t>10,12</t>
        </is>
      </c>
      <c r="U417" t="n">
        <v>0.2</v>
      </c>
      <c r="V417" t="n">
        <v>70001</v>
      </c>
      <c r="W417" t="n">
        <v>2</v>
      </c>
      <c r="X417" t="n">
        <v>1</v>
      </c>
      <c r="Y417" t="n">
        <v>70002</v>
      </c>
      <c r="Z417" t="n">
        <v>2</v>
      </c>
      <c r="AA417" t="n">
        <v>1</v>
      </c>
      <c r="AB417" t="n">
        <v>1001</v>
      </c>
      <c r="AC417" t="n">
        <v>50</v>
      </c>
      <c r="AD417" t="n">
        <v>1</v>
      </c>
      <c r="AE417" t="n">
        <v>8000</v>
      </c>
      <c r="AF417" t="n">
        <v>1140</v>
      </c>
      <c r="AG417" t="n">
        <v>1</v>
      </c>
    </row>
    <row r="418" ht="38.25" customHeight="1" s="142">
      <c r="A418" t="n">
        <v>1312</v>
      </c>
      <c r="B418" t="inlineStr">
        <is>
          <t>main</t>
        </is>
      </c>
      <c r="C418" t="n">
        <v>10</v>
      </c>
      <c r="D418" t="inlineStr">
        <is>
          <t>10-3</t>
        </is>
      </c>
      <c r="E418" t="n">
        <v>150</v>
      </c>
      <c r="G418" s="90" t="inlineStr">
        <is>
          <t>{role:-1},{state:-60014}
{id:-1},{id:-1},{id:-1},{id:-1},{id:-1}
{id:40078},{id:40078}</t>
        </is>
      </c>
      <c r="I418" t="n">
        <v>40220</v>
      </c>
      <c r="J418" s="80" t="inlineStr">
        <is>
          <t>誓約光輝</t>
        </is>
      </c>
      <c r="K418" t="inlineStr">
        <is>
          <t>buff</t>
        </is>
      </c>
      <c r="L418" t="n">
        <v>9007</v>
      </c>
      <c r="M418" t="inlineStr">
        <is>
          <t>3,9,13</t>
        </is>
      </c>
      <c r="O418" t="n">
        <v>0.9</v>
      </c>
      <c r="P418" s="80" t="inlineStr">
        <is>
          <t>神殿守護</t>
        </is>
      </c>
      <c r="Q418" t="inlineStr">
        <is>
          <t>debuff</t>
        </is>
      </c>
      <c r="R418" t="n">
        <v>9011</v>
      </c>
      <c r="S418" t="n">
        <v>13</v>
      </c>
      <c r="U418" t="n">
        <v>0.9</v>
      </c>
      <c r="V418" t="n">
        <v>70001</v>
      </c>
      <c r="W418" t="n">
        <v>2</v>
      </c>
      <c r="X418" t="n">
        <v>1</v>
      </c>
      <c r="Y418" t="n">
        <v>70002</v>
      </c>
      <c r="Z418" t="n">
        <v>2</v>
      </c>
      <c r="AA418" t="n">
        <v>1</v>
      </c>
      <c r="AB418" t="n">
        <v>1001</v>
      </c>
      <c r="AC418" t="n">
        <v>50</v>
      </c>
      <c r="AD418" t="n">
        <v>1</v>
      </c>
      <c r="AE418" t="n">
        <v>8000</v>
      </c>
      <c r="AF418" t="n">
        <v>1150</v>
      </c>
      <c r="AG418" t="n">
        <v>1</v>
      </c>
    </row>
    <row r="419" ht="38.25" customHeight="1" s="142">
      <c r="A419" t="n">
        <v>1313</v>
      </c>
      <c r="B419" t="inlineStr">
        <is>
          <t>main</t>
        </is>
      </c>
      <c r="C419" t="n">
        <v>10</v>
      </c>
      <c r="D419" t="inlineStr">
        <is>
          <t>10-4</t>
        </is>
      </c>
      <c r="E419" t="n">
        <v>150</v>
      </c>
      <c r="G419" s="90" t="inlineStr">
        <is>
          <t>{role:-1},{state:-60014}
{id:-1},{id:-1},{id:-1},{id:-1},{id:-1}
{id:40048},{id:40077}</t>
        </is>
      </c>
      <c r="I419" t="n">
        <v>40345</v>
      </c>
      <c r="J419" s="80" t="inlineStr">
        <is>
          <t>誓約光輝</t>
        </is>
      </c>
      <c r="K419" t="inlineStr">
        <is>
          <t>buff</t>
        </is>
      </c>
      <c r="L419" t="n">
        <v>9011</v>
      </c>
      <c r="M419" t="inlineStr">
        <is>
          <t>1,11,13</t>
        </is>
      </c>
      <c r="O419" t="n">
        <v>0.1</v>
      </c>
      <c r="P419" s="80" t="inlineStr">
        <is>
          <t>神殿守護</t>
        </is>
      </c>
      <c r="Q419" t="inlineStr">
        <is>
          <t>debuff</t>
        </is>
      </c>
      <c r="R419" t="n">
        <v>9003</v>
      </c>
      <c r="S419" t="inlineStr">
        <is>
          <t>1,2,9</t>
        </is>
      </c>
      <c r="U419" t="n">
        <v>0.8</v>
      </c>
      <c r="V419" t="n">
        <v>70001</v>
      </c>
      <c r="W419" t="n">
        <v>2</v>
      </c>
      <c r="X419" t="n">
        <v>1</v>
      </c>
      <c r="Y419" t="n">
        <v>70002</v>
      </c>
      <c r="Z419" t="n">
        <v>2</v>
      </c>
      <c r="AA419" t="n">
        <v>1</v>
      </c>
      <c r="AB419" t="n">
        <v>1001</v>
      </c>
      <c r="AC419" t="n">
        <v>50</v>
      </c>
      <c r="AD419" t="n">
        <v>1</v>
      </c>
      <c r="AE419" t="n">
        <v>8000</v>
      </c>
      <c r="AF419" t="n">
        <v>1150</v>
      </c>
      <c r="AG419" t="n">
        <v>1</v>
      </c>
    </row>
    <row r="420" ht="38.25" customHeight="1" s="142">
      <c r="A420" t="n">
        <v>1314</v>
      </c>
      <c r="B420" t="inlineStr">
        <is>
          <t>main</t>
        </is>
      </c>
      <c r="C420" t="n">
        <v>10</v>
      </c>
      <c r="D420" t="inlineStr">
        <is>
          <t>10-5</t>
        </is>
      </c>
      <c r="E420" t="n">
        <v>150</v>
      </c>
      <c r="G420" s="90" t="inlineStr">
        <is>
          <t>{role:-1},{state:-60014}
{id:-1},{id:-1},{id:-1},{id:-1},{id:-1}
{id:40078},{id:40048},{id:40049}</t>
        </is>
      </c>
      <c r="I420" t="n">
        <v>40470</v>
      </c>
      <c r="J420" s="80" t="inlineStr">
        <is>
          <t>誓約光輝</t>
        </is>
      </c>
      <c r="K420" t="inlineStr">
        <is>
          <t>buff</t>
        </is>
      </c>
      <c r="L420" t="n">
        <v>9006</v>
      </c>
      <c r="M420" t="n">
        <v>4</v>
      </c>
      <c r="O420" t="n">
        <v>0.3</v>
      </c>
      <c r="P420" s="80" t="inlineStr">
        <is>
          <t>神殿守護</t>
        </is>
      </c>
      <c r="Q420" t="inlineStr">
        <is>
          <t>debuff</t>
        </is>
      </c>
      <c r="R420" t="n">
        <v>9004</v>
      </c>
      <c r="S420" t="inlineStr">
        <is>
          <t>5,10,13</t>
        </is>
      </c>
      <c r="U420" t="n">
        <v>0.6</v>
      </c>
      <c r="V420" t="n">
        <v>70001</v>
      </c>
      <c r="W420" t="n">
        <v>2</v>
      </c>
      <c r="X420" t="n">
        <v>1</v>
      </c>
      <c r="Y420" t="n">
        <v>70002</v>
      </c>
      <c r="Z420" t="n">
        <v>2</v>
      </c>
      <c r="AA420" t="n">
        <v>1</v>
      </c>
      <c r="AB420" t="n">
        <v>1001</v>
      </c>
      <c r="AC420" t="n">
        <v>50</v>
      </c>
      <c r="AD420" t="n">
        <v>1</v>
      </c>
      <c r="AE420" t="n">
        <v>8000</v>
      </c>
      <c r="AF420" t="n">
        <v>1160</v>
      </c>
      <c r="AG420" t="n">
        <v>1</v>
      </c>
    </row>
    <row r="421" ht="38.25" customHeight="1" s="142">
      <c r="A421" t="n">
        <v>1315</v>
      </c>
      <c r="B421" t="inlineStr">
        <is>
          <t>main</t>
        </is>
      </c>
      <c r="C421" t="n">
        <v>10</v>
      </c>
      <c r="D421" t="inlineStr">
        <is>
          <t>10-6</t>
        </is>
      </c>
      <c r="E421" t="n">
        <v>150</v>
      </c>
      <c r="G421" s="90" t="inlineStr">
        <is>
          <t>{role:-1},{state:-60014}
{id:-1},{id:-1},{id:-1},{id:-1},{id:-1}
{id:40077},{id:40049},{id:40077}</t>
        </is>
      </c>
      <c r="I421" t="n">
        <v>40595</v>
      </c>
      <c r="J421" s="80" t="inlineStr">
        <is>
          <t>誓約光輝</t>
        </is>
      </c>
      <c r="K421" t="inlineStr">
        <is>
          <t>buff</t>
        </is>
      </c>
      <c r="L421" t="n">
        <v>9008</v>
      </c>
      <c r="M421" t="n">
        <v>11</v>
      </c>
      <c r="O421" t="n">
        <v>0.1</v>
      </c>
      <c r="P421" s="80" t="inlineStr">
        <is>
          <t>神殿守護</t>
        </is>
      </c>
      <c r="Q421" t="inlineStr">
        <is>
          <t>debuff</t>
        </is>
      </c>
      <c r="R421" t="n">
        <v>9011</v>
      </c>
      <c r="S421" t="inlineStr">
        <is>
          <t>7,8</t>
        </is>
      </c>
      <c r="U421" t="n">
        <v>0.3</v>
      </c>
      <c r="V421" t="n">
        <v>70001</v>
      </c>
      <c r="W421" t="n">
        <v>2</v>
      </c>
      <c r="X421" t="n">
        <v>1</v>
      </c>
      <c r="Y421" t="n">
        <v>70002</v>
      </c>
      <c r="Z421" t="n">
        <v>2</v>
      </c>
      <c r="AA421" t="n">
        <v>1</v>
      </c>
      <c r="AB421" t="n">
        <v>1001</v>
      </c>
      <c r="AC421" t="n">
        <v>50</v>
      </c>
      <c r="AD421" t="n">
        <v>1</v>
      </c>
      <c r="AE421" t="n">
        <v>8000</v>
      </c>
      <c r="AF421" t="n">
        <v>1160</v>
      </c>
      <c r="AG421" t="n">
        <v>1</v>
      </c>
    </row>
    <row r="422" ht="38.25" customHeight="1" s="142">
      <c r="A422" t="n">
        <v>1316</v>
      </c>
      <c r="B422" t="inlineStr">
        <is>
          <t>main</t>
        </is>
      </c>
      <c r="C422" t="n">
        <v>10</v>
      </c>
      <c r="D422" t="inlineStr">
        <is>
          <t>10-7</t>
        </is>
      </c>
      <c r="E422" t="n">
        <v>150</v>
      </c>
      <c r="G422" s="90" t="inlineStr">
        <is>
          <t>{role:-1},{state:-60014}
{id:-1},{id:-1},{id:-1},{id:-1},{id:-1}
{id:40078},{id:40077},{id:40054}</t>
        </is>
      </c>
      <c r="I422" t="n">
        <v>40720</v>
      </c>
      <c r="J422" s="80" t="inlineStr">
        <is>
          <t>誓約光輝</t>
        </is>
      </c>
      <c r="K422" t="inlineStr">
        <is>
          <t>buff</t>
        </is>
      </c>
      <c r="L422" t="n">
        <v>9007</v>
      </c>
      <c r="M422" t="n">
        <v>1</v>
      </c>
      <c r="O422" t="n">
        <v>0.2</v>
      </c>
      <c r="P422" s="80" t="inlineStr">
        <is>
          <t>神殿守護</t>
        </is>
      </c>
      <c r="Q422" t="inlineStr">
        <is>
          <t>debuff</t>
        </is>
      </c>
      <c r="R422" t="n">
        <v>9003</v>
      </c>
      <c r="S422" t="inlineStr">
        <is>
          <t>9,10</t>
        </is>
      </c>
      <c r="U422" t="n">
        <v>0.9</v>
      </c>
      <c r="V422" t="n">
        <v>70001</v>
      </c>
      <c r="W422" t="n">
        <v>2</v>
      </c>
      <c r="X422" t="n">
        <v>1</v>
      </c>
      <c r="Y422" t="n">
        <v>70002</v>
      </c>
      <c r="Z422" t="n">
        <v>2</v>
      </c>
      <c r="AA422" t="n">
        <v>1</v>
      </c>
      <c r="AB422" t="n">
        <v>1001</v>
      </c>
      <c r="AC422" t="n">
        <v>50</v>
      </c>
      <c r="AD422" t="n">
        <v>1</v>
      </c>
      <c r="AE422" t="n">
        <v>8000</v>
      </c>
      <c r="AF422" t="n">
        <v>1170</v>
      </c>
      <c r="AG422" t="n">
        <v>1</v>
      </c>
    </row>
    <row r="423" ht="38.25" customHeight="1" s="142">
      <c r="A423" t="n">
        <v>1317</v>
      </c>
      <c r="B423" t="inlineStr">
        <is>
          <t>main</t>
        </is>
      </c>
      <c r="C423" t="n">
        <v>10</v>
      </c>
      <c r="D423" t="inlineStr">
        <is>
          <t>10-8</t>
        </is>
      </c>
      <c r="E423" t="n">
        <v>150</v>
      </c>
      <c r="G423" s="90" t="inlineStr">
        <is>
          <t>{role:-1},{state:-60014}
{id:-1},{id:-1},{id:-1},{id:-1},{id:-1}
{id:40077},{id:40077},{id:40048}</t>
        </is>
      </c>
      <c r="I423" t="n">
        <v>40845</v>
      </c>
      <c r="J423" s="80" t="inlineStr">
        <is>
          <t>誓約光輝</t>
        </is>
      </c>
      <c r="K423" t="inlineStr">
        <is>
          <t>buff</t>
        </is>
      </c>
      <c r="L423" t="n">
        <v>9002</v>
      </c>
      <c r="M423" t="inlineStr">
        <is>
          <t>1,6</t>
        </is>
      </c>
      <c r="O423" t="n">
        <v>0.6</v>
      </c>
      <c r="P423" s="80" t="inlineStr">
        <is>
          <t>神殿守護</t>
        </is>
      </c>
      <c r="Q423" t="inlineStr">
        <is>
          <t>debuff</t>
        </is>
      </c>
      <c r="R423" t="n">
        <v>9008</v>
      </c>
      <c r="S423" t="inlineStr">
        <is>
          <t>2,12</t>
        </is>
      </c>
      <c r="U423" t="n">
        <v>0.3</v>
      </c>
      <c r="V423" t="n">
        <v>70001</v>
      </c>
      <c r="W423" t="n">
        <v>2</v>
      </c>
      <c r="X423" t="n">
        <v>1</v>
      </c>
      <c r="Y423" t="n">
        <v>70002</v>
      </c>
      <c r="Z423" t="n">
        <v>2</v>
      </c>
      <c r="AA423" t="n">
        <v>1</v>
      </c>
      <c r="AB423" t="n">
        <v>1001</v>
      </c>
      <c r="AC423" t="n">
        <v>50</v>
      </c>
      <c r="AD423" t="n">
        <v>1</v>
      </c>
      <c r="AE423" t="n">
        <v>8000</v>
      </c>
      <c r="AF423" t="n">
        <v>1170</v>
      </c>
      <c r="AG423" t="n">
        <v>1</v>
      </c>
    </row>
    <row r="424" ht="38.25" customHeight="1" s="142">
      <c r="A424" t="n">
        <v>1318</v>
      </c>
      <c r="B424" t="inlineStr">
        <is>
          <t>main</t>
        </is>
      </c>
      <c r="C424" t="n">
        <v>10</v>
      </c>
      <c r="D424" t="inlineStr">
        <is>
          <t>10-9</t>
        </is>
      </c>
      <c r="E424" t="n">
        <v>150</v>
      </c>
      <c r="G424" s="90" t="inlineStr">
        <is>
          <t>{role:-1},{state:-60014}
{id:-1},{id:-1},{id:-1},{id:-1},{id:-1}
{id:40048},{id:40078},{id:40078}</t>
        </is>
      </c>
      <c r="I424" t="n">
        <v>40970</v>
      </c>
      <c r="J424" s="80" t="inlineStr">
        <is>
          <t>誓約光輝</t>
        </is>
      </c>
      <c r="K424" t="inlineStr">
        <is>
          <t>buff</t>
        </is>
      </c>
      <c r="L424" t="n">
        <v>9001</v>
      </c>
      <c r="M424" t="inlineStr">
        <is>
          <t>1,4</t>
        </is>
      </c>
      <c r="O424" t="n">
        <v>0.8</v>
      </c>
      <c r="P424" s="80" t="inlineStr">
        <is>
          <t>神殿守護</t>
        </is>
      </c>
      <c r="Q424" t="inlineStr">
        <is>
          <t>debuff</t>
        </is>
      </c>
      <c r="R424" t="n">
        <v>9011</v>
      </c>
      <c r="S424" t="n">
        <v>4</v>
      </c>
      <c r="U424" t="n">
        <v>0.3</v>
      </c>
      <c r="V424" t="n">
        <v>70001</v>
      </c>
      <c r="W424" t="n">
        <v>2</v>
      </c>
      <c r="X424" t="n">
        <v>1</v>
      </c>
      <c r="Y424" t="n">
        <v>70002</v>
      </c>
      <c r="Z424" t="n">
        <v>2</v>
      </c>
      <c r="AA424" t="n">
        <v>1</v>
      </c>
      <c r="AB424" t="n">
        <v>1001</v>
      </c>
      <c r="AC424" t="n">
        <v>50</v>
      </c>
      <c r="AD424" t="n">
        <v>1</v>
      </c>
      <c r="AE424" t="n">
        <v>8000</v>
      </c>
      <c r="AF424" t="n">
        <v>1180</v>
      </c>
      <c r="AG424" t="n">
        <v>1</v>
      </c>
    </row>
    <row r="425" ht="38.25" customHeight="1" s="142">
      <c r="A425" t="n">
        <v>1319</v>
      </c>
      <c r="B425" t="inlineStr">
        <is>
          <t>main</t>
        </is>
      </c>
      <c r="C425" t="n">
        <v>10</v>
      </c>
      <c r="D425" t="inlineStr">
        <is>
          <t>10-10</t>
        </is>
      </c>
      <c r="E425" t="n">
        <v>150</v>
      </c>
      <c r="G425" s="90" t="inlineStr">
        <is>
          <t>{role:-1},{state:-60014}
{id:-1},{id:-1},{id:-1},{id:-1},{id:-1}
{id:40054},{id:40049},{id:40078}</t>
        </is>
      </c>
      <c r="I425" t="n">
        <v>41095</v>
      </c>
      <c r="J425" s="80" t="inlineStr">
        <is>
          <t>誓約光輝</t>
        </is>
      </c>
      <c r="K425" t="inlineStr">
        <is>
          <t>buff</t>
        </is>
      </c>
      <c r="L425" t="n">
        <v>9006</v>
      </c>
      <c r="M425" t="inlineStr">
        <is>
          <t>4,8</t>
        </is>
      </c>
      <c r="O425" t="n">
        <v>0.5</v>
      </c>
      <c r="P425" s="80" t="inlineStr">
        <is>
          <t>神殿守護</t>
        </is>
      </c>
      <c r="Q425" t="inlineStr">
        <is>
          <t>debuff</t>
        </is>
      </c>
      <c r="R425" t="n">
        <v>9007</v>
      </c>
      <c r="S425" t="n">
        <v>3</v>
      </c>
      <c r="U425" t="n">
        <v>0.7</v>
      </c>
      <c r="V425" t="n">
        <v>70001</v>
      </c>
      <c r="W425" t="n">
        <v>2</v>
      </c>
      <c r="X425" t="n">
        <v>1</v>
      </c>
      <c r="Y425" t="n">
        <v>70002</v>
      </c>
      <c r="Z425" t="n">
        <v>2</v>
      </c>
      <c r="AA425" t="n">
        <v>1</v>
      </c>
      <c r="AB425" t="n">
        <v>1001</v>
      </c>
      <c r="AC425" t="n">
        <v>50</v>
      </c>
      <c r="AD425" t="n">
        <v>1</v>
      </c>
      <c r="AE425" t="n">
        <v>8000</v>
      </c>
      <c r="AF425" t="n">
        <v>1180</v>
      </c>
      <c r="AG425" t="n">
        <v>1</v>
      </c>
    </row>
    <row r="426" ht="38.25" customHeight="1" s="142">
      <c r="A426" t="n">
        <v>1320</v>
      </c>
      <c r="B426" t="inlineStr">
        <is>
          <t>main</t>
        </is>
      </c>
      <c r="C426" t="n">
        <v>10</v>
      </c>
      <c r="D426" t="inlineStr">
        <is>
          <t>10-11</t>
        </is>
      </c>
      <c r="E426" t="n">
        <v>150</v>
      </c>
      <c r="G426" s="90" t="inlineStr">
        <is>
          <t>{role:-1},{state:-60014}
{id:-1},{id:-1},{id:-1},{id:-1},{id:-1}
{id:40077},{id:40054},{id:40077}</t>
        </is>
      </c>
      <c r="I426" t="n">
        <v>41220</v>
      </c>
      <c r="J426" s="80" t="inlineStr">
        <is>
          <t>誓約光輝</t>
        </is>
      </c>
      <c r="K426" t="inlineStr">
        <is>
          <t>buff</t>
        </is>
      </c>
      <c r="L426" t="n">
        <v>9001</v>
      </c>
      <c r="M426" t="inlineStr">
        <is>
          <t>3,8,10</t>
        </is>
      </c>
      <c r="O426" t="n">
        <v>0.8</v>
      </c>
      <c r="P426" s="80" t="inlineStr">
        <is>
          <t>神殿守護</t>
        </is>
      </c>
      <c r="Q426" t="inlineStr">
        <is>
          <t>debuff</t>
        </is>
      </c>
      <c r="R426" t="n">
        <v>9004</v>
      </c>
      <c r="S426" t="inlineStr">
        <is>
          <t>3,4,10</t>
        </is>
      </c>
      <c r="U426" t="n">
        <v>0.3</v>
      </c>
      <c r="V426" t="n">
        <v>70001</v>
      </c>
      <c r="W426" t="n">
        <v>2</v>
      </c>
      <c r="X426" t="n">
        <v>1</v>
      </c>
      <c r="Y426" t="n">
        <v>70002</v>
      </c>
      <c r="Z426" t="n">
        <v>2</v>
      </c>
      <c r="AA426" t="n">
        <v>1</v>
      </c>
      <c r="AB426" t="n">
        <v>1001</v>
      </c>
      <c r="AC426" t="n">
        <v>50</v>
      </c>
      <c r="AD426" t="n">
        <v>1</v>
      </c>
      <c r="AE426" t="n">
        <v>8000</v>
      </c>
      <c r="AF426" t="n">
        <v>1190</v>
      </c>
      <c r="AG426" t="n">
        <v>1</v>
      </c>
    </row>
    <row r="427" ht="38.25" customHeight="1" s="142">
      <c r="A427" t="n">
        <v>1321</v>
      </c>
      <c r="B427" t="inlineStr">
        <is>
          <t>main</t>
        </is>
      </c>
      <c r="C427" t="n">
        <v>10</v>
      </c>
      <c r="D427" t="inlineStr">
        <is>
          <t>10-12</t>
        </is>
      </c>
      <c r="E427" t="n">
        <v>150</v>
      </c>
      <c r="G427" s="90" t="inlineStr">
        <is>
          <t>{role:-1},{state:-60014}
{id:-1},{id:-1},{id:-1},{id:-1},{id:-1}
{id:40077},{id:40078},{id:40054}</t>
        </is>
      </c>
      <c r="I427" t="n">
        <v>41345</v>
      </c>
      <c r="J427" s="80" t="inlineStr">
        <is>
          <t>誓約光輝</t>
        </is>
      </c>
      <c r="K427" t="inlineStr">
        <is>
          <t>buff</t>
        </is>
      </c>
      <c r="L427" t="n">
        <v>9008</v>
      </c>
      <c r="M427" t="inlineStr">
        <is>
          <t>9,11</t>
        </is>
      </c>
      <c r="O427" t="n">
        <v>0.6</v>
      </c>
      <c r="P427" s="80" t="inlineStr">
        <is>
          <t>神殿守護</t>
        </is>
      </c>
      <c r="Q427" t="inlineStr">
        <is>
          <t>debuff</t>
        </is>
      </c>
      <c r="R427" t="n">
        <v>9010</v>
      </c>
      <c r="S427" t="inlineStr">
        <is>
          <t>3,7,8</t>
        </is>
      </c>
      <c r="U427" t="n">
        <v>0.5</v>
      </c>
      <c r="V427" t="n">
        <v>70001</v>
      </c>
      <c r="W427" t="n">
        <v>2</v>
      </c>
      <c r="X427" t="n">
        <v>1</v>
      </c>
      <c r="Y427" t="n">
        <v>70002</v>
      </c>
      <c r="Z427" t="n">
        <v>2</v>
      </c>
      <c r="AA427" t="n">
        <v>1</v>
      </c>
      <c r="AB427" t="n">
        <v>1001</v>
      </c>
      <c r="AC427" t="n">
        <v>50</v>
      </c>
      <c r="AD427" t="n">
        <v>1</v>
      </c>
      <c r="AE427" t="n">
        <v>8000</v>
      </c>
      <c r="AF427" t="n">
        <v>1190</v>
      </c>
      <c r="AG427" t="n">
        <v>1</v>
      </c>
    </row>
    <row r="428" ht="38.25" customHeight="1" s="142">
      <c r="A428" t="n">
        <v>1322</v>
      </c>
      <c r="B428" t="inlineStr">
        <is>
          <t>main</t>
        </is>
      </c>
      <c r="C428" t="n">
        <v>10</v>
      </c>
      <c r="D428" t="inlineStr">
        <is>
          <t>10-13</t>
        </is>
      </c>
      <c r="E428" t="n">
        <v>150</v>
      </c>
      <c r="G428" s="90" t="inlineStr">
        <is>
          <t>{role:-1},{state:-60014}
{id:-1},{id:-1},{id:-1},{id:-1},{id:-1}
{id:40054},{id:40054},{id:40048},{id:40049}</t>
        </is>
      </c>
      <c r="I428" t="n">
        <v>41470</v>
      </c>
      <c r="J428" s="80" t="inlineStr">
        <is>
          <t>誓約光輝</t>
        </is>
      </c>
      <c r="K428" t="inlineStr">
        <is>
          <t>buff</t>
        </is>
      </c>
      <c r="L428" t="n">
        <v>9011</v>
      </c>
      <c r="M428" t="inlineStr">
        <is>
          <t>2,8,11</t>
        </is>
      </c>
      <c r="O428" t="n">
        <v>0.1</v>
      </c>
      <c r="P428" s="80" t="inlineStr">
        <is>
          <t>神殿守護</t>
        </is>
      </c>
      <c r="Q428" t="inlineStr">
        <is>
          <t>debuff</t>
        </is>
      </c>
      <c r="R428" t="n">
        <v>9010</v>
      </c>
      <c r="S428" t="inlineStr">
        <is>
          <t>2,5,6</t>
        </is>
      </c>
      <c r="U428" t="n">
        <v>0.9</v>
      </c>
      <c r="V428" t="n">
        <v>70001</v>
      </c>
      <c r="W428" t="n">
        <v>2</v>
      </c>
      <c r="X428" t="n">
        <v>1</v>
      </c>
      <c r="Y428" t="n">
        <v>70002</v>
      </c>
      <c r="Z428" t="n">
        <v>2</v>
      </c>
      <c r="AA428" t="n">
        <v>1</v>
      </c>
      <c r="AB428" t="n">
        <v>1001</v>
      </c>
      <c r="AC428" t="n">
        <v>50</v>
      </c>
      <c r="AD428" t="n">
        <v>1</v>
      </c>
      <c r="AE428" t="n">
        <v>8000</v>
      </c>
      <c r="AF428" t="n">
        <v>1200</v>
      </c>
      <c r="AG428" t="n">
        <v>1</v>
      </c>
    </row>
    <row r="429" ht="38.25" customHeight="1" s="142">
      <c r="A429" t="n">
        <v>1323</v>
      </c>
      <c r="B429" t="inlineStr">
        <is>
          <t>main</t>
        </is>
      </c>
      <c r="C429" t="n">
        <v>10</v>
      </c>
      <c r="D429" t="inlineStr">
        <is>
          <t>10-14</t>
        </is>
      </c>
      <c r="E429" t="n">
        <v>150</v>
      </c>
      <c r="G429" s="90" t="inlineStr">
        <is>
          <t>{role:-1},{state:-60014}
{id:-1},{id:-1},{id:-1},{id:-1},{id:-1}
{id:40054},{id:40048},{id:40048},{id:40054}</t>
        </is>
      </c>
      <c r="I429" t="n">
        <v>41595</v>
      </c>
      <c r="J429" s="80" t="inlineStr">
        <is>
          <t>誓約光輝</t>
        </is>
      </c>
      <c r="K429" t="inlineStr">
        <is>
          <t>buff</t>
        </is>
      </c>
      <c r="L429" t="n">
        <v>9011</v>
      </c>
      <c r="M429" t="n">
        <v>3</v>
      </c>
      <c r="O429" t="n">
        <v>0.7</v>
      </c>
      <c r="P429" s="80" t="inlineStr">
        <is>
          <t>神殿守護</t>
        </is>
      </c>
      <c r="Q429" t="inlineStr">
        <is>
          <t>debuff</t>
        </is>
      </c>
      <c r="R429" t="n">
        <v>9007</v>
      </c>
      <c r="S429" t="inlineStr">
        <is>
          <t>8,9</t>
        </is>
      </c>
      <c r="U429" t="n">
        <v>0.5</v>
      </c>
      <c r="V429" t="n">
        <v>70001</v>
      </c>
      <c r="W429" t="n">
        <v>2</v>
      </c>
      <c r="X429" t="n">
        <v>1</v>
      </c>
      <c r="Y429" t="n">
        <v>70002</v>
      </c>
      <c r="Z429" t="n">
        <v>2</v>
      </c>
      <c r="AA429" t="n">
        <v>1</v>
      </c>
      <c r="AB429" t="n">
        <v>1001</v>
      </c>
      <c r="AC429" t="n">
        <v>50</v>
      </c>
      <c r="AD429" t="n">
        <v>1</v>
      </c>
      <c r="AE429" t="n">
        <v>8000</v>
      </c>
      <c r="AF429" t="n">
        <v>1200</v>
      </c>
      <c r="AG429" t="n">
        <v>1</v>
      </c>
    </row>
    <row r="430" ht="38.25" customHeight="1" s="142">
      <c r="A430" t="n">
        <v>1324</v>
      </c>
      <c r="B430" t="inlineStr">
        <is>
          <t>main</t>
        </is>
      </c>
      <c r="C430" t="n">
        <v>10</v>
      </c>
      <c r="D430" t="inlineStr">
        <is>
          <t>10-15</t>
        </is>
      </c>
      <c r="E430" t="n">
        <v>150</v>
      </c>
      <c r="G430" s="90" t="inlineStr">
        <is>
          <t>{role:-1},{state:-60014}
{id:-1},{id:-1},{id:-1},{id:-1},{id:-1}
{id:40054},{id:40054},{id:40077},{id:40078}</t>
        </is>
      </c>
      <c r="I430" t="n">
        <v>41720</v>
      </c>
      <c r="J430" s="80" t="inlineStr">
        <is>
          <t>誓約光輝</t>
        </is>
      </c>
      <c r="K430" t="inlineStr">
        <is>
          <t>buff</t>
        </is>
      </c>
      <c r="L430" t="n">
        <v>9007</v>
      </c>
      <c r="M430" t="inlineStr">
        <is>
          <t>4,11</t>
        </is>
      </c>
      <c r="O430" t="n">
        <v>0.8</v>
      </c>
      <c r="P430" s="80" t="inlineStr">
        <is>
          <t>神殿守護</t>
        </is>
      </c>
      <c r="Q430" t="inlineStr">
        <is>
          <t>debuff</t>
        </is>
      </c>
      <c r="R430" t="n">
        <v>9003</v>
      </c>
      <c r="S430" t="n">
        <v>8</v>
      </c>
      <c r="U430" t="n">
        <v>0.2</v>
      </c>
      <c r="V430" t="n">
        <v>70001</v>
      </c>
      <c r="W430" t="n">
        <v>2</v>
      </c>
      <c r="X430" t="n">
        <v>1</v>
      </c>
      <c r="Y430" t="n">
        <v>70002</v>
      </c>
      <c r="Z430" t="n">
        <v>2</v>
      </c>
      <c r="AA430" t="n">
        <v>1</v>
      </c>
      <c r="AB430" t="n">
        <v>1001</v>
      </c>
      <c r="AC430" t="n">
        <v>50</v>
      </c>
      <c r="AD430" t="n">
        <v>1</v>
      </c>
      <c r="AE430" t="n">
        <v>8000</v>
      </c>
      <c r="AF430" t="n">
        <v>1210</v>
      </c>
      <c r="AG430" t="n">
        <v>1</v>
      </c>
    </row>
    <row r="431" ht="38.25" customHeight="1" s="142">
      <c r="A431" t="n">
        <v>1325</v>
      </c>
      <c r="B431" t="inlineStr">
        <is>
          <t>main</t>
        </is>
      </c>
      <c r="C431" t="n">
        <v>10</v>
      </c>
      <c r="D431" t="inlineStr">
        <is>
          <t>10-16</t>
        </is>
      </c>
      <c r="E431" t="n">
        <v>150</v>
      </c>
      <c r="G431" s="90" t="inlineStr">
        <is>
          <t>{role:-1},{state:-60014}
{id:-1},{id:-1},{id:-1},{id:-1},{id:-1}
{id:40054},{id:40078},{id:40054},{id:40049}</t>
        </is>
      </c>
      <c r="I431" t="n">
        <v>41845</v>
      </c>
      <c r="J431" s="80" t="inlineStr">
        <is>
          <t>誓約光輝</t>
        </is>
      </c>
      <c r="K431" t="inlineStr">
        <is>
          <t>buff</t>
        </is>
      </c>
      <c r="L431" t="n">
        <v>9011</v>
      </c>
      <c r="M431" t="inlineStr">
        <is>
          <t>2,3,10</t>
        </is>
      </c>
      <c r="O431" t="n">
        <v>0.7</v>
      </c>
      <c r="P431" s="80" t="inlineStr">
        <is>
          <t>神殿守護</t>
        </is>
      </c>
      <c r="Q431" t="inlineStr">
        <is>
          <t>debuff</t>
        </is>
      </c>
      <c r="R431" t="n">
        <v>9008</v>
      </c>
      <c r="S431" t="inlineStr">
        <is>
          <t>2,6,9</t>
        </is>
      </c>
      <c r="U431" t="n">
        <v>0.2</v>
      </c>
      <c r="V431" t="n">
        <v>70001</v>
      </c>
      <c r="W431" t="n">
        <v>2</v>
      </c>
      <c r="X431" t="n">
        <v>1</v>
      </c>
      <c r="Y431" t="n">
        <v>70002</v>
      </c>
      <c r="Z431" t="n">
        <v>2</v>
      </c>
      <c r="AA431" t="n">
        <v>1</v>
      </c>
      <c r="AB431" t="n">
        <v>1001</v>
      </c>
      <c r="AC431" t="n">
        <v>50</v>
      </c>
      <c r="AD431" t="n">
        <v>1</v>
      </c>
      <c r="AE431" t="n">
        <v>8000</v>
      </c>
      <c r="AF431" t="n">
        <v>1210</v>
      </c>
      <c r="AG431" t="n">
        <v>1</v>
      </c>
    </row>
    <row r="432" ht="38.25" customHeight="1" s="142">
      <c r="A432" t="n">
        <v>1326</v>
      </c>
      <c r="B432" t="inlineStr">
        <is>
          <t>main</t>
        </is>
      </c>
      <c r="C432" t="n">
        <v>10</v>
      </c>
      <c r="D432" t="inlineStr">
        <is>
          <t>10-17</t>
        </is>
      </c>
      <c r="E432" t="n">
        <v>150</v>
      </c>
      <c r="G432" s="90" t="inlineStr">
        <is>
          <t>{role:-1},{state:-60014}
{id:-1},{id:-1},{id:-1},{id:-1},{id:-1}
{id:40049},{id:40054},{id:40077},{id:40078},{id:40077}</t>
        </is>
      </c>
      <c r="I432" t="n">
        <v>41970</v>
      </c>
      <c r="J432" s="80" t="inlineStr">
        <is>
          <t>誓約光輝</t>
        </is>
      </c>
      <c r="K432" t="inlineStr">
        <is>
          <t>buff</t>
        </is>
      </c>
      <c r="L432" t="n">
        <v>9007</v>
      </c>
      <c r="M432" t="inlineStr">
        <is>
          <t>4,5,8</t>
        </is>
      </c>
      <c r="O432" t="n">
        <v>0.1</v>
      </c>
      <c r="P432" s="80" t="inlineStr">
        <is>
          <t>神殿守護</t>
        </is>
      </c>
      <c r="Q432" t="inlineStr">
        <is>
          <t>debuff</t>
        </is>
      </c>
      <c r="R432" t="n">
        <v>9012</v>
      </c>
      <c r="S432" t="inlineStr">
        <is>
          <t>3,8,13</t>
        </is>
      </c>
      <c r="U432" t="n">
        <v>0.3</v>
      </c>
      <c r="V432" t="n">
        <v>70001</v>
      </c>
      <c r="W432" t="n">
        <v>2</v>
      </c>
      <c r="X432" t="n">
        <v>1</v>
      </c>
      <c r="Y432" t="n">
        <v>70002</v>
      </c>
      <c r="Z432" t="n">
        <v>2</v>
      </c>
      <c r="AA432" t="n">
        <v>1</v>
      </c>
      <c r="AB432" t="n">
        <v>1001</v>
      </c>
      <c r="AC432" t="n">
        <v>50</v>
      </c>
      <c r="AD432" t="n">
        <v>1</v>
      </c>
      <c r="AE432" t="n">
        <v>8000</v>
      </c>
      <c r="AF432" t="n">
        <v>1220</v>
      </c>
      <c r="AG432" t="n">
        <v>1</v>
      </c>
    </row>
    <row r="433" ht="38.25" customHeight="1" s="142">
      <c r="A433" t="n">
        <v>1327</v>
      </c>
      <c r="B433" t="inlineStr">
        <is>
          <t>main</t>
        </is>
      </c>
      <c r="C433" t="n">
        <v>10</v>
      </c>
      <c r="D433" t="inlineStr">
        <is>
          <t>10-18</t>
        </is>
      </c>
      <c r="E433" t="n">
        <v>150</v>
      </c>
      <c r="G433" s="90" t="inlineStr">
        <is>
          <t>{role:-1},{state:-60014}
{id:-1},{id:-1},{id:-1},{id:-1},{id:-1}
{id:40077},{id:40054},{id:40054},{id:40049},{id:40078}</t>
        </is>
      </c>
      <c r="I433" t="n">
        <v>42095</v>
      </c>
      <c r="J433" s="80" t="inlineStr">
        <is>
          <t>誓約光輝</t>
        </is>
      </c>
      <c r="K433" t="inlineStr">
        <is>
          <t>buff</t>
        </is>
      </c>
      <c r="L433" t="n">
        <v>9011</v>
      </c>
      <c r="M433" t="inlineStr">
        <is>
          <t>2,3,9</t>
        </is>
      </c>
      <c r="O433" t="n">
        <v>0.3</v>
      </c>
      <c r="P433" s="80" t="inlineStr">
        <is>
          <t>神殿守護</t>
        </is>
      </c>
      <c r="Q433" t="inlineStr">
        <is>
          <t>debuff</t>
        </is>
      </c>
      <c r="R433" t="n">
        <v>9011</v>
      </c>
      <c r="S433" t="n">
        <v>10</v>
      </c>
      <c r="U433" t="n">
        <v>0.3</v>
      </c>
      <c r="V433" t="n">
        <v>70001</v>
      </c>
      <c r="W433" t="n">
        <v>2</v>
      </c>
      <c r="X433" t="n">
        <v>1</v>
      </c>
      <c r="Y433" t="n">
        <v>70002</v>
      </c>
      <c r="Z433" t="n">
        <v>2</v>
      </c>
      <c r="AA433" t="n">
        <v>1</v>
      </c>
      <c r="AB433" t="n">
        <v>1001</v>
      </c>
      <c r="AC433" t="n">
        <v>50</v>
      </c>
      <c r="AD433" t="n">
        <v>1</v>
      </c>
      <c r="AE433" t="n">
        <v>8000</v>
      </c>
      <c r="AF433" t="n">
        <v>1220</v>
      </c>
      <c r="AG433" t="n">
        <v>1</v>
      </c>
    </row>
    <row r="434" ht="38.25" customHeight="1" s="142">
      <c r="A434" t="n">
        <v>1328</v>
      </c>
      <c r="B434" t="inlineStr">
        <is>
          <t>main</t>
        </is>
      </c>
      <c r="C434" t="n">
        <v>10</v>
      </c>
      <c r="D434" t="inlineStr">
        <is>
          <t>10-19</t>
        </is>
      </c>
      <c r="E434" t="n">
        <v>150</v>
      </c>
      <c r="G434" s="90" t="inlineStr">
        <is>
          <t>{role:-1},{state:-60014}
{id:-1},{id:-1},{id:-1},{id:-1},{id:-1}
{id:40077},{id:40048},{id:40078},{id:40054},{id:40048}</t>
        </is>
      </c>
      <c r="I434" t="n">
        <v>42220</v>
      </c>
      <c r="J434" s="80" t="inlineStr">
        <is>
          <t>誓約光輝</t>
        </is>
      </c>
      <c r="K434" t="inlineStr">
        <is>
          <t>buff</t>
        </is>
      </c>
      <c r="L434" t="n">
        <v>9005</v>
      </c>
      <c r="M434" t="inlineStr">
        <is>
          <t>8,9,12</t>
        </is>
      </c>
      <c r="O434" t="n">
        <v>0.6</v>
      </c>
      <c r="P434" s="80" t="inlineStr">
        <is>
          <t>神殿守護</t>
        </is>
      </c>
      <c r="Q434" t="inlineStr">
        <is>
          <t>debuff</t>
        </is>
      </c>
      <c r="R434" t="n">
        <v>9011</v>
      </c>
      <c r="S434" t="inlineStr">
        <is>
          <t>4,10,12</t>
        </is>
      </c>
      <c r="U434" t="n">
        <v>0.3</v>
      </c>
      <c r="V434" t="n">
        <v>70001</v>
      </c>
      <c r="W434" t="n">
        <v>2</v>
      </c>
      <c r="X434" t="n">
        <v>1</v>
      </c>
      <c r="Y434" t="n">
        <v>70002</v>
      </c>
      <c r="Z434" t="n">
        <v>2</v>
      </c>
      <c r="AA434" t="n">
        <v>1</v>
      </c>
      <c r="AB434" t="n">
        <v>1001</v>
      </c>
      <c r="AC434" t="n">
        <v>50</v>
      </c>
      <c r="AD434" t="n">
        <v>1</v>
      </c>
      <c r="AE434" t="n">
        <v>8000</v>
      </c>
      <c r="AF434" t="n">
        <v>1230</v>
      </c>
      <c r="AG434" t="n">
        <v>1</v>
      </c>
    </row>
    <row r="435" ht="38.25" customHeight="1" s="142">
      <c r="A435" t="n">
        <v>1329</v>
      </c>
      <c r="B435" t="inlineStr">
        <is>
          <t>main</t>
        </is>
      </c>
      <c r="C435" t="n">
        <v>10</v>
      </c>
      <c r="D435" t="inlineStr">
        <is>
          <t>10-20</t>
        </is>
      </c>
      <c r="E435" t="n">
        <v>150</v>
      </c>
      <c r="G435" s="90" t="inlineStr">
        <is>
          <t>{role:-1},{state:-60014}
{id:-1},{id:-1},{id:-1},{id:-1},{id:-1}
{id:40077},{id:40078},{id:40049},{id:40078},{id:40054}</t>
        </is>
      </c>
      <c r="I435" t="n">
        <v>42345</v>
      </c>
      <c r="J435" s="80" t="inlineStr">
        <is>
          <t>誓約光輝</t>
        </is>
      </c>
      <c r="K435" t="inlineStr">
        <is>
          <t>buff</t>
        </is>
      </c>
      <c r="L435" t="n">
        <v>9002</v>
      </c>
      <c r="M435" t="n">
        <v>5</v>
      </c>
      <c r="O435" t="n">
        <v>1</v>
      </c>
      <c r="P435" s="80" t="inlineStr">
        <is>
          <t>神殿守護</t>
        </is>
      </c>
      <c r="Q435" t="inlineStr">
        <is>
          <t>debuff</t>
        </is>
      </c>
      <c r="R435" t="n">
        <v>9012</v>
      </c>
      <c r="S435" t="n">
        <v>11</v>
      </c>
      <c r="U435" t="n">
        <v>0.1</v>
      </c>
      <c r="V435" t="n">
        <v>70001</v>
      </c>
      <c r="W435" t="n">
        <v>2</v>
      </c>
      <c r="X435" t="n">
        <v>1</v>
      </c>
      <c r="Y435" t="n">
        <v>70002</v>
      </c>
      <c r="Z435" t="n">
        <v>2</v>
      </c>
      <c r="AA435" t="n">
        <v>1</v>
      </c>
      <c r="AB435" t="n">
        <v>1001</v>
      </c>
      <c r="AC435" t="n">
        <v>50</v>
      </c>
      <c r="AD435" t="n">
        <v>1</v>
      </c>
      <c r="AE435" t="n">
        <v>8000</v>
      </c>
      <c r="AF435" t="n">
        <v>1230</v>
      </c>
      <c r="AG435" t="n">
        <v>1</v>
      </c>
    </row>
    <row r="436" ht="38.25" customHeight="1" s="142">
      <c r="A436" t="n">
        <v>1330</v>
      </c>
      <c r="B436" t="inlineStr">
        <is>
          <t>main</t>
        </is>
      </c>
      <c r="C436" t="n">
        <v>10</v>
      </c>
      <c r="D436" t="inlineStr">
        <is>
          <t>10-21</t>
        </is>
      </c>
      <c r="E436" t="n">
        <v>150</v>
      </c>
      <c r="G436" s="90" t="inlineStr">
        <is>
          <t>{role:-1},{state:-60014}
{id:-1},{id:-1},{id:-1},{id:-1},{id:-1}
{id:40077},{id:40078},{id:40078},{id:40078},{id:40078}</t>
        </is>
      </c>
      <c r="I436" t="n">
        <v>42470</v>
      </c>
      <c r="J436" s="80" t="inlineStr">
        <is>
          <t>誓約光輝</t>
        </is>
      </c>
      <c r="K436" t="inlineStr">
        <is>
          <t>buff</t>
        </is>
      </c>
      <c r="L436" t="n">
        <v>9005</v>
      </c>
      <c r="M436" t="inlineStr">
        <is>
          <t>7,10</t>
        </is>
      </c>
      <c r="O436" t="n">
        <v>0.9</v>
      </c>
      <c r="P436" s="80" t="inlineStr">
        <is>
          <t>神殿守護</t>
        </is>
      </c>
      <c r="Q436" t="inlineStr">
        <is>
          <t>debuff</t>
        </is>
      </c>
      <c r="R436" t="n">
        <v>9007</v>
      </c>
      <c r="S436" t="inlineStr">
        <is>
          <t>4,5,11</t>
        </is>
      </c>
      <c r="U436" t="n">
        <v>0.6</v>
      </c>
      <c r="V436" t="n">
        <v>70001</v>
      </c>
      <c r="W436" t="n">
        <v>2</v>
      </c>
      <c r="X436" t="n">
        <v>1</v>
      </c>
      <c r="Y436" t="n">
        <v>70002</v>
      </c>
      <c r="Z436" t="n">
        <v>2</v>
      </c>
      <c r="AA436" t="n">
        <v>1</v>
      </c>
      <c r="AB436" t="n">
        <v>1001</v>
      </c>
      <c r="AC436" t="n">
        <v>50</v>
      </c>
      <c r="AD436" t="n">
        <v>1</v>
      </c>
      <c r="AE436" t="n">
        <v>8000</v>
      </c>
      <c r="AF436" t="n">
        <v>1240</v>
      </c>
      <c r="AG436" t="n">
        <v>1</v>
      </c>
    </row>
    <row r="437" ht="38.25" customHeight="1" s="142">
      <c r="A437" t="n">
        <v>1331</v>
      </c>
      <c r="B437" t="inlineStr">
        <is>
          <t>main</t>
        </is>
      </c>
      <c r="C437" t="n">
        <v>10</v>
      </c>
      <c r="D437" t="inlineStr">
        <is>
          <t>10-22</t>
        </is>
      </c>
      <c r="E437" t="n">
        <v>150</v>
      </c>
      <c r="G437" s="90" t="inlineStr">
        <is>
          <t>{role:-1},{state:-60014}
{id:-1},{id:-1},{id:-1},{id:-1},{id:-1}
{id:40078},{id:40078},{id:40078},{id:40078},{id:40049}</t>
        </is>
      </c>
      <c r="I437" t="n">
        <v>42595</v>
      </c>
      <c r="J437" s="80" t="inlineStr">
        <is>
          <t>誓約光輝</t>
        </is>
      </c>
      <c r="K437" t="inlineStr">
        <is>
          <t>buff</t>
        </is>
      </c>
      <c r="L437" t="n">
        <v>9006</v>
      </c>
      <c r="M437" t="inlineStr">
        <is>
          <t>5,6,12</t>
        </is>
      </c>
      <c r="O437" t="n">
        <v>0.4</v>
      </c>
      <c r="P437" s="80" t="inlineStr">
        <is>
          <t>神殿守護</t>
        </is>
      </c>
      <c r="Q437" t="inlineStr">
        <is>
          <t>debuff</t>
        </is>
      </c>
      <c r="R437" t="n">
        <v>9008</v>
      </c>
      <c r="S437" t="inlineStr">
        <is>
          <t>4,12</t>
        </is>
      </c>
      <c r="U437" t="n">
        <v>0.1</v>
      </c>
      <c r="V437" t="n">
        <v>70001</v>
      </c>
      <c r="W437" t="n">
        <v>2</v>
      </c>
      <c r="X437" t="n">
        <v>1</v>
      </c>
      <c r="Y437" t="n">
        <v>70002</v>
      </c>
      <c r="Z437" t="n">
        <v>2</v>
      </c>
      <c r="AA437" t="n">
        <v>1</v>
      </c>
      <c r="AB437" t="n">
        <v>1001</v>
      </c>
      <c r="AC437" t="n">
        <v>50</v>
      </c>
      <c r="AD437" t="n">
        <v>1</v>
      </c>
      <c r="AE437" t="n">
        <v>8000</v>
      </c>
      <c r="AF437" t="n">
        <v>1240</v>
      </c>
      <c r="AG437" t="n">
        <v>1</v>
      </c>
    </row>
    <row r="438" ht="38.25" customHeight="1" s="142">
      <c r="A438" t="n">
        <v>1332</v>
      </c>
      <c r="B438" t="inlineStr">
        <is>
          <t>main</t>
        </is>
      </c>
      <c r="C438" t="n">
        <v>10</v>
      </c>
      <c r="D438" t="inlineStr">
        <is>
          <t>10-23</t>
        </is>
      </c>
      <c r="E438" t="n">
        <v>150</v>
      </c>
      <c r="G438" s="90" t="inlineStr">
        <is>
          <t>{role:-1},{state:-60014}
{id:-1},{id:-1},{id:-1},{id:-1},{id:-1}
{id:40049},{id:40078},{id:40078},{id:40054},{id:40078}</t>
        </is>
      </c>
      <c r="I438" t="n">
        <v>42720</v>
      </c>
      <c r="J438" s="80" t="inlineStr">
        <is>
          <t>誓約光輝</t>
        </is>
      </c>
      <c r="K438" t="inlineStr">
        <is>
          <t>buff</t>
        </is>
      </c>
      <c r="L438" t="n">
        <v>9001</v>
      </c>
      <c r="M438" t="inlineStr">
        <is>
          <t>4,5</t>
        </is>
      </c>
      <c r="O438" t="n">
        <v>0.1</v>
      </c>
      <c r="P438" s="80" t="inlineStr">
        <is>
          <t>神殿守護</t>
        </is>
      </c>
      <c r="Q438" t="inlineStr">
        <is>
          <t>debuff</t>
        </is>
      </c>
      <c r="R438" t="n">
        <v>9007</v>
      </c>
      <c r="S438" t="n">
        <v>13</v>
      </c>
      <c r="U438" t="n">
        <v>0.9</v>
      </c>
      <c r="V438" t="n">
        <v>70001</v>
      </c>
      <c r="W438" t="n">
        <v>2</v>
      </c>
      <c r="X438" t="n">
        <v>1</v>
      </c>
      <c r="Y438" t="n">
        <v>70002</v>
      </c>
      <c r="Z438" t="n">
        <v>2</v>
      </c>
      <c r="AA438" t="n">
        <v>1</v>
      </c>
      <c r="AB438" t="n">
        <v>1001</v>
      </c>
      <c r="AC438" t="n">
        <v>50</v>
      </c>
      <c r="AD438" t="n">
        <v>1</v>
      </c>
      <c r="AE438" t="n">
        <v>8000</v>
      </c>
      <c r="AF438" t="n">
        <v>1250</v>
      </c>
      <c r="AG438" t="n">
        <v>1</v>
      </c>
    </row>
    <row r="439" ht="38.25" customHeight="1" s="142">
      <c r="A439" t="n">
        <v>1333</v>
      </c>
      <c r="B439" t="inlineStr">
        <is>
          <t>main</t>
        </is>
      </c>
      <c r="C439" t="n">
        <v>10</v>
      </c>
      <c r="D439" t="inlineStr">
        <is>
          <t>10-24</t>
        </is>
      </c>
      <c r="E439" t="n">
        <v>150</v>
      </c>
      <c r="G439" s="90" t="inlineStr">
        <is>
          <t>{role:-1},{state:-60014}
{id:-1},{id:-1},{id:-1},{id:-1},{id:-1}
{id:40049},{id:40049},{id:40048},{id:40049},{id:40054}</t>
        </is>
      </c>
      <c r="I439" t="n">
        <v>42845</v>
      </c>
      <c r="J439" s="80" t="inlineStr">
        <is>
          <t>誓約光輝</t>
        </is>
      </c>
      <c r="K439" t="inlineStr">
        <is>
          <t>buff</t>
        </is>
      </c>
      <c r="L439" t="n">
        <v>9007</v>
      </c>
      <c r="M439" t="inlineStr">
        <is>
          <t>2,9,10</t>
        </is>
      </c>
      <c r="O439" t="n">
        <v>0.6</v>
      </c>
      <c r="P439" s="80" t="inlineStr">
        <is>
          <t>神殿守護</t>
        </is>
      </c>
      <c r="Q439" t="inlineStr">
        <is>
          <t>debuff</t>
        </is>
      </c>
      <c r="R439" t="n">
        <v>9003</v>
      </c>
      <c r="S439" t="n">
        <v>4</v>
      </c>
      <c r="U439" t="n">
        <v>0.7</v>
      </c>
      <c r="V439" t="n">
        <v>70001</v>
      </c>
      <c r="W439" t="n">
        <v>2</v>
      </c>
      <c r="X439" t="n">
        <v>1</v>
      </c>
      <c r="Y439" t="n">
        <v>70002</v>
      </c>
      <c r="Z439" t="n">
        <v>2</v>
      </c>
      <c r="AA439" t="n">
        <v>1</v>
      </c>
      <c r="AB439" t="n">
        <v>1001</v>
      </c>
      <c r="AC439" t="n">
        <v>50</v>
      </c>
      <c r="AD439" t="n">
        <v>1</v>
      </c>
      <c r="AE439" t="n">
        <v>8000</v>
      </c>
      <c r="AF439" t="n">
        <v>1250</v>
      </c>
      <c r="AG439" t="n">
        <v>1</v>
      </c>
    </row>
    <row r="440" ht="38.25" customHeight="1" s="142">
      <c r="A440" t="n">
        <v>1334</v>
      </c>
      <c r="B440" t="inlineStr">
        <is>
          <t>main</t>
        </is>
      </c>
      <c r="C440" t="n">
        <v>10</v>
      </c>
      <c r="D440" t="inlineStr">
        <is>
          <t>10-25</t>
        </is>
      </c>
      <c r="E440" t="n">
        <v>150</v>
      </c>
      <c r="G440" s="90" t="inlineStr">
        <is>
          <t>{role:-1},{state:-60014}
{id:-1},{id:-1},{id:-1},{id:-1},{id:-1}
{id:40049},{id:40078},{id:40078},{id:40048},{id:40048}</t>
        </is>
      </c>
      <c r="I440" t="n">
        <v>42970</v>
      </c>
      <c r="J440" s="80" t="inlineStr">
        <is>
          <t>誓約光輝</t>
        </is>
      </c>
      <c r="K440" t="inlineStr">
        <is>
          <t>buff</t>
        </is>
      </c>
      <c r="L440" t="n">
        <v>9001</v>
      </c>
      <c r="M440" t="inlineStr">
        <is>
          <t>7,12,13</t>
        </is>
      </c>
      <c r="O440" t="n">
        <v>0.9</v>
      </c>
      <c r="P440" s="80" t="inlineStr">
        <is>
          <t>神殿守護</t>
        </is>
      </c>
      <c r="Q440" t="inlineStr">
        <is>
          <t>debuff</t>
        </is>
      </c>
      <c r="R440" t="n">
        <v>9008</v>
      </c>
      <c r="S440" t="n">
        <v>2</v>
      </c>
      <c r="U440" t="n">
        <v>1</v>
      </c>
      <c r="V440" t="n">
        <v>70001</v>
      </c>
      <c r="W440" t="n">
        <v>2</v>
      </c>
      <c r="X440" t="n">
        <v>1</v>
      </c>
      <c r="Y440" t="n">
        <v>70002</v>
      </c>
      <c r="Z440" t="n">
        <v>2</v>
      </c>
      <c r="AA440" t="n">
        <v>1</v>
      </c>
      <c r="AB440" t="n">
        <v>1001</v>
      </c>
      <c r="AC440" t="n">
        <v>50</v>
      </c>
      <c r="AD440" t="n">
        <v>1</v>
      </c>
      <c r="AE440" t="n">
        <v>8000</v>
      </c>
      <c r="AF440" t="n">
        <v>1260</v>
      </c>
      <c r="AG440" t="n">
        <v>1</v>
      </c>
    </row>
    <row r="441" ht="38.25" customHeight="1" s="142">
      <c r="A441" t="n">
        <v>1335</v>
      </c>
      <c r="B441" t="inlineStr">
        <is>
          <t>main</t>
        </is>
      </c>
      <c r="C441" t="n">
        <v>10</v>
      </c>
      <c r="D441" t="inlineStr">
        <is>
          <t>10-26</t>
        </is>
      </c>
      <c r="E441" t="n">
        <v>150</v>
      </c>
      <c r="G441" s="90" t="inlineStr">
        <is>
          <t>{role:-1},{state:-60014}
{id:-1},{id:-1},{id:-1},{id:-1},{id:-1}
{id:40048},{id:40048},{id:40054},{id:40049},{id:40048}</t>
        </is>
      </c>
      <c r="I441" t="n">
        <v>43095</v>
      </c>
      <c r="J441" s="80" t="inlineStr">
        <is>
          <t>誓約光輝</t>
        </is>
      </c>
      <c r="K441" t="inlineStr">
        <is>
          <t>buff</t>
        </is>
      </c>
      <c r="L441" t="n">
        <v>9002</v>
      </c>
      <c r="M441" t="inlineStr">
        <is>
          <t>1,13</t>
        </is>
      </c>
      <c r="O441" t="n">
        <v>0.9</v>
      </c>
      <c r="P441" s="80" t="inlineStr">
        <is>
          <t>神殿守護</t>
        </is>
      </c>
      <c r="Q441" t="inlineStr">
        <is>
          <t>debuff</t>
        </is>
      </c>
      <c r="R441" t="n">
        <v>9007</v>
      </c>
      <c r="S441" t="inlineStr">
        <is>
          <t>1,5</t>
        </is>
      </c>
      <c r="U441" t="n">
        <v>0.6</v>
      </c>
      <c r="V441" t="n">
        <v>70001</v>
      </c>
      <c r="W441" t="n">
        <v>2</v>
      </c>
      <c r="X441" t="n">
        <v>1</v>
      </c>
      <c r="Y441" t="n">
        <v>70002</v>
      </c>
      <c r="Z441" t="n">
        <v>2</v>
      </c>
      <c r="AA441" t="n">
        <v>1</v>
      </c>
      <c r="AB441" t="n">
        <v>1001</v>
      </c>
      <c r="AC441" t="n">
        <v>50</v>
      </c>
      <c r="AD441" t="n">
        <v>1</v>
      </c>
      <c r="AE441" t="n">
        <v>8000</v>
      </c>
      <c r="AF441" t="n">
        <v>1260</v>
      </c>
      <c r="AG441" t="n">
        <v>1</v>
      </c>
    </row>
    <row r="442" ht="38.25" customHeight="1" s="142">
      <c r="A442" t="n">
        <v>1336</v>
      </c>
      <c r="B442" t="inlineStr">
        <is>
          <t>main</t>
        </is>
      </c>
      <c r="C442" t="n">
        <v>10</v>
      </c>
      <c r="D442" t="inlineStr">
        <is>
          <t>10-27</t>
        </is>
      </c>
      <c r="E442" t="n">
        <v>150</v>
      </c>
      <c r="G442" s="90" t="inlineStr">
        <is>
          <t>{role:-1},{state:-60014}
{id:-1},{id:-1},{id:-1},{id:-1},{id:-1}
{id:40048},{id:40054},{id:40048},{id:40078},{id:40048}</t>
        </is>
      </c>
      <c r="I442" t="n">
        <v>43220</v>
      </c>
      <c r="J442" s="80" t="inlineStr">
        <is>
          <t>誓約光輝</t>
        </is>
      </c>
      <c r="K442" t="inlineStr">
        <is>
          <t>buff</t>
        </is>
      </c>
      <c r="L442" t="n">
        <v>9006</v>
      </c>
      <c r="M442" t="inlineStr">
        <is>
          <t>10,11</t>
        </is>
      </c>
      <c r="O442" t="n">
        <v>0.5</v>
      </c>
      <c r="P442" s="80" t="inlineStr">
        <is>
          <t>神殿守護</t>
        </is>
      </c>
      <c r="Q442" t="inlineStr">
        <is>
          <t>debuff</t>
        </is>
      </c>
      <c r="R442" t="n">
        <v>9010</v>
      </c>
      <c r="S442" t="inlineStr">
        <is>
          <t>3,6,8</t>
        </is>
      </c>
      <c r="U442" t="n">
        <v>0.4</v>
      </c>
      <c r="V442" t="n">
        <v>70001</v>
      </c>
      <c r="W442" t="n">
        <v>2</v>
      </c>
      <c r="X442" t="n">
        <v>1</v>
      </c>
      <c r="Y442" t="n">
        <v>70002</v>
      </c>
      <c r="Z442" t="n">
        <v>2</v>
      </c>
      <c r="AA442" t="n">
        <v>1</v>
      </c>
      <c r="AB442" t="n">
        <v>1001</v>
      </c>
      <c r="AC442" t="n">
        <v>50</v>
      </c>
      <c r="AD442" t="n">
        <v>1</v>
      </c>
      <c r="AE442" t="n">
        <v>8000</v>
      </c>
      <c r="AF442" t="n">
        <v>1270</v>
      </c>
      <c r="AG442" t="n">
        <v>1</v>
      </c>
    </row>
    <row r="443" ht="38.25" customHeight="1" s="142">
      <c r="A443" t="n">
        <v>1337</v>
      </c>
      <c r="B443" t="inlineStr">
        <is>
          <t>main</t>
        </is>
      </c>
      <c r="C443" t="n">
        <v>10</v>
      </c>
      <c r="D443" t="inlineStr">
        <is>
          <t>10-28</t>
        </is>
      </c>
      <c r="E443" t="n">
        <v>150</v>
      </c>
      <c r="G443" s="90" t="inlineStr">
        <is>
          <t>{role:-1},{state:-60014}
{id:-1},{id:-1},{id:-1},{id:-1},{id:-1}
{id:40078},{id:40048},{id:40048},{id:40048},{id:40078}</t>
        </is>
      </c>
      <c r="I443" t="n">
        <v>43345</v>
      </c>
      <c r="J443" s="80" t="inlineStr">
        <is>
          <t>誓約光輝</t>
        </is>
      </c>
      <c r="K443" t="inlineStr">
        <is>
          <t>buff</t>
        </is>
      </c>
      <c r="L443" t="n">
        <v>9012</v>
      </c>
      <c r="M443" t="inlineStr">
        <is>
          <t>4,13</t>
        </is>
      </c>
      <c r="O443" t="n">
        <v>0.4</v>
      </c>
      <c r="P443" s="80" t="inlineStr">
        <is>
          <t>神殿守護</t>
        </is>
      </c>
      <c r="Q443" t="inlineStr">
        <is>
          <t>debuff</t>
        </is>
      </c>
      <c r="R443" t="n">
        <v>9003</v>
      </c>
      <c r="S443" t="inlineStr">
        <is>
          <t>9,13</t>
        </is>
      </c>
      <c r="U443" t="n">
        <v>0.2</v>
      </c>
      <c r="V443" t="n">
        <v>70001</v>
      </c>
      <c r="W443" t="n">
        <v>2</v>
      </c>
      <c r="X443" t="n">
        <v>1</v>
      </c>
      <c r="Y443" t="n">
        <v>70002</v>
      </c>
      <c r="Z443" t="n">
        <v>2</v>
      </c>
      <c r="AA443" t="n">
        <v>1</v>
      </c>
      <c r="AB443" t="n">
        <v>1001</v>
      </c>
      <c r="AC443" t="n">
        <v>50</v>
      </c>
      <c r="AD443" t="n">
        <v>1</v>
      </c>
      <c r="AE443" t="n">
        <v>8000</v>
      </c>
      <c r="AF443" t="n">
        <v>1270</v>
      </c>
      <c r="AG443" t="n">
        <v>1</v>
      </c>
    </row>
    <row r="444" ht="38.25" customHeight="1" s="142">
      <c r="A444" t="n">
        <v>1338</v>
      </c>
      <c r="B444" t="inlineStr">
        <is>
          <t>main</t>
        </is>
      </c>
      <c r="C444" t="n">
        <v>10</v>
      </c>
      <c r="D444" t="inlineStr">
        <is>
          <t>10-29</t>
        </is>
      </c>
      <c r="E444" t="n">
        <v>150</v>
      </c>
      <c r="G444" s="90" t="inlineStr">
        <is>
          <t>{role:-1},{state:-60014}
{id:-1},{id:-1},{id:-1},{id:-1},{id:-1}
{id:40077},{id:40078},{id:40048},{id:40078},{id:40078}</t>
        </is>
      </c>
      <c r="I444" t="n">
        <v>43470</v>
      </c>
      <c r="J444" s="80" t="inlineStr">
        <is>
          <t>誓約光輝</t>
        </is>
      </c>
      <c r="K444" t="inlineStr">
        <is>
          <t>buff</t>
        </is>
      </c>
      <c r="L444" t="n">
        <v>9008</v>
      </c>
      <c r="M444" t="n">
        <v>4</v>
      </c>
      <c r="O444" t="n">
        <v>0.4</v>
      </c>
      <c r="P444" s="80" t="inlineStr">
        <is>
          <t>神殿守護</t>
        </is>
      </c>
      <c r="Q444" t="inlineStr">
        <is>
          <t>debuff</t>
        </is>
      </c>
      <c r="R444" t="n">
        <v>9007</v>
      </c>
      <c r="S444" t="inlineStr">
        <is>
          <t>3,6,13</t>
        </is>
      </c>
      <c r="U444" t="n">
        <v>0.3</v>
      </c>
      <c r="V444" t="n">
        <v>70001</v>
      </c>
      <c r="W444" t="n">
        <v>2</v>
      </c>
      <c r="X444" t="n">
        <v>1</v>
      </c>
      <c r="Y444" t="n">
        <v>70002</v>
      </c>
      <c r="Z444" t="n">
        <v>2</v>
      </c>
      <c r="AA444" t="n">
        <v>1</v>
      </c>
      <c r="AB444" t="n">
        <v>1001</v>
      </c>
      <c r="AC444" t="n">
        <v>50</v>
      </c>
      <c r="AD444" t="n">
        <v>1</v>
      </c>
      <c r="AE444" t="n">
        <v>8000</v>
      </c>
      <c r="AF444" t="n">
        <v>1270</v>
      </c>
      <c r="AG444" t="n">
        <v>1</v>
      </c>
    </row>
    <row r="445" ht="38.25" customHeight="1" s="142">
      <c r="A445" t="n">
        <v>1339</v>
      </c>
      <c r="B445" t="inlineStr">
        <is>
          <t>main</t>
        </is>
      </c>
      <c r="C445" t="n">
        <v>10</v>
      </c>
      <c r="D445" t="inlineStr">
        <is>
          <t>10-30</t>
        </is>
      </c>
      <c r="E445" t="n">
        <v>150</v>
      </c>
      <c r="G445" s="90" t="inlineStr">
        <is>
          <t>{role:-1},{state:-60014}
{id:-1},{id:-1},{id:-1},{id:-1},{id:-1}
{id:40077},{id:40049},{id:40077},{id:40077},{id:40054}</t>
        </is>
      </c>
      <c r="I445" t="n">
        <v>43595</v>
      </c>
      <c r="J445" s="80" t="inlineStr">
        <is>
          <t>誓約光輝</t>
        </is>
      </c>
      <c r="K445" t="inlineStr">
        <is>
          <t>buff</t>
        </is>
      </c>
      <c r="L445" t="n">
        <v>9007</v>
      </c>
      <c r="M445" t="inlineStr">
        <is>
          <t>7,10,11</t>
        </is>
      </c>
      <c r="O445" t="n">
        <v>0.9</v>
      </c>
      <c r="P445" s="80" t="inlineStr">
        <is>
          <t>神殿守護</t>
        </is>
      </c>
      <c r="Q445" t="inlineStr">
        <is>
          <t>debuff</t>
        </is>
      </c>
      <c r="R445" t="n">
        <v>9003</v>
      </c>
      <c r="S445" t="n">
        <v>11</v>
      </c>
      <c r="U445" t="n">
        <v>0.5</v>
      </c>
      <c r="V445" t="n">
        <v>70001</v>
      </c>
      <c r="W445" t="n">
        <v>2</v>
      </c>
      <c r="X445" t="n">
        <v>1</v>
      </c>
      <c r="Y445" t="n">
        <v>70002</v>
      </c>
      <c r="Z445" t="n">
        <v>2</v>
      </c>
      <c r="AA445" t="n">
        <v>1</v>
      </c>
      <c r="AB445" t="n">
        <v>1001</v>
      </c>
      <c r="AC445" t="n">
        <v>50</v>
      </c>
      <c r="AD445" t="n">
        <v>1</v>
      </c>
      <c r="AE445" t="n">
        <v>8000</v>
      </c>
      <c r="AF445" t="n">
        <v>1280</v>
      </c>
      <c r="AG445" t="n">
        <v>1</v>
      </c>
    </row>
    <row r="446" ht="38.25" customHeight="1" s="142">
      <c r="A446" t="n">
        <v>1340</v>
      </c>
      <c r="B446" t="inlineStr">
        <is>
          <t>main</t>
        </is>
      </c>
      <c r="C446" t="n">
        <v>10</v>
      </c>
      <c r="D446" t="inlineStr">
        <is>
          <t>10-31</t>
        </is>
      </c>
      <c r="E446" t="n">
        <v>150</v>
      </c>
      <c r="G446" s="90" t="inlineStr">
        <is>
          <t>{role:-1},{state:-60014}
{id:-1},{id:-1},{id:-1},{id:-1},{id:-1}
{id:40077},{id:40054},{id:40078},{id:40049},{id:40077}</t>
        </is>
      </c>
      <c r="I446" t="n">
        <v>43720</v>
      </c>
      <c r="J446" s="80" t="inlineStr">
        <is>
          <t>誓約光輝</t>
        </is>
      </c>
      <c r="K446" t="inlineStr">
        <is>
          <t>buff</t>
        </is>
      </c>
      <c r="L446" t="n">
        <v>9005</v>
      </c>
      <c r="M446" t="inlineStr">
        <is>
          <t>2,10,11</t>
        </is>
      </c>
      <c r="O446" t="n">
        <v>0.5</v>
      </c>
      <c r="P446" s="80" t="inlineStr">
        <is>
          <t>神殿守護</t>
        </is>
      </c>
      <c r="Q446" t="inlineStr">
        <is>
          <t>debuff</t>
        </is>
      </c>
      <c r="R446" t="n">
        <v>9012</v>
      </c>
      <c r="S446" t="inlineStr">
        <is>
          <t>1,4,13</t>
        </is>
      </c>
      <c r="U446" t="n">
        <v>0.7</v>
      </c>
      <c r="V446" t="n">
        <v>70001</v>
      </c>
      <c r="W446" t="n">
        <v>2</v>
      </c>
      <c r="X446" t="n">
        <v>1</v>
      </c>
      <c r="Y446" t="n">
        <v>70002</v>
      </c>
      <c r="Z446" t="n">
        <v>2</v>
      </c>
      <c r="AA446" t="n">
        <v>1</v>
      </c>
      <c r="AB446" t="n">
        <v>1001</v>
      </c>
      <c r="AC446" t="n">
        <v>50</v>
      </c>
      <c r="AD446" t="n">
        <v>1</v>
      </c>
      <c r="AE446" t="n">
        <v>8000</v>
      </c>
      <c r="AF446" t="n">
        <v>1280</v>
      </c>
      <c r="AG446" t="n">
        <v>1</v>
      </c>
    </row>
    <row r="447" ht="38.25" customHeight="1" s="142">
      <c r="A447" t="n">
        <v>1341</v>
      </c>
      <c r="B447" t="inlineStr">
        <is>
          <t>main</t>
        </is>
      </c>
      <c r="C447" t="n">
        <v>10</v>
      </c>
      <c r="D447" t="inlineStr">
        <is>
          <t>10-32</t>
        </is>
      </c>
      <c r="E447" t="n">
        <v>150</v>
      </c>
      <c r="G447" s="90" t="inlineStr">
        <is>
          <t>{role:-1},{state:-60014}
{id:-1},{id:-1},{id:-1},{id:-1},{id:-1}
{id:40077},{id:40049},{id:40078},{id:40049},{id:40078}</t>
        </is>
      </c>
      <c r="I447" t="n">
        <v>43845</v>
      </c>
      <c r="J447" s="80" t="inlineStr">
        <is>
          <t>誓約光輝</t>
        </is>
      </c>
      <c r="K447" t="inlineStr">
        <is>
          <t>buff</t>
        </is>
      </c>
      <c r="L447" t="n">
        <v>9006</v>
      </c>
      <c r="M447" t="inlineStr">
        <is>
          <t>1,4,6</t>
        </is>
      </c>
      <c r="O447" t="n">
        <v>0.4</v>
      </c>
      <c r="P447" s="80" t="inlineStr">
        <is>
          <t>神殿守護</t>
        </is>
      </c>
      <c r="Q447" t="inlineStr">
        <is>
          <t>debuff</t>
        </is>
      </c>
      <c r="R447" t="n">
        <v>9010</v>
      </c>
      <c r="S447" t="inlineStr">
        <is>
          <t>5,12</t>
        </is>
      </c>
      <c r="U447" t="n">
        <v>0.2</v>
      </c>
      <c r="V447" t="n">
        <v>70001</v>
      </c>
      <c r="W447" t="n">
        <v>2</v>
      </c>
      <c r="X447" t="n">
        <v>1</v>
      </c>
      <c r="Y447" t="n">
        <v>70002</v>
      </c>
      <c r="Z447" t="n">
        <v>2</v>
      </c>
      <c r="AA447" t="n">
        <v>1</v>
      </c>
      <c r="AB447" t="n">
        <v>1001</v>
      </c>
      <c r="AC447" t="n">
        <v>50</v>
      </c>
      <c r="AD447" t="n">
        <v>1</v>
      </c>
      <c r="AE447" t="n">
        <v>8000</v>
      </c>
      <c r="AF447" t="n">
        <v>1290</v>
      </c>
      <c r="AG447" t="n">
        <v>1</v>
      </c>
    </row>
    <row r="448" ht="38.25" customHeight="1" s="142">
      <c r="A448" t="n">
        <v>1342</v>
      </c>
      <c r="B448" t="inlineStr">
        <is>
          <t>main</t>
        </is>
      </c>
      <c r="C448" t="n">
        <v>10</v>
      </c>
      <c r="D448" t="inlineStr">
        <is>
          <t>10-33</t>
        </is>
      </c>
      <c r="E448" t="n">
        <v>150</v>
      </c>
      <c r="G448" s="90" t="inlineStr">
        <is>
          <t>{role:-1},{state:-60014}
{id:-1},{id:-1},{id:-1},{id:-1},{id:-1}
{id:40077},{id:40049},{id:40077},{id:40077},{id:40048}</t>
        </is>
      </c>
      <c r="I448" t="n">
        <v>43970</v>
      </c>
      <c r="J448" s="80" t="inlineStr">
        <is>
          <t>誓約光輝</t>
        </is>
      </c>
      <c r="K448" t="inlineStr">
        <is>
          <t>buff</t>
        </is>
      </c>
      <c r="L448" t="n">
        <v>9008</v>
      </c>
      <c r="M448" t="inlineStr">
        <is>
          <t>5,8</t>
        </is>
      </c>
      <c r="O448" t="n">
        <v>0.9</v>
      </c>
      <c r="P448" s="80" t="inlineStr">
        <is>
          <t>神殿守護</t>
        </is>
      </c>
      <c r="Q448" t="inlineStr">
        <is>
          <t>debuff</t>
        </is>
      </c>
      <c r="R448" t="n">
        <v>9003</v>
      </c>
      <c r="S448" t="inlineStr">
        <is>
          <t>7,10,11</t>
        </is>
      </c>
      <c r="U448" t="n">
        <v>0.9</v>
      </c>
      <c r="V448" t="n">
        <v>70001</v>
      </c>
      <c r="W448" t="n">
        <v>2</v>
      </c>
      <c r="X448" t="n">
        <v>1</v>
      </c>
      <c r="Y448" t="n">
        <v>70002</v>
      </c>
      <c r="Z448" t="n">
        <v>2</v>
      </c>
      <c r="AA448" t="n">
        <v>1</v>
      </c>
      <c r="AB448" t="n">
        <v>1001</v>
      </c>
      <c r="AC448" t="n">
        <v>50</v>
      </c>
      <c r="AD448" t="n">
        <v>1</v>
      </c>
      <c r="AE448" t="n">
        <v>8000</v>
      </c>
      <c r="AF448" t="n">
        <v>1290</v>
      </c>
      <c r="AG448" t="n">
        <v>1</v>
      </c>
    </row>
    <row r="449" ht="38.25" customHeight="1" s="142">
      <c r="A449" t="n">
        <v>1343</v>
      </c>
      <c r="B449" t="inlineStr">
        <is>
          <t>main</t>
        </is>
      </c>
      <c r="C449" t="n">
        <v>10</v>
      </c>
      <c r="D449" t="inlineStr">
        <is>
          <t>10-34</t>
        </is>
      </c>
      <c r="E449" t="n">
        <v>150</v>
      </c>
      <c r="G449" s="90" t="inlineStr">
        <is>
          <t>{role:-1},{state:-60014}
{id:-1},{id:-1},{id:-1},{id:-1},{id:-1}
{id:40077},{id:40049},{id:40048},{id:40078},{id:40049}</t>
        </is>
      </c>
      <c r="I449" t="n">
        <v>44095</v>
      </c>
      <c r="J449" s="80" t="inlineStr">
        <is>
          <t>誓約光輝</t>
        </is>
      </c>
      <c r="K449" t="inlineStr">
        <is>
          <t>buff</t>
        </is>
      </c>
      <c r="L449" t="n">
        <v>9002</v>
      </c>
      <c r="M449" t="inlineStr">
        <is>
          <t>4,9</t>
        </is>
      </c>
      <c r="O449" t="n">
        <v>0.3</v>
      </c>
      <c r="P449" s="80" t="inlineStr">
        <is>
          <t>神殿守護</t>
        </is>
      </c>
      <c r="Q449" t="inlineStr">
        <is>
          <t>debuff</t>
        </is>
      </c>
      <c r="R449" t="n">
        <v>9012</v>
      </c>
      <c r="S449" t="n">
        <v>6</v>
      </c>
      <c r="U449" t="n">
        <v>0.9</v>
      </c>
      <c r="V449" t="n">
        <v>70001</v>
      </c>
      <c r="W449" t="n">
        <v>2</v>
      </c>
      <c r="X449" t="n">
        <v>1</v>
      </c>
      <c r="Y449" t="n">
        <v>70002</v>
      </c>
      <c r="Z449" t="n">
        <v>2</v>
      </c>
      <c r="AA449" t="n">
        <v>1</v>
      </c>
      <c r="AB449" t="n">
        <v>1001</v>
      </c>
      <c r="AC449" t="n">
        <v>50</v>
      </c>
      <c r="AD449" t="n">
        <v>1</v>
      </c>
      <c r="AE449" t="n">
        <v>8000</v>
      </c>
      <c r="AF449" t="n">
        <v>1300</v>
      </c>
      <c r="AG449" t="n">
        <v>1</v>
      </c>
    </row>
    <row r="450" ht="38.25" customHeight="1" s="142">
      <c r="A450" t="n">
        <v>1344</v>
      </c>
      <c r="B450" t="inlineStr">
        <is>
          <t>main</t>
        </is>
      </c>
      <c r="C450" t="n">
        <v>10</v>
      </c>
      <c r="D450" t="inlineStr">
        <is>
          <t>10-35</t>
        </is>
      </c>
      <c r="E450" t="n">
        <v>150</v>
      </c>
      <c r="G450" s="90" t="inlineStr">
        <is>
          <t>{role:-1},{state:-60014}
{id:-1},{id:-1},{id:-1},{id:-1},{id:-1}
{id:40077},{id:40049},{id:40078},{id:40078},{id:40048}</t>
        </is>
      </c>
      <c r="I450" t="n">
        <v>44220</v>
      </c>
      <c r="J450" s="80" t="inlineStr">
        <is>
          <t>誓約光輝</t>
        </is>
      </c>
      <c r="K450" t="inlineStr">
        <is>
          <t>buff</t>
        </is>
      </c>
      <c r="L450" t="n">
        <v>9011</v>
      </c>
      <c r="M450" t="n">
        <v>13</v>
      </c>
      <c r="O450" t="n">
        <v>0.5</v>
      </c>
      <c r="P450" s="80" t="inlineStr">
        <is>
          <t>神殿守護</t>
        </is>
      </c>
      <c r="Q450" t="inlineStr">
        <is>
          <t>debuff</t>
        </is>
      </c>
      <c r="R450" t="n">
        <v>9008</v>
      </c>
      <c r="S450" t="inlineStr">
        <is>
          <t>9,12</t>
        </is>
      </c>
      <c r="U450" t="n">
        <v>0.7</v>
      </c>
      <c r="V450" t="n">
        <v>70001</v>
      </c>
      <c r="W450" t="n">
        <v>2</v>
      </c>
      <c r="X450" t="n">
        <v>1</v>
      </c>
      <c r="Y450" t="n">
        <v>70002</v>
      </c>
      <c r="Z450" t="n">
        <v>2</v>
      </c>
      <c r="AA450" t="n">
        <v>1</v>
      </c>
      <c r="AB450" t="n">
        <v>1001</v>
      </c>
      <c r="AC450" t="n">
        <v>50</v>
      </c>
      <c r="AD450" t="n">
        <v>1</v>
      </c>
      <c r="AE450" t="n">
        <v>8000</v>
      </c>
      <c r="AF450" t="n">
        <v>1300</v>
      </c>
      <c r="AG450" t="n">
        <v>1</v>
      </c>
    </row>
    <row r="451" ht="38.25" customHeight="1" s="142">
      <c r="A451" t="n">
        <v>1345</v>
      </c>
      <c r="B451" t="inlineStr">
        <is>
          <t>main</t>
        </is>
      </c>
      <c r="C451" t="n">
        <v>10</v>
      </c>
      <c r="D451" t="inlineStr">
        <is>
          <t>10-36</t>
        </is>
      </c>
      <c r="E451" t="n">
        <v>150</v>
      </c>
      <c r="G451" s="90" t="inlineStr">
        <is>
          <t>{role:-1},{state:-60014}
{id:-1},{id:-1},{id:-1},{id:-1},{id:-1}
{id:40078},{id:40048},{id:40077},{id:40077},{id:40077}</t>
        </is>
      </c>
      <c r="I451" t="n">
        <v>44345</v>
      </c>
      <c r="J451" s="80" t="inlineStr">
        <is>
          <t>誓約光輝</t>
        </is>
      </c>
      <c r="K451" t="inlineStr">
        <is>
          <t>buff</t>
        </is>
      </c>
      <c r="L451" t="n">
        <v>9007</v>
      </c>
      <c r="M451" t="n">
        <v>13</v>
      </c>
      <c r="O451" t="n">
        <v>0.5</v>
      </c>
      <c r="P451" s="80" t="inlineStr">
        <is>
          <t>神殿守護</t>
        </is>
      </c>
      <c r="Q451" t="inlineStr">
        <is>
          <t>debuff</t>
        </is>
      </c>
      <c r="R451" t="n">
        <v>9010</v>
      </c>
      <c r="S451" t="inlineStr">
        <is>
          <t>1,6</t>
        </is>
      </c>
      <c r="U451" t="n">
        <v>0.6</v>
      </c>
      <c r="V451" t="n">
        <v>70001</v>
      </c>
      <c r="W451" t="n">
        <v>2</v>
      </c>
      <c r="X451" t="n">
        <v>1</v>
      </c>
      <c r="Y451" t="n">
        <v>70002</v>
      </c>
      <c r="Z451" t="n">
        <v>2</v>
      </c>
      <c r="AA451" t="n">
        <v>1</v>
      </c>
      <c r="AB451" t="n">
        <v>1001</v>
      </c>
      <c r="AC451" t="n">
        <v>50</v>
      </c>
      <c r="AD451" t="n">
        <v>1</v>
      </c>
      <c r="AE451" t="n">
        <v>8000</v>
      </c>
      <c r="AF451" t="n">
        <v>1310</v>
      </c>
      <c r="AG451" t="n">
        <v>1</v>
      </c>
    </row>
    <row r="452" ht="38.25" customHeight="1" s="142">
      <c r="A452" t="n">
        <v>1346</v>
      </c>
      <c r="B452" t="inlineStr">
        <is>
          <t>main</t>
        </is>
      </c>
      <c r="C452" t="n">
        <v>10</v>
      </c>
      <c r="D452" t="inlineStr">
        <is>
          <t>10-37</t>
        </is>
      </c>
      <c r="E452" t="n">
        <v>150</v>
      </c>
      <c r="G452" s="90" t="inlineStr">
        <is>
          <t>{role:-1},{state:-60014}
{id:-1},{id:-1},{id:-1},{id:-1},{id:-1}
{id:40054},{id:40049},{id:40049},{id:40078},{id:40049}</t>
        </is>
      </c>
      <c r="I452" t="n">
        <v>44470</v>
      </c>
      <c r="J452" s="80" t="inlineStr">
        <is>
          <t>誓約光輝</t>
        </is>
      </c>
      <c r="K452" t="inlineStr">
        <is>
          <t>buff</t>
        </is>
      </c>
      <c r="L452" t="n">
        <v>9005</v>
      </c>
      <c r="M452" t="inlineStr">
        <is>
          <t>1,6,7</t>
        </is>
      </c>
      <c r="O452" t="n">
        <v>0.7</v>
      </c>
      <c r="P452" s="80" t="inlineStr">
        <is>
          <t>神殿守護</t>
        </is>
      </c>
      <c r="Q452" t="inlineStr">
        <is>
          <t>debuff</t>
        </is>
      </c>
      <c r="R452" t="n">
        <v>9004</v>
      </c>
      <c r="S452" t="n">
        <v>12</v>
      </c>
      <c r="U452" t="n">
        <v>0.5</v>
      </c>
      <c r="V452" t="n">
        <v>70001</v>
      </c>
      <c r="W452" t="n">
        <v>2</v>
      </c>
      <c r="X452" t="n">
        <v>1</v>
      </c>
      <c r="Y452" t="n">
        <v>70002</v>
      </c>
      <c r="Z452" t="n">
        <v>2</v>
      </c>
      <c r="AA452" t="n">
        <v>1</v>
      </c>
      <c r="AB452" t="n">
        <v>1001</v>
      </c>
      <c r="AC452" t="n">
        <v>50</v>
      </c>
      <c r="AD452" t="n">
        <v>1</v>
      </c>
      <c r="AE452" t="n">
        <v>8000</v>
      </c>
      <c r="AF452" t="n">
        <v>1310</v>
      </c>
      <c r="AG452" t="n">
        <v>1</v>
      </c>
    </row>
    <row r="453" ht="38.25" customHeight="1" s="142">
      <c r="A453" t="n">
        <v>1347</v>
      </c>
      <c r="B453" t="inlineStr">
        <is>
          <t>main</t>
        </is>
      </c>
      <c r="C453" t="n">
        <v>10</v>
      </c>
      <c r="D453" t="inlineStr">
        <is>
          <t>10-38</t>
        </is>
      </c>
      <c r="E453" t="n">
        <v>150</v>
      </c>
      <c r="G453" s="90" t="inlineStr">
        <is>
          <t>{role:-1},{state:-60014}
{id:-1},{id:-1},{id:-1},{id:-1},{id:-1}
{id:40048},{id:40054},{id:40077},{id:40049},{id:40049}</t>
        </is>
      </c>
      <c r="I453" t="n">
        <v>44595</v>
      </c>
      <c r="J453" s="80" t="inlineStr">
        <is>
          <t>誓約光輝</t>
        </is>
      </c>
      <c r="K453" t="inlineStr">
        <is>
          <t>buff</t>
        </is>
      </c>
      <c r="L453" t="n">
        <v>9005</v>
      </c>
      <c r="M453" t="inlineStr">
        <is>
          <t>3,9</t>
        </is>
      </c>
      <c r="O453" t="n">
        <v>0.3</v>
      </c>
      <c r="P453" s="80" t="inlineStr">
        <is>
          <t>神殿守護</t>
        </is>
      </c>
      <c r="Q453" t="inlineStr">
        <is>
          <t>debuff</t>
        </is>
      </c>
      <c r="R453" t="n">
        <v>9008</v>
      </c>
      <c r="S453" t="inlineStr">
        <is>
          <t>5,6</t>
        </is>
      </c>
      <c r="U453" t="n">
        <v>0.7</v>
      </c>
      <c r="V453" t="n">
        <v>70001</v>
      </c>
      <c r="W453" t="n">
        <v>2</v>
      </c>
      <c r="X453" t="n">
        <v>1</v>
      </c>
      <c r="Y453" t="n">
        <v>70002</v>
      </c>
      <c r="Z453" t="n">
        <v>2</v>
      </c>
      <c r="AA453" t="n">
        <v>1</v>
      </c>
      <c r="AB453" t="n">
        <v>1001</v>
      </c>
      <c r="AC453" t="n">
        <v>50</v>
      </c>
      <c r="AD453" t="n">
        <v>1</v>
      </c>
      <c r="AE453" t="n">
        <v>8000</v>
      </c>
      <c r="AF453" t="n">
        <v>1320</v>
      </c>
      <c r="AG453" t="n">
        <v>1</v>
      </c>
    </row>
    <row r="454" ht="38.25" customHeight="1" s="142">
      <c r="A454" t="n">
        <v>1348</v>
      </c>
      <c r="B454" t="inlineStr">
        <is>
          <t>main</t>
        </is>
      </c>
      <c r="C454" t="n">
        <v>10</v>
      </c>
      <c r="D454" t="inlineStr">
        <is>
          <t>10-39</t>
        </is>
      </c>
      <c r="E454" t="n">
        <v>150</v>
      </c>
      <c r="G454" s="90" t="inlineStr">
        <is>
          <t>{role:-1},{state:-60014}
{id:-1},{id:-1},{id:-1},{id:-1},{id:-1}
{id:40048},{id:40077},{id:40077},{id:40054},{id:40077}</t>
        </is>
      </c>
      <c r="I454" t="n">
        <v>44720</v>
      </c>
      <c r="J454" s="80" t="inlineStr">
        <is>
          <t>誓約光輝</t>
        </is>
      </c>
      <c r="K454" t="inlineStr">
        <is>
          <t>buff</t>
        </is>
      </c>
      <c r="L454" t="n">
        <v>9007</v>
      </c>
      <c r="M454" t="inlineStr">
        <is>
          <t>2,6,8</t>
        </is>
      </c>
      <c r="O454" t="n">
        <v>0.5</v>
      </c>
      <c r="P454" s="80" t="inlineStr">
        <is>
          <t>神殿守護</t>
        </is>
      </c>
      <c r="Q454" t="inlineStr">
        <is>
          <t>debuff</t>
        </is>
      </c>
      <c r="R454" t="n">
        <v>9008</v>
      </c>
      <c r="S454" t="inlineStr">
        <is>
          <t>6,7,8</t>
        </is>
      </c>
      <c r="U454" t="n">
        <v>0.4</v>
      </c>
      <c r="V454" t="n">
        <v>70001</v>
      </c>
      <c r="W454" t="n">
        <v>2</v>
      </c>
      <c r="X454" t="n">
        <v>1</v>
      </c>
      <c r="Y454" t="n">
        <v>70002</v>
      </c>
      <c r="Z454" t="n">
        <v>2</v>
      </c>
      <c r="AA454" t="n">
        <v>1</v>
      </c>
      <c r="AB454" t="n">
        <v>1001</v>
      </c>
      <c r="AC454" t="n">
        <v>50</v>
      </c>
      <c r="AD454" t="n">
        <v>1</v>
      </c>
      <c r="AE454" t="n">
        <v>8000</v>
      </c>
      <c r="AF454" t="n">
        <v>1320</v>
      </c>
      <c r="AG454" t="n">
        <v>1</v>
      </c>
    </row>
    <row r="455" ht="38.25" customHeight="1" s="142">
      <c r="A455" t="n">
        <v>1349</v>
      </c>
      <c r="B455" t="inlineStr">
        <is>
          <t>main</t>
        </is>
      </c>
      <c r="C455" t="n">
        <v>10</v>
      </c>
      <c r="D455" t="inlineStr">
        <is>
          <t>10-40</t>
        </is>
      </c>
      <c r="E455" t="n">
        <v>150</v>
      </c>
      <c r="G455" s="90" t="inlineStr">
        <is>
          <t>{role:-1},{state:-60014}
{id:-1},{id:-1},{id:-1},{id:-1},{id:-1}
{id:50011},{id:40048},{id:40054},{id:40077},{id:40078}</t>
        </is>
      </c>
      <c r="I455" t="n">
        <v>44845</v>
      </c>
      <c r="J455" s="80" t="inlineStr">
        <is>
          <t>誓約光輝</t>
        </is>
      </c>
      <c r="K455" t="inlineStr">
        <is>
          <t>buff</t>
        </is>
      </c>
      <c r="L455" t="n">
        <v>9012</v>
      </c>
      <c r="M455" t="inlineStr">
        <is>
          <t>8,12</t>
        </is>
      </c>
      <c r="O455" t="n">
        <v>0.4</v>
      </c>
      <c r="P455" s="80" t="inlineStr">
        <is>
          <t>神殿守護</t>
        </is>
      </c>
      <c r="Q455" t="inlineStr">
        <is>
          <t>debuff</t>
        </is>
      </c>
      <c r="R455" t="n">
        <v>9003</v>
      </c>
      <c r="S455" t="inlineStr">
        <is>
          <t>1,2</t>
        </is>
      </c>
      <c r="U455" t="n">
        <v>0.9</v>
      </c>
      <c r="V455" t="n">
        <v>70001</v>
      </c>
      <c r="W455" t="n">
        <v>2</v>
      </c>
      <c r="X455" t="n">
        <v>1</v>
      </c>
      <c r="Y455" t="n">
        <v>70002</v>
      </c>
      <c r="Z455" t="n">
        <v>2</v>
      </c>
      <c r="AA455" t="n">
        <v>1</v>
      </c>
      <c r="AB455" t="n">
        <v>1001</v>
      </c>
      <c r="AC455" t="n">
        <v>50</v>
      </c>
      <c r="AD455" t="n">
        <v>1</v>
      </c>
      <c r="AE455" t="n">
        <v>8000</v>
      </c>
      <c r="AF455" t="n">
        <v>1330</v>
      </c>
      <c r="AG455" t="n">
        <v>1</v>
      </c>
    </row>
    <row r="456" ht="38.25" customHeight="1" s="142">
      <c r="A456" t="n">
        <v>1350</v>
      </c>
      <c r="B456" t="inlineStr">
        <is>
          <t>main</t>
        </is>
      </c>
      <c r="C456" t="n">
        <v>11</v>
      </c>
      <c r="D456" t="inlineStr">
        <is>
          <t>11-1</t>
        </is>
      </c>
      <c r="E456" t="n">
        <v>150</v>
      </c>
      <c r="G456" s="90" t="inlineStr">
        <is>
          <t>{role:-1},{state:-60015}
{id:-1},{id:-1},{id:-1},{id:-1},{id:-1}
{id:40080},{id:40080}</t>
        </is>
      </c>
      <c r="I456" t="n">
        <v>44970</v>
      </c>
      <c r="J456" s="80" t="inlineStr">
        <is>
          <t>武士之魂</t>
        </is>
      </c>
      <c r="K456" t="inlineStr">
        <is>
          <t>buff</t>
        </is>
      </c>
      <c r="L456" t="n">
        <v>9001</v>
      </c>
      <c r="M456" t="n">
        <v>11</v>
      </c>
      <c r="O456" t="n">
        <v>0.5</v>
      </c>
      <c r="P456" s="80" t="inlineStr">
        <is>
          <t>妖氣繚繞</t>
        </is>
      </c>
      <c r="Q456" t="inlineStr">
        <is>
          <t>debuff</t>
        </is>
      </c>
      <c r="R456" t="n">
        <v>9008</v>
      </c>
      <c r="S456" t="inlineStr">
        <is>
          <t>7,11</t>
        </is>
      </c>
      <c r="U456" t="n">
        <v>0.6</v>
      </c>
      <c r="V456" t="n">
        <v>70001</v>
      </c>
      <c r="W456" t="n">
        <v>3</v>
      </c>
      <c r="X456" t="n">
        <v>1</v>
      </c>
      <c r="Y456" t="n">
        <v>70002</v>
      </c>
      <c r="Z456" t="n">
        <v>3</v>
      </c>
      <c r="AA456" t="n">
        <v>1</v>
      </c>
      <c r="AB456" t="n">
        <v>1001</v>
      </c>
      <c r="AC456" t="n">
        <v>50</v>
      </c>
      <c r="AD456" t="n">
        <v>1</v>
      </c>
      <c r="AE456" t="n">
        <v>8000</v>
      </c>
      <c r="AF456" t="n">
        <v>1330</v>
      </c>
      <c r="AG456" t="n">
        <v>1</v>
      </c>
    </row>
    <row r="457" ht="38.25" customHeight="1" s="142">
      <c r="A457" t="n">
        <v>1351</v>
      </c>
      <c r="B457" t="inlineStr">
        <is>
          <t>main</t>
        </is>
      </c>
      <c r="C457" t="n">
        <v>11</v>
      </c>
      <c r="D457" t="inlineStr">
        <is>
          <t>11-2</t>
        </is>
      </c>
      <c r="E457" t="n">
        <v>150</v>
      </c>
      <c r="G457" s="90" t="inlineStr">
        <is>
          <t>{role:-1},{state:-60015}
{id:-1},{id:-1},{id:-1},{id:-1},{id:-1}
{id:40079},{id:40065}</t>
        </is>
      </c>
      <c r="I457" t="n">
        <v>45095</v>
      </c>
      <c r="J457" s="80" t="inlineStr">
        <is>
          <t>武士之魂</t>
        </is>
      </c>
      <c r="K457" t="inlineStr">
        <is>
          <t>buff</t>
        </is>
      </c>
      <c r="L457" t="n">
        <v>9012</v>
      </c>
      <c r="M457" t="inlineStr">
        <is>
          <t>12,13</t>
        </is>
      </c>
      <c r="O457" t="n">
        <v>0.4</v>
      </c>
      <c r="P457" s="80" t="inlineStr">
        <is>
          <t>妖氣繚繞</t>
        </is>
      </c>
      <c r="Q457" t="inlineStr">
        <is>
          <t>debuff</t>
        </is>
      </c>
      <c r="R457" t="n">
        <v>9011</v>
      </c>
      <c r="S457" t="inlineStr">
        <is>
          <t>2,10</t>
        </is>
      </c>
      <c r="U457" t="n">
        <v>0.2</v>
      </c>
      <c r="V457" t="n">
        <v>70001</v>
      </c>
      <c r="W457" t="n">
        <v>3</v>
      </c>
      <c r="X457" t="n">
        <v>1</v>
      </c>
      <c r="Y457" t="n">
        <v>70002</v>
      </c>
      <c r="Z457" t="n">
        <v>3</v>
      </c>
      <c r="AA457" t="n">
        <v>1</v>
      </c>
      <c r="AB457" t="n">
        <v>1001</v>
      </c>
      <c r="AC457" t="n">
        <v>50</v>
      </c>
      <c r="AD457" t="n">
        <v>1</v>
      </c>
      <c r="AE457" t="n">
        <v>8000</v>
      </c>
      <c r="AF457" t="n">
        <v>1340</v>
      </c>
      <c r="AG457" t="n">
        <v>1</v>
      </c>
    </row>
    <row r="458" ht="38.25" customHeight="1" s="142">
      <c r="A458" t="n">
        <v>1352</v>
      </c>
      <c r="B458" t="inlineStr">
        <is>
          <t>main</t>
        </is>
      </c>
      <c r="C458" t="n">
        <v>11</v>
      </c>
      <c r="D458" t="inlineStr">
        <is>
          <t>11-3</t>
        </is>
      </c>
      <c r="E458" t="n">
        <v>150</v>
      </c>
      <c r="G458" s="90" t="inlineStr">
        <is>
          <t>{role:-1},{state:-60015}
{id:-1},{id:-1},{id:-1},{id:-1},{id:-1}
{id:40081},{id:40080}</t>
        </is>
      </c>
      <c r="I458" t="n">
        <v>45220</v>
      </c>
      <c r="J458" s="80" t="inlineStr">
        <is>
          <t>武士之魂</t>
        </is>
      </c>
      <c r="K458" t="inlineStr">
        <is>
          <t>buff</t>
        </is>
      </c>
      <c r="L458" t="n">
        <v>9012</v>
      </c>
      <c r="M458" t="inlineStr">
        <is>
          <t>3,9</t>
        </is>
      </c>
      <c r="O458" t="n">
        <v>0.3</v>
      </c>
      <c r="P458" s="80" t="inlineStr">
        <is>
          <t>妖氣繚繞</t>
        </is>
      </c>
      <c r="Q458" t="inlineStr">
        <is>
          <t>debuff</t>
        </is>
      </c>
      <c r="R458" t="n">
        <v>9003</v>
      </c>
      <c r="S458" t="n">
        <v>11</v>
      </c>
      <c r="U458" t="n">
        <v>0.6</v>
      </c>
      <c r="V458" t="n">
        <v>70001</v>
      </c>
      <c r="W458" t="n">
        <v>3</v>
      </c>
      <c r="X458" t="n">
        <v>1</v>
      </c>
      <c r="Y458" t="n">
        <v>70002</v>
      </c>
      <c r="Z458" t="n">
        <v>3</v>
      </c>
      <c r="AA458" t="n">
        <v>1</v>
      </c>
      <c r="AB458" t="n">
        <v>1001</v>
      </c>
      <c r="AC458" t="n">
        <v>50</v>
      </c>
      <c r="AD458" t="n">
        <v>1</v>
      </c>
      <c r="AE458" t="n">
        <v>8000</v>
      </c>
      <c r="AF458" t="n">
        <v>1340</v>
      </c>
      <c r="AG458" t="n">
        <v>1</v>
      </c>
    </row>
    <row r="459" ht="38.25" customHeight="1" s="142">
      <c r="A459" t="n">
        <v>1353</v>
      </c>
      <c r="B459" t="inlineStr">
        <is>
          <t>main</t>
        </is>
      </c>
      <c r="C459" t="n">
        <v>11</v>
      </c>
      <c r="D459" t="inlineStr">
        <is>
          <t>11-4</t>
        </is>
      </c>
      <c r="E459" t="n">
        <v>150</v>
      </c>
      <c r="G459" s="90" t="inlineStr">
        <is>
          <t>{role:-1},{state:-60015}
{id:-1},{id:-1},{id:-1},{id:-1},{id:-1}
{id:40065},{id:40080}</t>
        </is>
      </c>
      <c r="I459" t="n">
        <v>45345</v>
      </c>
      <c r="J459" s="80" t="inlineStr">
        <is>
          <t>武士之魂</t>
        </is>
      </c>
      <c r="K459" t="inlineStr">
        <is>
          <t>buff</t>
        </is>
      </c>
      <c r="L459" t="n">
        <v>9012</v>
      </c>
      <c r="M459" t="inlineStr">
        <is>
          <t>3,8</t>
        </is>
      </c>
      <c r="O459" t="n">
        <v>0.2</v>
      </c>
      <c r="P459" s="80" t="inlineStr">
        <is>
          <t>妖氣繚繞</t>
        </is>
      </c>
      <c r="Q459" t="inlineStr">
        <is>
          <t>debuff</t>
        </is>
      </c>
      <c r="R459" t="n">
        <v>9004</v>
      </c>
      <c r="S459" t="inlineStr">
        <is>
          <t>12,13</t>
        </is>
      </c>
      <c r="U459" t="n">
        <v>0.5</v>
      </c>
      <c r="V459" t="n">
        <v>70001</v>
      </c>
      <c r="W459" t="n">
        <v>3</v>
      </c>
      <c r="X459" t="n">
        <v>1</v>
      </c>
      <c r="Y459" t="n">
        <v>70002</v>
      </c>
      <c r="Z459" t="n">
        <v>3</v>
      </c>
      <c r="AA459" t="n">
        <v>1</v>
      </c>
      <c r="AB459" t="n">
        <v>1001</v>
      </c>
      <c r="AC459" t="n">
        <v>50</v>
      </c>
      <c r="AD459" t="n">
        <v>1</v>
      </c>
      <c r="AE459" t="n">
        <v>8000</v>
      </c>
      <c r="AF459" t="n">
        <v>1350</v>
      </c>
      <c r="AG459" t="n">
        <v>1</v>
      </c>
    </row>
    <row r="460" ht="38.25" customHeight="1" s="142">
      <c r="A460" t="n">
        <v>1354</v>
      </c>
      <c r="B460" t="inlineStr">
        <is>
          <t>main</t>
        </is>
      </c>
      <c r="C460" t="n">
        <v>11</v>
      </c>
      <c r="D460" t="inlineStr">
        <is>
          <t>11-5</t>
        </is>
      </c>
      <c r="E460" t="n">
        <v>150</v>
      </c>
      <c r="G460" s="90" t="inlineStr">
        <is>
          <t>{role:-1},{state:-60015}
{id:-1},{id:-1},{id:-1},{id:-1},{id:-1}
{id:40080},{id:40080}</t>
        </is>
      </c>
      <c r="I460" t="n">
        <v>45470</v>
      </c>
      <c r="J460" s="80" t="inlineStr">
        <is>
          <t>武士之魂</t>
        </is>
      </c>
      <c r="K460" t="inlineStr">
        <is>
          <t>buff</t>
        </is>
      </c>
      <c r="L460" t="n">
        <v>9005</v>
      </c>
      <c r="M460" t="inlineStr">
        <is>
          <t>8,11,13</t>
        </is>
      </c>
      <c r="O460" t="n">
        <v>0.2</v>
      </c>
      <c r="P460" s="80" t="inlineStr">
        <is>
          <t>妖氣繚繞</t>
        </is>
      </c>
      <c r="Q460" t="inlineStr">
        <is>
          <t>debuff</t>
        </is>
      </c>
      <c r="R460" t="n">
        <v>9003</v>
      </c>
      <c r="S460" t="inlineStr">
        <is>
          <t>1,3</t>
        </is>
      </c>
      <c r="U460" t="n">
        <v>0.2</v>
      </c>
      <c r="V460" t="n">
        <v>70001</v>
      </c>
      <c r="W460" t="n">
        <v>3</v>
      </c>
      <c r="X460" t="n">
        <v>1</v>
      </c>
      <c r="Y460" t="n">
        <v>70002</v>
      </c>
      <c r="Z460" t="n">
        <v>3</v>
      </c>
      <c r="AA460" t="n">
        <v>1</v>
      </c>
      <c r="AB460" t="n">
        <v>1001</v>
      </c>
      <c r="AC460" t="n">
        <v>50</v>
      </c>
      <c r="AD460" t="n">
        <v>1</v>
      </c>
      <c r="AE460" t="n">
        <v>8000</v>
      </c>
      <c r="AF460" t="n">
        <v>1350</v>
      </c>
      <c r="AG460" t="n">
        <v>1</v>
      </c>
    </row>
    <row r="461" ht="38.25" customHeight="1" s="142">
      <c r="A461" t="n">
        <v>1355</v>
      </c>
      <c r="B461" t="inlineStr">
        <is>
          <t>main</t>
        </is>
      </c>
      <c r="C461" t="n">
        <v>11</v>
      </c>
      <c r="D461" t="inlineStr">
        <is>
          <t>11-6</t>
        </is>
      </c>
      <c r="E461" t="n">
        <v>150</v>
      </c>
      <c r="G461" s="90" t="inlineStr">
        <is>
          <t>{role:-1},{state:-60015}
{id:-1},{id:-1},{id:-1},{id:-1},{id:-1}
{id:40079},{id:40080},{id:40079}</t>
        </is>
      </c>
      <c r="I461" t="n">
        <v>45595</v>
      </c>
      <c r="J461" s="80" t="inlineStr">
        <is>
          <t>武士之魂</t>
        </is>
      </c>
      <c r="K461" t="inlineStr">
        <is>
          <t>buff</t>
        </is>
      </c>
      <c r="L461" t="n">
        <v>9001</v>
      </c>
      <c r="M461" t="inlineStr">
        <is>
          <t>5,9</t>
        </is>
      </c>
      <c r="O461" t="n">
        <v>0.3</v>
      </c>
      <c r="P461" s="80" t="inlineStr">
        <is>
          <t>妖氣繚繞</t>
        </is>
      </c>
      <c r="Q461" t="inlineStr">
        <is>
          <t>debuff</t>
        </is>
      </c>
      <c r="R461" t="n">
        <v>9004</v>
      </c>
      <c r="S461" t="inlineStr">
        <is>
          <t>1,4,5</t>
        </is>
      </c>
      <c r="U461" t="n">
        <v>0.9</v>
      </c>
      <c r="V461" t="n">
        <v>70001</v>
      </c>
      <c r="W461" t="n">
        <v>3</v>
      </c>
      <c r="X461" t="n">
        <v>1</v>
      </c>
      <c r="Y461" t="n">
        <v>70002</v>
      </c>
      <c r="Z461" t="n">
        <v>3</v>
      </c>
      <c r="AA461" t="n">
        <v>1</v>
      </c>
      <c r="AB461" t="n">
        <v>1001</v>
      </c>
      <c r="AC461" t="n">
        <v>50</v>
      </c>
      <c r="AD461" t="n">
        <v>1</v>
      </c>
      <c r="AE461" t="n">
        <v>8000</v>
      </c>
      <c r="AF461" t="n">
        <v>1360</v>
      </c>
      <c r="AG461" t="n">
        <v>1</v>
      </c>
    </row>
    <row r="462" ht="38.25" customHeight="1" s="142">
      <c r="A462" t="n">
        <v>1356</v>
      </c>
      <c r="B462" t="inlineStr">
        <is>
          <t>main</t>
        </is>
      </c>
      <c r="C462" t="n">
        <v>11</v>
      </c>
      <c r="D462" t="inlineStr">
        <is>
          <t>11-7</t>
        </is>
      </c>
      <c r="E462" t="n">
        <v>150</v>
      </c>
      <c r="G462" s="90" t="inlineStr">
        <is>
          <t>{role:-1},{state:-60015}
{id:-1},{id:-1},{id:-1},{id:-1},{id:-1}
{id:40079},{id:40079},{id:40080}</t>
        </is>
      </c>
      <c r="I462" t="n">
        <v>45720</v>
      </c>
      <c r="J462" s="80" t="inlineStr">
        <is>
          <t>武士之魂</t>
        </is>
      </c>
      <c r="K462" t="inlineStr">
        <is>
          <t>buff</t>
        </is>
      </c>
      <c r="L462" t="n">
        <v>9005</v>
      </c>
      <c r="M462" t="n">
        <v>8</v>
      </c>
      <c r="O462" t="n">
        <v>0.5</v>
      </c>
      <c r="P462" s="80" t="inlineStr">
        <is>
          <t>妖氣繚繞</t>
        </is>
      </c>
      <c r="Q462" t="inlineStr">
        <is>
          <t>debuff</t>
        </is>
      </c>
      <c r="R462" t="n">
        <v>9004</v>
      </c>
      <c r="S462" t="inlineStr">
        <is>
          <t>5,12</t>
        </is>
      </c>
      <c r="U462" t="n">
        <v>0.2</v>
      </c>
      <c r="V462" t="n">
        <v>70001</v>
      </c>
      <c r="W462" t="n">
        <v>3</v>
      </c>
      <c r="X462" t="n">
        <v>1</v>
      </c>
      <c r="Y462" t="n">
        <v>70002</v>
      </c>
      <c r="Z462" t="n">
        <v>3</v>
      </c>
      <c r="AA462" t="n">
        <v>1</v>
      </c>
      <c r="AB462" t="n">
        <v>1001</v>
      </c>
      <c r="AC462" t="n">
        <v>50</v>
      </c>
      <c r="AD462" t="n">
        <v>1</v>
      </c>
      <c r="AE462" t="n">
        <v>8000</v>
      </c>
      <c r="AF462" t="n">
        <v>1360</v>
      </c>
      <c r="AG462" t="n">
        <v>1</v>
      </c>
    </row>
    <row r="463" ht="38.25" customHeight="1" s="142">
      <c r="A463" t="n">
        <v>1357</v>
      </c>
      <c r="B463" t="inlineStr">
        <is>
          <t>main</t>
        </is>
      </c>
      <c r="C463" t="n">
        <v>11</v>
      </c>
      <c r="D463" t="inlineStr">
        <is>
          <t>11-8</t>
        </is>
      </c>
      <c r="E463" t="n">
        <v>150</v>
      </c>
      <c r="G463" s="90" t="inlineStr">
        <is>
          <t>{role:-1},{state:-60015}
{id:-1},{id:-1},{id:-1},{id:-1},{id:-1}
{id:40055},{id:40065},{id:40055}</t>
        </is>
      </c>
      <c r="I463" t="n">
        <v>45845</v>
      </c>
      <c r="J463" s="80" t="inlineStr">
        <is>
          <t>武士之魂</t>
        </is>
      </c>
      <c r="K463" t="inlineStr">
        <is>
          <t>buff</t>
        </is>
      </c>
      <c r="L463" t="n">
        <v>9002</v>
      </c>
      <c r="M463" t="n">
        <v>13</v>
      </c>
      <c r="O463" t="n">
        <v>0.2</v>
      </c>
      <c r="P463" s="80" t="inlineStr">
        <is>
          <t>妖氣繚繞</t>
        </is>
      </c>
      <c r="Q463" t="inlineStr">
        <is>
          <t>debuff</t>
        </is>
      </c>
      <c r="R463" t="n">
        <v>9011</v>
      </c>
      <c r="S463" t="inlineStr">
        <is>
          <t>2,10,11</t>
        </is>
      </c>
      <c r="U463" t="n">
        <v>0.3</v>
      </c>
      <c r="V463" t="n">
        <v>70001</v>
      </c>
      <c r="W463" t="n">
        <v>3</v>
      </c>
      <c r="X463" t="n">
        <v>1</v>
      </c>
      <c r="Y463" t="n">
        <v>70002</v>
      </c>
      <c r="Z463" t="n">
        <v>3</v>
      </c>
      <c r="AA463" t="n">
        <v>1</v>
      </c>
      <c r="AB463" t="n">
        <v>1001</v>
      </c>
      <c r="AC463" t="n">
        <v>50</v>
      </c>
      <c r="AD463" t="n">
        <v>1</v>
      </c>
      <c r="AE463" t="n">
        <v>8000</v>
      </c>
      <c r="AF463" t="n">
        <v>1370</v>
      </c>
      <c r="AG463" t="n">
        <v>1</v>
      </c>
    </row>
    <row r="464" ht="38.25" customHeight="1" s="142">
      <c r="A464" t="n">
        <v>1358</v>
      </c>
      <c r="B464" t="inlineStr">
        <is>
          <t>main</t>
        </is>
      </c>
      <c r="C464" t="n">
        <v>11</v>
      </c>
      <c r="D464" t="inlineStr">
        <is>
          <t>11-9</t>
        </is>
      </c>
      <c r="E464" t="n">
        <v>150</v>
      </c>
      <c r="G464" s="90" t="inlineStr">
        <is>
          <t>{role:-1},{state:-60015}
{id:-1},{id:-1},{id:-1},{id:-1},{id:-1}
{id:40065},{id:40081},{id:40081}</t>
        </is>
      </c>
      <c r="I464" t="n">
        <v>45970</v>
      </c>
      <c r="J464" s="80" t="inlineStr">
        <is>
          <t>武士之魂</t>
        </is>
      </c>
      <c r="K464" t="inlineStr">
        <is>
          <t>buff</t>
        </is>
      </c>
      <c r="L464" t="n">
        <v>9011</v>
      </c>
      <c r="M464" t="inlineStr">
        <is>
          <t>4,9,12</t>
        </is>
      </c>
      <c r="O464" t="n">
        <v>0.8</v>
      </c>
      <c r="P464" s="80" t="inlineStr">
        <is>
          <t>妖氣繚繞</t>
        </is>
      </c>
      <c r="Q464" t="inlineStr">
        <is>
          <t>debuff</t>
        </is>
      </c>
      <c r="R464" t="n">
        <v>9007</v>
      </c>
      <c r="S464" t="n">
        <v>6</v>
      </c>
      <c r="U464" t="n">
        <v>0.9</v>
      </c>
      <c r="V464" t="n">
        <v>70001</v>
      </c>
      <c r="W464" t="n">
        <v>3</v>
      </c>
      <c r="X464" t="n">
        <v>1</v>
      </c>
      <c r="Y464" t="n">
        <v>70002</v>
      </c>
      <c r="Z464" t="n">
        <v>3</v>
      </c>
      <c r="AA464" t="n">
        <v>1</v>
      </c>
      <c r="AB464" t="n">
        <v>1001</v>
      </c>
      <c r="AC464" t="n">
        <v>50</v>
      </c>
      <c r="AD464" t="n">
        <v>1</v>
      </c>
      <c r="AE464" t="n">
        <v>8000</v>
      </c>
      <c r="AF464" t="n">
        <v>1370</v>
      </c>
      <c r="AG464" t="n">
        <v>1</v>
      </c>
    </row>
    <row r="465" ht="38.25" customHeight="1" s="142">
      <c r="A465" t="n">
        <v>1359</v>
      </c>
      <c r="B465" t="inlineStr">
        <is>
          <t>main</t>
        </is>
      </c>
      <c r="C465" t="n">
        <v>11</v>
      </c>
      <c r="D465" t="inlineStr">
        <is>
          <t>11-10</t>
        </is>
      </c>
      <c r="E465" t="n">
        <v>150</v>
      </c>
      <c r="G465" s="90" t="inlineStr">
        <is>
          <t>{role:-1},{state:-60015}
{id:-1},{id:-1},{id:-1},{id:-1},{id:-1}
{id:40079},{id:40055},{id:40081}</t>
        </is>
      </c>
      <c r="I465" t="n">
        <v>46095</v>
      </c>
      <c r="J465" s="80" t="inlineStr">
        <is>
          <t>武士之魂</t>
        </is>
      </c>
      <c r="K465" t="inlineStr">
        <is>
          <t>buff</t>
        </is>
      </c>
      <c r="L465" t="n">
        <v>9005</v>
      </c>
      <c r="M465" t="inlineStr">
        <is>
          <t>3,8</t>
        </is>
      </c>
      <c r="O465" t="n">
        <v>0.7</v>
      </c>
      <c r="P465" s="80" t="inlineStr">
        <is>
          <t>妖氣繚繞</t>
        </is>
      </c>
      <c r="Q465" t="inlineStr">
        <is>
          <t>debuff</t>
        </is>
      </c>
      <c r="R465" t="n">
        <v>9012</v>
      </c>
      <c r="S465" t="n">
        <v>3</v>
      </c>
      <c r="U465" t="n">
        <v>0.9</v>
      </c>
      <c r="V465" t="n">
        <v>70001</v>
      </c>
      <c r="W465" t="n">
        <v>3</v>
      </c>
      <c r="X465" t="n">
        <v>1</v>
      </c>
      <c r="Y465" t="n">
        <v>70002</v>
      </c>
      <c r="Z465" t="n">
        <v>3</v>
      </c>
      <c r="AA465" t="n">
        <v>1</v>
      </c>
      <c r="AB465" t="n">
        <v>1001</v>
      </c>
      <c r="AC465" t="n">
        <v>50</v>
      </c>
      <c r="AD465" t="n">
        <v>1</v>
      </c>
      <c r="AE465" t="n">
        <v>8000</v>
      </c>
      <c r="AF465" t="n">
        <v>1380</v>
      </c>
      <c r="AG465" t="n">
        <v>1</v>
      </c>
    </row>
    <row r="466" ht="38.25" customHeight="1" s="142">
      <c r="A466" t="n">
        <v>1360</v>
      </c>
      <c r="B466" t="inlineStr">
        <is>
          <t>main</t>
        </is>
      </c>
      <c r="C466" t="n">
        <v>11</v>
      </c>
      <c r="D466" t="inlineStr">
        <is>
          <t>11-11</t>
        </is>
      </c>
      <c r="E466" t="n">
        <v>150</v>
      </c>
      <c r="G466" s="90" t="inlineStr">
        <is>
          <t>{role:-1},{state:-60015}
{id:-1},{id:-1},{id:-1},{id:-1},{id:-1}
{id:40079},{id:40055},{id:40079}</t>
        </is>
      </c>
      <c r="I466" t="n">
        <v>46220</v>
      </c>
      <c r="J466" s="80" t="inlineStr">
        <is>
          <t>武士之魂</t>
        </is>
      </c>
      <c r="K466" t="inlineStr">
        <is>
          <t>buff</t>
        </is>
      </c>
      <c r="L466" t="n">
        <v>9002</v>
      </c>
      <c r="M466" t="inlineStr">
        <is>
          <t>2,5,6</t>
        </is>
      </c>
      <c r="O466" t="n">
        <v>0.6</v>
      </c>
      <c r="P466" s="80" t="inlineStr">
        <is>
          <t>妖氣繚繞</t>
        </is>
      </c>
      <c r="Q466" t="inlineStr">
        <is>
          <t>debuff</t>
        </is>
      </c>
      <c r="R466" t="n">
        <v>9007</v>
      </c>
      <c r="S466" t="n">
        <v>10</v>
      </c>
      <c r="U466" t="n">
        <v>0.6</v>
      </c>
      <c r="V466" t="n">
        <v>70001</v>
      </c>
      <c r="W466" t="n">
        <v>3</v>
      </c>
      <c r="X466" t="n">
        <v>1</v>
      </c>
      <c r="Y466" t="n">
        <v>70002</v>
      </c>
      <c r="Z466" t="n">
        <v>3</v>
      </c>
      <c r="AA466" t="n">
        <v>1</v>
      </c>
      <c r="AB466" t="n">
        <v>1001</v>
      </c>
      <c r="AC466" t="n">
        <v>50</v>
      </c>
      <c r="AD466" t="n">
        <v>1</v>
      </c>
      <c r="AE466" t="n">
        <v>8000</v>
      </c>
      <c r="AF466" t="n">
        <v>1380</v>
      </c>
      <c r="AG466" t="n">
        <v>1</v>
      </c>
    </row>
    <row r="467" ht="38.25" customHeight="1" s="142">
      <c r="A467" t="n">
        <v>1361</v>
      </c>
      <c r="B467" t="inlineStr">
        <is>
          <t>main</t>
        </is>
      </c>
      <c r="C467" t="n">
        <v>11</v>
      </c>
      <c r="D467" t="inlineStr">
        <is>
          <t>11-12</t>
        </is>
      </c>
      <c r="E467" t="n">
        <v>150</v>
      </c>
      <c r="G467" s="90" t="inlineStr">
        <is>
          <t>{role:-1},{state:-60015}
{id:-1},{id:-1},{id:-1},{id:-1},{id:-1}
{id:40081},{id:40080},{id:40065}</t>
        </is>
      </c>
      <c r="I467" t="n">
        <v>46345</v>
      </c>
      <c r="J467" s="80" t="inlineStr">
        <is>
          <t>武士之魂</t>
        </is>
      </c>
      <c r="K467" t="inlineStr">
        <is>
          <t>buff</t>
        </is>
      </c>
      <c r="L467" t="n">
        <v>9002</v>
      </c>
      <c r="M467" t="n">
        <v>12</v>
      </c>
      <c r="O467" t="n">
        <v>0.7</v>
      </c>
      <c r="P467" s="80" t="inlineStr">
        <is>
          <t>妖氣繚繞</t>
        </is>
      </c>
      <c r="Q467" t="inlineStr">
        <is>
          <t>debuff</t>
        </is>
      </c>
      <c r="R467" t="n">
        <v>9012</v>
      </c>
      <c r="S467" t="inlineStr">
        <is>
          <t>3,5</t>
        </is>
      </c>
      <c r="U467" t="n">
        <v>0.1</v>
      </c>
      <c r="V467" t="n">
        <v>70001</v>
      </c>
      <c r="W467" t="n">
        <v>3</v>
      </c>
      <c r="X467" t="n">
        <v>1</v>
      </c>
      <c r="Y467" t="n">
        <v>70002</v>
      </c>
      <c r="Z467" t="n">
        <v>3</v>
      </c>
      <c r="AA467" t="n">
        <v>1</v>
      </c>
      <c r="AB467" t="n">
        <v>1001</v>
      </c>
      <c r="AC467" t="n">
        <v>50</v>
      </c>
      <c r="AD467" t="n">
        <v>1</v>
      </c>
      <c r="AE467" t="n">
        <v>8000</v>
      </c>
      <c r="AF467" t="n">
        <v>1390</v>
      </c>
      <c r="AG467" t="n">
        <v>1</v>
      </c>
    </row>
    <row r="468" ht="38.25" customHeight="1" s="142">
      <c r="A468" t="n">
        <v>1362</v>
      </c>
      <c r="B468" t="inlineStr">
        <is>
          <t>main</t>
        </is>
      </c>
      <c r="C468" t="n">
        <v>11</v>
      </c>
      <c r="D468" t="inlineStr">
        <is>
          <t>11-13</t>
        </is>
      </c>
      <c r="E468" t="n">
        <v>150</v>
      </c>
      <c r="G468" s="90" t="inlineStr">
        <is>
          <t>{role:-1},{state:-60015}
{id:-1},{id:-1},{id:-1},{id:-1},{id:-1}
{id:40081},{id:40065},{id:40081}</t>
        </is>
      </c>
      <c r="I468" t="n">
        <v>46470</v>
      </c>
      <c r="J468" s="80" t="inlineStr">
        <is>
          <t>武士之魂</t>
        </is>
      </c>
      <c r="K468" t="inlineStr">
        <is>
          <t>buff</t>
        </is>
      </c>
      <c r="L468" t="n">
        <v>9011</v>
      </c>
      <c r="M468" t="n">
        <v>12</v>
      </c>
      <c r="O468" t="n">
        <v>0.4</v>
      </c>
      <c r="P468" s="80" t="inlineStr">
        <is>
          <t>妖氣繚繞</t>
        </is>
      </c>
      <c r="Q468" t="inlineStr">
        <is>
          <t>debuff</t>
        </is>
      </c>
      <c r="R468" t="n">
        <v>9011</v>
      </c>
      <c r="S468" t="inlineStr">
        <is>
          <t>3,5,12</t>
        </is>
      </c>
      <c r="U468" t="n">
        <v>0.6</v>
      </c>
      <c r="V468" t="n">
        <v>70001</v>
      </c>
      <c r="W468" t="n">
        <v>3</v>
      </c>
      <c r="X468" t="n">
        <v>1</v>
      </c>
      <c r="Y468" t="n">
        <v>70002</v>
      </c>
      <c r="Z468" t="n">
        <v>3</v>
      </c>
      <c r="AA468" t="n">
        <v>1</v>
      </c>
      <c r="AB468" t="n">
        <v>1001</v>
      </c>
      <c r="AC468" t="n">
        <v>50</v>
      </c>
      <c r="AD468" t="n">
        <v>1</v>
      </c>
      <c r="AE468" t="n">
        <v>8000</v>
      </c>
      <c r="AF468" t="n">
        <v>1390</v>
      </c>
      <c r="AG468" t="n">
        <v>1</v>
      </c>
    </row>
    <row r="469" ht="38.25" customHeight="1" s="142">
      <c r="A469" t="n">
        <v>1363</v>
      </c>
      <c r="B469" t="inlineStr">
        <is>
          <t>main</t>
        </is>
      </c>
      <c r="C469" t="n">
        <v>11</v>
      </c>
      <c r="D469" t="inlineStr">
        <is>
          <t>11-14</t>
        </is>
      </c>
      <c r="E469" t="n">
        <v>150</v>
      </c>
      <c r="G469" s="90" t="inlineStr">
        <is>
          <t>{role:-1},{state:-60015}
{id:-1},{id:-1},{id:-1},{id:-1},{id:-1}
{id:40079},{id:40081},{id:40081}</t>
        </is>
      </c>
      <c r="I469" t="n">
        <v>46595</v>
      </c>
      <c r="J469" s="80" t="inlineStr">
        <is>
          <t>武士之魂</t>
        </is>
      </c>
      <c r="K469" t="inlineStr">
        <is>
          <t>buff</t>
        </is>
      </c>
      <c r="L469" t="n">
        <v>9008</v>
      </c>
      <c r="M469" t="inlineStr">
        <is>
          <t>3,4,11</t>
        </is>
      </c>
      <c r="O469" t="n">
        <v>0.2</v>
      </c>
      <c r="P469" s="80" t="inlineStr">
        <is>
          <t>妖氣繚繞</t>
        </is>
      </c>
      <c r="Q469" t="inlineStr">
        <is>
          <t>debuff</t>
        </is>
      </c>
      <c r="R469" t="n">
        <v>9007</v>
      </c>
      <c r="S469" t="inlineStr">
        <is>
          <t>1,7,11</t>
        </is>
      </c>
      <c r="U469" t="n">
        <v>0.8</v>
      </c>
      <c r="V469" t="n">
        <v>70001</v>
      </c>
      <c r="W469" t="n">
        <v>3</v>
      </c>
      <c r="X469" t="n">
        <v>1</v>
      </c>
      <c r="Y469" t="n">
        <v>70002</v>
      </c>
      <c r="Z469" t="n">
        <v>3</v>
      </c>
      <c r="AA469" t="n">
        <v>1</v>
      </c>
      <c r="AB469" t="n">
        <v>1001</v>
      </c>
      <c r="AC469" t="n">
        <v>50</v>
      </c>
      <c r="AD469" t="n">
        <v>1</v>
      </c>
      <c r="AE469" t="n">
        <v>8000</v>
      </c>
      <c r="AF469" t="n">
        <v>1400</v>
      </c>
      <c r="AG469" t="n">
        <v>1</v>
      </c>
    </row>
    <row r="470" ht="38.25" customHeight="1" s="142">
      <c r="A470" t="n">
        <v>1364</v>
      </c>
      <c r="B470" t="inlineStr">
        <is>
          <t>main</t>
        </is>
      </c>
      <c r="C470" t="n">
        <v>11</v>
      </c>
      <c r="D470" t="inlineStr">
        <is>
          <t>11-15</t>
        </is>
      </c>
      <c r="E470" t="n">
        <v>150</v>
      </c>
      <c r="G470" s="90" t="inlineStr">
        <is>
          <t>{role:-1},{state:-60015}
{id:-1},{id:-1},{id:-1},{id:-1},{id:-1}
{id:40055},{id:40055},{id:40080}</t>
        </is>
      </c>
      <c r="I470" t="n">
        <v>46720</v>
      </c>
      <c r="J470" s="80" t="inlineStr">
        <is>
          <t>武士之魂</t>
        </is>
      </c>
      <c r="K470" t="inlineStr">
        <is>
          <t>buff</t>
        </is>
      </c>
      <c r="L470" t="n">
        <v>9007</v>
      </c>
      <c r="M470" t="inlineStr">
        <is>
          <t>6,10,12</t>
        </is>
      </c>
      <c r="O470" t="n">
        <v>0.7</v>
      </c>
      <c r="P470" s="80" t="inlineStr">
        <is>
          <t>妖氣繚繞</t>
        </is>
      </c>
      <c r="Q470" t="inlineStr">
        <is>
          <t>debuff</t>
        </is>
      </c>
      <c r="R470" t="n">
        <v>9012</v>
      </c>
      <c r="S470" t="n">
        <v>1</v>
      </c>
      <c r="U470" t="n">
        <v>0.9</v>
      </c>
      <c r="V470" t="n">
        <v>70001</v>
      </c>
      <c r="W470" t="n">
        <v>3</v>
      </c>
      <c r="X470" t="n">
        <v>1</v>
      </c>
      <c r="Y470" t="n">
        <v>70002</v>
      </c>
      <c r="Z470" t="n">
        <v>3</v>
      </c>
      <c r="AA470" t="n">
        <v>1</v>
      </c>
      <c r="AB470" t="n">
        <v>1001</v>
      </c>
      <c r="AC470" t="n">
        <v>50</v>
      </c>
      <c r="AD470" t="n">
        <v>1</v>
      </c>
      <c r="AE470" t="n">
        <v>8000</v>
      </c>
      <c r="AF470" t="n">
        <v>1400</v>
      </c>
      <c r="AG470" t="n">
        <v>1</v>
      </c>
    </row>
    <row r="471" ht="38.25" customHeight="1" s="142">
      <c r="A471" t="n">
        <v>1365</v>
      </c>
      <c r="B471" t="inlineStr">
        <is>
          <t>main</t>
        </is>
      </c>
      <c r="C471" t="n">
        <v>11</v>
      </c>
      <c r="D471" t="inlineStr">
        <is>
          <t>11-16</t>
        </is>
      </c>
      <c r="E471" t="n">
        <v>150</v>
      </c>
      <c r="G471" s="90" t="inlineStr">
        <is>
          <t>{role:-1},{state:-60015}
{id:-1},{id:-1},{id:-1},{id:-1},{id:-1}
{id:40055},{id:40055},{id:40080},{id:40055}</t>
        </is>
      </c>
      <c r="I471" t="n">
        <v>46845</v>
      </c>
      <c r="J471" s="80" t="inlineStr">
        <is>
          <t>武士之魂</t>
        </is>
      </c>
      <c r="K471" t="inlineStr">
        <is>
          <t>buff</t>
        </is>
      </c>
      <c r="L471" t="n">
        <v>9011</v>
      </c>
      <c r="M471" t="inlineStr">
        <is>
          <t>3,9</t>
        </is>
      </c>
      <c r="O471" t="n">
        <v>0.1</v>
      </c>
      <c r="P471" s="80" t="inlineStr">
        <is>
          <t>妖氣繚繞</t>
        </is>
      </c>
      <c r="Q471" t="inlineStr">
        <is>
          <t>debuff</t>
        </is>
      </c>
      <c r="R471" t="n">
        <v>9004</v>
      </c>
      <c r="S471" t="inlineStr">
        <is>
          <t>9,12,13</t>
        </is>
      </c>
      <c r="U471" t="n">
        <v>0.2</v>
      </c>
      <c r="V471" t="n">
        <v>70001</v>
      </c>
      <c r="W471" t="n">
        <v>3</v>
      </c>
      <c r="X471" t="n">
        <v>1</v>
      </c>
      <c r="Y471" t="n">
        <v>70002</v>
      </c>
      <c r="Z471" t="n">
        <v>3</v>
      </c>
      <c r="AA471" t="n">
        <v>1</v>
      </c>
      <c r="AB471" t="n">
        <v>1001</v>
      </c>
      <c r="AC471" t="n">
        <v>50</v>
      </c>
      <c r="AD471" t="n">
        <v>1</v>
      </c>
      <c r="AE471" t="n">
        <v>8000</v>
      </c>
      <c r="AF471" t="n">
        <v>1410</v>
      </c>
      <c r="AG471" t="n">
        <v>1</v>
      </c>
    </row>
    <row r="472" ht="38.25" customHeight="1" s="142">
      <c r="A472" t="n">
        <v>1366</v>
      </c>
      <c r="B472" t="inlineStr">
        <is>
          <t>main</t>
        </is>
      </c>
      <c r="C472" t="n">
        <v>11</v>
      </c>
      <c r="D472" t="inlineStr">
        <is>
          <t>11-17</t>
        </is>
      </c>
      <c r="E472" t="n">
        <v>150</v>
      </c>
      <c r="G472" s="90" t="inlineStr">
        <is>
          <t>{role:-1},{state:-60015}
{id:-1},{id:-1},{id:-1},{id:-1},{id:-1}
{id:40080},{id:40079},{id:40065},{id:40080}</t>
        </is>
      </c>
      <c r="I472" t="n">
        <v>46970</v>
      </c>
      <c r="J472" s="80" t="inlineStr">
        <is>
          <t>武士之魂</t>
        </is>
      </c>
      <c r="K472" t="inlineStr">
        <is>
          <t>buff</t>
        </is>
      </c>
      <c r="L472" t="n">
        <v>9002</v>
      </c>
      <c r="M472" t="n">
        <v>7</v>
      </c>
      <c r="O472" t="n">
        <v>0.2</v>
      </c>
      <c r="P472" s="80" t="inlineStr">
        <is>
          <t>妖氣繚繞</t>
        </is>
      </c>
      <c r="Q472" t="inlineStr">
        <is>
          <t>debuff</t>
        </is>
      </c>
      <c r="R472" t="n">
        <v>9008</v>
      </c>
      <c r="S472" t="inlineStr">
        <is>
          <t>1,6</t>
        </is>
      </c>
      <c r="U472" t="n">
        <v>0.3</v>
      </c>
      <c r="V472" t="n">
        <v>70001</v>
      </c>
      <c r="W472" t="n">
        <v>3</v>
      </c>
      <c r="X472" t="n">
        <v>1</v>
      </c>
      <c r="Y472" t="n">
        <v>70002</v>
      </c>
      <c r="Z472" t="n">
        <v>3</v>
      </c>
      <c r="AA472" t="n">
        <v>1</v>
      </c>
      <c r="AB472" t="n">
        <v>1001</v>
      </c>
      <c r="AC472" t="n">
        <v>50</v>
      </c>
      <c r="AD472" t="n">
        <v>1</v>
      </c>
      <c r="AE472" t="n">
        <v>8000</v>
      </c>
      <c r="AF472" t="n">
        <v>1410</v>
      </c>
      <c r="AG472" t="n">
        <v>1</v>
      </c>
    </row>
    <row r="473" ht="38.25" customHeight="1" s="142">
      <c r="A473" t="n">
        <v>1367</v>
      </c>
      <c r="B473" t="inlineStr">
        <is>
          <t>main</t>
        </is>
      </c>
      <c r="C473" t="n">
        <v>11</v>
      </c>
      <c r="D473" t="inlineStr">
        <is>
          <t>11-18</t>
        </is>
      </c>
      <c r="E473" t="n">
        <v>150</v>
      </c>
      <c r="G473" s="90" t="inlineStr">
        <is>
          <t>{role:-1},{state:-60015}
{id:-1},{id:-1},{id:-1},{id:-1},{id:-1}
{id:40080},{id:40080},{id:40055},{id:40065}</t>
        </is>
      </c>
      <c r="I473" t="n">
        <v>47095</v>
      </c>
      <c r="J473" s="80" t="inlineStr">
        <is>
          <t>武士之魂</t>
        </is>
      </c>
      <c r="K473" t="inlineStr">
        <is>
          <t>buff</t>
        </is>
      </c>
      <c r="L473" t="n">
        <v>9012</v>
      </c>
      <c r="M473" t="inlineStr">
        <is>
          <t>7,9</t>
        </is>
      </c>
      <c r="O473" t="n">
        <v>0.3</v>
      </c>
      <c r="P473" s="80" t="inlineStr">
        <is>
          <t>妖氣繚繞</t>
        </is>
      </c>
      <c r="Q473" t="inlineStr">
        <is>
          <t>debuff</t>
        </is>
      </c>
      <c r="R473" t="n">
        <v>9008</v>
      </c>
      <c r="S473" t="inlineStr">
        <is>
          <t>2,7,12</t>
        </is>
      </c>
      <c r="U473" t="n">
        <v>0.7</v>
      </c>
      <c r="V473" t="n">
        <v>70001</v>
      </c>
      <c r="W473" t="n">
        <v>3</v>
      </c>
      <c r="X473" t="n">
        <v>1</v>
      </c>
      <c r="Y473" t="n">
        <v>70002</v>
      </c>
      <c r="Z473" t="n">
        <v>3</v>
      </c>
      <c r="AA473" t="n">
        <v>1</v>
      </c>
      <c r="AB473" t="n">
        <v>1001</v>
      </c>
      <c r="AC473" t="n">
        <v>50</v>
      </c>
      <c r="AD473" t="n">
        <v>1</v>
      </c>
      <c r="AE473" t="n">
        <v>8000</v>
      </c>
      <c r="AF473" t="n">
        <v>1420</v>
      </c>
      <c r="AG473" t="n">
        <v>1</v>
      </c>
    </row>
    <row r="474" ht="38.25" customHeight="1" s="142">
      <c r="A474" t="n">
        <v>1368</v>
      </c>
      <c r="B474" t="inlineStr">
        <is>
          <t>main</t>
        </is>
      </c>
      <c r="C474" t="n">
        <v>11</v>
      </c>
      <c r="D474" t="inlineStr">
        <is>
          <t>11-19</t>
        </is>
      </c>
      <c r="E474" t="n">
        <v>150</v>
      </c>
      <c r="G474" s="90" t="inlineStr">
        <is>
          <t>{role:-1},{state:-60015}
{id:-1},{id:-1},{id:-1},{id:-1},{id:-1}
{id:40079},{id:40065},{id:40065},{id:40055}</t>
        </is>
      </c>
      <c r="I474" t="n">
        <v>47220</v>
      </c>
      <c r="J474" s="80" t="inlineStr">
        <is>
          <t>武士之魂</t>
        </is>
      </c>
      <c r="K474" t="inlineStr">
        <is>
          <t>buff</t>
        </is>
      </c>
      <c r="L474" t="n">
        <v>9005</v>
      </c>
      <c r="M474" t="inlineStr">
        <is>
          <t>8,13</t>
        </is>
      </c>
      <c r="O474" t="n">
        <v>0.3</v>
      </c>
      <c r="P474" s="80" t="inlineStr">
        <is>
          <t>妖氣繚繞</t>
        </is>
      </c>
      <c r="Q474" t="inlineStr">
        <is>
          <t>debuff</t>
        </is>
      </c>
      <c r="R474" t="n">
        <v>9008</v>
      </c>
      <c r="S474" t="inlineStr">
        <is>
          <t>1,2,7</t>
        </is>
      </c>
      <c r="U474" t="n">
        <v>0.6</v>
      </c>
      <c r="V474" t="n">
        <v>70001</v>
      </c>
      <c r="W474" t="n">
        <v>3</v>
      </c>
      <c r="X474" t="n">
        <v>1</v>
      </c>
      <c r="Y474" t="n">
        <v>70002</v>
      </c>
      <c r="Z474" t="n">
        <v>3</v>
      </c>
      <c r="AA474" t="n">
        <v>1</v>
      </c>
      <c r="AB474" t="n">
        <v>1001</v>
      </c>
      <c r="AC474" t="n">
        <v>50</v>
      </c>
      <c r="AD474" t="n">
        <v>1</v>
      </c>
      <c r="AE474" t="n">
        <v>8000</v>
      </c>
      <c r="AF474" t="n">
        <v>1420</v>
      </c>
      <c r="AG474" t="n">
        <v>1</v>
      </c>
    </row>
    <row r="475" ht="38.25" customHeight="1" s="142">
      <c r="A475" t="n">
        <v>1369</v>
      </c>
      <c r="B475" t="inlineStr">
        <is>
          <t>main</t>
        </is>
      </c>
      <c r="C475" t="n">
        <v>11</v>
      </c>
      <c r="D475" t="inlineStr">
        <is>
          <t>11-20</t>
        </is>
      </c>
      <c r="E475" t="n">
        <v>150</v>
      </c>
      <c r="G475" s="90" t="inlineStr">
        <is>
          <t>{role:-1},{state:-60015}
{id:-1},{id:-1},{id:-1},{id:-1},{id:-1}
{id:40065},{id:40080},{id:40079},{id:40065}</t>
        </is>
      </c>
      <c r="I475" t="n">
        <v>47345</v>
      </c>
      <c r="J475" s="80" t="inlineStr">
        <is>
          <t>武士之魂</t>
        </is>
      </c>
      <c r="K475" t="inlineStr">
        <is>
          <t>buff</t>
        </is>
      </c>
      <c r="L475" t="n">
        <v>9007</v>
      </c>
      <c r="M475" t="inlineStr">
        <is>
          <t>4,13</t>
        </is>
      </c>
      <c r="O475" t="n">
        <v>0.4</v>
      </c>
      <c r="P475" s="80" t="inlineStr">
        <is>
          <t>妖氣繚繞</t>
        </is>
      </c>
      <c r="Q475" t="inlineStr">
        <is>
          <t>debuff</t>
        </is>
      </c>
      <c r="R475" t="n">
        <v>9004</v>
      </c>
      <c r="S475" t="n">
        <v>12</v>
      </c>
      <c r="U475" t="n">
        <v>0.4</v>
      </c>
      <c r="V475" t="n">
        <v>70001</v>
      </c>
      <c r="W475" t="n">
        <v>3</v>
      </c>
      <c r="X475" t="n">
        <v>1</v>
      </c>
      <c r="Y475" t="n">
        <v>70002</v>
      </c>
      <c r="Z475" t="n">
        <v>3</v>
      </c>
      <c r="AA475" t="n">
        <v>1</v>
      </c>
      <c r="AB475" t="n">
        <v>1001</v>
      </c>
      <c r="AC475" t="n">
        <v>50</v>
      </c>
      <c r="AD475" t="n">
        <v>1</v>
      </c>
      <c r="AE475" t="n">
        <v>8000</v>
      </c>
      <c r="AF475" t="n">
        <v>1430</v>
      </c>
      <c r="AG475" t="n">
        <v>1</v>
      </c>
    </row>
    <row r="476" ht="38.25" customHeight="1" s="142">
      <c r="A476" t="n">
        <v>1370</v>
      </c>
      <c r="B476" t="inlineStr">
        <is>
          <t>main</t>
        </is>
      </c>
      <c r="C476" t="n">
        <v>11</v>
      </c>
      <c r="D476" t="inlineStr">
        <is>
          <t>11-21</t>
        </is>
      </c>
      <c r="E476" t="n">
        <v>150</v>
      </c>
      <c r="G476" s="90" t="inlineStr">
        <is>
          <t>{role:-1},{state:-60015}
{id:-1},{id:-1},{id:-1},{id:-1},{id:-1}
{id:40081},{id:40079},{id:40079},{id:40079},{id:40080}</t>
        </is>
      </c>
      <c r="I476" t="n">
        <v>47470</v>
      </c>
      <c r="J476" s="80" t="inlineStr">
        <is>
          <t>武士之魂</t>
        </is>
      </c>
      <c r="K476" t="inlineStr">
        <is>
          <t>buff</t>
        </is>
      </c>
      <c r="L476" t="n">
        <v>9006</v>
      </c>
      <c r="M476" t="n">
        <v>11</v>
      </c>
      <c r="O476" t="n">
        <v>0.9</v>
      </c>
      <c r="P476" s="80" t="inlineStr">
        <is>
          <t>妖氣繚繞</t>
        </is>
      </c>
      <c r="Q476" t="inlineStr">
        <is>
          <t>debuff</t>
        </is>
      </c>
      <c r="R476" t="n">
        <v>9007</v>
      </c>
      <c r="S476" t="inlineStr">
        <is>
          <t>8,9,10</t>
        </is>
      </c>
      <c r="U476" t="n">
        <v>1</v>
      </c>
      <c r="V476" t="n">
        <v>70001</v>
      </c>
      <c r="W476" t="n">
        <v>3</v>
      </c>
      <c r="X476" t="n">
        <v>1</v>
      </c>
      <c r="Y476" t="n">
        <v>70002</v>
      </c>
      <c r="Z476" t="n">
        <v>3</v>
      </c>
      <c r="AA476" t="n">
        <v>1</v>
      </c>
      <c r="AB476" t="n">
        <v>1001</v>
      </c>
      <c r="AC476" t="n">
        <v>50</v>
      </c>
      <c r="AD476" t="n">
        <v>1</v>
      </c>
      <c r="AE476" t="n">
        <v>8000</v>
      </c>
      <c r="AF476" t="n">
        <v>1430</v>
      </c>
      <c r="AG476" t="n">
        <v>1</v>
      </c>
    </row>
    <row r="477" ht="38.25" customHeight="1" s="142">
      <c r="A477" t="n">
        <v>1371</v>
      </c>
      <c r="B477" t="inlineStr">
        <is>
          <t>main</t>
        </is>
      </c>
      <c r="C477" t="n">
        <v>11</v>
      </c>
      <c r="D477" t="inlineStr">
        <is>
          <t>11-22</t>
        </is>
      </c>
      <c r="E477" t="n">
        <v>150</v>
      </c>
      <c r="G477" s="90" t="inlineStr">
        <is>
          <t>{role:-1},{state:-60015}
{id:-1},{id:-1},{id:-1},{id:-1},{id:-1}
{id:40065},{id:40079},{id:40055},{id:40080},{id:40065}</t>
        </is>
      </c>
      <c r="I477" t="n">
        <v>47595</v>
      </c>
      <c r="J477" s="80" t="inlineStr">
        <is>
          <t>武士之魂</t>
        </is>
      </c>
      <c r="K477" t="inlineStr">
        <is>
          <t>buff</t>
        </is>
      </c>
      <c r="L477" t="n">
        <v>9011</v>
      </c>
      <c r="M477" t="n">
        <v>12</v>
      </c>
      <c r="O477" t="n">
        <v>0.4</v>
      </c>
      <c r="P477" s="80" t="inlineStr">
        <is>
          <t>妖氣繚繞</t>
        </is>
      </c>
      <c r="Q477" t="inlineStr">
        <is>
          <t>debuff</t>
        </is>
      </c>
      <c r="R477" t="n">
        <v>9010</v>
      </c>
      <c r="S477" t="inlineStr">
        <is>
          <t>1,2,8</t>
        </is>
      </c>
      <c r="U477" t="n">
        <v>1</v>
      </c>
      <c r="V477" t="n">
        <v>70001</v>
      </c>
      <c r="W477" t="n">
        <v>3</v>
      </c>
      <c r="X477" t="n">
        <v>1</v>
      </c>
      <c r="Y477" t="n">
        <v>70002</v>
      </c>
      <c r="Z477" t="n">
        <v>3</v>
      </c>
      <c r="AA477" t="n">
        <v>1</v>
      </c>
      <c r="AB477" t="n">
        <v>1001</v>
      </c>
      <c r="AC477" t="n">
        <v>50</v>
      </c>
      <c r="AD477" t="n">
        <v>1</v>
      </c>
      <c r="AE477" t="n">
        <v>8000</v>
      </c>
      <c r="AF477" t="n">
        <v>1440</v>
      </c>
      <c r="AG477" t="n">
        <v>1</v>
      </c>
    </row>
    <row r="478" ht="38.25" customHeight="1" s="142">
      <c r="A478" t="n">
        <v>1372</v>
      </c>
      <c r="B478" t="inlineStr">
        <is>
          <t>main</t>
        </is>
      </c>
      <c r="C478" t="n">
        <v>11</v>
      </c>
      <c r="D478" t="inlineStr">
        <is>
          <t>11-23</t>
        </is>
      </c>
      <c r="E478" t="n">
        <v>150</v>
      </c>
      <c r="G478" s="90" t="inlineStr">
        <is>
          <t>{role:-1},{state:-60015}
{id:-1},{id:-1},{id:-1},{id:-1},{id:-1}
{id:40079},{id:40081},{id:40055},{id:40081},{id:40055}</t>
        </is>
      </c>
      <c r="I478" t="n">
        <v>47720</v>
      </c>
      <c r="J478" s="80" t="inlineStr">
        <is>
          <t>武士之魂</t>
        </is>
      </c>
      <c r="K478" t="inlineStr">
        <is>
          <t>buff</t>
        </is>
      </c>
      <c r="L478" t="n">
        <v>9001</v>
      </c>
      <c r="M478" t="inlineStr">
        <is>
          <t>3,12</t>
        </is>
      </c>
      <c r="O478" t="n">
        <v>0.5</v>
      </c>
      <c r="P478" s="80" t="inlineStr">
        <is>
          <t>妖氣繚繞</t>
        </is>
      </c>
      <c r="Q478" t="inlineStr">
        <is>
          <t>debuff</t>
        </is>
      </c>
      <c r="R478" t="n">
        <v>9003</v>
      </c>
      <c r="S478" t="inlineStr">
        <is>
          <t>4,7,12</t>
        </is>
      </c>
      <c r="U478" t="n">
        <v>0.7</v>
      </c>
      <c r="V478" t="n">
        <v>70001</v>
      </c>
      <c r="W478" t="n">
        <v>3</v>
      </c>
      <c r="X478" t="n">
        <v>1</v>
      </c>
      <c r="Y478" t="n">
        <v>70002</v>
      </c>
      <c r="Z478" t="n">
        <v>3</v>
      </c>
      <c r="AA478" t="n">
        <v>1</v>
      </c>
      <c r="AB478" t="n">
        <v>1001</v>
      </c>
      <c r="AC478" t="n">
        <v>50</v>
      </c>
      <c r="AD478" t="n">
        <v>1</v>
      </c>
      <c r="AE478" t="n">
        <v>8000</v>
      </c>
      <c r="AF478" t="n">
        <v>1440</v>
      </c>
      <c r="AG478" t="n">
        <v>1</v>
      </c>
    </row>
    <row r="479" ht="38.25" customHeight="1" s="142">
      <c r="A479" t="n">
        <v>1373</v>
      </c>
      <c r="B479" t="inlineStr">
        <is>
          <t>main</t>
        </is>
      </c>
      <c r="C479" t="n">
        <v>11</v>
      </c>
      <c r="D479" t="inlineStr">
        <is>
          <t>11-24</t>
        </is>
      </c>
      <c r="E479" t="n">
        <v>150</v>
      </c>
      <c r="G479" s="90" t="inlineStr">
        <is>
          <t>{role:-1},{state:-60015}
{id:-1},{id:-1},{id:-1},{id:-1},{id:-1}
{id:40055},{id:40065},{id:40055},{id:40081},{id:40079}</t>
        </is>
      </c>
      <c r="I479" t="n">
        <v>47845</v>
      </c>
      <c r="J479" s="80" t="inlineStr">
        <is>
          <t>武士之魂</t>
        </is>
      </c>
      <c r="K479" t="inlineStr">
        <is>
          <t>buff</t>
        </is>
      </c>
      <c r="L479" t="n">
        <v>9006</v>
      </c>
      <c r="M479" t="inlineStr">
        <is>
          <t>8,9,13</t>
        </is>
      </c>
      <c r="O479" t="n">
        <v>1</v>
      </c>
      <c r="P479" s="80" t="inlineStr">
        <is>
          <t>妖氣繚繞</t>
        </is>
      </c>
      <c r="Q479" t="inlineStr">
        <is>
          <t>debuff</t>
        </is>
      </c>
      <c r="R479" t="n">
        <v>9012</v>
      </c>
      <c r="S479" t="n">
        <v>11</v>
      </c>
      <c r="U479" t="n">
        <v>0.6</v>
      </c>
      <c r="V479" t="n">
        <v>70001</v>
      </c>
      <c r="W479" t="n">
        <v>3</v>
      </c>
      <c r="X479" t="n">
        <v>1</v>
      </c>
      <c r="Y479" t="n">
        <v>70002</v>
      </c>
      <c r="Z479" t="n">
        <v>3</v>
      </c>
      <c r="AA479" t="n">
        <v>1</v>
      </c>
      <c r="AB479" t="n">
        <v>1001</v>
      </c>
      <c r="AC479" t="n">
        <v>50</v>
      </c>
      <c r="AD479" t="n">
        <v>1</v>
      </c>
      <c r="AE479" t="n">
        <v>8000</v>
      </c>
      <c r="AF479" t="n">
        <v>1450</v>
      </c>
      <c r="AG479" t="n">
        <v>1</v>
      </c>
    </row>
    <row r="480" ht="38.25" customHeight="1" s="142">
      <c r="A480" t="n">
        <v>1374</v>
      </c>
      <c r="B480" t="inlineStr">
        <is>
          <t>main</t>
        </is>
      </c>
      <c r="C480" t="n">
        <v>11</v>
      </c>
      <c r="D480" t="inlineStr">
        <is>
          <t>11-25</t>
        </is>
      </c>
      <c r="E480" t="n">
        <v>150</v>
      </c>
      <c r="G480" s="90" t="inlineStr">
        <is>
          <t>{role:-1},{state:-60015}
{id:-1},{id:-1},{id:-1},{id:-1},{id:-1}
{id:40080},{id:40080},{id:40080},{id:40079},{id:40080}</t>
        </is>
      </c>
      <c r="I480" t="n">
        <v>47970</v>
      </c>
      <c r="J480" s="80" t="inlineStr">
        <is>
          <t>武士之魂</t>
        </is>
      </c>
      <c r="K480" t="inlineStr">
        <is>
          <t>buff</t>
        </is>
      </c>
      <c r="L480" t="n">
        <v>9006</v>
      </c>
      <c r="M480" t="n">
        <v>3</v>
      </c>
      <c r="O480" t="n">
        <v>0.7</v>
      </c>
      <c r="P480" s="80" t="inlineStr">
        <is>
          <t>妖氣繚繞</t>
        </is>
      </c>
      <c r="Q480" t="inlineStr">
        <is>
          <t>debuff</t>
        </is>
      </c>
      <c r="R480" t="n">
        <v>9012</v>
      </c>
      <c r="S480" t="inlineStr">
        <is>
          <t>1,2,3</t>
        </is>
      </c>
      <c r="U480" t="n">
        <v>0.8</v>
      </c>
      <c r="V480" t="n">
        <v>70001</v>
      </c>
      <c r="W480" t="n">
        <v>3</v>
      </c>
      <c r="X480" t="n">
        <v>1</v>
      </c>
      <c r="Y480" t="n">
        <v>70002</v>
      </c>
      <c r="Z480" t="n">
        <v>3</v>
      </c>
      <c r="AA480" t="n">
        <v>1</v>
      </c>
      <c r="AB480" t="n">
        <v>1001</v>
      </c>
      <c r="AC480" t="n">
        <v>50</v>
      </c>
      <c r="AD480" t="n">
        <v>1</v>
      </c>
      <c r="AE480" t="n">
        <v>8000</v>
      </c>
      <c r="AF480" t="n">
        <v>1450</v>
      </c>
      <c r="AG480" t="n">
        <v>1</v>
      </c>
    </row>
    <row r="481" ht="38.25" customHeight="1" s="142">
      <c r="A481" t="n">
        <v>1375</v>
      </c>
      <c r="B481" t="inlineStr">
        <is>
          <t>main</t>
        </is>
      </c>
      <c r="C481" t="n">
        <v>11</v>
      </c>
      <c r="D481" t="inlineStr">
        <is>
          <t>11-26</t>
        </is>
      </c>
      <c r="E481" t="n">
        <v>150</v>
      </c>
      <c r="G481" s="90" t="inlineStr">
        <is>
          <t>{role:-1},{state:-60015}
{id:-1},{id:-1},{id:-1},{id:-1},{id:-1}
{id:40080},{id:40055},{id:40079},{id:40081},{id:40081}</t>
        </is>
      </c>
      <c r="I481" t="n">
        <v>48095</v>
      </c>
      <c r="J481" s="80" t="inlineStr">
        <is>
          <t>武士之魂</t>
        </is>
      </c>
      <c r="K481" t="inlineStr">
        <is>
          <t>buff</t>
        </is>
      </c>
      <c r="L481" t="n">
        <v>9002</v>
      </c>
      <c r="M481" t="inlineStr">
        <is>
          <t>5,6,12</t>
        </is>
      </c>
      <c r="O481" t="n">
        <v>0.4</v>
      </c>
      <c r="P481" s="80" t="inlineStr">
        <is>
          <t>妖氣繚繞</t>
        </is>
      </c>
      <c r="Q481" t="inlineStr">
        <is>
          <t>debuff</t>
        </is>
      </c>
      <c r="R481" t="n">
        <v>9012</v>
      </c>
      <c r="S481" t="n">
        <v>4</v>
      </c>
      <c r="U481" t="n">
        <v>0.4</v>
      </c>
      <c r="V481" t="n">
        <v>70001</v>
      </c>
      <c r="W481" t="n">
        <v>3</v>
      </c>
      <c r="X481" t="n">
        <v>1</v>
      </c>
      <c r="Y481" t="n">
        <v>70002</v>
      </c>
      <c r="Z481" t="n">
        <v>3</v>
      </c>
      <c r="AA481" t="n">
        <v>1</v>
      </c>
      <c r="AB481" t="n">
        <v>1001</v>
      </c>
      <c r="AC481" t="n">
        <v>50</v>
      </c>
      <c r="AD481" t="n">
        <v>1</v>
      </c>
      <c r="AE481" t="n">
        <v>8000</v>
      </c>
      <c r="AF481" t="n">
        <v>1460</v>
      </c>
      <c r="AG481" t="n">
        <v>1</v>
      </c>
    </row>
    <row r="482" ht="38.25" customHeight="1" s="142">
      <c r="A482" t="n">
        <v>1376</v>
      </c>
      <c r="B482" t="inlineStr">
        <is>
          <t>main</t>
        </is>
      </c>
      <c r="C482" t="n">
        <v>11</v>
      </c>
      <c r="D482" t="inlineStr">
        <is>
          <t>11-27</t>
        </is>
      </c>
      <c r="E482" t="n">
        <v>150</v>
      </c>
      <c r="G482" s="90" t="inlineStr">
        <is>
          <t>{role:-1},{state:-60015}
{id:-1},{id:-1},{id:-1},{id:-1},{id:-1}
{id:40081},{id:40081},{id:40065},{id:40080},{id:40081}</t>
        </is>
      </c>
      <c r="I482" t="n">
        <v>48220</v>
      </c>
      <c r="J482" s="80" t="inlineStr">
        <is>
          <t>武士之魂</t>
        </is>
      </c>
      <c r="K482" t="inlineStr">
        <is>
          <t>buff</t>
        </is>
      </c>
      <c r="L482" t="n">
        <v>9011</v>
      </c>
      <c r="M482" t="inlineStr">
        <is>
          <t>2,4</t>
        </is>
      </c>
      <c r="O482" t="n">
        <v>0.1</v>
      </c>
      <c r="P482" s="80" t="inlineStr">
        <is>
          <t>妖氣繚繞</t>
        </is>
      </c>
      <c r="Q482" t="inlineStr">
        <is>
          <t>debuff</t>
        </is>
      </c>
      <c r="R482" t="n">
        <v>9012</v>
      </c>
      <c r="S482" t="inlineStr">
        <is>
          <t>1,3,11</t>
        </is>
      </c>
      <c r="U482" t="n">
        <v>0.2</v>
      </c>
      <c r="V482" t="n">
        <v>70001</v>
      </c>
      <c r="W482" t="n">
        <v>3</v>
      </c>
      <c r="X482" t="n">
        <v>1</v>
      </c>
      <c r="Y482" t="n">
        <v>70002</v>
      </c>
      <c r="Z482" t="n">
        <v>3</v>
      </c>
      <c r="AA482" t="n">
        <v>1</v>
      </c>
      <c r="AB482" t="n">
        <v>1001</v>
      </c>
      <c r="AC482" t="n">
        <v>50</v>
      </c>
      <c r="AD482" t="n">
        <v>1</v>
      </c>
      <c r="AE482" t="n">
        <v>8000</v>
      </c>
      <c r="AF482" t="n">
        <v>1460</v>
      </c>
      <c r="AG482" t="n">
        <v>1</v>
      </c>
    </row>
    <row r="483" ht="38.25" customHeight="1" s="142">
      <c r="A483" t="n">
        <v>1377</v>
      </c>
      <c r="B483" t="inlineStr">
        <is>
          <t>main</t>
        </is>
      </c>
      <c r="C483" t="n">
        <v>11</v>
      </c>
      <c r="D483" t="inlineStr">
        <is>
          <t>11-28</t>
        </is>
      </c>
      <c r="E483" t="n">
        <v>150</v>
      </c>
      <c r="G483" s="90" t="inlineStr">
        <is>
          <t>{role:-1},{state:-60015}
{id:-1},{id:-1},{id:-1},{id:-1},{id:-1}
{id:40065},{id:40055},{id:40065},{id:40065},{id:40080}</t>
        </is>
      </c>
      <c r="I483" t="n">
        <v>48345</v>
      </c>
      <c r="J483" s="80" t="inlineStr">
        <is>
          <t>武士之魂</t>
        </is>
      </c>
      <c r="K483" t="inlineStr">
        <is>
          <t>buff</t>
        </is>
      </c>
      <c r="L483" t="n">
        <v>9012</v>
      </c>
      <c r="M483" t="inlineStr">
        <is>
          <t>8,10</t>
        </is>
      </c>
      <c r="O483" t="n">
        <v>0.9</v>
      </c>
      <c r="P483" s="80" t="inlineStr">
        <is>
          <t>妖氣繚繞</t>
        </is>
      </c>
      <c r="Q483" t="inlineStr">
        <is>
          <t>debuff</t>
        </is>
      </c>
      <c r="R483" t="n">
        <v>9011</v>
      </c>
      <c r="S483" t="n">
        <v>6</v>
      </c>
      <c r="U483" t="n">
        <v>0.1</v>
      </c>
      <c r="V483" t="n">
        <v>70001</v>
      </c>
      <c r="W483" t="n">
        <v>3</v>
      </c>
      <c r="X483" t="n">
        <v>1</v>
      </c>
      <c r="Y483" t="n">
        <v>70002</v>
      </c>
      <c r="Z483" t="n">
        <v>3</v>
      </c>
      <c r="AA483" t="n">
        <v>1</v>
      </c>
      <c r="AB483" t="n">
        <v>1001</v>
      </c>
      <c r="AC483" t="n">
        <v>50</v>
      </c>
      <c r="AD483" t="n">
        <v>1</v>
      </c>
      <c r="AE483" t="n">
        <v>8000</v>
      </c>
      <c r="AF483" t="n">
        <v>1470</v>
      </c>
      <c r="AG483" t="n">
        <v>1</v>
      </c>
    </row>
    <row r="484" ht="38.25" customHeight="1" s="142">
      <c r="A484" t="n">
        <v>1378</v>
      </c>
      <c r="B484" t="inlineStr">
        <is>
          <t>main</t>
        </is>
      </c>
      <c r="C484" t="n">
        <v>11</v>
      </c>
      <c r="D484" t="inlineStr">
        <is>
          <t>11-29</t>
        </is>
      </c>
      <c r="E484" t="n">
        <v>150</v>
      </c>
      <c r="G484" s="90" t="inlineStr">
        <is>
          <t>{role:-1},{state:-60015}
{id:-1},{id:-1},{id:-1},{id:-1},{id:-1}
{id:40055},{id:40065},{id:40055},{id:40079},{id:40065}</t>
        </is>
      </c>
      <c r="I484" t="n">
        <v>48470</v>
      </c>
      <c r="J484" s="80" t="inlineStr">
        <is>
          <t>武士之魂</t>
        </is>
      </c>
      <c r="K484" t="inlineStr">
        <is>
          <t>buff</t>
        </is>
      </c>
      <c r="L484" t="n">
        <v>9008</v>
      </c>
      <c r="M484" t="inlineStr">
        <is>
          <t>1,2,6</t>
        </is>
      </c>
      <c r="O484" t="n">
        <v>0.6</v>
      </c>
      <c r="P484" s="80" t="inlineStr">
        <is>
          <t>妖氣繚繞</t>
        </is>
      </c>
      <c r="Q484" t="inlineStr">
        <is>
          <t>debuff</t>
        </is>
      </c>
      <c r="R484" t="n">
        <v>9011</v>
      </c>
      <c r="S484" t="n">
        <v>4</v>
      </c>
      <c r="U484" t="n">
        <v>0.5</v>
      </c>
      <c r="V484" t="n">
        <v>70001</v>
      </c>
      <c r="W484" t="n">
        <v>3</v>
      </c>
      <c r="X484" t="n">
        <v>1</v>
      </c>
      <c r="Y484" t="n">
        <v>70002</v>
      </c>
      <c r="Z484" t="n">
        <v>3</v>
      </c>
      <c r="AA484" t="n">
        <v>1</v>
      </c>
      <c r="AB484" t="n">
        <v>1001</v>
      </c>
      <c r="AC484" t="n">
        <v>50</v>
      </c>
      <c r="AD484" t="n">
        <v>1</v>
      </c>
      <c r="AE484" t="n">
        <v>8000</v>
      </c>
      <c r="AF484" t="n">
        <v>1470</v>
      </c>
      <c r="AG484" t="n">
        <v>1</v>
      </c>
    </row>
    <row r="485" ht="38.25" customHeight="1" s="142">
      <c r="A485" t="n">
        <v>1379</v>
      </c>
      <c r="B485" t="inlineStr">
        <is>
          <t>main</t>
        </is>
      </c>
      <c r="C485" t="n">
        <v>11</v>
      </c>
      <c r="D485" t="inlineStr">
        <is>
          <t>11-30</t>
        </is>
      </c>
      <c r="E485" t="n">
        <v>150</v>
      </c>
      <c r="G485" s="90" t="inlineStr">
        <is>
          <t>{role:-1},{state:-60015}
{id:-1},{id:-1},{id:-1},{id:-1},{id:-1}
{id:40081},{id:40065},{id:40080},{id:40055},{id:40065}</t>
        </is>
      </c>
      <c r="I485" t="n">
        <v>48595</v>
      </c>
      <c r="J485" s="80" t="inlineStr">
        <is>
          <t>武士之魂</t>
        </is>
      </c>
      <c r="K485" t="inlineStr">
        <is>
          <t>buff</t>
        </is>
      </c>
      <c r="L485" t="n">
        <v>9001</v>
      </c>
      <c r="M485" t="inlineStr">
        <is>
          <t>4,7,9</t>
        </is>
      </c>
      <c r="O485" t="n">
        <v>0.2</v>
      </c>
      <c r="P485" s="80" t="inlineStr">
        <is>
          <t>妖氣繚繞</t>
        </is>
      </c>
      <c r="Q485" t="inlineStr">
        <is>
          <t>debuff</t>
        </is>
      </c>
      <c r="R485" t="n">
        <v>9007</v>
      </c>
      <c r="S485" t="inlineStr">
        <is>
          <t>1,4,6</t>
        </is>
      </c>
      <c r="U485" t="n">
        <v>0.3</v>
      </c>
      <c r="V485" t="n">
        <v>70001</v>
      </c>
      <c r="W485" t="n">
        <v>3</v>
      </c>
      <c r="X485" t="n">
        <v>1</v>
      </c>
      <c r="Y485" t="n">
        <v>70002</v>
      </c>
      <c r="Z485" t="n">
        <v>3</v>
      </c>
      <c r="AA485" t="n">
        <v>1</v>
      </c>
      <c r="AB485" t="n">
        <v>1001</v>
      </c>
      <c r="AC485" t="n">
        <v>50</v>
      </c>
      <c r="AD485" t="n">
        <v>1</v>
      </c>
      <c r="AE485" t="n">
        <v>8000</v>
      </c>
      <c r="AF485" t="n">
        <v>1480</v>
      </c>
      <c r="AG485" t="n">
        <v>1</v>
      </c>
    </row>
    <row r="486" ht="38.25" customHeight="1" s="142">
      <c r="A486" t="n">
        <v>1380</v>
      </c>
      <c r="B486" t="inlineStr">
        <is>
          <t>main</t>
        </is>
      </c>
      <c r="C486" t="n">
        <v>11</v>
      </c>
      <c r="D486" t="inlineStr">
        <is>
          <t>11-31</t>
        </is>
      </c>
      <c r="E486" t="n">
        <v>150</v>
      </c>
      <c r="G486" s="90" t="inlineStr">
        <is>
          <t>{role:-1},{state:-60015}
{id:-1},{id:-1},{id:-1},{id:-1},{id:-1}
{id:40065},{id:40065},{id:40055},{id:40081},{id:40080}</t>
        </is>
      </c>
      <c r="I486" t="n">
        <v>48720</v>
      </c>
      <c r="J486" s="80" t="inlineStr">
        <is>
          <t>武士之魂</t>
        </is>
      </c>
      <c r="K486" t="inlineStr">
        <is>
          <t>buff</t>
        </is>
      </c>
      <c r="L486" t="n">
        <v>9002</v>
      </c>
      <c r="M486" t="n">
        <v>6</v>
      </c>
      <c r="O486" t="n">
        <v>0.1</v>
      </c>
      <c r="P486" s="80" t="inlineStr">
        <is>
          <t>妖氣繚繞</t>
        </is>
      </c>
      <c r="Q486" t="inlineStr">
        <is>
          <t>debuff</t>
        </is>
      </c>
      <c r="R486" t="n">
        <v>9004</v>
      </c>
      <c r="S486" t="inlineStr">
        <is>
          <t>4,7,13</t>
        </is>
      </c>
      <c r="U486" t="n">
        <v>0.6</v>
      </c>
      <c r="V486" t="n">
        <v>70001</v>
      </c>
      <c r="W486" t="n">
        <v>3</v>
      </c>
      <c r="X486" t="n">
        <v>1</v>
      </c>
      <c r="Y486" t="n">
        <v>70002</v>
      </c>
      <c r="Z486" t="n">
        <v>3</v>
      </c>
      <c r="AA486" t="n">
        <v>1</v>
      </c>
      <c r="AB486" t="n">
        <v>1001</v>
      </c>
      <c r="AC486" t="n">
        <v>50</v>
      </c>
      <c r="AD486" t="n">
        <v>1</v>
      </c>
      <c r="AE486" t="n">
        <v>8000</v>
      </c>
      <c r="AF486" t="n">
        <v>1480</v>
      </c>
      <c r="AG486" t="n">
        <v>1</v>
      </c>
    </row>
    <row r="487" ht="38.25" customHeight="1" s="142">
      <c r="A487" t="n">
        <v>1381</v>
      </c>
      <c r="B487" t="inlineStr">
        <is>
          <t>main</t>
        </is>
      </c>
      <c r="C487" t="n">
        <v>11</v>
      </c>
      <c r="D487" t="inlineStr">
        <is>
          <t>11-32</t>
        </is>
      </c>
      <c r="E487" t="n">
        <v>150</v>
      </c>
      <c r="G487" s="90" t="inlineStr">
        <is>
          <t>{role:-1},{state:-60015}
{id:-1},{id:-1},{id:-1},{id:-1},{id:-1}
{id:40055},{id:40065},{id:40055},{id:40065},{id:40080}</t>
        </is>
      </c>
      <c r="I487" t="n">
        <v>48845</v>
      </c>
      <c r="J487" s="80" t="inlineStr">
        <is>
          <t>武士之魂</t>
        </is>
      </c>
      <c r="K487" t="inlineStr">
        <is>
          <t>buff</t>
        </is>
      </c>
      <c r="L487" t="n">
        <v>9001</v>
      </c>
      <c r="M487" t="inlineStr">
        <is>
          <t>4,13</t>
        </is>
      </c>
      <c r="O487" t="n">
        <v>1</v>
      </c>
      <c r="P487" s="80" t="inlineStr">
        <is>
          <t>妖氣繚繞</t>
        </is>
      </c>
      <c r="Q487" t="inlineStr">
        <is>
          <t>debuff</t>
        </is>
      </c>
      <c r="R487" t="n">
        <v>9004</v>
      </c>
      <c r="S487" t="inlineStr">
        <is>
          <t>7,11</t>
        </is>
      </c>
      <c r="U487" t="n">
        <v>0.9</v>
      </c>
      <c r="V487" t="n">
        <v>70001</v>
      </c>
      <c r="W487" t="n">
        <v>3</v>
      </c>
      <c r="X487" t="n">
        <v>1</v>
      </c>
      <c r="Y487" t="n">
        <v>70002</v>
      </c>
      <c r="Z487" t="n">
        <v>3</v>
      </c>
      <c r="AA487" t="n">
        <v>1</v>
      </c>
      <c r="AB487" t="n">
        <v>1001</v>
      </c>
      <c r="AC487" t="n">
        <v>50</v>
      </c>
      <c r="AD487" t="n">
        <v>1</v>
      </c>
      <c r="AE487" t="n">
        <v>8000</v>
      </c>
      <c r="AF487" t="n">
        <v>1490</v>
      </c>
      <c r="AG487" t="n">
        <v>1</v>
      </c>
    </row>
    <row r="488" ht="38.25" customHeight="1" s="142">
      <c r="A488" t="n">
        <v>1382</v>
      </c>
      <c r="B488" t="inlineStr">
        <is>
          <t>main</t>
        </is>
      </c>
      <c r="C488" t="n">
        <v>11</v>
      </c>
      <c r="D488" t="inlineStr">
        <is>
          <t>11-33</t>
        </is>
      </c>
      <c r="E488" t="n">
        <v>150</v>
      </c>
      <c r="G488" s="90" t="inlineStr">
        <is>
          <t>{role:-1},{state:-60015}
{id:-1},{id:-1},{id:-1},{id:-1},{id:-1}
{id:40081},{id:40079},{id:40079},{id:40080},{id:40055}</t>
        </is>
      </c>
      <c r="I488" t="n">
        <v>48970</v>
      </c>
      <c r="J488" s="80" t="inlineStr">
        <is>
          <t>武士之魂</t>
        </is>
      </c>
      <c r="K488" t="inlineStr">
        <is>
          <t>buff</t>
        </is>
      </c>
      <c r="L488" t="n">
        <v>9006</v>
      </c>
      <c r="M488" t="n">
        <v>5</v>
      </c>
      <c r="O488" t="n">
        <v>0.3</v>
      </c>
      <c r="P488" s="80" t="inlineStr">
        <is>
          <t>妖氣繚繞</t>
        </is>
      </c>
      <c r="Q488" t="inlineStr">
        <is>
          <t>debuff</t>
        </is>
      </c>
      <c r="R488" t="n">
        <v>9004</v>
      </c>
      <c r="S488" t="inlineStr">
        <is>
          <t>2,9</t>
        </is>
      </c>
      <c r="U488" t="n">
        <v>0.3</v>
      </c>
      <c r="V488" t="n">
        <v>70001</v>
      </c>
      <c r="W488" t="n">
        <v>3</v>
      </c>
      <c r="X488" t="n">
        <v>1</v>
      </c>
      <c r="Y488" t="n">
        <v>70002</v>
      </c>
      <c r="Z488" t="n">
        <v>3</v>
      </c>
      <c r="AA488" t="n">
        <v>1</v>
      </c>
      <c r="AB488" t="n">
        <v>1001</v>
      </c>
      <c r="AC488" t="n">
        <v>50</v>
      </c>
      <c r="AD488" t="n">
        <v>1</v>
      </c>
      <c r="AE488" t="n">
        <v>8000</v>
      </c>
      <c r="AF488" t="n">
        <v>1490</v>
      </c>
      <c r="AG488" t="n">
        <v>1</v>
      </c>
    </row>
    <row r="489" ht="38.25" customHeight="1" s="142">
      <c r="A489" t="n">
        <v>1383</v>
      </c>
      <c r="B489" t="inlineStr">
        <is>
          <t>main</t>
        </is>
      </c>
      <c r="C489" t="n">
        <v>11</v>
      </c>
      <c r="D489" t="inlineStr">
        <is>
          <t>11-34</t>
        </is>
      </c>
      <c r="E489" t="n">
        <v>150</v>
      </c>
      <c r="G489" s="90" t="inlineStr">
        <is>
          <t>{role:-1},{state:-60015}
{id:-1},{id:-1},{id:-1},{id:-1},{id:-1}
{id:40079},{id:40055},{id:40055},{id:40080},{id:40055}</t>
        </is>
      </c>
      <c r="I489" t="n">
        <v>49095</v>
      </c>
      <c r="J489" s="80" t="inlineStr">
        <is>
          <t>武士之魂</t>
        </is>
      </c>
      <c r="K489" t="inlineStr">
        <is>
          <t>buff</t>
        </is>
      </c>
      <c r="L489" t="n">
        <v>9002</v>
      </c>
      <c r="M489" t="n">
        <v>3</v>
      </c>
      <c r="O489" t="n">
        <v>0.9</v>
      </c>
      <c r="P489" s="80" t="inlineStr">
        <is>
          <t>妖氣繚繞</t>
        </is>
      </c>
      <c r="Q489" t="inlineStr">
        <is>
          <t>debuff</t>
        </is>
      </c>
      <c r="R489" t="n">
        <v>9003</v>
      </c>
      <c r="S489" t="inlineStr">
        <is>
          <t>2,4</t>
        </is>
      </c>
      <c r="U489" t="n">
        <v>0.1</v>
      </c>
      <c r="V489" t="n">
        <v>70001</v>
      </c>
      <c r="W489" t="n">
        <v>3</v>
      </c>
      <c r="X489" t="n">
        <v>1</v>
      </c>
      <c r="Y489" t="n">
        <v>70002</v>
      </c>
      <c r="Z489" t="n">
        <v>3</v>
      </c>
      <c r="AA489" t="n">
        <v>1</v>
      </c>
      <c r="AB489" t="n">
        <v>1001</v>
      </c>
      <c r="AC489" t="n">
        <v>50</v>
      </c>
      <c r="AD489" t="n">
        <v>1</v>
      </c>
      <c r="AE489" t="n">
        <v>8000</v>
      </c>
      <c r="AF489" t="n">
        <v>1500</v>
      </c>
      <c r="AG489" t="n">
        <v>1</v>
      </c>
    </row>
    <row r="490" ht="38.25" customHeight="1" s="142">
      <c r="A490" t="n">
        <v>1384</v>
      </c>
      <c r="B490" t="inlineStr">
        <is>
          <t>main</t>
        </is>
      </c>
      <c r="C490" t="n">
        <v>11</v>
      </c>
      <c r="D490" t="inlineStr">
        <is>
          <t>11-35</t>
        </is>
      </c>
      <c r="E490" t="n">
        <v>150</v>
      </c>
      <c r="G490" s="90" t="inlineStr">
        <is>
          <t>{role:-1},{state:-60015}
{id:-1},{id:-1},{id:-1},{id:-1},{id:-1}
{id:40079},{id:40055},{id:40065},{id:40055},{id:40065}</t>
        </is>
      </c>
      <c r="I490" t="n">
        <v>49220</v>
      </c>
      <c r="J490" s="80" t="inlineStr">
        <is>
          <t>武士之魂</t>
        </is>
      </c>
      <c r="K490" t="inlineStr">
        <is>
          <t>buff</t>
        </is>
      </c>
      <c r="L490" t="n">
        <v>9006</v>
      </c>
      <c r="M490" t="inlineStr">
        <is>
          <t>4,11,12</t>
        </is>
      </c>
      <c r="O490" t="n">
        <v>0.5</v>
      </c>
      <c r="P490" s="80" t="inlineStr">
        <is>
          <t>妖氣繚繞</t>
        </is>
      </c>
      <c r="Q490" t="inlineStr">
        <is>
          <t>debuff</t>
        </is>
      </c>
      <c r="R490" t="n">
        <v>9010</v>
      </c>
      <c r="S490" t="n">
        <v>8</v>
      </c>
      <c r="U490" t="n">
        <v>0.8</v>
      </c>
      <c r="V490" t="n">
        <v>70001</v>
      </c>
      <c r="W490" t="n">
        <v>3</v>
      </c>
      <c r="X490" t="n">
        <v>1</v>
      </c>
      <c r="Y490" t="n">
        <v>70002</v>
      </c>
      <c r="Z490" t="n">
        <v>3</v>
      </c>
      <c r="AA490" t="n">
        <v>1</v>
      </c>
      <c r="AB490" t="n">
        <v>1001</v>
      </c>
      <c r="AC490" t="n">
        <v>50</v>
      </c>
      <c r="AD490" t="n">
        <v>1</v>
      </c>
      <c r="AE490" t="n">
        <v>8000</v>
      </c>
      <c r="AF490" t="n">
        <v>1510</v>
      </c>
      <c r="AG490" t="n">
        <v>1</v>
      </c>
    </row>
    <row r="491" ht="38.25" customHeight="1" s="142">
      <c r="A491" t="n">
        <v>1385</v>
      </c>
      <c r="B491" t="inlineStr">
        <is>
          <t>main</t>
        </is>
      </c>
      <c r="C491" t="n">
        <v>11</v>
      </c>
      <c r="D491" t="inlineStr">
        <is>
          <t>11-36</t>
        </is>
      </c>
      <c r="E491" t="n">
        <v>150</v>
      </c>
      <c r="G491" s="90" t="inlineStr">
        <is>
          <t>{role:-1},{state:-60015}
{id:-1},{id:-1},{id:-1},{id:-1},{id:-1}
{id:40079},{id:40079},{id:40081},{id:40079},{id:40080}</t>
        </is>
      </c>
      <c r="I491" t="n">
        <v>49345</v>
      </c>
      <c r="J491" s="80" t="inlineStr">
        <is>
          <t>武士之魂</t>
        </is>
      </c>
      <c r="K491" t="inlineStr">
        <is>
          <t>buff</t>
        </is>
      </c>
      <c r="L491" t="n">
        <v>9002</v>
      </c>
      <c r="M491" t="inlineStr">
        <is>
          <t>6,9,12</t>
        </is>
      </c>
      <c r="O491" t="n">
        <v>0.5</v>
      </c>
      <c r="P491" s="80" t="inlineStr">
        <is>
          <t>妖氣繚繞</t>
        </is>
      </c>
      <c r="Q491" t="inlineStr">
        <is>
          <t>debuff</t>
        </is>
      </c>
      <c r="R491" t="n">
        <v>9010</v>
      </c>
      <c r="S491" t="inlineStr">
        <is>
          <t>3,6</t>
        </is>
      </c>
      <c r="U491" t="n">
        <v>0.6</v>
      </c>
      <c r="V491" t="n">
        <v>70001</v>
      </c>
      <c r="W491" t="n">
        <v>3</v>
      </c>
      <c r="X491" t="n">
        <v>1</v>
      </c>
      <c r="Y491" t="n">
        <v>70002</v>
      </c>
      <c r="Z491" t="n">
        <v>3</v>
      </c>
      <c r="AA491" t="n">
        <v>1</v>
      </c>
      <c r="AB491" t="n">
        <v>1001</v>
      </c>
      <c r="AC491" t="n">
        <v>50</v>
      </c>
      <c r="AD491" t="n">
        <v>1</v>
      </c>
      <c r="AE491" t="n">
        <v>8000</v>
      </c>
      <c r="AF491" t="n">
        <v>1510</v>
      </c>
      <c r="AG491" t="n">
        <v>1</v>
      </c>
    </row>
    <row r="492" ht="38.25" customHeight="1" s="142">
      <c r="A492" t="n">
        <v>1386</v>
      </c>
      <c r="B492" t="inlineStr">
        <is>
          <t>main</t>
        </is>
      </c>
      <c r="C492" t="n">
        <v>11</v>
      </c>
      <c r="D492" t="inlineStr">
        <is>
          <t>11-37</t>
        </is>
      </c>
      <c r="E492" t="n">
        <v>150</v>
      </c>
      <c r="G492" s="90" t="inlineStr">
        <is>
          <t>{role:-1},{state:-60015}
{id:-1},{id:-1},{id:-1},{id:-1},{id:-1}
{id:40081},{id:40065},{id:40055},{id:40081},{id:40079}</t>
        </is>
      </c>
      <c r="I492" t="n">
        <v>49470</v>
      </c>
      <c r="J492" s="80" t="inlineStr">
        <is>
          <t>武士之魂</t>
        </is>
      </c>
      <c r="K492" t="inlineStr">
        <is>
          <t>buff</t>
        </is>
      </c>
      <c r="L492" t="n">
        <v>9002</v>
      </c>
      <c r="M492" t="n">
        <v>6</v>
      </c>
      <c r="O492" t="n">
        <v>0.8</v>
      </c>
      <c r="P492" s="80" t="inlineStr">
        <is>
          <t>妖氣繚繞</t>
        </is>
      </c>
      <c r="Q492" t="inlineStr">
        <is>
          <t>debuff</t>
        </is>
      </c>
      <c r="R492" t="n">
        <v>9008</v>
      </c>
      <c r="S492" t="n">
        <v>12</v>
      </c>
      <c r="U492" t="n">
        <v>0.6</v>
      </c>
      <c r="V492" t="n">
        <v>70001</v>
      </c>
      <c r="W492" t="n">
        <v>3</v>
      </c>
      <c r="X492" t="n">
        <v>1</v>
      </c>
      <c r="Y492" t="n">
        <v>70002</v>
      </c>
      <c r="Z492" t="n">
        <v>3</v>
      </c>
      <c r="AA492" t="n">
        <v>1</v>
      </c>
      <c r="AB492" t="n">
        <v>1001</v>
      </c>
      <c r="AC492" t="n">
        <v>50</v>
      </c>
      <c r="AD492" t="n">
        <v>1</v>
      </c>
      <c r="AE492" t="n">
        <v>8000</v>
      </c>
      <c r="AF492" t="n">
        <v>1520</v>
      </c>
      <c r="AG492" t="n">
        <v>1</v>
      </c>
    </row>
    <row r="493" ht="38.25" customHeight="1" s="142">
      <c r="A493" t="n">
        <v>1387</v>
      </c>
      <c r="B493" t="inlineStr">
        <is>
          <t>main</t>
        </is>
      </c>
      <c r="C493" t="n">
        <v>11</v>
      </c>
      <c r="D493" t="inlineStr">
        <is>
          <t>11-38</t>
        </is>
      </c>
      <c r="E493" t="n">
        <v>150</v>
      </c>
      <c r="G493" s="90" t="inlineStr">
        <is>
          <t>{role:-1},{state:-60015}
{id:-1},{id:-1},{id:-1},{id:-1},{id:-1}
{id:40055},{id:40081},{id:40080},{id:40079},{id:40081}</t>
        </is>
      </c>
      <c r="I493" t="n">
        <v>49595</v>
      </c>
      <c r="J493" s="80" t="inlineStr">
        <is>
          <t>武士之魂</t>
        </is>
      </c>
      <c r="K493" t="inlineStr">
        <is>
          <t>buff</t>
        </is>
      </c>
      <c r="L493" t="n">
        <v>9008</v>
      </c>
      <c r="M493" t="inlineStr">
        <is>
          <t>4,7,13</t>
        </is>
      </c>
      <c r="O493" t="n">
        <v>0.9</v>
      </c>
      <c r="P493" s="80" t="inlineStr">
        <is>
          <t>妖氣繚繞</t>
        </is>
      </c>
      <c r="Q493" t="inlineStr">
        <is>
          <t>debuff</t>
        </is>
      </c>
      <c r="R493" t="n">
        <v>9012</v>
      </c>
      <c r="S493" t="inlineStr">
        <is>
          <t>2,9,10</t>
        </is>
      </c>
      <c r="U493" t="n">
        <v>0.5</v>
      </c>
      <c r="V493" t="n">
        <v>70001</v>
      </c>
      <c r="W493" t="n">
        <v>3</v>
      </c>
      <c r="X493" t="n">
        <v>1</v>
      </c>
      <c r="Y493" t="n">
        <v>70002</v>
      </c>
      <c r="Z493" t="n">
        <v>3</v>
      </c>
      <c r="AA493" t="n">
        <v>1</v>
      </c>
      <c r="AB493" t="n">
        <v>1001</v>
      </c>
      <c r="AC493" t="n">
        <v>50</v>
      </c>
      <c r="AD493" t="n">
        <v>1</v>
      </c>
      <c r="AE493" t="n">
        <v>8000</v>
      </c>
      <c r="AF493" t="n">
        <v>1520</v>
      </c>
      <c r="AG493" t="n">
        <v>1</v>
      </c>
    </row>
    <row r="494" ht="38.25" customHeight="1" s="142">
      <c r="A494" t="n">
        <v>1388</v>
      </c>
      <c r="B494" t="inlineStr">
        <is>
          <t>main</t>
        </is>
      </c>
      <c r="C494" t="n">
        <v>11</v>
      </c>
      <c r="D494" t="inlineStr">
        <is>
          <t>11-39</t>
        </is>
      </c>
      <c r="E494" t="n">
        <v>150</v>
      </c>
      <c r="G494" s="90" t="inlineStr">
        <is>
          <t>{role:-1},{state:-60015}
{id:-1},{id:-1},{id:-1},{id:-1},{id:-1}
{id:40065},{id:40079},{id:40080},{id:40081},{id:40079}</t>
        </is>
      </c>
      <c r="I494" t="n">
        <v>49720</v>
      </c>
      <c r="J494" s="80" t="inlineStr">
        <is>
          <t>武士之魂</t>
        </is>
      </c>
      <c r="K494" t="inlineStr">
        <is>
          <t>buff</t>
        </is>
      </c>
      <c r="L494" t="n">
        <v>9012</v>
      </c>
      <c r="M494" t="inlineStr">
        <is>
          <t>2,7</t>
        </is>
      </c>
      <c r="O494" t="n">
        <v>0.8</v>
      </c>
      <c r="P494" s="80" t="inlineStr">
        <is>
          <t>妖氣繚繞</t>
        </is>
      </c>
      <c r="Q494" t="inlineStr">
        <is>
          <t>debuff</t>
        </is>
      </c>
      <c r="R494" t="n">
        <v>9008</v>
      </c>
      <c r="S494" t="n">
        <v>5</v>
      </c>
      <c r="U494" t="n">
        <v>0.3</v>
      </c>
      <c r="V494" t="n">
        <v>70001</v>
      </c>
      <c r="W494" t="n">
        <v>3</v>
      </c>
      <c r="X494" t="n">
        <v>1</v>
      </c>
      <c r="Y494" t="n">
        <v>70002</v>
      </c>
      <c r="Z494" t="n">
        <v>3</v>
      </c>
      <c r="AA494" t="n">
        <v>1</v>
      </c>
      <c r="AB494" t="n">
        <v>1001</v>
      </c>
      <c r="AC494" t="n">
        <v>50</v>
      </c>
      <c r="AD494" t="n">
        <v>1</v>
      </c>
      <c r="AE494" t="n">
        <v>8000</v>
      </c>
      <c r="AF494" t="n">
        <v>1530</v>
      </c>
      <c r="AG494" t="n">
        <v>1</v>
      </c>
    </row>
    <row r="495" ht="38.25" customHeight="1" s="142">
      <c r="A495" t="n">
        <v>1389</v>
      </c>
      <c r="B495" t="inlineStr">
        <is>
          <t>main</t>
        </is>
      </c>
      <c r="C495" t="n">
        <v>11</v>
      </c>
      <c r="D495" t="inlineStr">
        <is>
          <t>11-40</t>
        </is>
      </c>
      <c r="E495" t="n">
        <v>150</v>
      </c>
      <c r="G495" s="90" t="inlineStr">
        <is>
          <t>{role:-1},{state:-60015}
{id:-1},{id:-1},{id:-1},{id:-1},{id:-1}
{id:40079},{id:40080},{id:40081},{id:40079},{id:40065}</t>
        </is>
      </c>
      <c r="I495" t="n">
        <v>49845</v>
      </c>
      <c r="J495" s="80" t="inlineStr">
        <is>
          <t>武士之魂</t>
        </is>
      </c>
      <c r="K495" t="inlineStr">
        <is>
          <t>buff</t>
        </is>
      </c>
      <c r="L495" t="n">
        <v>9001</v>
      </c>
      <c r="M495" t="inlineStr">
        <is>
          <t>10,12</t>
        </is>
      </c>
      <c r="O495" t="n">
        <v>0.9</v>
      </c>
      <c r="P495" s="80" t="inlineStr">
        <is>
          <t>妖氣繚繞</t>
        </is>
      </c>
      <c r="Q495" t="inlineStr">
        <is>
          <t>debuff</t>
        </is>
      </c>
      <c r="R495" t="n">
        <v>9011</v>
      </c>
      <c r="S495" t="inlineStr">
        <is>
          <t>8,11</t>
        </is>
      </c>
      <c r="U495" t="n">
        <v>0.9</v>
      </c>
      <c r="V495" t="n">
        <v>70001</v>
      </c>
      <c r="W495" t="n">
        <v>3</v>
      </c>
      <c r="X495" t="n">
        <v>1</v>
      </c>
      <c r="Y495" t="n">
        <v>70002</v>
      </c>
      <c r="Z495" t="n">
        <v>3</v>
      </c>
      <c r="AA495" t="n">
        <v>1</v>
      </c>
      <c r="AB495" t="n">
        <v>1001</v>
      </c>
      <c r="AC495" t="n">
        <v>50</v>
      </c>
      <c r="AD495" t="n">
        <v>1</v>
      </c>
      <c r="AE495" t="n">
        <v>8000</v>
      </c>
      <c r="AF495" t="n">
        <v>1530</v>
      </c>
      <c r="AG495" t="n">
        <v>1</v>
      </c>
    </row>
    <row r="496" ht="38.25" customHeight="1" s="142">
      <c r="A496" t="n">
        <v>1390</v>
      </c>
      <c r="B496" t="inlineStr">
        <is>
          <t>main</t>
        </is>
      </c>
      <c r="C496" t="n">
        <v>11</v>
      </c>
      <c r="D496" t="inlineStr">
        <is>
          <t>11-41</t>
        </is>
      </c>
      <c r="E496" t="n">
        <v>150</v>
      </c>
      <c r="G496" s="90" t="inlineStr">
        <is>
          <t>{role:-1},{state:-60015}
{id:-1},{id:-1},{id:-1},{id:-1},{id:-1}
{id:40079},{id:40055},{id:40080},{id:40065},{id:40079}</t>
        </is>
      </c>
      <c r="I496" t="n">
        <v>49970</v>
      </c>
      <c r="J496" s="80" t="inlineStr">
        <is>
          <t>武士之魂</t>
        </is>
      </c>
      <c r="K496" t="inlineStr">
        <is>
          <t>buff</t>
        </is>
      </c>
      <c r="L496" t="n">
        <v>9001</v>
      </c>
      <c r="M496" t="n">
        <v>3</v>
      </c>
      <c r="O496" t="n">
        <v>0.2</v>
      </c>
      <c r="P496" s="80" t="inlineStr">
        <is>
          <t>妖氣繚繞</t>
        </is>
      </c>
      <c r="Q496" t="inlineStr">
        <is>
          <t>debuff</t>
        </is>
      </c>
      <c r="R496" t="n">
        <v>9008</v>
      </c>
      <c r="S496" t="inlineStr">
        <is>
          <t>6,7,11</t>
        </is>
      </c>
      <c r="U496" t="n">
        <v>0.3</v>
      </c>
      <c r="V496" t="n">
        <v>70001</v>
      </c>
      <c r="W496" t="n">
        <v>3</v>
      </c>
      <c r="X496" t="n">
        <v>1</v>
      </c>
      <c r="Y496" t="n">
        <v>70002</v>
      </c>
      <c r="Z496" t="n">
        <v>3</v>
      </c>
      <c r="AA496" t="n">
        <v>1</v>
      </c>
      <c r="AB496" t="n">
        <v>1001</v>
      </c>
      <c r="AC496" t="n">
        <v>50</v>
      </c>
      <c r="AD496" t="n">
        <v>1</v>
      </c>
      <c r="AE496" t="n">
        <v>8000</v>
      </c>
      <c r="AF496" t="n">
        <v>1540</v>
      </c>
      <c r="AG496" t="n">
        <v>1</v>
      </c>
    </row>
    <row r="497" ht="38.25" customHeight="1" s="142">
      <c r="A497" t="n">
        <v>1391</v>
      </c>
      <c r="B497" t="inlineStr">
        <is>
          <t>main</t>
        </is>
      </c>
      <c r="C497" t="n">
        <v>11</v>
      </c>
      <c r="D497" t="inlineStr">
        <is>
          <t>11-42</t>
        </is>
      </c>
      <c r="E497" t="n">
        <v>150</v>
      </c>
      <c r="G497" s="90" t="inlineStr">
        <is>
          <t>{role:-1},{state:-60015}
{id:-1},{id:-1},{id:-1},{id:-1},{id:-1}
{id:40079},{id:40081},{id:40079},{id:40080},{id:40055}</t>
        </is>
      </c>
      <c r="I497" t="n">
        <v>50095</v>
      </c>
      <c r="J497" s="80" t="inlineStr">
        <is>
          <t>武士之魂</t>
        </is>
      </c>
      <c r="K497" t="inlineStr">
        <is>
          <t>buff</t>
        </is>
      </c>
      <c r="L497" t="n">
        <v>9012</v>
      </c>
      <c r="M497" t="inlineStr">
        <is>
          <t>1,4,12</t>
        </is>
      </c>
      <c r="O497" t="n">
        <v>0.3</v>
      </c>
      <c r="P497" s="80" t="inlineStr">
        <is>
          <t>妖氣繚繞</t>
        </is>
      </c>
      <c r="Q497" t="inlineStr">
        <is>
          <t>debuff</t>
        </is>
      </c>
      <c r="R497" t="n">
        <v>9011</v>
      </c>
      <c r="S497" t="inlineStr">
        <is>
          <t>8,9</t>
        </is>
      </c>
      <c r="U497" t="n">
        <v>0.3</v>
      </c>
      <c r="V497" t="n">
        <v>70001</v>
      </c>
      <c r="W497" t="n">
        <v>3</v>
      </c>
      <c r="X497" t="n">
        <v>1</v>
      </c>
      <c r="Y497" t="n">
        <v>70002</v>
      </c>
      <c r="Z497" t="n">
        <v>3</v>
      </c>
      <c r="AA497" t="n">
        <v>1</v>
      </c>
      <c r="AB497" t="n">
        <v>1001</v>
      </c>
      <c r="AC497" t="n">
        <v>50</v>
      </c>
      <c r="AD497" t="n">
        <v>1</v>
      </c>
      <c r="AE497" t="n">
        <v>8000</v>
      </c>
      <c r="AF497" t="n">
        <v>1540</v>
      </c>
      <c r="AG497" t="n">
        <v>1</v>
      </c>
    </row>
    <row r="498" ht="38.25" customHeight="1" s="142">
      <c r="A498" t="n">
        <v>1392</v>
      </c>
      <c r="B498" t="inlineStr">
        <is>
          <t>main</t>
        </is>
      </c>
      <c r="C498" t="n">
        <v>11</v>
      </c>
      <c r="D498" t="inlineStr">
        <is>
          <t>11-43</t>
        </is>
      </c>
      <c r="E498" t="n">
        <v>150</v>
      </c>
      <c r="G498" s="90" t="inlineStr">
        <is>
          <t>{role:-1},{state:-60015}
{id:-1},{id:-1},{id:-1},{id:-1},{id:-1}
{id:40081},{id:40065},{id:40081},{id:40079},{id:40065}</t>
        </is>
      </c>
      <c r="I498" t="n">
        <v>50220</v>
      </c>
      <c r="J498" s="80" t="inlineStr">
        <is>
          <t>武士之魂</t>
        </is>
      </c>
      <c r="K498" t="inlineStr">
        <is>
          <t>buff</t>
        </is>
      </c>
      <c r="L498" t="n">
        <v>9006</v>
      </c>
      <c r="M498" t="n">
        <v>8</v>
      </c>
      <c r="O498" t="n">
        <v>0.9</v>
      </c>
      <c r="P498" s="80" t="inlineStr">
        <is>
          <t>妖氣繚繞</t>
        </is>
      </c>
      <c r="Q498" t="inlineStr">
        <is>
          <t>debuff</t>
        </is>
      </c>
      <c r="R498" t="n">
        <v>9003</v>
      </c>
      <c r="S498" t="inlineStr">
        <is>
          <t>1,7,13</t>
        </is>
      </c>
      <c r="U498" t="n">
        <v>0.9</v>
      </c>
      <c r="V498" t="n">
        <v>70001</v>
      </c>
      <c r="W498" t="n">
        <v>3</v>
      </c>
      <c r="X498" t="n">
        <v>1</v>
      </c>
      <c r="Y498" t="n">
        <v>70002</v>
      </c>
      <c r="Z498" t="n">
        <v>3</v>
      </c>
      <c r="AA498" t="n">
        <v>1</v>
      </c>
      <c r="AB498" t="n">
        <v>1001</v>
      </c>
      <c r="AC498" t="n">
        <v>50</v>
      </c>
      <c r="AD498" t="n">
        <v>1</v>
      </c>
      <c r="AE498" t="n">
        <v>8000</v>
      </c>
      <c r="AF498" t="n">
        <v>1550</v>
      </c>
      <c r="AG498" t="n">
        <v>1</v>
      </c>
    </row>
    <row r="499" ht="38.25" customHeight="1" s="142">
      <c r="A499" t="n">
        <v>1393</v>
      </c>
      <c r="B499" t="inlineStr">
        <is>
          <t>main</t>
        </is>
      </c>
      <c r="C499" t="n">
        <v>11</v>
      </c>
      <c r="D499" t="inlineStr">
        <is>
          <t>11-44</t>
        </is>
      </c>
      <c r="E499" t="n">
        <v>150</v>
      </c>
      <c r="G499" s="90" t="inlineStr">
        <is>
          <t>{role:-1},{state:-60015}
{id:-1},{id:-1},{id:-1},{id:-1},{id:-1}
{id:40081},{id:40055},{id:40080},{id:40081},{id:40081}</t>
        </is>
      </c>
      <c r="I499" t="n">
        <v>50345</v>
      </c>
      <c r="J499" s="80" t="inlineStr">
        <is>
          <t>武士之魂</t>
        </is>
      </c>
      <c r="K499" t="inlineStr">
        <is>
          <t>buff</t>
        </is>
      </c>
      <c r="L499" t="n">
        <v>9002</v>
      </c>
      <c r="M499" t="n">
        <v>13</v>
      </c>
      <c r="O499" t="n">
        <v>0.3</v>
      </c>
      <c r="P499" s="80" t="inlineStr">
        <is>
          <t>妖氣繚繞</t>
        </is>
      </c>
      <c r="Q499" t="inlineStr">
        <is>
          <t>debuff</t>
        </is>
      </c>
      <c r="R499" t="n">
        <v>9007</v>
      </c>
      <c r="S499" t="inlineStr">
        <is>
          <t>6,11</t>
        </is>
      </c>
      <c r="U499" t="n">
        <v>0.3</v>
      </c>
      <c r="V499" t="n">
        <v>70001</v>
      </c>
      <c r="W499" t="n">
        <v>3</v>
      </c>
      <c r="X499" t="n">
        <v>1</v>
      </c>
      <c r="Y499" t="n">
        <v>70002</v>
      </c>
      <c r="Z499" t="n">
        <v>3</v>
      </c>
      <c r="AA499" t="n">
        <v>1</v>
      </c>
      <c r="AB499" t="n">
        <v>1001</v>
      </c>
      <c r="AC499" t="n">
        <v>50</v>
      </c>
      <c r="AD499" t="n">
        <v>1</v>
      </c>
      <c r="AE499" t="n">
        <v>8000</v>
      </c>
      <c r="AF499" t="n">
        <v>1550</v>
      </c>
      <c r="AG499" t="n">
        <v>1</v>
      </c>
    </row>
    <row r="500" ht="38.25" customHeight="1" s="142">
      <c r="A500" t="n">
        <v>1394</v>
      </c>
      <c r="B500" t="inlineStr">
        <is>
          <t>main</t>
        </is>
      </c>
      <c r="C500" t="n">
        <v>11</v>
      </c>
      <c r="D500" t="inlineStr">
        <is>
          <t>11-45</t>
        </is>
      </c>
      <c r="E500" t="n">
        <v>150</v>
      </c>
      <c r="G500" s="90" t="inlineStr">
        <is>
          <t>{role:-1},{state:-60015}
{id:-1},{id:-1},{id:-1},{id:-1},{id:-1}
{id:40065},{id:40081},{id:40055},{id:40065},{id:40079}</t>
        </is>
      </c>
      <c r="I500" t="n">
        <v>50470</v>
      </c>
      <c r="J500" s="80" t="inlineStr">
        <is>
          <t>武士之魂</t>
        </is>
      </c>
      <c r="K500" t="inlineStr">
        <is>
          <t>buff</t>
        </is>
      </c>
      <c r="L500" t="n">
        <v>9001</v>
      </c>
      <c r="M500" t="inlineStr">
        <is>
          <t>8,11,13</t>
        </is>
      </c>
      <c r="O500" t="n">
        <v>0.7</v>
      </c>
      <c r="P500" s="80" t="inlineStr">
        <is>
          <t>妖氣繚繞</t>
        </is>
      </c>
      <c r="Q500" t="inlineStr">
        <is>
          <t>debuff</t>
        </is>
      </c>
      <c r="R500" t="n">
        <v>9008</v>
      </c>
      <c r="S500" t="inlineStr">
        <is>
          <t>2,8,13</t>
        </is>
      </c>
      <c r="U500" t="n">
        <v>1</v>
      </c>
      <c r="V500" t="n">
        <v>70001</v>
      </c>
      <c r="W500" t="n">
        <v>3</v>
      </c>
      <c r="X500" t="n">
        <v>1</v>
      </c>
      <c r="Y500" t="n">
        <v>70002</v>
      </c>
      <c r="Z500" t="n">
        <v>3</v>
      </c>
      <c r="AA500" t="n">
        <v>1</v>
      </c>
      <c r="AB500" t="n">
        <v>1001</v>
      </c>
      <c r="AC500" t="n">
        <v>50</v>
      </c>
      <c r="AD500" t="n">
        <v>1</v>
      </c>
      <c r="AE500" t="n">
        <v>8000</v>
      </c>
      <c r="AF500" t="n">
        <v>1560</v>
      </c>
      <c r="AG500" t="n">
        <v>1</v>
      </c>
    </row>
    <row r="501" ht="38.25" customHeight="1" s="142">
      <c r="A501" t="n">
        <v>1395</v>
      </c>
      <c r="B501" t="inlineStr">
        <is>
          <t>main</t>
        </is>
      </c>
      <c r="C501" t="n">
        <v>11</v>
      </c>
      <c r="D501" t="inlineStr">
        <is>
          <t>11-46</t>
        </is>
      </c>
      <c r="E501" t="n">
        <v>150</v>
      </c>
      <c r="G501" s="90" t="inlineStr">
        <is>
          <t>{role:-1},{state:-60015}
{id:-1},{id:-1},{id:-1},{id:-1},{id:-1}
{id:40080},{id:40055},{id:40080},{id:40079},{id:40055}</t>
        </is>
      </c>
      <c r="I501" t="n">
        <v>50595</v>
      </c>
      <c r="J501" s="80" t="inlineStr">
        <is>
          <t>武士之魂</t>
        </is>
      </c>
      <c r="K501" t="inlineStr">
        <is>
          <t>buff</t>
        </is>
      </c>
      <c r="L501" t="n">
        <v>9011</v>
      </c>
      <c r="M501" t="inlineStr">
        <is>
          <t>11,12,13</t>
        </is>
      </c>
      <c r="O501" t="n">
        <v>0.5</v>
      </c>
      <c r="P501" s="80" t="inlineStr">
        <is>
          <t>妖氣繚繞</t>
        </is>
      </c>
      <c r="Q501" t="inlineStr">
        <is>
          <t>debuff</t>
        </is>
      </c>
      <c r="R501" t="n">
        <v>9007</v>
      </c>
      <c r="S501" t="inlineStr">
        <is>
          <t>5,8</t>
        </is>
      </c>
      <c r="U501" t="n">
        <v>0.9</v>
      </c>
      <c r="V501" t="n">
        <v>70001</v>
      </c>
      <c r="W501" t="n">
        <v>3</v>
      </c>
      <c r="X501" t="n">
        <v>1</v>
      </c>
      <c r="Y501" t="n">
        <v>70002</v>
      </c>
      <c r="Z501" t="n">
        <v>3</v>
      </c>
      <c r="AA501" t="n">
        <v>1</v>
      </c>
      <c r="AB501" t="n">
        <v>1001</v>
      </c>
      <c r="AC501" t="n">
        <v>50</v>
      </c>
      <c r="AD501" t="n">
        <v>1</v>
      </c>
      <c r="AE501" t="n">
        <v>8000</v>
      </c>
      <c r="AF501" t="n">
        <v>1560</v>
      </c>
      <c r="AG501" t="n">
        <v>1</v>
      </c>
    </row>
    <row r="502" ht="38.25" customHeight="1" s="142">
      <c r="A502" t="n">
        <v>1396</v>
      </c>
      <c r="B502" t="inlineStr">
        <is>
          <t>main</t>
        </is>
      </c>
      <c r="C502" t="n">
        <v>11</v>
      </c>
      <c r="D502" t="inlineStr">
        <is>
          <t>11-47</t>
        </is>
      </c>
      <c r="E502" t="n">
        <v>150</v>
      </c>
      <c r="G502" s="90" t="inlineStr">
        <is>
          <t>{role:-1},{state:-60015}
{id:-1},{id:-1},{id:-1},{id:-1},{id:-1}
{id:40081},{id:40055},{id:40081},{id:40065},{id:40055}</t>
        </is>
      </c>
      <c r="I502" t="n">
        <v>50720</v>
      </c>
      <c r="J502" s="80" t="inlineStr">
        <is>
          <t>武士之魂</t>
        </is>
      </c>
      <c r="K502" t="inlineStr">
        <is>
          <t>buff</t>
        </is>
      </c>
      <c r="L502" t="n">
        <v>9012</v>
      </c>
      <c r="M502" t="inlineStr">
        <is>
          <t>1,9,10</t>
        </is>
      </c>
      <c r="O502" t="n">
        <v>0.3</v>
      </c>
      <c r="P502" s="80" t="inlineStr">
        <is>
          <t>妖氣繚繞</t>
        </is>
      </c>
      <c r="Q502" t="inlineStr">
        <is>
          <t>debuff</t>
        </is>
      </c>
      <c r="R502" t="n">
        <v>9003</v>
      </c>
      <c r="S502" t="inlineStr">
        <is>
          <t>12,13</t>
        </is>
      </c>
      <c r="U502" t="n">
        <v>0.3</v>
      </c>
      <c r="V502" t="n">
        <v>70001</v>
      </c>
      <c r="W502" t="n">
        <v>3</v>
      </c>
      <c r="X502" t="n">
        <v>1</v>
      </c>
      <c r="Y502" t="n">
        <v>70002</v>
      </c>
      <c r="Z502" t="n">
        <v>3</v>
      </c>
      <c r="AA502" t="n">
        <v>1</v>
      </c>
      <c r="AB502" t="n">
        <v>1001</v>
      </c>
      <c r="AC502" t="n">
        <v>50</v>
      </c>
      <c r="AD502" t="n">
        <v>1</v>
      </c>
      <c r="AE502" t="n">
        <v>8000</v>
      </c>
      <c r="AF502" t="n">
        <v>1570</v>
      </c>
      <c r="AG502" t="n">
        <v>1</v>
      </c>
    </row>
    <row r="503" ht="38.25" customHeight="1" s="142">
      <c r="A503" t="n">
        <v>1397</v>
      </c>
      <c r="B503" t="inlineStr">
        <is>
          <t>main</t>
        </is>
      </c>
      <c r="C503" t="n">
        <v>11</v>
      </c>
      <c r="D503" t="inlineStr">
        <is>
          <t>11-48</t>
        </is>
      </c>
      <c r="E503" t="n">
        <v>150</v>
      </c>
      <c r="G503" s="90" t="inlineStr">
        <is>
          <t>{role:-1},{state:-60015}
{id:-1},{id:-1},{id:-1},{id:-1},{id:-1}
{id:40055},{id:40081},{id:40080},{id:40081},{id:40065}</t>
        </is>
      </c>
      <c r="I503" t="n">
        <v>50845</v>
      </c>
      <c r="J503" s="80" t="inlineStr">
        <is>
          <t>武士之魂</t>
        </is>
      </c>
      <c r="K503" t="inlineStr">
        <is>
          <t>buff</t>
        </is>
      </c>
      <c r="L503" t="n">
        <v>9006</v>
      </c>
      <c r="M503" t="inlineStr">
        <is>
          <t>8,9,11</t>
        </is>
      </c>
      <c r="O503" t="n">
        <v>0.3</v>
      </c>
      <c r="P503" s="80" t="inlineStr">
        <is>
          <t>妖氣繚繞</t>
        </is>
      </c>
      <c r="Q503" t="inlineStr">
        <is>
          <t>debuff</t>
        </is>
      </c>
      <c r="R503" t="n">
        <v>9003</v>
      </c>
      <c r="S503" t="inlineStr">
        <is>
          <t>1,8,9</t>
        </is>
      </c>
      <c r="U503" t="n">
        <v>0.6</v>
      </c>
      <c r="V503" t="n">
        <v>70001</v>
      </c>
      <c r="W503" t="n">
        <v>3</v>
      </c>
      <c r="X503" t="n">
        <v>1</v>
      </c>
      <c r="Y503" t="n">
        <v>70002</v>
      </c>
      <c r="Z503" t="n">
        <v>3</v>
      </c>
      <c r="AA503" t="n">
        <v>1</v>
      </c>
      <c r="AB503" t="n">
        <v>1001</v>
      </c>
      <c r="AC503" t="n">
        <v>50</v>
      </c>
      <c r="AD503" t="n">
        <v>1</v>
      </c>
      <c r="AE503" t="n">
        <v>8000</v>
      </c>
      <c r="AF503" t="n">
        <v>1570</v>
      </c>
      <c r="AG503" t="n">
        <v>1</v>
      </c>
    </row>
    <row r="504" ht="38.25" customHeight="1" s="142">
      <c r="A504" t="n">
        <v>1398</v>
      </c>
      <c r="B504" t="inlineStr">
        <is>
          <t>main</t>
        </is>
      </c>
      <c r="C504" t="n">
        <v>11</v>
      </c>
      <c r="D504" t="inlineStr">
        <is>
          <t>11-49</t>
        </is>
      </c>
      <c r="E504" t="n">
        <v>150</v>
      </c>
      <c r="G504" s="90" t="inlineStr">
        <is>
          <t>{role:-1},{state:-60015}
{id:-1},{id:-1},{id:-1},{id:-1},{id:-1}
{id:40079},{id:40081},{id:40079},{id:40079},{id:40065}</t>
        </is>
      </c>
      <c r="I504" t="n">
        <v>50970</v>
      </c>
      <c r="J504" s="80" t="inlineStr">
        <is>
          <t>武士之魂</t>
        </is>
      </c>
      <c r="K504" t="inlineStr">
        <is>
          <t>buff</t>
        </is>
      </c>
      <c r="L504" t="n">
        <v>9006</v>
      </c>
      <c r="M504" t="inlineStr">
        <is>
          <t>7,10</t>
        </is>
      </c>
      <c r="O504" t="n">
        <v>0.2</v>
      </c>
      <c r="P504" s="80" t="inlineStr">
        <is>
          <t>妖氣繚繞</t>
        </is>
      </c>
      <c r="Q504" t="inlineStr">
        <is>
          <t>debuff</t>
        </is>
      </c>
      <c r="R504" t="n">
        <v>9004</v>
      </c>
      <c r="S504" t="inlineStr">
        <is>
          <t>3,8,12</t>
        </is>
      </c>
      <c r="U504" t="n">
        <v>0.7</v>
      </c>
      <c r="V504" t="n">
        <v>70001</v>
      </c>
      <c r="W504" t="n">
        <v>3</v>
      </c>
      <c r="X504" t="n">
        <v>1</v>
      </c>
      <c r="Y504" t="n">
        <v>70002</v>
      </c>
      <c r="Z504" t="n">
        <v>3</v>
      </c>
      <c r="AA504" t="n">
        <v>1</v>
      </c>
      <c r="AB504" t="n">
        <v>1001</v>
      </c>
      <c r="AC504" t="n">
        <v>50</v>
      </c>
      <c r="AD504" t="n">
        <v>1</v>
      </c>
      <c r="AE504" t="n">
        <v>8000</v>
      </c>
      <c r="AF504" t="n">
        <v>1580</v>
      </c>
      <c r="AG504" t="n">
        <v>1</v>
      </c>
    </row>
    <row r="505" ht="38.25" customHeight="1" s="142">
      <c r="A505" t="n">
        <v>1399</v>
      </c>
      <c r="B505" t="inlineStr">
        <is>
          <t>main</t>
        </is>
      </c>
      <c r="C505" t="n">
        <v>11</v>
      </c>
      <c r="D505" t="inlineStr">
        <is>
          <t>11-50</t>
        </is>
      </c>
      <c r="E505" t="n">
        <v>150</v>
      </c>
      <c r="G505" s="90" t="inlineStr">
        <is>
          <t>{role:-1},{state:-60015}
{id:-1},{id:-1},{id:-1},{id:-1},{id:-1}
{id:50012},{id:40055},{id:40081},{id:40079},{id:40080}</t>
        </is>
      </c>
      <c r="I505" t="n">
        <v>51095</v>
      </c>
      <c r="J505" s="80" t="inlineStr">
        <is>
          <t>武士之魂</t>
        </is>
      </c>
      <c r="K505" t="inlineStr">
        <is>
          <t>buff</t>
        </is>
      </c>
      <c r="L505" t="n">
        <v>9001</v>
      </c>
      <c r="M505" t="inlineStr">
        <is>
          <t>10,12,13</t>
        </is>
      </c>
      <c r="O505" t="n">
        <v>0.5</v>
      </c>
      <c r="P505" s="80" t="inlineStr">
        <is>
          <t>妖氣繚繞</t>
        </is>
      </c>
      <c r="Q505" t="inlineStr">
        <is>
          <t>debuff</t>
        </is>
      </c>
      <c r="R505" t="n">
        <v>9012</v>
      </c>
      <c r="S505" t="inlineStr">
        <is>
          <t>11,13</t>
        </is>
      </c>
      <c r="U505" t="n">
        <v>0.3</v>
      </c>
      <c r="V505" t="n">
        <v>70001</v>
      </c>
      <c r="W505" t="n">
        <v>3</v>
      </c>
      <c r="X505" t="n">
        <v>1</v>
      </c>
      <c r="Y505" t="n">
        <v>70002</v>
      </c>
      <c r="Z505" t="n">
        <v>3</v>
      </c>
      <c r="AA505" t="n">
        <v>1</v>
      </c>
      <c r="AB505" t="n">
        <v>1001</v>
      </c>
      <c r="AC505" t="n">
        <v>50</v>
      </c>
      <c r="AD505" t="n">
        <v>1</v>
      </c>
      <c r="AE505" t="n">
        <v>8000</v>
      </c>
      <c r="AF505" t="n">
        <v>1580</v>
      </c>
      <c r="AG505" t="n">
        <v>1</v>
      </c>
    </row>
    <row r="506" ht="38.25" customHeight="1" s="142">
      <c r="A506" t="n">
        <v>1400</v>
      </c>
      <c r="B506" t="inlineStr">
        <is>
          <t>main</t>
        </is>
      </c>
      <c r="C506" t="n">
        <v>12</v>
      </c>
      <c r="D506" t="inlineStr">
        <is>
          <t>12-1</t>
        </is>
      </c>
      <c r="E506" t="n">
        <v>150</v>
      </c>
      <c r="G506" s="90" t="inlineStr">
        <is>
          <t>{role:-1},{state:-60016}
{id:-1},{id:-1},{id:-1},{id:-1},{id:-1}
{id:40059},{id:40083}</t>
        </is>
      </c>
      <c r="I506" t="n">
        <v>51220</v>
      </c>
      <c r="J506" s="80" t="inlineStr">
        <is>
          <t>熔岩噴發</t>
        </is>
      </c>
      <c r="K506" t="inlineStr">
        <is>
          <t>buff</t>
        </is>
      </c>
      <c r="L506" t="n">
        <v>9005</v>
      </c>
      <c r="M506" t="n">
        <v>10</v>
      </c>
      <c r="O506" t="n">
        <v>0.3</v>
      </c>
      <c r="P506" s="80" t="inlineStr">
        <is>
          <t>灼熱風暴</t>
        </is>
      </c>
      <c r="Q506" t="inlineStr">
        <is>
          <t>debuff</t>
        </is>
      </c>
      <c r="R506" t="n">
        <v>9008</v>
      </c>
      <c r="S506" t="n">
        <v>6</v>
      </c>
      <c r="U506" t="n">
        <v>0.9</v>
      </c>
      <c r="V506" t="n">
        <v>70001</v>
      </c>
      <c r="W506" t="n">
        <v>3</v>
      </c>
      <c r="X506" t="n">
        <v>1</v>
      </c>
      <c r="Y506" t="n">
        <v>70002</v>
      </c>
      <c r="Z506" t="n">
        <v>3</v>
      </c>
      <c r="AA506" t="n">
        <v>1</v>
      </c>
      <c r="AB506" t="n">
        <v>1001</v>
      </c>
      <c r="AC506" t="n">
        <v>50</v>
      </c>
      <c r="AD506" t="n">
        <v>1</v>
      </c>
      <c r="AE506" t="n">
        <v>8000</v>
      </c>
      <c r="AF506" t="n">
        <v>1590</v>
      </c>
      <c r="AG506" t="n">
        <v>1</v>
      </c>
    </row>
    <row r="507" ht="38.25" customHeight="1" s="142">
      <c r="A507" t="n">
        <v>1401</v>
      </c>
      <c r="B507" t="inlineStr">
        <is>
          <t>main</t>
        </is>
      </c>
      <c r="C507" t="n">
        <v>12</v>
      </c>
      <c r="D507" t="inlineStr">
        <is>
          <t>12-2</t>
        </is>
      </c>
      <c r="E507" t="n">
        <v>150</v>
      </c>
      <c r="G507" s="90" t="inlineStr">
        <is>
          <t>{role:-1},{state:-60016}
{id:-1},{id:-1},{id:-1},{id:-1},{id:-1}
{id:40053},{id:40053}</t>
        </is>
      </c>
      <c r="I507" t="n">
        <v>51345</v>
      </c>
      <c r="J507" s="80" t="inlineStr">
        <is>
          <t>熔岩噴發</t>
        </is>
      </c>
      <c r="K507" t="inlineStr">
        <is>
          <t>buff</t>
        </is>
      </c>
      <c r="L507" t="n">
        <v>9006</v>
      </c>
      <c r="M507" t="n">
        <v>8</v>
      </c>
      <c r="O507" t="n">
        <v>0.5</v>
      </c>
      <c r="P507" s="80" t="inlineStr">
        <is>
          <t>灼熱風暴</t>
        </is>
      </c>
      <c r="Q507" t="inlineStr">
        <is>
          <t>debuff</t>
        </is>
      </c>
      <c r="R507" t="n">
        <v>9011</v>
      </c>
      <c r="S507" t="inlineStr">
        <is>
          <t>1,7</t>
        </is>
      </c>
      <c r="U507" t="n">
        <v>0.2</v>
      </c>
      <c r="V507" t="n">
        <v>70001</v>
      </c>
      <c r="W507" t="n">
        <v>3</v>
      </c>
      <c r="X507" t="n">
        <v>1</v>
      </c>
      <c r="Y507" t="n">
        <v>70002</v>
      </c>
      <c r="Z507" t="n">
        <v>3</v>
      </c>
      <c r="AA507" t="n">
        <v>1</v>
      </c>
      <c r="AB507" t="n">
        <v>1001</v>
      </c>
      <c r="AC507" t="n">
        <v>50</v>
      </c>
      <c r="AD507" t="n">
        <v>1</v>
      </c>
      <c r="AE507" t="n">
        <v>8000</v>
      </c>
      <c r="AF507" t="n">
        <v>1590</v>
      </c>
      <c r="AG507" t="n">
        <v>1</v>
      </c>
    </row>
    <row r="508" ht="38.25" customHeight="1" s="142">
      <c r="A508" t="n">
        <v>1402</v>
      </c>
      <c r="B508" t="inlineStr">
        <is>
          <t>main</t>
        </is>
      </c>
      <c r="C508" t="n">
        <v>12</v>
      </c>
      <c r="D508" t="inlineStr">
        <is>
          <t>12-3</t>
        </is>
      </c>
      <c r="E508" t="n">
        <v>150</v>
      </c>
      <c r="G508" s="90" t="inlineStr">
        <is>
          <t>{role:-1},{state:-60016}
{id:-1},{id:-1},{id:-1},{id:-1},{id:-1}
{id:40053},{id:40083}</t>
        </is>
      </c>
      <c r="I508" t="n">
        <v>51470</v>
      </c>
      <c r="J508" s="80" t="inlineStr">
        <is>
          <t>熔岩噴發</t>
        </is>
      </c>
      <c r="K508" t="inlineStr">
        <is>
          <t>buff</t>
        </is>
      </c>
      <c r="L508" t="n">
        <v>9011</v>
      </c>
      <c r="M508" t="inlineStr">
        <is>
          <t>3,4,6</t>
        </is>
      </c>
      <c r="O508" t="n">
        <v>0.5</v>
      </c>
      <c r="P508" s="80" t="inlineStr">
        <is>
          <t>灼熱風暴</t>
        </is>
      </c>
      <c r="Q508" t="inlineStr">
        <is>
          <t>debuff</t>
        </is>
      </c>
      <c r="R508" t="n">
        <v>9008</v>
      </c>
      <c r="S508" t="inlineStr">
        <is>
          <t>3,7,9</t>
        </is>
      </c>
      <c r="U508" t="n">
        <v>0.8</v>
      </c>
      <c r="V508" t="n">
        <v>70001</v>
      </c>
      <c r="W508" t="n">
        <v>3</v>
      </c>
      <c r="X508" t="n">
        <v>1</v>
      </c>
      <c r="Y508" t="n">
        <v>70002</v>
      </c>
      <c r="Z508" t="n">
        <v>3</v>
      </c>
      <c r="AA508" t="n">
        <v>1</v>
      </c>
      <c r="AB508" t="n">
        <v>1001</v>
      </c>
      <c r="AC508" t="n">
        <v>50</v>
      </c>
      <c r="AD508" t="n">
        <v>1</v>
      </c>
      <c r="AE508" t="n">
        <v>8000</v>
      </c>
      <c r="AF508" t="n">
        <v>1600</v>
      </c>
      <c r="AG508" t="n">
        <v>1</v>
      </c>
    </row>
    <row r="509" ht="38.25" customHeight="1" s="142">
      <c r="A509" t="n">
        <v>1403</v>
      </c>
      <c r="B509" t="inlineStr">
        <is>
          <t>main</t>
        </is>
      </c>
      <c r="C509" t="n">
        <v>12</v>
      </c>
      <c r="D509" t="inlineStr">
        <is>
          <t>12-4</t>
        </is>
      </c>
      <c r="E509" t="n">
        <v>150</v>
      </c>
      <c r="G509" s="90" t="inlineStr">
        <is>
          <t>{role:-1},{state:-60016}
{id:-1},{id:-1},{id:-1},{id:-1},{id:-1}
{id:40059},{id:40083}</t>
        </is>
      </c>
      <c r="I509" t="n">
        <v>51595</v>
      </c>
      <c r="J509" s="80" t="inlineStr">
        <is>
          <t>熔岩噴發</t>
        </is>
      </c>
      <c r="K509" t="inlineStr">
        <is>
          <t>buff</t>
        </is>
      </c>
      <c r="L509" t="n">
        <v>9002</v>
      </c>
      <c r="M509" t="n">
        <v>1</v>
      </c>
      <c r="O509" t="n">
        <v>0.6</v>
      </c>
      <c r="P509" s="80" t="inlineStr">
        <is>
          <t>灼熱風暴</t>
        </is>
      </c>
      <c r="Q509" t="inlineStr">
        <is>
          <t>debuff</t>
        </is>
      </c>
      <c r="R509" t="n">
        <v>9011</v>
      </c>
      <c r="S509" t="inlineStr">
        <is>
          <t>2,12</t>
        </is>
      </c>
      <c r="U509" t="n">
        <v>0.3</v>
      </c>
      <c r="V509" t="n">
        <v>70001</v>
      </c>
      <c r="W509" t="n">
        <v>3</v>
      </c>
      <c r="X509" t="n">
        <v>1</v>
      </c>
      <c r="Y509" t="n">
        <v>70002</v>
      </c>
      <c r="Z509" t="n">
        <v>3</v>
      </c>
      <c r="AA509" t="n">
        <v>1</v>
      </c>
      <c r="AB509" t="n">
        <v>1001</v>
      </c>
      <c r="AC509" t="n">
        <v>50</v>
      </c>
      <c r="AD509" t="n">
        <v>1</v>
      </c>
      <c r="AE509" t="n">
        <v>8000</v>
      </c>
      <c r="AF509" t="n">
        <v>1600</v>
      </c>
      <c r="AG509" t="n">
        <v>1</v>
      </c>
    </row>
    <row r="510" ht="38.25" customHeight="1" s="142">
      <c r="A510" t="n">
        <v>1404</v>
      </c>
      <c r="B510" t="inlineStr">
        <is>
          <t>main</t>
        </is>
      </c>
      <c r="C510" t="n">
        <v>12</v>
      </c>
      <c r="D510" t="inlineStr">
        <is>
          <t>12-5</t>
        </is>
      </c>
      <c r="E510" t="n">
        <v>150</v>
      </c>
      <c r="G510" s="90" t="inlineStr">
        <is>
          <t>{role:-1},{state:-60016}
{id:-1},{id:-1},{id:-1},{id:-1},{id:-1}
{id:40053},{id:40083}</t>
        </is>
      </c>
      <c r="I510" t="n">
        <v>51720</v>
      </c>
      <c r="J510" s="80" t="inlineStr">
        <is>
          <t>熔岩噴發</t>
        </is>
      </c>
      <c r="K510" t="inlineStr">
        <is>
          <t>buff</t>
        </is>
      </c>
      <c r="L510" t="n">
        <v>9008</v>
      </c>
      <c r="M510" t="n">
        <v>4</v>
      </c>
      <c r="O510" t="n">
        <v>0.3</v>
      </c>
      <c r="P510" s="80" t="inlineStr">
        <is>
          <t>灼熱風暴</t>
        </is>
      </c>
      <c r="Q510" t="inlineStr">
        <is>
          <t>debuff</t>
        </is>
      </c>
      <c r="R510" t="n">
        <v>9012</v>
      </c>
      <c r="S510" t="n">
        <v>13</v>
      </c>
      <c r="U510" t="n">
        <v>0.7</v>
      </c>
      <c r="V510" t="n">
        <v>70001</v>
      </c>
      <c r="W510" t="n">
        <v>3</v>
      </c>
      <c r="X510" t="n">
        <v>1</v>
      </c>
      <c r="Y510" t="n">
        <v>70002</v>
      </c>
      <c r="Z510" t="n">
        <v>3</v>
      </c>
      <c r="AA510" t="n">
        <v>1</v>
      </c>
      <c r="AB510" t="n">
        <v>1001</v>
      </c>
      <c r="AC510" t="n">
        <v>50</v>
      </c>
      <c r="AD510" t="n">
        <v>1</v>
      </c>
      <c r="AE510" t="n">
        <v>8000</v>
      </c>
      <c r="AF510" t="n">
        <v>1610</v>
      </c>
      <c r="AG510" t="n">
        <v>1</v>
      </c>
    </row>
    <row r="511" ht="38.25" customHeight="1" s="142">
      <c r="A511" t="n">
        <v>1405</v>
      </c>
      <c r="B511" t="inlineStr">
        <is>
          <t>main</t>
        </is>
      </c>
      <c r="C511" t="n">
        <v>12</v>
      </c>
      <c r="D511" t="inlineStr">
        <is>
          <t>12-6</t>
        </is>
      </c>
      <c r="E511" t="n">
        <v>150</v>
      </c>
      <c r="G511" s="90" t="inlineStr">
        <is>
          <t>{role:-1},{state:-60016}
{id:-1},{id:-1},{id:-1},{id:-1},{id:-1}
{id:40053},{id:40083},{id:40053}</t>
        </is>
      </c>
      <c r="I511" t="n">
        <v>51845</v>
      </c>
      <c r="J511" s="80" t="inlineStr">
        <is>
          <t>熔岩噴發</t>
        </is>
      </c>
      <c r="K511" t="inlineStr">
        <is>
          <t>buff</t>
        </is>
      </c>
      <c r="L511" t="n">
        <v>9008</v>
      </c>
      <c r="M511" t="inlineStr">
        <is>
          <t>7,9,11</t>
        </is>
      </c>
      <c r="O511" t="n">
        <v>0.8</v>
      </c>
      <c r="P511" s="80" t="inlineStr">
        <is>
          <t>灼熱風暴</t>
        </is>
      </c>
      <c r="Q511" t="inlineStr">
        <is>
          <t>debuff</t>
        </is>
      </c>
      <c r="R511" t="n">
        <v>9010</v>
      </c>
      <c r="S511" t="n">
        <v>6</v>
      </c>
      <c r="U511" t="n">
        <v>0.7</v>
      </c>
      <c r="V511" t="n">
        <v>70001</v>
      </c>
      <c r="W511" t="n">
        <v>3</v>
      </c>
      <c r="X511" t="n">
        <v>1</v>
      </c>
      <c r="Y511" t="n">
        <v>70002</v>
      </c>
      <c r="Z511" t="n">
        <v>3</v>
      </c>
      <c r="AA511" t="n">
        <v>1</v>
      </c>
      <c r="AB511" t="n">
        <v>1001</v>
      </c>
      <c r="AC511" t="n">
        <v>50</v>
      </c>
      <c r="AD511" t="n">
        <v>1</v>
      </c>
      <c r="AE511" t="n">
        <v>8000</v>
      </c>
      <c r="AF511" t="n">
        <v>1610</v>
      </c>
      <c r="AG511" t="n">
        <v>1</v>
      </c>
    </row>
    <row r="512" ht="38.25" customHeight="1" s="142">
      <c r="A512" t="n">
        <v>1406</v>
      </c>
      <c r="B512" t="inlineStr">
        <is>
          <t>main</t>
        </is>
      </c>
      <c r="C512" t="n">
        <v>12</v>
      </c>
      <c r="D512" t="inlineStr">
        <is>
          <t>12-7</t>
        </is>
      </c>
      <c r="E512" t="n">
        <v>150</v>
      </c>
      <c r="G512" s="90" t="inlineStr">
        <is>
          <t>{role:-1},{state:-60016}
{id:-1},{id:-1},{id:-1},{id:-1},{id:-1}
{id:40083},{id:40059},{id:40082}</t>
        </is>
      </c>
      <c r="I512" t="n">
        <v>51970</v>
      </c>
      <c r="J512" s="80" t="inlineStr">
        <is>
          <t>熔岩噴發</t>
        </is>
      </c>
      <c r="K512" t="inlineStr">
        <is>
          <t>buff</t>
        </is>
      </c>
      <c r="L512" t="n">
        <v>9005</v>
      </c>
      <c r="M512" t="n">
        <v>12</v>
      </c>
      <c r="O512" t="n">
        <v>0.3</v>
      </c>
      <c r="P512" s="80" t="inlineStr">
        <is>
          <t>灼熱風暴</t>
        </is>
      </c>
      <c r="Q512" t="inlineStr">
        <is>
          <t>debuff</t>
        </is>
      </c>
      <c r="R512" t="n">
        <v>9003</v>
      </c>
      <c r="S512" t="n">
        <v>3</v>
      </c>
      <c r="U512" t="n">
        <v>0.7</v>
      </c>
      <c r="V512" t="n">
        <v>70001</v>
      </c>
      <c r="W512" t="n">
        <v>3</v>
      </c>
      <c r="X512" t="n">
        <v>1</v>
      </c>
      <c r="Y512" t="n">
        <v>70002</v>
      </c>
      <c r="Z512" t="n">
        <v>3</v>
      </c>
      <c r="AA512" t="n">
        <v>1</v>
      </c>
      <c r="AB512" t="n">
        <v>1001</v>
      </c>
      <c r="AC512" t="n">
        <v>50</v>
      </c>
      <c r="AD512" t="n">
        <v>1</v>
      </c>
      <c r="AE512" t="n">
        <v>8000</v>
      </c>
      <c r="AF512" t="n">
        <v>1620</v>
      </c>
      <c r="AG512" t="n">
        <v>1</v>
      </c>
    </row>
    <row r="513" ht="38.25" customHeight="1" s="142">
      <c r="A513" t="n">
        <v>1407</v>
      </c>
      <c r="B513" t="inlineStr">
        <is>
          <t>main</t>
        </is>
      </c>
      <c r="C513" t="n">
        <v>12</v>
      </c>
      <c r="D513" t="inlineStr">
        <is>
          <t>12-8</t>
        </is>
      </c>
      <c r="E513" t="n">
        <v>150</v>
      </c>
      <c r="G513" s="90" t="inlineStr">
        <is>
          <t>{role:-1},{state:-60016}
{id:-1},{id:-1},{id:-1},{id:-1},{id:-1}
{id:40082},{id:40059},{id:40059}</t>
        </is>
      </c>
      <c r="I513" t="n">
        <v>52095</v>
      </c>
      <c r="J513" s="80" t="inlineStr">
        <is>
          <t>熔岩噴發</t>
        </is>
      </c>
      <c r="K513" t="inlineStr">
        <is>
          <t>buff</t>
        </is>
      </c>
      <c r="L513" t="n">
        <v>9008</v>
      </c>
      <c r="M513" t="inlineStr">
        <is>
          <t>1,12,13</t>
        </is>
      </c>
      <c r="O513" t="n">
        <v>0.2</v>
      </c>
      <c r="P513" s="80" t="inlineStr">
        <is>
          <t>灼熱風暴</t>
        </is>
      </c>
      <c r="Q513" t="inlineStr">
        <is>
          <t>debuff</t>
        </is>
      </c>
      <c r="R513" t="n">
        <v>9010</v>
      </c>
      <c r="S513" t="inlineStr">
        <is>
          <t>2,7,9</t>
        </is>
      </c>
      <c r="U513" t="n">
        <v>0.4</v>
      </c>
      <c r="V513" t="n">
        <v>70001</v>
      </c>
      <c r="W513" t="n">
        <v>3</v>
      </c>
      <c r="X513" t="n">
        <v>1</v>
      </c>
      <c r="Y513" t="n">
        <v>70002</v>
      </c>
      <c r="Z513" t="n">
        <v>3</v>
      </c>
      <c r="AA513" t="n">
        <v>1</v>
      </c>
      <c r="AB513" t="n">
        <v>1001</v>
      </c>
      <c r="AC513" t="n">
        <v>50</v>
      </c>
      <c r="AD513" t="n">
        <v>1</v>
      </c>
      <c r="AE513" t="n">
        <v>8000</v>
      </c>
      <c r="AF513" t="n">
        <v>1620</v>
      </c>
      <c r="AG513" t="n">
        <v>1</v>
      </c>
    </row>
    <row r="514" ht="38.25" customHeight="1" s="142">
      <c r="A514" t="n">
        <v>1408</v>
      </c>
      <c r="B514" t="inlineStr">
        <is>
          <t>main</t>
        </is>
      </c>
      <c r="C514" t="n">
        <v>12</v>
      </c>
      <c r="D514" t="inlineStr">
        <is>
          <t>12-9</t>
        </is>
      </c>
      <c r="E514" t="n">
        <v>150</v>
      </c>
      <c r="G514" s="90" t="inlineStr">
        <is>
          <t>{role:-1},{state:-60016}
{id:-1},{id:-1},{id:-1},{id:-1},{id:-1}
{id:40059},{id:40059},{id:40058}</t>
        </is>
      </c>
      <c r="I514" t="n">
        <v>52220</v>
      </c>
      <c r="J514" s="80" t="inlineStr">
        <is>
          <t>熔岩噴發</t>
        </is>
      </c>
      <c r="K514" t="inlineStr">
        <is>
          <t>buff</t>
        </is>
      </c>
      <c r="L514" t="n">
        <v>9008</v>
      </c>
      <c r="M514" t="inlineStr">
        <is>
          <t>3,5,8</t>
        </is>
      </c>
      <c r="O514" t="n">
        <v>0.3</v>
      </c>
      <c r="P514" s="80" t="inlineStr">
        <is>
          <t>灼熱風暴</t>
        </is>
      </c>
      <c r="Q514" t="inlineStr">
        <is>
          <t>debuff</t>
        </is>
      </c>
      <c r="R514" t="n">
        <v>9004</v>
      </c>
      <c r="S514" t="inlineStr">
        <is>
          <t>4,10</t>
        </is>
      </c>
      <c r="U514" t="n">
        <v>0.6</v>
      </c>
      <c r="V514" t="n">
        <v>70001</v>
      </c>
      <c r="W514" t="n">
        <v>3</v>
      </c>
      <c r="X514" t="n">
        <v>1</v>
      </c>
      <c r="Y514" t="n">
        <v>70002</v>
      </c>
      <c r="Z514" t="n">
        <v>3</v>
      </c>
      <c r="AA514" t="n">
        <v>1</v>
      </c>
      <c r="AB514" t="n">
        <v>1001</v>
      </c>
      <c r="AC514" t="n">
        <v>50</v>
      </c>
      <c r="AD514" t="n">
        <v>1</v>
      </c>
      <c r="AE514" t="n">
        <v>8000</v>
      </c>
      <c r="AF514" t="n">
        <v>1630</v>
      </c>
      <c r="AG514" t="n">
        <v>1</v>
      </c>
    </row>
    <row r="515" ht="38.25" customHeight="1" s="142">
      <c r="A515" t="n">
        <v>1409</v>
      </c>
      <c r="B515" t="inlineStr">
        <is>
          <t>main</t>
        </is>
      </c>
      <c r="C515" t="n">
        <v>12</v>
      </c>
      <c r="D515" t="inlineStr">
        <is>
          <t>12-10</t>
        </is>
      </c>
      <c r="E515" t="n">
        <v>150</v>
      </c>
      <c r="G515" s="90" t="inlineStr">
        <is>
          <t>{role:-1},{state:-60016}
{id:-1},{id:-1},{id:-1},{id:-1},{id:-1}
{id:40059},{id:40058},{id:40083}</t>
        </is>
      </c>
      <c r="I515" t="n">
        <v>52345</v>
      </c>
      <c r="J515" s="80" t="inlineStr">
        <is>
          <t>熔岩噴發</t>
        </is>
      </c>
      <c r="K515" t="inlineStr">
        <is>
          <t>buff</t>
        </is>
      </c>
      <c r="L515" t="n">
        <v>9011</v>
      </c>
      <c r="M515" t="inlineStr">
        <is>
          <t>3,13</t>
        </is>
      </c>
      <c r="O515" t="n">
        <v>0.9</v>
      </c>
      <c r="P515" s="80" t="inlineStr">
        <is>
          <t>灼熱風暴</t>
        </is>
      </c>
      <c r="Q515" t="inlineStr">
        <is>
          <t>debuff</t>
        </is>
      </c>
      <c r="R515" t="n">
        <v>9003</v>
      </c>
      <c r="S515" t="inlineStr">
        <is>
          <t>3,6</t>
        </is>
      </c>
      <c r="U515" t="n">
        <v>0.2</v>
      </c>
      <c r="V515" t="n">
        <v>70001</v>
      </c>
      <c r="W515" t="n">
        <v>3</v>
      </c>
      <c r="X515" t="n">
        <v>1</v>
      </c>
      <c r="Y515" t="n">
        <v>70002</v>
      </c>
      <c r="Z515" t="n">
        <v>3</v>
      </c>
      <c r="AA515" t="n">
        <v>1</v>
      </c>
      <c r="AB515" t="n">
        <v>1001</v>
      </c>
      <c r="AC515" t="n">
        <v>50</v>
      </c>
      <c r="AD515" t="n">
        <v>1</v>
      </c>
      <c r="AE515" t="n">
        <v>8000</v>
      </c>
      <c r="AF515" t="n">
        <v>1630</v>
      </c>
      <c r="AG515" t="n">
        <v>1</v>
      </c>
    </row>
    <row r="516" ht="38.25" customHeight="1" s="142">
      <c r="A516" t="n">
        <v>1410</v>
      </c>
      <c r="B516" t="inlineStr">
        <is>
          <t>main</t>
        </is>
      </c>
      <c r="C516" t="n">
        <v>12</v>
      </c>
      <c r="D516" t="inlineStr">
        <is>
          <t>12-11</t>
        </is>
      </c>
      <c r="E516" t="n">
        <v>150</v>
      </c>
      <c r="G516" s="90" t="inlineStr">
        <is>
          <t>{role:-1},{state:-60016}
{id:-1},{id:-1},{id:-1},{id:-1},{id:-1}
{id:40058},{id:40083},{id:40083}</t>
        </is>
      </c>
      <c r="I516" t="n">
        <v>52470</v>
      </c>
      <c r="J516" s="80" t="inlineStr">
        <is>
          <t>熔岩噴發</t>
        </is>
      </c>
      <c r="K516" t="inlineStr">
        <is>
          <t>buff</t>
        </is>
      </c>
      <c r="L516" t="n">
        <v>9011</v>
      </c>
      <c r="M516" t="inlineStr">
        <is>
          <t>5,8</t>
        </is>
      </c>
      <c r="O516" t="n">
        <v>0.7</v>
      </c>
      <c r="P516" s="80" t="inlineStr">
        <is>
          <t>灼熱風暴</t>
        </is>
      </c>
      <c r="Q516" t="inlineStr">
        <is>
          <t>debuff</t>
        </is>
      </c>
      <c r="R516" t="n">
        <v>9011</v>
      </c>
      <c r="S516" t="inlineStr">
        <is>
          <t>6,12</t>
        </is>
      </c>
      <c r="U516" t="n">
        <v>0.5</v>
      </c>
      <c r="V516" t="n">
        <v>70001</v>
      </c>
      <c r="W516" t="n">
        <v>3</v>
      </c>
      <c r="X516" t="n">
        <v>1</v>
      </c>
      <c r="Y516" t="n">
        <v>70002</v>
      </c>
      <c r="Z516" t="n">
        <v>3</v>
      </c>
      <c r="AA516" t="n">
        <v>1</v>
      </c>
      <c r="AB516" t="n">
        <v>1001</v>
      </c>
      <c r="AC516" t="n">
        <v>50</v>
      </c>
      <c r="AD516" t="n">
        <v>1</v>
      </c>
      <c r="AE516" t="n">
        <v>8000</v>
      </c>
      <c r="AF516" t="n">
        <v>1640</v>
      </c>
      <c r="AG516" t="n">
        <v>1</v>
      </c>
    </row>
    <row r="517" ht="38.25" customHeight="1" s="142">
      <c r="A517" t="n">
        <v>1411</v>
      </c>
      <c r="B517" t="inlineStr">
        <is>
          <t>main</t>
        </is>
      </c>
      <c r="C517" t="n">
        <v>12</v>
      </c>
      <c r="D517" t="inlineStr">
        <is>
          <t>12-12</t>
        </is>
      </c>
      <c r="E517" t="n">
        <v>150</v>
      </c>
      <c r="G517" s="90" t="inlineStr">
        <is>
          <t>{role:-1},{state:-60016}
{id:-1},{id:-1},{id:-1},{id:-1},{id:-1}
{id:40083},{id:40059},{id:40082}</t>
        </is>
      </c>
      <c r="I517" t="n">
        <v>52595</v>
      </c>
      <c r="J517" s="80" t="inlineStr">
        <is>
          <t>熔岩噴發</t>
        </is>
      </c>
      <c r="K517" t="inlineStr">
        <is>
          <t>buff</t>
        </is>
      </c>
      <c r="L517" t="n">
        <v>9001</v>
      </c>
      <c r="M517" t="n">
        <v>2</v>
      </c>
      <c r="O517" t="n">
        <v>0.9</v>
      </c>
      <c r="P517" s="80" t="inlineStr">
        <is>
          <t>灼熱風暴</t>
        </is>
      </c>
      <c r="Q517" t="inlineStr">
        <is>
          <t>debuff</t>
        </is>
      </c>
      <c r="R517" t="n">
        <v>9011</v>
      </c>
      <c r="S517" t="n">
        <v>11</v>
      </c>
      <c r="U517" t="n">
        <v>0.6</v>
      </c>
      <c r="V517" t="n">
        <v>70001</v>
      </c>
      <c r="W517" t="n">
        <v>3</v>
      </c>
      <c r="X517" t="n">
        <v>1</v>
      </c>
      <c r="Y517" t="n">
        <v>70002</v>
      </c>
      <c r="Z517" t="n">
        <v>3</v>
      </c>
      <c r="AA517" t="n">
        <v>1</v>
      </c>
      <c r="AB517" t="n">
        <v>1001</v>
      </c>
      <c r="AC517" t="n">
        <v>50</v>
      </c>
      <c r="AD517" t="n">
        <v>1</v>
      </c>
      <c r="AE517" t="n">
        <v>8000</v>
      </c>
      <c r="AF517" t="n">
        <v>1640</v>
      </c>
      <c r="AG517" t="n">
        <v>1</v>
      </c>
    </row>
    <row r="518" ht="38.25" customHeight="1" s="142">
      <c r="A518" t="n">
        <v>1412</v>
      </c>
      <c r="B518" t="inlineStr">
        <is>
          <t>main</t>
        </is>
      </c>
      <c r="C518" t="n">
        <v>12</v>
      </c>
      <c r="D518" t="inlineStr">
        <is>
          <t>12-13</t>
        </is>
      </c>
      <c r="E518" t="n">
        <v>150</v>
      </c>
      <c r="G518" s="90" t="inlineStr">
        <is>
          <t>{role:-1},{state:-60016}
{id:-1},{id:-1},{id:-1},{id:-1},{id:-1}
{id:40059},{id:40059},{id:40082}</t>
        </is>
      </c>
      <c r="I518" t="n">
        <v>52720</v>
      </c>
      <c r="J518" s="80" t="inlineStr">
        <is>
          <t>熔岩噴發</t>
        </is>
      </c>
      <c r="K518" t="inlineStr">
        <is>
          <t>buff</t>
        </is>
      </c>
      <c r="L518" t="n">
        <v>9002</v>
      </c>
      <c r="M518" t="inlineStr">
        <is>
          <t>3,10,12</t>
        </is>
      </c>
      <c r="O518" t="n">
        <v>0.5</v>
      </c>
      <c r="P518" s="80" t="inlineStr">
        <is>
          <t>灼熱風暴</t>
        </is>
      </c>
      <c r="Q518" t="inlineStr">
        <is>
          <t>debuff</t>
        </is>
      </c>
      <c r="R518" t="n">
        <v>9011</v>
      </c>
      <c r="S518" t="inlineStr">
        <is>
          <t>5,7</t>
        </is>
      </c>
      <c r="U518" t="n">
        <v>0.3</v>
      </c>
      <c r="V518" t="n">
        <v>70001</v>
      </c>
      <c r="W518" t="n">
        <v>3</v>
      </c>
      <c r="X518" t="n">
        <v>1</v>
      </c>
      <c r="Y518" t="n">
        <v>70002</v>
      </c>
      <c r="Z518" t="n">
        <v>3</v>
      </c>
      <c r="AA518" t="n">
        <v>1</v>
      </c>
      <c r="AB518" t="n">
        <v>1001</v>
      </c>
      <c r="AC518" t="n">
        <v>50</v>
      </c>
      <c r="AD518" t="n">
        <v>1</v>
      </c>
      <c r="AE518" t="n">
        <v>8000</v>
      </c>
      <c r="AF518" t="n">
        <v>1650</v>
      </c>
      <c r="AG518" t="n">
        <v>1</v>
      </c>
    </row>
    <row r="519" ht="38.25" customHeight="1" s="142">
      <c r="A519" t="n">
        <v>1413</v>
      </c>
      <c r="B519" t="inlineStr">
        <is>
          <t>main</t>
        </is>
      </c>
      <c r="C519" t="n">
        <v>12</v>
      </c>
      <c r="D519" t="inlineStr">
        <is>
          <t>12-14</t>
        </is>
      </c>
      <c r="E519" t="n">
        <v>150</v>
      </c>
      <c r="G519" s="90" t="inlineStr">
        <is>
          <t>{role:-1},{state:-60016}
{id:-1},{id:-1},{id:-1},{id:-1},{id:-1}
{id:40053},{id:40059},{id:40059}</t>
        </is>
      </c>
      <c r="I519" t="n">
        <v>52845</v>
      </c>
      <c r="J519" s="80" t="inlineStr">
        <is>
          <t>熔岩噴發</t>
        </is>
      </c>
      <c r="K519" t="inlineStr">
        <is>
          <t>buff</t>
        </is>
      </c>
      <c r="L519" t="n">
        <v>9007</v>
      </c>
      <c r="M519" t="n">
        <v>11</v>
      </c>
      <c r="O519" t="n">
        <v>0.3</v>
      </c>
      <c r="P519" s="80" t="inlineStr">
        <is>
          <t>灼熱風暴</t>
        </is>
      </c>
      <c r="Q519" t="inlineStr">
        <is>
          <t>debuff</t>
        </is>
      </c>
      <c r="R519" t="n">
        <v>9008</v>
      </c>
      <c r="S519" t="n">
        <v>9</v>
      </c>
      <c r="U519" t="n">
        <v>0.9</v>
      </c>
      <c r="V519" t="n">
        <v>70001</v>
      </c>
      <c r="W519" t="n">
        <v>3</v>
      </c>
      <c r="X519" t="n">
        <v>1</v>
      </c>
      <c r="Y519" t="n">
        <v>70002</v>
      </c>
      <c r="Z519" t="n">
        <v>3</v>
      </c>
      <c r="AA519" t="n">
        <v>1</v>
      </c>
      <c r="AB519" t="n">
        <v>1001</v>
      </c>
      <c r="AC519" t="n">
        <v>50</v>
      </c>
      <c r="AD519" t="n">
        <v>1</v>
      </c>
      <c r="AE519" t="n">
        <v>8000</v>
      </c>
      <c r="AF519" t="n">
        <v>1650</v>
      </c>
      <c r="AG519" t="n">
        <v>1</v>
      </c>
    </row>
    <row r="520" ht="38.25" customHeight="1" s="142">
      <c r="A520" t="n">
        <v>1414</v>
      </c>
      <c r="B520" t="inlineStr">
        <is>
          <t>main</t>
        </is>
      </c>
      <c r="C520" t="n">
        <v>12</v>
      </c>
      <c r="D520" t="inlineStr">
        <is>
          <t>12-15</t>
        </is>
      </c>
      <c r="E520" t="n">
        <v>150</v>
      </c>
      <c r="G520" s="90" t="inlineStr">
        <is>
          <t>{role:-1},{state:-60016}
{id:-1},{id:-1},{id:-1},{id:-1},{id:-1}
{id:40059},{id:40083},{id:40058}</t>
        </is>
      </c>
      <c r="I520" t="n">
        <v>52970</v>
      </c>
      <c r="J520" s="80" t="inlineStr">
        <is>
          <t>熔岩噴發</t>
        </is>
      </c>
      <c r="K520" t="inlineStr">
        <is>
          <t>buff</t>
        </is>
      </c>
      <c r="L520" t="n">
        <v>9001</v>
      </c>
      <c r="M520" t="n">
        <v>3</v>
      </c>
      <c r="O520" t="n">
        <v>0.1</v>
      </c>
      <c r="P520" s="80" t="inlineStr">
        <is>
          <t>灼熱風暴</t>
        </is>
      </c>
      <c r="Q520" t="inlineStr">
        <is>
          <t>debuff</t>
        </is>
      </c>
      <c r="R520" t="n">
        <v>9012</v>
      </c>
      <c r="S520" t="n">
        <v>4</v>
      </c>
      <c r="U520" t="n">
        <v>0.5</v>
      </c>
      <c r="V520" t="n">
        <v>70001</v>
      </c>
      <c r="W520" t="n">
        <v>3</v>
      </c>
      <c r="X520" t="n">
        <v>1</v>
      </c>
      <c r="Y520" t="n">
        <v>70002</v>
      </c>
      <c r="Z520" t="n">
        <v>3</v>
      </c>
      <c r="AA520" t="n">
        <v>1</v>
      </c>
      <c r="AB520" t="n">
        <v>1001</v>
      </c>
      <c r="AC520" t="n">
        <v>50</v>
      </c>
      <c r="AD520" t="n">
        <v>1</v>
      </c>
      <c r="AE520" t="n">
        <v>8000</v>
      </c>
      <c r="AF520" t="n">
        <v>1660</v>
      </c>
      <c r="AG520" t="n">
        <v>1</v>
      </c>
    </row>
    <row r="521" ht="38.25" customHeight="1" s="142">
      <c r="A521" t="n">
        <v>1415</v>
      </c>
      <c r="B521" t="inlineStr">
        <is>
          <t>main</t>
        </is>
      </c>
      <c r="C521" t="n">
        <v>12</v>
      </c>
      <c r="D521" t="inlineStr">
        <is>
          <t>12-16</t>
        </is>
      </c>
      <c r="E521" t="n">
        <v>150</v>
      </c>
      <c r="G521" s="90" t="inlineStr">
        <is>
          <t>{role:-1},{state:-60016}
{id:-1},{id:-1},{id:-1},{id:-1},{id:-1}
{id:40082},{id:40053},{id:40053},{id:40059}</t>
        </is>
      </c>
      <c r="I521" t="n">
        <v>53095</v>
      </c>
      <c r="J521" s="80" t="inlineStr">
        <is>
          <t>熔岩噴發</t>
        </is>
      </c>
      <c r="K521" t="inlineStr">
        <is>
          <t>buff</t>
        </is>
      </c>
      <c r="L521" t="n">
        <v>9001</v>
      </c>
      <c r="M521" t="n">
        <v>13</v>
      </c>
      <c r="O521" t="n">
        <v>0.8</v>
      </c>
      <c r="P521" s="80" t="inlineStr">
        <is>
          <t>灼熱風暴</t>
        </is>
      </c>
      <c r="Q521" t="inlineStr">
        <is>
          <t>debuff</t>
        </is>
      </c>
      <c r="R521" t="n">
        <v>9003</v>
      </c>
      <c r="S521" t="inlineStr">
        <is>
          <t>4,7</t>
        </is>
      </c>
      <c r="U521" t="n">
        <v>0.4</v>
      </c>
      <c r="V521" t="n">
        <v>70001</v>
      </c>
      <c r="W521" t="n">
        <v>3</v>
      </c>
      <c r="X521" t="n">
        <v>1</v>
      </c>
      <c r="Y521" t="n">
        <v>70002</v>
      </c>
      <c r="Z521" t="n">
        <v>3</v>
      </c>
      <c r="AA521" t="n">
        <v>1</v>
      </c>
      <c r="AB521" t="n">
        <v>1001</v>
      </c>
      <c r="AC521" t="n">
        <v>50</v>
      </c>
      <c r="AD521" t="n">
        <v>1</v>
      </c>
      <c r="AE521" t="n">
        <v>8000</v>
      </c>
      <c r="AF521" t="n">
        <v>1660</v>
      </c>
      <c r="AG521" t="n">
        <v>1</v>
      </c>
    </row>
    <row r="522" ht="38.25" customHeight="1" s="142">
      <c r="A522" t="n">
        <v>1416</v>
      </c>
      <c r="B522" t="inlineStr">
        <is>
          <t>main</t>
        </is>
      </c>
      <c r="C522" t="n">
        <v>12</v>
      </c>
      <c r="D522" t="inlineStr">
        <is>
          <t>12-17</t>
        </is>
      </c>
      <c r="E522" t="n">
        <v>150</v>
      </c>
      <c r="G522" s="90" t="inlineStr">
        <is>
          <t>{role:-1},{state:-60016}
{id:-1},{id:-1},{id:-1},{id:-1},{id:-1}
{id:40082},{id:40058},{id:40082},{id:40053}</t>
        </is>
      </c>
      <c r="I522" t="n">
        <v>53220</v>
      </c>
      <c r="J522" s="80" t="inlineStr">
        <is>
          <t>熔岩噴發</t>
        </is>
      </c>
      <c r="K522" t="inlineStr">
        <is>
          <t>buff</t>
        </is>
      </c>
      <c r="L522" t="n">
        <v>9005</v>
      </c>
      <c r="M522" t="inlineStr">
        <is>
          <t>6,7,13</t>
        </is>
      </c>
      <c r="O522" t="n">
        <v>0.1</v>
      </c>
      <c r="P522" s="80" t="inlineStr">
        <is>
          <t>灼熱風暴</t>
        </is>
      </c>
      <c r="Q522" t="inlineStr">
        <is>
          <t>debuff</t>
        </is>
      </c>
      <c r="R522" t="n">
        <v>9003</v>
      </c>
      <c r="S522" t="inlineStr">
        <is>
          <t>4,6,9</t>
        </is>
      </c>
      <c r="U522" t="n">
        <v>0.3</v>
      </c>
      <c r="V522" t="n">
        <v>70001</v>
      </c>
      <c r="W522" t="n">
        <v>3</v>
      </c>
      <c r="X522" t="n">
        <v>1</v>
      </c>
      <c r="Y522" t="n">
        <v>70002</v>
      </c>
      <c r="Z522" t="n">
        <v>3</v>
      </c>
      <c r="AA522" t="n">
        <v>1</v>
      </c>
      <c r="AB522" t="n">
        <v>1001</v>
      </c>
      <c r="AC522" t="n">
        <v>50</v>
      </c>
      <c r="AD522" t="n">
        <v>1</v>
      </c>
      <c r="AE522" t="n">
        <v>8000</v>
      </c>
      <c r="AF522" t="n">
        <v>1670</v>
      </c>
      <c r="AG522" t="n">
        <v>1</v>
      </c>
    </row>
    <row r="523" ht="38.25" customHeight="1" s="142">
      <c r="A523" t="n">
        <v>1417</v>
      </c>
      <c r="B523" t="inlineStr">
        <is>
          <t>main</t>
        </is>
      </c>
      <c r="C523" t="n">
        <v>12</v>
      </c>
      <c r="D523" t="inlineStr">
        <is>
          <t>12-18</t>
        </is>
      </c>
      <c r="E523" t="n">
        <v>150</v>
      </c>
      <c r="G523" s="90" t="inlineStr">
        <is>
          <t>{role:-1},{state:-60016}
{id:-1},{id:-1},{id:-1},{id:-1},{id:-1}
{id:40053},{id:40053},{id:40053},{id:40058}</t>
        </is>
      </c>
      <c r="I523" t="n">
        <v>53345</v>
      </c>
      <c r="J523" s="80" t="inlineStr">
        <is>
          <t>熔岩噴發</t>
        </is>
      </c>
      <c r="K523" t="inlineStr">
        <is>
          <t>buff</t>
        </is>
      </c>
      <c r="L523" t="n">
        <v>9006</v>
      </c>
      <c r="M523" t="n">
        <v>7</v>
      </c>
      <c r="O523" t="n">
        <v>0.3</v>
      </c>
      <c r="P523" s="80" t="inlineStr">
        <is>
          <t>灼熱風暴</t>
        </is>
      </c>
      <c r="Q523" t="inlineStr">
        <is>
          <t>debuff</t>
        </is>
      </c>
      <c r="R523" t="n">
        <v>9007</v>
      </c>
      <c r="S523" t="inlineStr">
        <is>
          <t>1,8</t>
        </is>
      </c>
      <c r="U523" t="n">
        <v>0.9</v>
      </c>
      <c r="V523" t="n">
        <v>70001</v>
      </c>
      <c r="W523" t="n">
        <v>3</v>
      </c>
      <c r="X523" t="n">
        <v>1</v>
      </c>
      <c r="Y523" t="n">
        <v>70002</v>
      </c>
      <c r="Z523" t="n">
        <v>3</v>
      </c>
      <c r="AA523" t="n">
        <v>1</v>
      </c>
      <c r="AB523" t="n">
        <v>1001</v>
      </c>
      <c r="AC523" t="n">
        <v>50</v>
      </c>
      <c r="AD523" t="n">
        <v>1</v>
      </c>
      <c r="AE523" t="n">
        <v>8000</v>
      </c>
      <c r="AF523" t="n">
        <v>1680</v>
      </c>
      <c r="AG523" t="n">
        <v>1</v>
      </c>
    </row>
    <row r="524" ht="38.25" customHeight="1" s="142">
      <c r="A524" t="n">
        <v>1418</v>
      </c>
      <c r="B524" t="inlineStr">
        <is>
          <t>main</t>
        </is>
      </c>
      <c r="C524" t="n">
        <v>12</v>
      </c>
      <c r="D524" t="inlineStr">
        <is>
          <t>12-19</t>
        </is>
      </c>
      <c r="E524" t="n">
        <v>150</v>
      </c>
      <c r="G524" s="90" t="inlineStr">
        <is>
          <t>{role:-1},{state:-60016}
{id:-1},{id:-1},{id:-1},{id:-1},{id:-1}
{id:40053},{id:40059},{id:40053},{id:40083}</t>
        </is>
      </c>
      <c r="I524" t="n">
        <v>53470</v>
      </c>
      <c r="J524" s="80" t="inlineStr">
        <is>
          <t>熔岩噴發</t>
        </is>
      </c>
      <c r="K524" t="inlineStr">
        <is>
          <t>buff</t>
        </is>
      </c>
      <c r="L524" t="n">
        <v>9006</v>
      </c>
      <c r="M524" t="inlineStr">
        <is>
          <t>1,7</t>
        </is>
      </c>
      <c r="O524" t="n">
        <v>0.3</v>
      </c>
      <c r="P524" s="80" t="inlineStr">
        <is>
          <t>灼熱風暴</t>
        </is>
      </c>
      <c r="Q524" t="inlineStr">
        <is>
          <t>debuff</t>
        </is>
      </c>
      <c r="R524" t="n">
        <v>9003</v>
      </c>
      <c r="S524" t="inlineStr">
        <is>
          <t>3,10,12</t>
        </is>
      </c>
      <c r="U524" t="n">
        <v>0.6</v>
      </c>
      <c r="V524" t="n">
        <v>70001</v>
      </c>
      <c r="W524" t="n">
        <v>3</v>
      </c>
      <c r="X524" t="n">
        <v>1</v>
      </c>
      <c r="Y524" t="n">
        <v>70002</v>
      </c>
      <c r="Z524" t="n">
        <v>3</v>
      </c>
      <c r="AA524" t="n">
        <v>1</v>
      </c>
      <c r="AB524" t="n">
        <v>1001</v>
      </c>
      <c r="AC524" t="n">
        <v>50</v>
      </c>
      <c r="AD524" t="n">
        <v>1</v>
      </c>
      <c r="AE524" t="n">
        <v>8000</v>
      </c>
      <c r="AF524" t="n">
        <v>1680</v>
      </c>
      <c r="AG524" t="n">
        <v>1</v>
      </c>
    </row>
    <row r="525" ht="38.25" customHeight="1" s="142">
      <c r="A525" t="n">
        <v>1419</v>
      </c>
      <c r="B525" t="inlineStr">
        <is>
          <t>main</t>
        </is>
      </c>
      <c r="C525" t="n">
        <v>12</v>
      </c>
      <c r="D525" t="inlineStr">
        <is>
          <t>12-20</t>
        </is>
      </c>
      <c r="E525" t="n">
        <v>150</v>
      </c>
      <c r="G525" s="90" t="inlineStr">
        <is>
          <t>{role:-1},{state:-60016}
{id:-1},{id:-1},{id:-1},{id:-1},{id:-1}
{id:40059},{id:40053},{id:40083},{id:40053}</t>
        </is>
      </c>
      <c r="I525" t="n">
        <v>53595</v>
      </c>
      <c r="J525" s="80" t="inlineStr">
        <is>
          <t>熔岩噴發</t>
        </is>
      </c>
      <c r="K525" t="inlineStr">
        <is>
          <t>buff</t>
        </is>
      </c>
      <c r="L525" t="n">
        <v>9006</v>
      </c>
      <c r="M525" t="inlineStr">
        <is>
          <t>5,11,12</t>
        </is>
      </c>
      <c r="O525" t="n">
        <v>0.6</v>
      </c>
      <c r="P525" s="80" t="inlineStr">
        <is>
          <t>灼熱風暴</t>
        </is>
      </c>
      <c r="Q525" t="inlineStr">
        <is>
          <t>debuff</t>
        </is>
      </c>
      <c r="R525" t="n">
        <v>9011</v>
      </c>
      <c r="S525" t="n">
        <v>12</v>
      </c>
      <c r="U525" t="n">
        <v>0.2</v>
      </c>
      <c r="V525" t="n">
        <v>70001</v>
      </c>
      <c r="W525" t="n">
        <v>3</v>
      </c>
      <c r="X525" t="n">
        <v>1</v>
      </c>
      <c r="Y525" t="n">
        <v>70002</v>
      </c>
      <c r="Z525" t="n">
        <v>3</v>
      </c>
      <c r="AA525" t="n">
        <v>1</v>
      </c>
      <c r="AB525" t="n">
        <v>1001</v>
      </c>
      <c r="AC525" t="n">
        <v>50</v>
      </c>
      <c r="AD525" t="n">
        <v>1</v>
      </c>
      <c r="AE525" t="n">
        <v>8000</v>
      </c>
      <c r="AF525" t="n">
        <v>1690</v>
      </c>
      <c r="AG525" t="n">
        <v>1</v>
      </c>
    </row>
    <row r="526" ht="38.25" customHeight="1" s="142">
      <c r="A526" t="n">
        <v>1420</v>
      </c>
      <c r="B526" t="inlineStr">
        <is>
          <t>main</t>
        </is>
      </c>
      <c r="C526" t="n">
        <v>12</v>
      </c>
      <c r="D526" t="inlineStr">
        <is>
          <t>12-21</t>
        </is>
      </c>
      <c r="E526" t="n">
        <v>150</v>
      </c>
      <c r="G526" s="90" t="inlineStr">
        <is>
          <t>{role:-1},{state:-60016}
{id:-1},{id:-1},{id:-1},{id:-1},{id:-1}
{id:40058},{id:40058},{id:40058},{id:40082},{id:40059}</t>
        </is>
      </c>
      <c r="I526" t="n">
        <v>53720</v>
      </c>
      <c r="J526" s="80" t="inlineStr">
        <is>
          <t>熔岩噴發</t>
        </is>
      </c>
      <c r="K526" t="inlineStr">
        <is>
          <t>buff</t>
        </is>
      </c>
      <c r="L526" t="n">
        <v>9011</v>
      </c>
      <c r="M526" t="inlineStr">
        <is>
          <t>2,5,12</t>
        </is>
      </c>
      <c r="O526" t="n">
        <v>0.9</v>
      </c>
      <c r="P526" s="80" t="inlineStr">
        <is>
          <t>灼熱風暴</t>
        </is>
      </c>
      <c r="Q526" t="inlineStr">
        <is>
          <t>debuff</t>
        </is>
      </c>
      <c r="R526" t="n">
        <v>9011</v>
      </c>
      <c r="S526" t="inlineStr">
        <is>
          <t>2,3</t>
        </is>
      </c>
      <c r="U526" t="n">
        <v>0.8</v>
      </c>
      <c r="V526" t="n">
        <v>70001</v>
      </c>
      <c r="W526" t="n">
        <v>3</v>
      </c>
      <c r="X526" t="n">
        <v>1</v>
      </c>
      <c r="Y526" t="n">
        <v>70002</v>
      </c>
      <c r="Z526" t="n">
        <v>3</v>
      </c>
      <c r="AA526" t="n">
        <v>1</v>
      </c>
      <c r="AB526" t="n">
        <v>1001</v>
      </c>
      <c r="AC526" t="n">
        <v>50</v>
      </c>
      <c r="AD526" t="n">
        <v>1</v>
      </c>
      <c r="AE526" t="n">
        <v>8000</v>
      </c>
      <c r="AF526" t="n">
        <v>1690</v>
      </c>
      <c r="AG526" t="n">
        <v>1</v>
      </c>
    </row>
    <row r="527" ht="38.25" customHeight="1" s="142">
      <c r="A527" t="n">
        <v>1421</v>
      </c>
      <c r="B527" t="inlineStr">
        <is>
          <t>main</t>
        </is>
      </c>
      <c r="C527" t="n">
        <v>12</v>
      </c>
      <c r="D527" t="inlineStr">
        <is>
          <t>12-22</t>
        </is>
      </c>
      <c r="E527" t="n">
        <v>150</v>
      </c>
      <c r="G527" s="90" t="inlineStr">
        <is>
          <t>{role:-1},{state:-60016}
{id:-1},{id:-1},{id:-1},{id:-1},{id:-1}
{id:40053},{id:40059},{id:40082},{id:40082},{id:40059}</t>
        </is>
      </c>
      <c r="I527" t="n">
        <v>53845</v>
      </c>
      <c r="J527" s="80" t="inlineStr">
        <is>
          <t>熔岩噴發</t>
        </is>
      </c>
      <c r="K527" t="inlineStr">
        <is>
          <t>buff</t>
        </is>
      </c>
      <c r="L527" t="n">
        <v>9006</v>
      </c>
      <c r="M527" t="n">
        <v>8</v>
      </c>
      <c r="O527" t="n">
        <v>0.7</v>
      </c>
      <c r="P527" s="80" t="inlineStr">
        <is>
          <t>灼熱風暴</t>
        </is>
      </c>
      <c r="Q527" t="inlineStr">
        <is>
          <t>debuff</t>
        </is>
      </c>
      <c r="R527" t="n">
        <v>9003</v>
      </c>
      <c r="S527" t="inlineStr">
        <is>
          <t>1,5</t>
        </is>
      </c>
      <c r="U527" t="n">
        <v>0.6</v>
      </c>
      <c r="V527" t="n">
        <v>70001</v>
      </c>
      <c r="W527" t="n">
        <v>3</v>
      </c>
      <c r="X527" t="n">
        <v>1</v>
      </c>
      <c r="Y527" t="n">
        <v>70002</v>
      </c>
      <c r="Z527" t="n">
        <v>3</v>
      </c>
      <c r="AA527" t="n">
        <v>1</v>
      </c>
      <c r="AB527" t="n">
        <v>1001</v>
      </c>
      <c r="AC527" t="n">
        <v>50</v>
      </c>
      <c r="AD527" t="n">
        <v>1</v>
      </c>
      <c r="AE527" t="n">
        <v>8000</v>
      </c>
      <c r="AF527" t="n">
        <v>1700</v>
      </c>
      <c r="AG527" t="n">
        <v>1</v>
      </c>
    </row>
    <row r="528" ht="38.25" customHeight="1" s="142">
      <c r="A528" t="n">
        <v>1422</v>
      </c>
      <c r="B528" t="inlineStr">
        <is>
          <t>main</t>
        </is>
      </c>
      <c r="C528" t="n">
        <v>12</v>
      </c>
      <c r="D528" t="inlineStr">
        <is>
          <t>12-23</t>
        </is>
      </c>
      <c r="E528" t="n">
        <v>150</v>
      </c>
      <c r="G528" s="90" t="inlineStr">
        <is>
          <t>{role:-1},{state:-60016}
{id:-1},{id:-1},{id:-1},{id:-1},{id:-1}
{id:40082},{id:40053},{id:40053},{id:40083},{id:40082}</t>
        </is>
      </c>
      <c r="I528" t="n">
        <v>53970</v>
      </c>
      <c r="J528" s="80" t="inlineStr">
        <is>
          <t>熔岩噴發</t>
        </is>
      </c>
      <c r="K528" t="inlineStr">
        <is>
          <t>buff</t>
        </is>
      </c>
      <c r="L528" t="n">
        <v>9005</v>
      </c>
      <c r="M528" t="n">
        <v>11</v>
      </c>
      <c r="O528" t="n">
        <v>0.9</v>
      </c>
      <c r="P528" s="80" t="inlineStr">
        <is>
          <t>灼熱風暴</t>
        </is>
      </c>
      <c r="Q528" t="inlineStr">
        <is>
          <t>debuff</t>
        </is>
      </c>
      <c r="R528" t="n">
        <v>9008</v>
      </c>
      <c r="S528" t="n">
        <v>12</v>
      </c>
      <c r="U528" t="n">
        <v>0.9</v>
      </c>
      <c r="V528" t="n">
        <v>70001</v>
      </c>
      <c r="W528" t="n">
        <v>3</v>
      </c>
      <c r="X528" t="n">
        <v>1</v>
      </c>
      <c r="Y528" t="n">
        <v>70002</v>
      </c>
      <c r="Z528" t="n">
        <v>3</v>
      </c>
      <c r="AA528" t="n">
        <v>1</v>
      </c>
      <c r="AB528" t="n">
        <v>1001</v>
      </c>
      <c r="AC528" t="n">
        <v>50</v>
      </c>
      <c r="AD528" t="n">
        <v>1</v>
      </c>
      <c r="AE528" t="n">
        <v>8000</v>
      </c>
      <c r="AF528" t="n">
        <v>1700</v>
      </c>
      <c r="AG528" t="n">
        <v>1</v>
      </c>
    </row>
    <row r="529" ht="38.25" customHeight="1" s="142">
      <c r="A529" t="n">
        <v>1423</v>
      </c>
      <c r="B529" t="inlineStr">
        <is>
          <t>main</t>
        </is>
      </c>
      <c r="C529" t="n">
        <v>12</v>
      </c>
      <c r="D529" t="inlineStr">
        <is>
          <t>12-24</t>
        </is>
      </c>
      <c r="E529" t="n">
        <v>150</v>
      </c>
      <c r="G529" s="90" t="inlineStr">
        <is>
          <t>{role:-1},{state:-60016}
{id:-1},{id:-1},{id:-1},{id:-1},{id:-1}
{id:40083},{id:40083},{id:40082},{id:40082},{id:40083}</t>
        </is>
      </c>
      <c r="I529" t="n">
        <v>54095</v>
      </c>
      <c r="J529" s="80" t="inlineStr">
        <is>
          <t>熔岩噴發</t>
        </is>
      </c>
      <c r="K529" t="inlineStr">
        <is>
          <t>buff</t>
        </is>
      </c>
      <c r="L529" t="n">
        <v>9011</v>
      </c>
      <c r="M529" t="inlineStr">
        <is>
          <t>10,12</t>
        </is>
      </c>
      <c r="O529" t="n">
        <v>0.8</v>
      </c>
      <c r="P529" s="80" t="inlineStr">
        <is>
          <t>灼熱風暴</t>
        </is>
      </c>
      <c r="Q529" t="inlineStr">
        <is>
          <t>debuff</t>
        </is>
      </c>
      <c r="R529" t="n">
        <v>9008</v>
      </c>
      <c r="S529" t="inlineStr">
        <is>
          <t>2,12</t>
        </is>
      </c>
      <c r="U529" t="n">
        <v>0.5</v>
      </c>
      <c r="V529" t="n">
        <v>70001</v>
      </c>
      <c r="W529" t="n">
        <v>3</v>
      </c>
      <c r="X529" t="n">
        <v>1</v>
      </c>
      <c r="Y529" t="n">
        <v>70002</v>
      </c>
      <c r="Z529" t="n">
        <v>3</v>
      </c>
      <c r="AA529" t="n">
        <v>1</v>
      </c>
      <c r="AB529" t="n">
        <v>1001</v>
      </c>
      <c r="AC529" t="n">
        <v>50</v>
      </c>
      <c r="AD529" t="n">
        <v>1</v>
      </c>
      <c r="AE529" t="n">
        <v>8000</v>
      </c>
      <c r="AF529" t="n">
        <v>1710</v>
      </c>
      <c r="AG529" t="n">
        <v>1</v>
      </c>
    </row>
    <row r="530" ht="38.25" customHeight="1" s="142">
      <c r="A530" t="n">
        <v>1424</v>
      </c>
      <c r="B530" t="inlineStr">
        <is>
          <t>main</t>
        </is>
      </c>
      <c r="C530" t="n">
        <v>12</v>
      </c>
      <c r="D530" t="inlineStr">
        <is>
          <t>12-25</t>
        </is>
      </c>
      <c r="E530" t="n">
        <v>150</v>
      </c>
      <c r="G530" s="90" t="inlineStr">
        <is>
          <t>{role:-1},{state:-60016}
{id:-1},{id:-1},{id:-1},{id:-1},{id:-1}
{id:40059},{id:40083},{id:40058},{id:40059},{id:40083}</t>
        </is>
      </c>
      <c r="I530" t="n">
        <v>54220</v>
      </c>
      <c r="J530" s="80" t="inlineStr">
        <is>
          <t>熔岩噴發</t>
        </is>
      </c>
      <c r="K530" t="inlineStr">
        <is>
          <t>buff</t>
        </is>
      </c>
      <c r="L530" t="n">
        <v>9002</v>
      </c>
      <c r="M530" t="inlineStr">
        <is>
          <t>1,3</t>
        </is>
      </c>
      <c r="O530" t="n">
        <v>0.1</v>
      </c>
      <c r="P530" s="80" t="inlineStr">
        <is>
          <t>灼熱風暴</t>
        </is>
      </c>
      <c r="Q530" t="inlineStr">
        <is>
          <t>debuff</t>
        </is>
      </c>
      <c r="R530" t="n">
        <v>9011</v>
      </c>
      <c r="S530" t="n">
        <v>1</v>
      </c>
      <c r="U530" t="n">
        <v>0.6</v>
      </c>
      <c r="V530" t="n">
        <v>70001</v>
      </c>
      <c r="W530" t="n">
        <v>3</v>
      </c>
      <c r="X530" t="n">
        <v>1</v>
      </c>
      <c r="Y530" t="n">
        <v>70002</v>
      </c>
      <c r="Z530" t="n">
        <v>3</v>
      </c>
      <c r="AA530" t="n">
        <v>1</v>
      </c>
      <c r="AB530" t="n">
        <v>1001</v>
      </c>
      <c r="AC530" t="n">
        <v>50</v>
      </c>
      <c r="AD530" t="n">
        <v>1</v>
      </c>
      <c r="AE530" t="n">
        <v>8000</v>
      </c>
      <c r="AF530" t="n">
        <v>1710</v>
      </c>
      <c r="AG530" t="n">
        <v>1</v>
      </c>
    </row>
    <row r="531" ht="38.25" customHeight="1" s="142">
      <c r="A531" t="n">
        <v>1425</v>
      </c>
      <c r="B531" t="inlineStr">
        <is>
          <t>main</t>
        </is>
      </c>
      <c r="C531" t="n">
        <v>12</v>
      </c>
      <c r="D531" t="inlineStr">
        <is>
          <t>12-26</t>
        </is>
      </c>
      <c r="E531" t="n">
        <v>150</v>
      </c>
      <c r="G531" s="90" t="inlineStr">
        <is>
          <t>{role:-1},{state:-60016}
{id:-1},{id:-1},{id:-1},{id:-1},{id:-1}
{id:40053},{id:40059},{id:40053},{id:40083},{id:40083}</t>
        </is>
      </c>
      <c r="I531" t="n">
        <v>54345</v>
      </c>
      <c r="J531" s="80" t="inlineStr">
        <is>
          <t>熔岩噴發</t>
        </is>
      </c>
      <c r="K531" t="inlineStr">
        <is>
          <t>buff</t>
        </is>
      </c>
      <c r="L531" t="n">
        <v>9001</v>
      </c>
      <c r="M531" t="n">
        <v>3</v>
      </c>
      <c r="O531" t="n">
        <v>0.9</v>
      </c>
      <c r="P531" s="80" t="inlineStr">
        <is>
          <t>灼熱風暴</t>
        </is>
      </c>
      <c r="Q531" t="inlineStr">
        <is>
          <t>debuff</t>
        </is>
      </c>
      <c r="R531" t="n">
        <v>9003</v>
      </c>
      <c r="S531" t="inlineStr">
        <is>
          <t>5,6,8</t>
        </is>
      </c>
      <c r="U531" t="n">
        <v>0.1</v>
      </c>
      <c r="V531" t="n">
        <v>70001</v>
      </c>
      <c r="W531" t="n">
        <v>3</v>
      </c>
      <c r="X531" t="n">
        <v>1</v>
      </c>
      <c r="Y531" t="n">
        <v>70002</v>
      </c>
      <c r="Z531" t="n">
        <v>3</v>
      </c>
      <c r="AA531" t="n">
        <v>1</v>
      </c>
      <c r="AB531" t="n">
        <v>1001</v>
      </c>
      <c r="AC531" t="n">
        <v>50</v>
      </c>
      <c r="AD531" t="n">
        <v>1</v>
      </c>
      <c r="AE531" t="n">
        <v>8000</v>
      </c>
      <c r="AF531" t="n">
        <v>1720</v>
      </c>
      <c r="AG531" t="n">
        <v>1</v>
      </c>
    </row>
    <row r="532" ht="38.25" customHeight="1" s="142">
      <c r="A532" t="n">
        <v>1426</v>
      </c>
      <c r="B532" t="inlineStr">
        <is>
          <t>main</t>
        </is>
      </c>
      <c r="C532" t="n">
        <v>12</v>
      </c>
      <c r="D532" t="inlineStr">
        <is>
          <t>12-27</t>
        </is>
      </c>
      <c r="E532" t="n">
        <v>150</v>
      </c>
      <c r="G532" s="90" t="inlineStr">
        <is>
          <t>{role:-1},{state:-60016}
{id:-1},{id:-1},{id:-1},{id:-1},{id:-1}
{id:40059},{id:40059},{id:40058},{id:40083},{id:40053}</t>
        </is>
      </c>
      <c r="I532" t="n">
        <v>54470</v>
      </c>
      <c r="J532" s="80" t="inlineStr">
        <is>
          <t>熔岩噴發</t>
        </is>
      </c>
      <c r="K532" t="inlineStr">
        <is>
          <t>buff</t>
        </is>
      </c>
      <c r="L532" t="n">
        <v>9001</v>
      </c>
      <c r="M532" t="n">
        <v>13</v>
      </c>
      <c r="O532" t="n">
        <v>0.2</v>
      </c>
      <c r="P532" s="80" t="inlineStr">
        <is>
          <t>灼熱風暴</t>
        </is>
      </c>
      <c r="Q532" t="inlineStr">
        <is>
          <t>debuff</t>
        </is>
      </c>
      <c r="R532" t="n">
        <v>9010</v>
      </c>
      <c r="S532" t="n">
        <v>13</v>
      </c>
      <c r="U532" t="n">
        <v>0.6</v>
      </c>
      <c r="V532" t="n">
        <v>70001</v>
      </c>
      <c r="W532" t="n">
        <v>3</v>
      </c>
      <c r="X532" t="n">
        <v>1</v>
      </c>
      <c r="Y532" t="n">
        <v>70002</v>
      </c>
      <c r="Z532" t="n">
        <v>3</v>
      </c>
      <c r="AA532" t="n">
        <v>1</v>
      </c>
      <c r="AB532" t="n">
        <v>1001</v>
      </c>
      <c r="AC532" t="n">
        <v>50</v>
      </c>
      <c r="AD532" t="n">
        <v>1</v>
      </c>
      <c r="AE532" t="n">
        <v>8000</v>
      </c>
      <c r="AF532" t="n">
        <v>1720</v>
      </c>
      <c r="AG532" t="n">
        <v>1</v>
      </c>
    </row>
    <row r="533" ht="38.25" customHeight="1" s="142">
      <c r="A533" t="n">
        <v>1427</v>
      </c>
      <c r="B533" t="inlineStr">
        <is>
          <t>main</t>
        </is>
      </c>
      <c r="C533" t="n">
        <v>12</v>
      </c>
      <c r="D533" t="inlineStr">
        <is>
          <t>12-28</t>
        </is>
      </c>
      <c r="E533" t="n">
        <v>150</v>
      </c>
      <c r="G533" s="90" t="inlineStr">
        <is>
          <t>{role:-1},{state:-60016}
{id:-1},{id:-1},{id:-1},{id:-1},{id:-1}
{id:40082},{id:40083},{id:40059},{id:40058},{id:40082}</t>
        </is>
      </c>
      <c r="I533" t="n">
        <v>54595</v>
      </c>
      <c r="J533" s="80" t="inlineStr">
        <is>
          <t>熔岩噴發</t>
        </is>
      </c>
      <c r="K533" t="inlineStr">
        <is>
          <t>buff</t>
        </is>
      </c>
      <c r="L533" t="n">
        <v>9007</v>
      </c>
      <c r="M533" t="inlineStr">
        <is>
          <t>7,10</t>
        </is>
      </c>
      <c r="O533" t="n">
        <v>0.2</v>
      </c>
      <c r="P533" s="80" t="inlineStr">
        <is>
          <t>灼熱風暴</t>
        </is>
      </c>
      <c r="Q533" t="inlineStr">
        <is>
          <t>debuff</t>
        </is>
      </c>
      <c r="R533" t="n">
        <v>9004</v>
      </c>
      <c r="S533" t="inlineStr">
        <is>
          <t>8,13</t>
        </is>
      </c>
      <c r="U533" t="n">
        <v>0.4</v>
      </c>
      <c r="V533" t="n">
        <v>70001</v>
      </c>
      <c r="W533" t="n">
        <v>3</v>
      </c>
      <c r="X533" t="n">
        <v>1</v>
      </c>
      <c r="Y533" t="n">
        <v>70002</v>
      </c>
      <c r="Z533" t="n">
        <v>3</v>
      </c>
      <c r="AA533" t="n">
        <v>1</v>
      </c>
      <c r="AB533" t="n">
        <v>1001</v>
      </c>
      <c r="AC533" t="n">
        <v>50</v>
      </c>
      <c r="AD533" t="n">
        <v>1</v>
      </c>
      <c r="AE533" t="n">
        <v>8000</v>
      </c>
      <c r="AF533" t="n">
        <v>1730</v>
      </c>
      <c r="AG533" t="n">
        <v>1</v>
      </c>
    </row>
    <row r="534" ht="38.25" customHeight="1" s="142">
      <c r="A534" t="n">
        <v>1428</v>
      </c>
      <c r="B534" t="inlineStr">
        <is>
          <t>main</t>
        </is>
      </c>
      <c r="C534" t="n">
        <v>12</v>
      </c>
      <c r="D534" t="inlineStr">
        <is>
          <t>12-29</t>
        </is>
      </c>
      <c r="E534" t="n">
        <v>150</v>
      </c>
      <c r="G534" s="90" t="inlineStr">
        <is>
          <t>{role:-1},{state:-60016}
{id:-1},{id:-1},{id:-1},{id:-1},{id:-1}
{id:40059},{id:40053},{id:40059},{id:40083},{id:40058}</t>
        </is>
      </c>
      <c r="I534" t="n">
        <v>54720</v>
      </c>
      <c r="J534" s="80" t="inlineStr">
        <is>
          <t>熔岩噴發</t>
        </is>
      </c>
      <c r="K534" t="inlineStr">
        <is>
          <t>buff</t>
        </is>
      </c>
      <c r="L534" t="n">
        <v>9002</v>
      </c>
      <c r="M534" t="inlineStr">
        <is>
          <t>3,9</t>
        </is>
      </c>
      <c r="O534" t="n">
        <v>0.6</v>
      </c>
      <c r="P534" s="80" t="inlineStr">
        <is>
          <t>灼熱風暴</t>
        </is>
      </c>
      <c r="Q534" t="inlineStr">
        <is>
          <t>debuff</t>
        </is>
      </c>
      <c r="R534" t="n">
        <v>9011</v>
      </c>
      <c r="S534" t="inlineStr">
        <is>
          <t>3,4,11</t>
        </is>
      </c>
      <c r="U534" t="n">
        <v>0.5</v>
      </c>
      <c r="V534" t="n">
        <v>70001</v>
      </c>
      <c r="W534" t="n">
        <v>3</v>
      </c>
      <c r="X534" t="n">
        <v>1</v>
      </c>
      <c r="Y534" t="n">
        <v>70002</v>
      </c>
      <c r="Z534" t="n">
        <v>3</v>
      </c>
      <c r="AA534" t="n">
        <v>1</v>
      </c>
      <c r="AB534" t="n">
        <v>1001</v>
      </c>
      <c r="AC534" t="n">
        <v>50</v>
      </c>
      <c r="AD534" t="n">
        <v>1</v>
      </c>
      <c r="AE534" t="n">
        <v>8000</v>
      </c>
      <c r="AF534" t="n">
        <v>1730</v>
      </c>
      <c r="AG534" t="n">
        <v>1</v>
      </c>
    </row>
    <row r="535" ht="38.25" customHeight="1" s="142">
      <c r="A535" t="n">
        <v>1429</v>
      </c>
      <c r="B535" t="inlineStr">
        <is>
          <t>main</t>
        </is>
      </c>
      <c r="C535" t="n">
        <v>12</v>
      </c>
      <c r="D535" t="inlineStr">
        <is>
          <t>12-30</t>
        </is>
      </c>
      <c r="E535" t="n">
        <v>150</v>
      </c>
      <c r="G535" s="90" t="inlineStr">
        <is>
          <t>{role:-1},{state:-60016}
{id:-1},{id:-1},{id:-1},{id:-1},{id:-1}
{id:40053},{id:40083},{id:40082},{id:40083},{id:40083}</t>
        </is>
      </c>
      <c r="I535" t="n">
        <v>54845</v>
      </c>
      <c r="J535" s="80" t="inlineStr">
        <is>
          <t>熔岩噴發</t>
        </is>
      </c>
      <c r="K535" t="inlineStr">
        <is>
          <t>buff</t>
        </is>
      </c>
      <c r="L535" t="n">
        <v>9001</v>
      </c>
      <c r="M535" t="n">
        <v>6</v>
      </c>
      <c r="O535" t="n">
        <v>0.3</v>
      </c>
      <c r="P535" s="80" t="inlineStr">
        <is>
          <t>灼熱風暴</t>
        </is>
      </c>
      <c r="Q535" t="inlineStr">
        <is>
          <t>debuff</t>
        </is>
      </c>
      <c r="R535" t="n">
        <v>9008</v>
      </c>
      <c r="S535" t="inlineStr">
        <is>
          <t>3,9</t>
        </is>
      </c>
      <c r="U535" t="n">
        <v>0.3</v>
      </c>
      <c r="V535" t="n">
        <v>70001</v>
      </c>
      <c r="W535" t="n">
        <v>3</v>
      </c>
      <c r="X535" t="n">
        <v>1</v>
      </c>
      <c r="Y535" t="n">
        <v>70002</v>
      </c>
      <c r="Z535" t="n">
        <v>3</v>
      </c>
      <c r="AA535" t="n">
        <v>1</v>
      </c>
      <c r="AB535" t="n">
        <v>1001</v>
      </c>
      <c r="AC535" t="n">
        <v>50</v>
      </c>
      <c r="AD535" t="n">
        <v>1</v>
      </c>
      <c r="AE535" t="n">
        <v>8000</v>
      </c>
      <c r="AF535" t="n">
        <v>1740</v>
      </c>
      <c r="AG535" t="n">
        <v>1</v>
      </c>
    </row>
    <row r="536" ht="38.25" customHeight="1" s="142">
      <c r="A536" t="n">
        <v>1430</v>
      </c>
      <c r="B536" t="inlineStr">
        <is>
          <t>main</t>
        </is>
      </c>
      <c r="C536" t="n">
        <v>12</v>
      </c>
      <c r="D536" t="inlineStr">
        <is>
          <t>12-31</t>
        </is>
      </c>
      <c r="E536" t="n">
        <v>150</v>
      </c>
      <c r="G536" s="90" t="inlineStr">
        <is>
          <t>{role:-1},{state:-60016}
{id:-1},{id:-1},{id:-1},{id:-1},{id:-1}
{id:40053},{id:40059},{id:40058},{id:40082},{id:40058}</t>
        </is>
      </c>
      <c r="I536" t="n">
        <v>54970</v>
      </c>
      <c r="J536" s="80" t="inlineStr">
        <is>
          <t>熔岩噴發</t>
        </is>
      </c>
      <c r="K536" t="inlineStr">
        <is>
          <t>buff</t>
        </is>
      </c>
      <c r="L536" t="n">
        <v>9002</v>
      </c>
      <c r="M536" t="inlineStr">
        <is>
          <t>1,5</t>
        </is>
      </c>
      <c r="O536" t="n">
        <v>0.9</v>
      </c>
      <c r="P536" s="80" t="inlineStr">
        <is>
          <t>灼熱風暴</t>
        </is>
      </c>
      <c r="Q536" t="inlineStr">
        <is>
          <t>debuff</t>
        </is>
      </c>
      <c r="R536" t="n">
        <v>9008</v>
      </c>
      <c r="S536" t="n">
        <v>4</v>
      </c>
      <c r="U536" t="n">
        <v>0.9</v>
      </c>
      <c r="V536" t="n">
        <v>70001</v>
      </c>
      <c r="W536" t="n">
        <v>3</v>
      </c>
      <c r="X536" t="n">
        <v>1</v>
      </c>
      <c r="Y536" t="n">
        <v>70002</v>
      </c>
      <c r="Z536" t="n">
        <v>3</v>
      </c>
      <c r="AA536" t="n">
        <v>1</v>
      </c>
      <c r="AB536" t="n">
        <v>1001</v>
      </c>
      <c r="AC536" t="n">
        <v>50</v>
      </c>
      <c r="AD536" t="n">
        <v>1</v>
      </c>
      <c r="AE536" t="n">
        <v>8000</v>
      </c>
      <c r="AF536" t="n">
        <v>1740</v>
      </c>
      <c r="AG536" t="n">
        <v>1</v>
      </c>
    </row>
    <row r="537" ht="38.25" customHeight="1" s="142">
      <c r="A537" t="n">
        <v>1431</v>
      </c>
      <c r="B537" t="inlineStr">
        <is>
          <t>main</t>
        </is>
      </c>
      <c r="C537" t="n">
        <v>12</v>
      </c>
      <c r="D537" t="inlineStr">
        <is>
          <t>12-32</t>
        </is>
      </c>
      <c r="E537" t="n">
        <v>150</v>
      </c>
      <c r="G537" s="90" t="inlineStr">
        <is>
          <t>{role:-1},{state:-60016}
{id:-1},{id:-1},{id:-1},{id:-1},{id:-1}
{id:40059},{id:40083},{id:40053},{id:40083},{id:40059}</t>
        </is>
      </c>
      <c r="I537" t="n">
        <v>55095</v>
      </c>
      <c r="J537" s="80" t="inlineStr">
        <is>
          <t>熔岩噴發</t>
        </is>
      </c>
      <c r="K537" t="inlineStr">
        <is>
          <t>buff</t>
        </is>
      </c>
      <c r="L537" t="n">
        <v>9011</v>
      </c>
      <c r="M537" t="inlineStr">
        <is>
          <t>2,8</t>
        </is>
      </c>
      <c r="O537" t="n">
        <v>0.6</v>
      </c>
      <c r="P537" s="80" t="inlineStr">
        <is>
          <t>灼熱風暴</t>
        </is>
      </c>
      <c r="Q537" t="inlineStr">
        <is>
          <t>debuff</t>
        </is>
      </c>
      <c r="R537" t="n">
        <v>9011</v>
      </c>
      <c r="S537" t="n">
        <v>9</v>
      </c>
      <c r="U537" t="n">
        <v>0.7</v>
      </c>
      <c r="V537" t="n">
        <v>70001</v>
      </c>
      <c r="W537" t="n">
        <v>3</v>
      </c>
      <c r="X537" t="n">
        <v>1</v>
      </c>
      <c r="Y537" t="n">
        <v>70002</v>
      </c>
      <c r="Z537" t="n">
        <v>3</v>
      </c>
      <c r="AA537" t="n">
        <v>1</v>
      </c>
      <c r="AB537" t="n">
        <v>1001</v>
      </c>
      <c r="AC537" t="n">
        <v>50</v>
      </c>
      <c r="AD537" t="n">
        <v>1</v>
      </c>
      <c r="AE537" t="n">
        <v>8000</v>
      </c>
      <c r="AF537" t="n">
        <v>1750</v>
      </c>
      <c r="AG537" t="n">
        <v>1</v>
      </c>
    </row>
    <row r="538" ht="38.25" customHeight="1" s="142">
      <c r="A538" t="n">
        <v>1432</v>
      </c>
      <c r="B538" t="inlineStr">
        <is>
          <t>main</t>
        </is>
      </c>
      <c r="C538" t="n">
        <v>12</v>
      </c>
      <c r="D538" t="inlineStr">
        <is>
          <t>12-33</t>
        </is>
      </c>
      <c r="E538" t="n">
        <v>150</v>
      </c>
      <c r="G538" s="90" t="inlineStr">
        <is>
          <t>{role:-1},{state:-60016}
{id:-1},{id:-1},{id:-1},{id:-1},{id:-1}
{id:40083},{id:40082},{id:40059},{id:40082},{id:40053}</t>
        </is>
      </c>
      <c r="I538" t="n">
        <v>55220</v>
      </c>
      <c r="J538" s="80" t="inlineStr">
        <is>
          <t>熔岩噴發</t>
        </is>
      </c>
      <c r="K538" t="inlineStr">
        <is>
          <t>buff</t>
        </is>
      </c>
      <c r="L538" t="n">
        <v>9008</v>
      </c>
      <c r="M538" t="inlineStr">
        <is>
          <t>5,13</t>
        </is>
      </c>
      <c r="O538" t="n">
        <v>0.5</v>
      </c>
      <c r="P538" s="80" t="inlineStr">
        <is>
          <t>灼熱風暴</t>
        </is>
      </c>
      <c r="Q538" t="inlineStr">
        <is>
          <t>debuff</t>
        </is>
      </c>
      <c r="R538" t="n">
        <v>9010</v>
      </c>
      <c r="S538" t="inlineStr">
        <is>
          <t>2,3,10</t>
        </is>
      </c>
      <c r="U538" t="n">
        <v>0.1</v>
      </c>
      <c r="V538" t="n">
        <v>70001</v>
      </c>
      <c r="W538" t="n">
        <v>3</v>
      </c>
      <c r="X538" t="n">
        <v>1</v>
      </c>
      <c r="Y538" t="n">
        <v>70002</v>
      </c>
      <c r="Z538" t="n">
        <v>3</v>
      </c>
      <c r="AA538" t="n">
        <v>1</v>
      </c>
      <c r="AB538" t="n">
        <v>1001</v>
      </c>
      <c r="AC538" t="n">
        <v>50</v>
      </c>
      <c r="AD538" t="n">
        <v>1</v>
      </c>
      <c r="AE538" t="n">
        <v>8000</v>
      </c>
      <c r="AF538" t="n">
        <v>1750</v>
      </c>
      <c r="AG538" t="n">
        <v>1</v>
      </c>
    </row>
    <row r="539" ht="38.25" customHeight="1" s="142">
      <c r="A539" t="n">
        <v>1433</v>
      </c>
      <c r="B539" t="inlineStr">
        <is>
          <t>main</t>
        </is>
      </c>
      <c r="C539" t="n">
        <v>12</v>
      </c>
      <c r="D539" t="inlineStr">
        <is>
          <t>12-34</t>
        </is>
      </c>
      <c r="E539" t="n">
        <v>150</v>
      </c>
      <c r="G539" s="90" t="inlineStr">
        <is>
          <t>{role:-1},{state:-60016}
{id:-1},{id:-1},{id:-1},{id:-1},{id:-1}
{id:40059},{id:40083},{id:40083},{id:40083},{id:40083}</t>
        </is>
      </c>
      <c r="I539" t="n">
        <v>55345</v>
      </c>
      <c r="J539" s="80" t="inlineStr">
        <is>
          <t>熔岩噴發</t>
        </is>
      </c>
      <c r="K539" t="inlineStr">
        <is>
          <t>buff</t>
        </is>
      </c>
      <c r="L539" t="n">
        <v>9012</v>
      </c>
      <c r="M539" t="n">
        <v>11</v>
      </c>
      <c r="O539" t="n">
        <v>0.8</v>
      </c>
      <c r="P539" s="80" t="inlineStr">
        <is>
          <t>灼熱風暴</t>
        </is>
      </c>
      <c r="Q539" t="inlineStr">
        <is>
          <t>debuff</t>
        </is>
      </c>
      <c r="R539" t="n">
        <v>9007</v>
      </c>
      <c r="S539" t="inlineStr">
        <is>
          <t>4,5,13</t>
        </is>
      </c>
      <c r="U539" t="n">
        <v>0.4</v>
      </c>
      <c r="V539" t="n">
        <v>70001</v>
      </c>
      <c r="W539" t="n">
        <v>3</v>
      </c>
      <c r="X539" t="n">
        <v>1</v>
      </c>
      <c r="Y539" t="n">
        <v>70002</v>
      </c>
      <c r="Z539" t="n">
        <v>3</v>
      </c>
      <c r="AA539" t="n">
        <v>1</v>
      </c>
      <c r="AB539" t="n">
        <v>1001</v>
      </c>
      <c r="AC539" t="n">
        <v>50</v>
      </c>
      <c r="AD539" t="n">
        <v>1</v>
      </c>
      <c r="AE539" t="n">
        <v>8000</v>
      </c>
      <c r="AF539" t="n">
        <v>1760</v>
      </c>
      <c r="AG539" t="n">
        <v>1</v>
      </c>
    </row>
    <row r="540" ht="38.25" customHeight="1" s="142">
      <c r="A540" t="n">
        <v>1434</v>
      </c>
      <c r="B540" t="inlineStr">
        <is>
          <t>main</t>
        </is>
      </c>
      <c r="C540" t="n">
        <v>12</v>
      </c>
      <c r="D540" t="inlineStr">
        <is>
          <t>12-35</t>
        </is>
      </c>
      <c r="E540" t="n">
        <v>150</v>
      </c>
      <c r="G540" s="90" t="inlineStr">
        <is>
          <t>{role:-1},{state:-60016}
{id:-1},{id:-1},{id:-1},{id:-1},{id:-1}
{id:40059},{id:40058},{id:40059},{id:40058},{id:40059}</t>
        </is>
      </c>
      <c r="I540" t="n">
        <v>55470</v>
      </c>
      <c r="J540" s="80" t="inlineStr">
        <is>
          <t>熔岩噴發</t>
        </is>
      </c>
      <c r="K540" t="inlineStr">
        <is>
          <t>buff</t>
        </is>
      </c>
      <c r="L540" t="n">
        <v>9008</v>
      </c>
      <c r="M540" t="inlineStr">
        <is>
          <t>4,10,13</t>
        </is>
      </c>
      <c r="O540" t="n">
        <v>0.9</v>
      </c>
      <c r="P540" s="80" t="inlineStr">
        <is>
          <t>灼熱風暴</t>
        </is>
      </c>
      <c r="Q540" t="inlineStr">
        <is>
          <t>debuff</t>
        </is>
      </c>
      <c r="R540" t="n">
        <v>9012</v>
      </c>
      <c r="S540" t="inlineStr">
        <is>
          <t>2,11</t>
        </is>
      </c>
      <c r="U540" t="n">
        <v>0.9</v>
      </c>
      <c r="V540" t="n">
        <v>70001</v>
      </c>
      <c r="W540" t="n">
        <v>3</v>
      </c>
      <c r="X540" t="n">
        <v>1</v>
      </c>
      <c r="Y540" t="n">
        <v>70002</v>
      </c>
      <c r="Z540" t="n">
        <v>3</v>
      </c>
      <c r="AA540" t="n">
        <v>1</v>
      </c>
      <c r="AB540" t="n">
        <v>1001</v>
      </c>
      <c r="AC540" t="n">
        <v>50</v>
      </c>
      <c r="AD540" t="n">
        <v>1</v>
      </c>
      <c r="AE540" t="n">
        <v>8000</v>
      </c>
      <c r="AF540" t="n">
        <v>1760</v>
      </c>
      <c r="AG540" t="n">
        <v>1</v>
      </c>
    </row>
    <row r="541" ht="38.25" customHeight="1" s="142">
      <c r="A541" t="n">
        <v>1435</v>
      </c>
      <c r="B541" t="inlineStr">
        <is>
          <t>main</t>
        </is>
      </c>
      <c r="C541" t="n">
        <v>12</v>
      </c>
      <c r="D541" t="inlineStr">
        <is>
          <t>12-36</t>
        </is>
      </c>
      <c r="E541" t="n">
        <v>150</v>
      </c>
      <c r="G541" s="90" t="inlineStr">
        <is>
          <t>{role:-1},{state:-60016}
{id:-1},{id:-1},{id:-1},{id:-1},{id:-1}
{id:40083},{id:40083},{id:40083},{id:40053},{id:40059}</t>
        </is>
      </c>
      <c r="I541" t="n">
        <v>55595</v>
      </c>
      <c r="J541" s="80" t="inlineStr">
        <is>
          <t>熔岩噴發</t>
        </is>
      </c>
      <c r="K541" t="inlineStr">
        <is>
          <t>buff</t>
        </is>
      </c>
      <c r="L541" t="n">
        <v>9012</v>
      </c>
      <c r="M541" t="inlineStr">
        <is>
          <t>2,5,9</t>
        </is>
      </c>
      <c r="O541" t="n">
        <v>0.7</v>
      </c>
      <c r="P541" s="80" t="inlineStr">
        <is>
          <t>灼熱風暴</t>
        </is>
      </c>
      <c r="Q541" t="inlineStr">
        <is>
          <t>debuff</t>
        </is>
      </c>
      <c r="R541" t="n">
        <v>9010</v>
      </c>
      <c r="S541" t="inlineStr">
        <is>
          <t>1,4,8</t>
        </is>
      </c>
      <c r="U541" t="n">
        <v>0.5</v>
      </c>
      <c r="V541" t="n">
        <v>70001</v>
      </c>
      <c r="W541" t="n">
        <v>3</v>
      </c>
      <c r="X541" t="n">
        <v>1</v>
      </c>
      <c r="Y541" t="n">
        <v>70002</v>
      </c>
      <c r="Z541" t="n">
        <v>3</v>
      </c>
      <c r="AA541" t="n">
        <v>1</v>
      </c>
      <c r="AB541" t="n">
        <v>1001</v>
      </c>
      <c r="AC541" t="n">
        <v>50</v>
      </c>
      <c r="AD541" t="n">
        <v>1</v>
      </c>
      <c r="AE541" t="n">
        <v>8000</v>
      </c>
      <c r="AF541" t="n">
        <v>1770</v>
      </c>
      <c r="AG541" t="n">
        <v>1</v>
      </c>
    </row>
    <row r="542" ht="38.25" customHeight="1" s="142">
      <c r="A542" t="n">
        <v>1436</v>
      </c>
      <c r="B542" t="inlineStr">
        <is>
          <t>main</t>
        </is>
      </c>
      <c r="C542" t="n">
        <v>12</v>
      </c>
      <c r="D542" t="inlineStr">
        <is>
          <t>12-37</t>
        </is>
      </c>
      <c r="E542" t="n">
        <v>150</v>
      </c>
      <c r="G542" s="90" t="inlineStr">
        <is>
          <t>{role:-1},{state:-60016}
{id:-1},{id:-1},{id:-1},{id:-1},{id:-1}
{id:40082},{id:40058},{id:40083},{id:40083},{id:40059}</t>
        </is>
      </c>
      <c r="I542" t="n">
        <v>55720</v>
      </c>
      <c r="J542" s="80" t="inlineStr">
        <is>
          <t>熔岩噴發</t>
        </is>
      </c>
      <c r="K542" t="inlineStr">
        <is>
          <t>buff</t>
        </is>
      </c>
      <c r="L542" t="n">
        <v>9002</v>
      </c>
      <c r="M542" t="n">
        <v>12</v>
      </c>
      <c r="O542" t="n">
        <v>0.3</v>
      </c>
      <c r="P542" s="80" t="inlineStr">
        <is>
          <t>灼熱風暴</t>
        </is>
      </c>
      <c r="Q542" t="inlineStr">
        <is>
          <t>debuff</t>
        </is>
      </c>
      <c r="R542" t="n">
        <v>9010</v>
      </c>
      <c r="S542" t="inlineStr">
        <is>
          <t>1,6,11</t>
        </is>
      </c>
      <c r="U542" t="n">
        <v>0.4</v>
      </c>
      <c r="V542" t="n">
        <v>70001</v>
      </c>
      <c r="W542" t="n">
        <v>3</v>
      </c>
      <c r="X542" t="n">
        <v>1</v>
      </c>
      <c r="Y542" t="n">
        <v>70002</v>
      </c>
      <c r="Z542" t="n">
        <v>3</v>
      </c>
      <c r="AA542" t="n">
        <v>1</v>
      </c>
      <c r="AB542" t="n">
        <v>1001</v>
      </c>
      <c r="AC542" t="n">
        <v>50</v>
      </c>
      <c r="AD542" t="n">
        <v>1</v>
      </c>
      <c r="AE542" t="n">
        <v>8000</v>
      </c>
      <c r="AF542" t="n">
        <v>1780</v>
      </c>
      <c r="AG542" t="n">
        <v>1</v>
      </c>
    </row>
    <row r="543" ht="38.25" customHeight="1" s="142">
      <c r="A543" t="n">
        <v>1437</v>
      </c>
      <c r="B543" t="inlineStr">
        <is>
          <t>main</t>
        </is>
      </c>
      <c r="C543" t="n">
        <v>12</v>
      </c>
      <c r="D543" t="inlineStr">
        <is>
          <t>12-38</t>
        </is>
      </c>
      <c r="E543" t="n">
        <v>150</v>
      </c>
      <c r="G543" s="90" t="inlineStr">
        <is>
          <t>{role:-1},{state:-60016}
{id:-1},{id:-1},{id:-1},{id:-1},{id:-1}
{id:40058},{id:40058},{id:40059},{id:40059},{id:40082}</t>
        </is>
      </c>
      <c r="I543" t="n">
        <v>55845</v>
      </c>
      <c r="J543" s="80" t="inlineStr">
        <is>
          <t>熔岩噴發</t>
        </is>
      </c>
      <c r="K543" t="inlineStr">
        <is>
          <t>buff</t>
        </is>
      </c>
      <c r="L543" t="n">
        <v>9001</v>
      </c>
      <c r="M543" t="n">
        <v>3</v>
      </c>
      <c r="O543" t="n">
        <v>0.2</v>
      </c>
      <c r="P543" s="80" t="inlineStr">
        <is>
          <t>灼熱風暴</t>
        </is>
      </c>
      <c r="Q543" t="inlineStr">
        <is>
          <t>debuff</t>
        </is>
      </c>
      <c r="R543" t="n">
        <v>9008</v>
      </c>
      <c r="S543" t="inlineStr">
        <is>
          <t>3,6,12</t>
        </is>
      </c>
      <c r="U543" t="n">
        <v>0.8</v>
      </c>
      <c r="V543" t="n">
        <v>70001</v>
      </c>
      <c r="W543" t="n">
        <v>3</v>
      </c>
      <c r="X543" t="n">
        <v>1</v>
      </c>
      <c r="Y543" t="n">
        <v>70002</v>
      </c>
      <c r="Z543" t="n">
        <v>3</v>
      </c>
      <c r="AA543" t="n">
        <v>1</v>
      </c>
      <c r="AB543" t="n">
        <v>1001</v>
      </c>
      <c r="AC543" t="n">
        <v>50</v>
      </c>
      <c r="AD543" t="n">
        <v>1</v>
      </c>
      <c r="AE543" t="n">
        <v>8000</v>
      </c>
      <c r="AF543" t="n">
        <v>1780</v>
      </c>
      <c r="AG543" t="n">
        <v>1</v>
      </c>
    </row>
    <row r="544" ht="38.25" customHeight="1" s="142">
      <c r="A544" t="n">
        <v>1438</v>
      </c>
      <c r="B544" t="inlineStr">
        <is>
          <t>main</t>
        </is>
      </c>
      <c r="C544" t="n">
        <v>12</v>
      </c>
      <c r="D544" t="inlineStr">
        <is>
          <t>12-39</t>
        </is>
      </c>
      <c r="E544" t="n">
        <v>150</v>
      </c>
      <c r="G544" s="90" t="inlineStr">
        <is>
          <t>{role:-1},{state:-60016}
{id:-1},{id:-1},{id:-1},{id:-1},{id:-1}
{id:40083},{id:40082},{id:40083},{id:40058},{id:40059}</t>
        </is>
      </c>
      <c r="I544" t="n">
        <v>55970</v>
      </c>
      <c r="J544" s="80" t="inlineStr">
        <is>
          <t>熔岩噴發</t>
        </is>
      </c>
      <c r="K544" t="inlineStr">
        <is>
          <t>buff</t>
        </is>
      </c>
      <c r="L544" t="n">
        <v>9007</v>
      </c>
      <c r="M544" t="inlineStr">
        <is>
          <t>3,7</t>
        </is>
      </c>
      <c r="O544" t="n">
        <v>0.4</v>
      </c>
      <c r="P544" s="80" t="inlineStr">
        <is>
          <t>灼熱風暴</t>
        </is>
      </c>
      <c r="Q544" t="inlineStr">
        <is>
          <t>debuff</t>
        </is>
      </c>
      <c r="R544" t="n">
        <v>9012</v>
      </c>
      <c r="S544" t="inlineStr">
        <is>
          <t>6,7,12</t>
        </is>
      </c>
      <c r="U544" t="n">
        <v>0.4</v>
      </c>
      <c r="V544" t="n">
        <v>70001</v>
      </c>
      <c r="W544" t="n">
        <v>3</v>
      </c>
      <c r="X544" t="n">
        <v>1</v>
      </c>
      <c r="Y544" t="n">
        <v>70002</v>
      </c>
      <c r="Z544" t="n">
        <v>3</v>
      </c>
      <c r="AA544" t="n">
        <v>1</v>
      </c>
      <c r="AB544" t="n">
        <v>1001</v>
      </c>
      <c r="AC544" t="n">
        <v>50</v>
      </c>
      <c r="AD544" t="n">
        <v>1</v>
      </c>
      <c r="AE544" t="n">
        <v>8000</v>
      </c>
      <c r="AF544" t="n">
        <v>1790</v>
      </c>
      <c r="AG544" t="n">
        <v>1</v>
      </c>
    </row>
    <row r="545" ht="38.25" customHeight="1" s="142">
      <c r="A545" t="n">
        <v>1439</v>
      </c>
      <c r="B545" t="inlineStr">
        <is>
          <t>main</t>
        </is>
      </c>
      <c r="C545" t="n">
        <v>12</v>
      </c>
      <c r="D545" t="inlineStr">
        <is>
          <t>12-40</t>
        </is>
      </c>
      <c r="E545" t="n">
        <v>150</v>
      </c>
      <c r="G545" s="90" t="inlineStr">
        <is>
          <t>{role:-1},{state:-60016}
{id:-1},{id:-1},{id:-1},{id:-1},{id:-1}
{id:40082},{id:40083},{id:40053},{id:40058},{id:40082}</t>
        </is>
      </c>
      <c r="I545" t="n">
        <v>56095</v>
      </c>
      <c r="J545" s="80" t="inlineStr">
        <is>
          <t>熔岩噴發</t>
        </is>
      </c>
      <c r="K545" t="inlineStr">
        <is>
          <t>buff</t>
        </is>
      </c>
      <c r="L545" t="n">
        <v>9001</v>
      </c>
      <c r="M545" t="inlineStr">
        <is>
          <t>1,11</t>
        </is>
      </c>
      <c r="O545" t="n">
        <v>0.6</v>
      </c>
      <c r="P545" s="80" t="inlineStr">
        <is>
          <t>灼熱風暴</t>
        </is>
      </c>
      <c r="Q545" t="inlineStr">
        <is>
          <t>debuff</t>
        </is>
      </c>
      <c r="R545" t="n">
        <v>9012</v>
      </c>
      <c r="S545" t="n">
        <v>4</v>
      </c>
      <c r="U545" t="n">
        <v>0.5</v>
      </c>
      <c r="V545" t="n">
        <v>70001</v>
      </c>
      <c r="W545" t="n">
        <v>3</v>
      </c>
      <c r="X545" t="n">
        <v>1</v>
      </c>
      <c r="Y545" t="n">
        <v>70002</v>
      </c>
      <c r="Z545" t="n">
        <v>3</v>
      </c>
      <c r="AA545" t="n">
        <v>1</v>
      </c>
      <c r="AB545" t="n">
        <v>1001</v>
      </c>
      <c r="AC545" t="n">
        <v>50</v>
      </c>
      <c r="AD545" t="n">
        <v>1</v>
      </c>
      <c r="AE545" t="n">
        <v>8000</v>
      </c>
      <c r="AF545" t="n">
        <v>1790</v>
      </c>
      <c r="AG545" t="n">
        <v>1</v>
      </c>
    </row>
    <row r="546" ht="38.25" customHeight="1" s="142">
      <c r="A546" t="n">
        <v>1440</v>
      </c>
      <c r="B546" t="inlineStr">
        <is>
          <t>main</t>
        </is>
      </c>
      <c r="C546" t="n">
        <v>12</v>
      </c>
      <c r="D546" t="inlineStr">
        <is>
          <t>12-41</t>
        </is>
      </c>
      <c r="E546" t="n">
        <v>150</v>
      </c>
      <c r="G546" s="90" t="inlineStr">
        <is>
          <t>{role:-1},{state:-60016}
{id:-1},{id:-1},{id:-1},{id:-1},{id:-1}
{id:40082},{id:40082},{id:40053},{id:40083},{id:40053}</t>
        </is>
      </c>
      <c r="I546" t="n">
        <v>56220</v>
      </c>
      <c r="J546" s="80" t="inlineStr">
        <is>
          <t>熔岩噴發</t>
        </is>
      </c>
      <c r="K546" t="inlineStr">
        <is>
          <t>buff</t>
        </is>
      </c>
      <c r="L546" t="n">
        <v>9006</v>
      </c>
      <c r="M546" t="n">
        <v>13</v>
      </c>
      <c r="O546" t="n">
        <v>0.3</v>
      </c>
      <c r="P546" s="80" t="inlineStr">
        <is>
          <t>灼熱風暴</t>
        </is>
      </c>
      <c r="Q546" t="inlineStr">
        <is>
          <t>debuff</t>
        </is>
      </c>
      <c r="R546" t="n">
        <v>9007</v>
      </c>
      <c r="S546" t="inlineStr">
        <is>
          <t>1,9,13</t>
        </is>
      </c>
      <c r="U546" t="n">
        <v>0.7</v>
      </c>
      <c r="V546" t="n">
        <v>70001</v>
      </c>
      <c r="W546" t="n">
        <v>3</v>
      </c>
      <c r="X546" t="n">
        <v>1</v>
      </c>
      <c r="Y546" t="n">
        <v>70002</v>
      </c>
      <c r="Z546" t="n">
        <v>3</v>
      </c>
      <c r="AA546" t="n">
        <v>1</v>
      </c>
      <c r="AB546" t="n">
        <v>1001</v>
      </c>
      <c r="AC546" t="n">
        <v>50</v>
      </c>
      <c r="AD546" t="n">
        <v>1</v>
      </c>
      <c r="AE546" t="n">
        <v>8000</v>
      </c>
      <c r="AF546" t="n">
        <v>1800</v>
      </c>
      <c r="AG546" t="n">
        <v>1</v>
      </c>
    </row>
    <row r="547" ht="38.25" customHeight="1" s="142">
      <c r="A547" t="n">
        <v>1441</v>
      </c>
      <c r="B547" t="inlineStr">
        <is>
          <t>main</t>
        </is>
      </c>
      <c r="C547" t="n">
        <v>12</v>
      </c>
      <c r="D547" t="inlineStr">
        <is>
          <t>12-42</t>
        </is>
      </c>
      <c r="E547" t="n">
        <v>150</v>
      </c>
      <c r="G547" s="90" t="inlineStr">
        <is>
          <t>{role:-1},{state:-60016}
{id:-1},{id:-1},{id:-1},{id:-1},{id:-1}
{id:40058},{id:40083},{id:40059},{id:40058},{id:40058}</t>
        </is>
      </c>
      <c r="I547" t="n">
        <v>56345</v>
      </c>
      <c r="J547" s="80" t="inlineStr">
        <is>
          <t>熔岩噴發</t>
        </is>
      </c>
      <c r="K547" t="inlineStr">
        <is>
          <t>buff</t>
        </is>
      </c>
      <c r="L547" t="n">
        <v>9007</v>
      </c>
      <c r="M547" t="n">
        <v>13</v>
      </c>
      <c r="O547" t="n">
        <v>0.5</v>
      </c>
      <c r="P547" s="80" t="inlineStr">
        <is>
          <t>灼熱風暴</t>
        </is>
      </c>
      <c r="Q547" t="inlineStr">
        <is>
          <t>debuff</t>
        </is>
      </c>
      <c r="R547" t="n">
        <v>9012</v>
      </c>
      <c r="S547" t="inlineStr">
        <is>
          <t>5,13</t>
        </is>
      </c>
      <c r="U547" t="n">
        <v>0.7</v>
      </c>
      <c r="V547" t="n">
        <v>70001</v>
      </c>
      <c r="W547" t="n">
        <v>3</v>
      </c>
      <c r="X547" t="n">
        <v>1</v>
      </c>
      <c r="Y547" t="n">
        <v>70002</v>
      </c>
      <c r="Z547" t="n">
        <v>3</v>
      </c>
      <c r="AA547" t="n">
        <v>1</v>
      </c>
      <c r="AB547" t="n">
        <v>1001</v>
      </c>
      <c r="AC547" t="n">
        <v>50</v>
      </c>
      <c r="AD547" t="n">
        <v>1</v>
      </c>
      <c r="AE547" t="n">
        <v>8000</v>
      </c>
      <c r="AF547" t="n">
        <v>1800</v>
      </c>
      <c r="AG547" t="n">
        <v>1</v>
      </c>
    </row>
    <row r="548" ht="38.25" customHeight="1" s="142">
      <c r="A548" t="n">
        <v>1442</v>
      </c>
      <c r="B548" t="inlineStr">
        <is>
          <t>main</t>
        </is>
      </c>
      <c r="C548" t="n">
        <v>12</v>
      </c>
      <c r="D548" t="inlineStr">
        <is>
          <t>12-43</t>
        </is>
      </c>
      <c r="E548" t="n">
        <v>150</v>
      </c>
      <c r="G548" s="90" t="inlineStr">
        <is>
          <t>{role:-1},{state:-60016}
{id:-1},{id:-1},{id:-1},{id:-1},{id:-1}
{id:40058},{id:40058},{id:40053},{id:40083},{id:40059}</t>
        </is>
      </c>
      <c r="I548" t="n">
        <v>56470</v>
      </c>
      <c r="J548" s="80" t="inlineStr">
        <is>
          <t>熔岩噴發</t>
        </is>
      </c>
      <c r="K548" t="inlineStr">
        <is>
          <t>buff</t>
        </is>
      </c>
      <c r="L548" t="n">
        <v>9012</v>
      </c>
      <c r="M548" t="inlineStr">
        <is>
          <t>8,12</t>
        </is>
      </c>
      <c r="O548" t="n">
        <v>0.7</v>
      </c>
      <c r="P548" s="80" t="inlineStr">
        <is>
          <t>灼熱風暴</t>
        </is>
      </c>
      <c r="Q548" t="inlineStr">
        <is>
          <t>debuff</t>
        </is>
      </c>
      <c r="R548" t="n">
        <v>9010</v>
      </c>
      <c r="S548" t="inlineStr">
        <is>
          <t>5,9,13</t>
        </is>
      </c>
      <c r="U548" t="n">
        <v>0.4</v>
      </c>
      <c r="V548" t="n">
        <v>70001</v>
      </c>
      <c r="W548" t="n">
        <v>3</v>
      </c>
      <c r="X548" t="n">
        <v>1</v>
      </c>
      <c r="Y548" t="n">
        <v>70002</v>
      </c>
      <c r="Z548" t="n">
        <v>3</v>
      </c>
      <c r="AA548" t="n">
        <v>1</v>
      </c>
      <c r="AB548" t="n">
        <v>1001</v>
      </c>
      <c r="AC548" t="n">
        <v>50</v>
      </c>
      <c r="AD548" t="n">
        <v>1</v>
      </c>
      <c r="AE548" t="n">
        <v>8000</v>
      </c>
      <c r="AF548" t="n">
        <v>1810</v>
      </c>
      <c r="AG548" t="n">
        <v>1</v>
      </c>
    </row>
    <row r="549" ht="38.25" customHeight="1" s="142">
      <c r="A549" t="n">
        <v>1443</v>
      </c>
      <c r="B549" t="inlineStr">
        <is>
          <t>main</t>
        </is>
      </c>
      <c r="C549" t="n">
        <v>12</v>
      </c>
      <c r="D549" t="inlineStr">
        <is>
          <t>12-44</t>
        </is>
      </c>
      <c r="E549" t="n">
        <v>150</v>
      </c>
      <c r="G549" s="90" t="inlineStr">
        <is>
          <t>{role:-1},{state:-60016}
{id:-1},{id:-1},{id:-1},{id:-1},{id:-1}
{id:40083},{id:40059},{id:40059},{id:40059},{id:40059}</t>
        </is>
      </c>
      <c r="I549" t="n">
        <v>56595</v>
      </c>
      <c r="J549" s="80" t="inlineStr">
        <is>
          <t>熔岩噴發</t>
        </is>
      </c>
      <c r="K549" t="inlineStr">
        <is>
          <t>buff</t>
        </is>
      </c>
      <c r="L549" t="n">
        <v>9002</v>
      </c>
      <c r="M549" t="inlineStr">
        <is>
          <t>1,10,11</t>
        </is>
      </c>
      <c r="O549" t="n">
        <v>0.8</v>
      </c>
      <c r="P549" s="80" t="inlineStr">
        <is>
          <t>灼熱風暴</t>
        </is>
      </c>
      <c r="Q549" t="inlineStr">
        <is>
          <t>debuff</t>
        </is>
      </c>
      <c r="R549" t="n">
        <v>9011</v>
      </c>
      <c r="S549" t="inlineStr">
        <is>
          <t>2,7,10</t>
        </is>
      </c>
      <c r="U549" t="n">
        <v>0.1</v>
      </c>
      <c r="V549" t="n">
        <v>70001</v>
      </c>
      <c r="W549" t="n">
        <v>3</v>
      </c>
      <c r="X549" t="n">
        <v>1</v>
      </c>
      <c r="Y549" t="n">
        <v>70002</v>
      </c>
      <c r="Z549" t="n">
        <v>3</v>
      </c>
      <c r="AA549" t="n">
        <v>1</v>
      </c>
      <c r="AB549" t="n">
        <v>1001</v>
      </c>
      <c r="AC549" t="n">
        <v>50</v>
      </c>
      <c r="AD549" t="n">
        <v>1</v>
      </c>
      <c r="AE549" t="n">
        <v>8000</v>
      </c>
      <c r="AF549" t="n">
        <v>1810</v>
      </c>
      <c r="AG549" t="n">
        <v>1</v>
      </c>
    </row>
    <row r="550" ht="38.25" customHeight="1" s="142">
      <c r="A550" t="n">
        <v>1444</v>
      </c>
      <c r="B550" t="inlineStr">
        <is>
          <t>main</t>
        </is>
      </c>
      <c r="C550" t="n">
        <v>12</v>
      </c>
      <c r="D550" t="inlineStr">
        <is>
          <t>12-45</t>
        </is>
      </c>
      <c r="E550" t="n">
        <v>150</v>
      </c>
      <c r="G550" s="90" t="inlineStr">
        <is>
          <t>{role:-1},{state:-60016}
{id:-1},{id:-1},{id:-1},{id:-1},{id:-1}
{id:40053},{id:40083},{id:40058},{id:40053},{id:40058}</t>
        </is>
      </c>
      <c r="I550" t="n">
        <v>56720</v>
      </c>
      <c r="J550" s="80" t="inlineStr">
        <is>
          <t>熔岩噴發</t>
        </is>
      </c>
      <c r="K550" t="inlineStr">
        <is>
          <t>buff</t>
        </is>
      </c>
      <c r="L550" t="n">
        <v>9008</v>
      </c>
      <c r="M550" t="inlineStr">
        <is>
          <t>6,8,13</t>
        </is>
      </c>
      <c r="O550" t="n">
        <v>0.9</v>
      </c>
      <c r="P550" s="80" t="inlineStr">
        <is>
          <t>灼熱風暴</t>
        </is>
      </c>
      <c r="Q550" t="inlineStr">
        <is>
          <t>debuff</t>
        </is>
      </c>
      <c r="R550" t="n">
        <v>9012</v>
      </c>
      <c r="S550" t="inlineStr">
        <is>
          <t>5,7,8</t>
        </is>
      </c>
      <c r="U550" t="n">
        <v>0.9</v>
      </c>
      <c r="V550" t="n">
        <v>70001</v>
      </c>
      <c r="W550" t="n">
        <v>3</v>
      </c>
      <c r="X550" t="n">
        <v>1</v>
      </c>
      <c r="Y550" t="n">
        <v>70002</v>
      </c>
      <c r="Z550" t="n">
        <v>3</v>
      </c>
      <c r="AA550" t="n">
        <v>1</v>
      </c>
      <c r="AB550" t="n">
        <v>1001</v>
      </c>
      <c r="AC550" t="n">
        <v>50</v>
      </c>
      <c r="AD550" t="n">
        <v>1</v>
      </c>
      <c r="AE550" t="n">
        <v>8000</v>
      </c>
      <c r="AF550" t="n">
        <v>1820</v>
      </c>
      <c r="AG550" t="n">
        <v>1</v>
      </c>
    </row>
    <row r="551" ht="38.25" customHeight="1" s="142">
      <c r="A551" t="n">
        <v>1445</v>
      </c>
      <c r="B551" t="inlineStr">
        <is>
          <t>main</t>
        </is>
      </c>
      <c r="C551" t="n">
        <v>12</v>
      </c>
      <c r="D551" t="inlineStr">
        <is>
          <t>12-46</t>
        </is>
      </c>
      <c r="E551" t="n">
        <v>150</v>
      </c>
      <c r="G551" s="90" t="inlineStr">
        <is>
          <t>{role:-1},{state:-60016}
{id:-1},{id:-1},{id:-1},{id:-1},{id:-1}
{id:40082},{id:40059},{id:40058},{id:40053},{id:40059}</t>
        </is>
      </c>
      <c r="I551" t="n">
        <v>56845</v>
      </c>
      <c r="J551" s="80" t="inlineStr">
        <is>
          <t>熔岩噴發</t>
        </is>
      </c>
      <c r="K551" t="inlineStr">
        <is>
          <t>buff</t>
        </is>
      </c>
      <c r="L551" t="n">
        <v>9001</v>
      </c>
      <c r="M551" t="inlineStr">
        <is>
          <t>2,7,9</t>
        </is>
      </c>
      <c r="O551" t="n">
        <v>0.1</v>
      </c>
      <c r="P551" s="80" t="inlineStr">
        <is>
          <t>灼熱風暴</t>
        </is>
      </c>
      <c r="Q551" t="inlineStr">
        <is>
          <t>debuff</t>
        </is>
      </c>
      <c r="R551" t="n">
        <v>9007</v>
      </c>
      <c r="S551" t="n">
        <v>3</v>
      </c>
      <c r="U551" t="n">
        <v>0.5</v>
      </c>
      <c r="V551" t="n">
        <v>70001</v>
      </c>
      <c r="W551" t="n">
        <v>3</v>
      </c>
      <c r="X551" t="n">
        <v>1</v>
      </c>
      <c r="Y551" t="n">
        <v>70002</v>
      </c>
      <c r="Z551" t="n">
        <v>3</v>
      </c>
      <c r="AA551" t="n">
        <v>1</v>
      </c>
      <c r="AB551" t="n">
        <v>1001</v>
      </c>
      <c r="AC551" t="n">
        <v>50</v>
      </c>
      <c r="AD551" t="n">
        <v>1</v>
      </c>
      <c r="AE551" t="n">
        <v>8000</v>
      </c>
      <c r="AF551" t="n">
        <v>1820</v>
      </c>
      <c r="AG551" t="n">
        <v>1</v>
      </c>
    </row>
    <row r="552" ht="38.25" customHeight="1" s="142">
      <c r="A552" t="n">
        <v>1446</v>
      </c>
      <c r="B552" t="inlineStr">
        <is>
          <t>main</t>
        </is>
      </c>
      <c r="C552" t="n">
        <v>12</v>
      </c>
      <c r="D552" t="inlineStr">
        <is>
          <t>12-47</t>
        </is>
      </c>
      <c r="E552" t="n">
        <v>150</v>
      </c>
      <c r="G552" s="90" t="inlineStr">
        <is>
          <t>{role:-1},{state:-60016}
{id:-1},{id:-1},{id:-1},{id:-1},{id:-1}
{id:40058},{id:40053},{id:40059},{id:40058},{id:40058}</t>
        </is>
      </c>
      <c r="I552" t="n">
        <v>56970</v>
      </c>
      <c r="J552" s="80" t="inlineStr">
        <is>
          <t>熔岩噴發</t>
        </is>
      </c>
      <c r="K552" t="inlineStr">
        <is>
          <t>buff</t>
        </is>
      </c>
      <c r="L552" t="n">
        <v>9008</v>
      </c>
      <c r="M552" t="inlineStr">
        <is>
          <t>8,12</t>
        </is>
      </c>
      <c r="O552" t="n">
        <v>0.5</v>
      </c>
      <c r="P552" s="80" t="inlineStr">
        <is>
          <t>灼熱風暴</t>
        </is>
      </c>
      <c r="Q552" t="inlineStr">
        <is>
          <t>debuff</t>
        </is>
      </c>
      <c r="R552" t="n">
        <v>9011</v>
      </c>
      <c r="S552" t="inlineStr">
        <is>
          <t>4,5,13</t>
        </is>
      </c>
      <c r="U552" t="n">
        <v>0.2</v>
      </c>
      <c r="V552" t="n">
        <v>70001</v>
      </c>
      <c r="W552" t="n">
        <v>3</v>
      </c>
      <c r="X552" t="n">
        <v>1</v>
      </c>
      <c r="Y552" t="n">
        <v>70002</v>
      </c>
      <c r="Z552" t="n">
        <v>3</v>
      </c>
      <c r="AA552" t="n">
        <v>1</v>
      </c>
      <c r="AB552" t="n">
        <v>1001</v>
      </c>
      <c r="AC552" t="n">
        <v>50</v>
      </c>
      <c r="AD552" t="n">
        <v>1</v>
      </c>
      <c r="AE552" t="n">
        <v>8000</v>
      </c>
      <c r="AF552" t="n">
        <v>1830</v>
      </c>
      <c r="AG552" t="n">
        <v>1</v>
      </c>
    </row>
    <row r="553" ht="38.25" customHeight="1" s="142">
      <c r="A553" t="n">
        <v>1447</v>
      </c>
      <c r="B553" t="inlineStr">
        <is>
          <t>main</t>
        </is>
      </c>
      <c r="C553" t="n">
        <v>12</v>
      </c>
      <c r="D553" t="inlineStr">
        <is>
          <t>12-48</t>
        </is>
      </c>
      <c r="E553" t="n">
        <v>150</v>
      </c>
      <c r="G553" s="90" t="inlineStr">
        <is>
          <t>{role:-1},{state:-60016}
{id:-1},{id:-1},{id:-1},{id:-1},{id:-1}
{id:40082},{id:40083},{id:40053},{id:40059},{id:40053}</t>
        </is>
      </c>
      <c r="I553" t="n">
        <v>57095</v>
      </c>
      <c r="J553" s="80" t="inlineStr">
        <is>
          <t>熔岩噴發</t>
        </is>
      </c>
      <c r="K553" t="inlineStr">
        <is>
          <t>buff</t>
        </is>
      </c>
      <c r="L553" t="n">
        <v>9011</v>
      </c>
      <c r="M553" t="n">
        <v>13</v>
      </c>
      <c r="O553" t="n">
        <v>0.8</v>
      </c>
      <c r="P553" s="80" t="inlineStr">
        <is>
          <t>灼熱風暴</t>
        </is>
      </c>
      <c r="Q553" t="inlineStr">
        <is>
          <t>debuff</t>
        </is>
      </c>
      <c r="R553" t="n">
        <v>9004</v>
      </c>
      <c r="S553" t="inlineStr">
        <is>
          <t>5,7</t>
        </is>
      </c>
      <c r="U553" t="n">
        <v>0.2</v>
      </c>
      <c r="V553" t="n">
        <v>70001</v>
      </c>
      <c r="W553" t="n">
        <v>3</v>
      </c>
      <c r="X553" t="n">
        <v>1</v>
      </c>
      <c r="Y553" t="n">
        <v>70002</v>
      </c>
      <c r="Z553" t="n">
        <v>3</v>
      </c>
      <c r="AA553" t="n">
        <v>1</v>
      </c>
      <c r="AB553" t="n">
        <v>1001</v>
      </c>
      <c r="AC553" t="n">
        <v>50</v>
      </c>
      <c r="AD553" t="n">
        <v>1</v>
      </c>
      <c r="AE553" t="n">
        <v>8000</v>
      </c>
      <c r="AF553" t="n">
        <v>1830</v>
      </c>
      <c r="AG553" t="n">
        <v>1</v>
      </c>
    </row>
    <row r="554" ht="38.25" customHeight="1" s="142">
      <c r="A554" t="n">
        <v>1448</v>
      </c>
      <c r="B554" t="inlineStr">
        <is>
          <t>main</t>
        </is>
      </c>
      <c r="C554" t="n">
        <v>12</v>
      </c>
      <c r="D554" t="inlineStr">
        <is>
          <t>12-49</t>
        </is>
      </c>
      <c r="E554" t="n">
        <v>150</v>
      </c>
      <c r="G554" s="90" t="inlineStr">
        <is>
          <t>{role:-1},{state:-60016}
{id:-1},{id:-1},{id:-1},{id:-1},{id:-1}
{id:40053},{id:40082},{id:40058},{id:40053},{id:40053}</t>
        </is>
      </c>
      <c r="I554" t="n">
        <v>57220</v>
      </c>
      <c r="J554" s="80" t="inlineStr">
        <is>
          <t>熔岩噴發</t>
        </is>
      </c>
      <c r="K554" t="inlineStr">
        <is>
          <t>buff</t>
        </is>
      </c>
      <c r="L554" t="n">
        <v>9011</v>
      </c>
      <c r="M554" t="inlineStr">
        <is>
          <t>4,8,12</t>
        </is>
      </c>
      <c r="O554" t="n">
        <v>0.4</v>
      </c>
      <c r="P554" s="80" t="inlineStr">
        <is>
          <t>灼熱風暴</t>
        </is>
      </c>
      <c r="Q554" t="inlineStr">
        <is>
          <t>debuff</t>
        </is>
      </c>
      <c r="R554" t="n">
        <v>9004</v>
      </c>
      <c r="S554" t="inlineStr">
        <is>
          <t>1,2,11</t>
        </is>
      </c>
      <c r="U554" t="n">
        <v>0.9</v>
      </c>
      <c r="V554" t="n">
        <v>70001</v>
      </c>
      <c r="W554" t="n">
        <v>3</v>
      </c>
      <c r="X554" t="n">
        <v>1</v>
      </c>
      <c r="Y554" t="n">
        <v>70002</v>
      </c>
      <c r="Z554" t="n">
        <v>3</v>
      </c>
      <c r="AA554" t="n">
        <v>1</v>
      </c>
      <c r="AB554" t="n">
        <v>1001</v>
      </c>
      <c r="AC554" t="n">
        <v>50</v>
      </c>
      <c r="AD554" t="n">
        <v>1</v>
      </c>
      <c r="AE554" t="n">
        <v>8000</v>
      </c>
      <c r="AF554" t="n">
        <v>1840</v>
      </c>
      <c r="AG554" t="n">
        <v>1</v>
      </c>
    </row>
    <row r="555" ht="38.25" customHeight="1" s="142">
      <c r="A555" t="n">
        <v>1449</v>
      </c>
      <c r="B555" t="inlineStr">
        <is>
          <t>main</t>
        </is>
      </c>
      <c r="C555" t="n">
        <v>12</v>
      </c>
      <c r="D555" t="inlineStr">
        <is>
          <t>12-50</t>
        </is>
      </c>
      <c r="E555" t="n">
        <v>150</v>
      </c>
      <c r="G555" s="90" t="inlineStr">
        <is>
          <t>{role:-1},{state:-60016}
{id:-1},{id:-1},{id:-1},{id:-1},{id:-1}
{id:50013},{id:40083},{id:40059},{id:40082},{id:40058}</t>
        </is>
      </c>
      <c r="I555" t="n">
        <v>57345</v>
      </c>
      <c r="J555" s="80" t="inlineStr">
        <is>
          <t>熔岩噴發</t>
        </is>
      </c>
      <c r="K555" t="inlineStr">
        <is>
          <t>buff</t>
        </is>
      </c>
      <c r="L555" t="n">
        <v>9006</v>
      </c>
      <c r="M555" t="n">
        <v>1</v>
      </c>
      <c r="O555" t="n">
        <v>0.2</v>
      </c>
      <c r="P555" s="80" t="inlineStr">
        <is>
          <t>灼熱風暴</t>
        </is>
      </c>
      <c r="Q555" t="inlineStr">
        <is>
          <t>debuff</t>
        </is>
      </c>
      <c r="R555" t="n">
        <v>9007</v>
      </c>
      <c r="S555" t="inlineStr">
        <is>
          <t>10,12</t>
        </is>
      </c>
      <c r="U555" t="n">
        <v>0.4</v>
      </c>
      <c r="V555" t="n">
        <v>70001</v>
      </c>
      <c r="W555" t="n">
        <v>3</v>
      </c>
      <c r="X555" t="n">
        <v>1</v>
      </c>
      <c r="Y555" t="n">
        <v>70002</v>
      </c>
      <c r="Z555" t="n">
        <v>3</v>
      </c>
      <c r="AA555" t="n">
        <v>1</v>
      </c>
      <c r="AB555" t="n">
        <v>1001</v>
      </c>
      <c r="AC555" t="n">
        <v>50</v>
      </c>
      <c r="AD555" t="n">
        <v>1</v>
      </c>
      <c r="AE555" t="n">
        <v>8000</v>
      </c>
      <c r="AF555" t="n">
        <v>1840</v>
      </c>
      <c r="AG555" t="n">
        <v>1</v>
      </c>
    </row>
    <row r="556" ht="38.25" customHeight="1" s="142">
      <c r="A556" t="n">
        <v>1450</v>
      </c>
      <c r="B556" t="inlineStr">
        <is>
          <t>main</t>
        </is>
      </c>
      <c r="C556" t="n">
        <v>13</v>
      </c>
      <c r="D556" t="inlineStr">
        <is>
          <t>13-1</t>
        </is>
      </c>
      <c r="E556" t="n">
        <v>150</v>
      </c>
      <c r="G556" s="90" t="inlineStr">
        <is>
          <t>{role:-1},{state:-60017}
{id:-1},{id:-1},{id:-1},{id:-1},{id:-1}
{id:40064},{id:40062}</t>
        </is>
      </c>
      <c r="I556" t="n">
        <v>57470</v>
      </c>
      <c r="J556" s="80" t="inlineStr">
        <is>
          <t>暴風雪</t>
        </is>
      </c>
      <c r="K556" t="inlineStr">
        <is>
          <t>buff</t>
        </is>
      </c>
      <c r="L556" t="n">
        <v>9005</v>
      </c>
      <c r="M556" t="inlineStr">
        <is>
          <t>1,7,13</t>
        </is>
      </c>
      <c r="O556" t="n">
        <v>0.1</v>
      </c>
      <c r="P556" s="80" t="inlineStr">
        <is>
          <t>寒氣侵襲</t>
        </is>
      </c>
      <c r="Q556" t="inlineStr">
        <is>
          <t>debuff</t>
        </is>
      </c>
      <c r="R556" t="n">
        <v>9010</v>
      </c>
      <c r="S556" t="inlineStr">
        <is>
          <t>4,5</t>
        </is>
      </c>
      <c r="U556" t="n">
        <v>0.4</v>
      </c>
      <c r="V556" t="n">
        <v>70001</v>
      </c>
      <c r="W556" t="n">
        <v>3</v>
      </c>
      <c r="X556" t="n">
        <v>1</v>
      </c>
      <c r="Y556" t="n">
        <v>70002</v>
      </c>
      <c r="Z556" t="n">
        <v>3</v>
      </c>
      <c r="AA556" t="n">
        <v>1</v>
      </c>
      <c r="AB556" t="n">
        <v>1001</v>
      </c>
      <c r="AC556" t="n">
        <v>50</v>
      </c>
      <c r="AD556" t="n">
        <v>1</v>
      </c>
      <c r="AE556" t="n">
        <v>8000</v>
      </c>
      <c r="AF556" t="n">
        <v>1850</v>
      </c>
      <c r="AG556" t="n">
        <v>1</v>
      </c>
    </row>
    <row r="557" ht="38.25" customHeight="1" s="142">
      <c r="A557" t="n">
        <v>1451</v>
      </c>
      <c r="B557" t="inlineStr">
        <is>
          <t>main</t>
        </is>
      </c>
      <c r="C557" t="n">
        <v>13</v>
      </c>
      <c r="D557" t="inlineStr">
        <is>
          <t>13-2</t>
        </is>
      </c>
      <c r="E557" t="n">
        <v>150</v>
      </c>
      <c r="G557" s="90" t="inlineStr">
        <is>
          <t>{role:-1},{state:-60017}
{id:-1},{id:-1},{id:-1},{id:-1},{id:-1}
{id:40084},{id:40064}</t>
        </is>
      </c>
      <c r="I557" t="n">
        <v>57595</v>
      </c>
      <c r="J557" s="80" t="inlineStr">
        <is>
          <t>暴風雪</t>
        </is>
      </c>
      <c r="K557" t="inlineStr">
        <is>
          <t>buff</t>
        </is>
      </c>
      <c r="L557" t="n">
        <v>9008</v>
      </c>
      <c r="M557" t="n">
        <v>5</v>
      </c>
      <c r="O557" t="n">
        <v>0.2</v>
      </c>
      <c r="P557" s="80" t="inlineStr">
        <is>
          <t>寒氣侵襲</t>
        </is>
      </c>
      <c r="Q557" t="inlineStr">
        <is>
          <t>debuff</t>
        </is>
      </c>
      <c r="R557" t="n">
        <v>9003</v>
      </c>
      <c r="S557" t="inlineStr">
        <is>
          <t>11,12</t>
        </is>
      </c>
      <c r="U557" t="n">
        <v>1</v>
      </c>
      <c r="V557" t="n">
        <v>70001</v>
      </c>
      <c r="W557" t="n">
        <v>3</v>
      </c>
      <c r="X557" t="n">
        <v>1</v>
      </c>
      <c r="Y557" t="n">
        <v>70002</v>
      </c>
      <c r="Z557" t="n">
        <v>3</v>
      </c>
      <c r="AA557" t="n">
        <v>1</v>
      </c>
      <c r="AB557" t="n">
        <v>1001</v>
      </c>
      <c r="AC557" t="n">
        <v>50</v>
      </c>
      <c r="AD557" t="n">
        <v>1</v>
      </c>
      <c r="AE557" t="n">
        <v>8000</v>
      </c>
      <c r="AF557" t="n">
        <v>1850</v>
      </c>
      <c r="AG557" t="n">
        <v>1</v>
      </c>
    </row>
    <row r="558" ht="38.25" customHeight="1" s="142">
      <c r="A558" t="n">
        <v>1452</v>
      </c>
      <c r="B558" t="inlineStr">
        <is>
          <t>main</t>
        </is>
      </c>
      <c r="C558" t="n">
        <v>13</v>
      </c>
      <c r="D558" t="inlineStr">
        <is>
          <t>13-3</t>
        </is>
      </c>
      <c r="E558" t="n">
        <v>150</v>
      </c>
      <c r="G558" s="90" t="inlineStr">
        <is>
          <t>{role:-1},{state:-60017}
{id:-1},{id:-1},{id:-1},{id:-1},{id:-1}
{id:40062},{id:40061}</t>
        </is>
      </c>
      <c r="I558" t="n">
        <v>57720</v>
      </c>
      <c r="J558" s="80" t="inlineStr">
        <is>
          <t>暴風雪</t>
        </is>
      </c>
      <c r="K558" t="inlineStr">
        <is>
          <t>buff</t>
        </is>
      </c>
      <c r="L558" t="n">
        <v>9002</v>
      </c>
      <c r="M558" t="n">
        <v>7</v>
      </c>
      <c r="O558" t="n">
        <v>0.2</v>
      </c>
      <c r="P558" s="80" t="inlineStr">
        <is>
          <t>寒氣侵襲</t>
        </is>
      </c>
      <c r="Q558" t="inlineStr">
        <is>
          <t>debuff</t>
        </is>
      </c>
      <c r="R558" t="n">
        <v>9011</v>
      </c>
      <c r="S558" t="n">
        <v>7</v>
      </c>
      <c r="U558" t="n">
        <v>0.4</v>
      </c>
      <c r="V558" t="n">
        <v>70001</v>
      </c>
      <c r="W558" t="n">
        <v>3</v>
      </c>
      <c r="X558" t="n">
        <v>1</v>
      </c>
      <c r="Y558" t="n">
        <v>70002</v>
      </c>
      <c r="Z558" t="n">
        <v>3</v>
      </c>
      <c r="AA558" t="n">
        <v>1</v>
      </c>
      <c r="AB558" t="n">
        <v>1001</v>
      </c>
      <c r="AC558" t="n">
        <v>50</v>
      </c>
      <c r="AD558" t="n">
        <v>1</v>
      </c>
      <c r="AE558" t="n">
        <v>8000</v>
      </c>
      <c r="AF558" t="n">
        <v>1860</v>
      </c>
      <c r="AG558" t="n">
        <v>1</v>
      </c>
    </row>
    <row r="559" ht="38.25" customHeight="1" s="142">
      <c r="A559" t="n">
        <v>1453</v>
      </c>
      <c r="B559" t="inlineStr">
        <is>
          <t>main</t>
        </is>
      </c>
      <c r="C559" t="n">
        <v>13</v>
      </c>
      <c r="D559" t="inlineStr">
        <is>
          <t>13-4</t>
        </is>
      </c>
      <c r="E559" t="n">
        <v>150</v>
      </c>
      <c r="G559" s="90" t="inlineStr">
        <is>
          <t>{role:-1},{state:-60017}
{id:-1},{id:-1},{id:-1},{id:-1},{id:-1}
{id:40084},{id:40061}</t>
        </is>
      </c>
      <c r="I559" t="n">
        <v>57845</v>
      </c>
      <c r="J559" s="80" t="inlineStr">
        <is>
          <t>暴風雪</t>
        </is>
      </c>
      <c r="K559" t="inlineStr">
        <is>
          <t>buff</t>
        </is>
      </c>
      <c r="L559" t="n">
        <v>9002</v>
      </c>
      <c r="M559" t="inlineStr">
        <is>
          <t>5,11,13</t>
        </is>
      </c>
      <c r="O559" t="n">
        <v>0.3</v>
      </c>
      <c r="P559" s="80" t="inlineStr">
        <is>
          <t>寒氣侵襲</t>
        </is>
      </c>
      <c r="Q559" t="inlineStr">
        <is>
          <t>debuff</t>
        </is>
      </c>
      <c r="R559" t="n">
        <v>9012</v>
      </c>
      <c r="S559" t="inlineStr">
        <is>
          <t>5,10</t>
        </is>
      </c>
      <c r="U559" t="n">
        <v>0.1</v>
      </c>
      <c r="V559" t="n">
        <v>70001</v>
      </c>
      <c r="W559" t="n">
        <v>3</v>
      </c>
      <c r="X559" t="n">
        <v>1</v>
      </c>
      <c r="Y559" t="n">
        <v>70002</v>
      </c>
      <c r="Z559" t="n">
        <v>3</v>
      </c>
      <c r="AA559" t="n">
        <v>1</v>
      </c>
      <c r="AB559" t="n">
        <v>1001</v>
      </c>
      <c r="AC559" t="n">
        <v>50</v>
      </c>
      <c r="AD559" t="n">
        <v>1</v>
      </c>
      <c r="AE559" t="n">
        <v>8000</v>
      </c>
      <c r="AF559" t="n">
        <v>1870</v>
      </c>
      <c r="AG559" t="n">
        <v>1</v>
      </c>
    </row>
    <row r="560" ht="38.25" customHeight="1" s="142">
      <c r="A560" t="n">
        <v>1454</v>
      </c>
      <c r="B560" t="inlineStr">
        <is>
          <t>main</t>
        </is>
      </c>
      <c r="C560" t="n">
        <v>13</v>
      </c>
      <c r="D560" t="inlineStr">
        <is>
          <t>13-5</t>
        </is>
      </c>
      <c r="E560" t="n">
        <v>150</v>
      </c>
      <c r="G560" s="90" t="inlineStr">
        <is>
          <t>{role:-1},{state:-60017}
{id:-1},{id:-1},{id:-1},{id:-1},{id:-1}
{id:40084},{id:40084}</t>
        </is>
      </c>
      <c r="I560" t="n">
        <v>57970</v>
      </c>
      <c r="J560" s="80" t="inlineStr">
        <is>
          <t>暴風雪</t>
        </is>
      </c>
      <c r="K560" t="inlineStr">
        <is>
          <t>buff</t>
        </is>
      </c>
      <c r="L560" t="n">
        <v>9008</v>
      </c>
      <c r="M560" t="inlineStr">
        <is>
          <t>2,9</t>
        </is>
      </c>
      <c r="O560" t="n">
        <v>0.5</v>
      </c>
      <c r="P560" s="80" t="inlineStr">
        <is>
          <t>寒氣侵襲</t>
        </is>
      </c>
      <c r="Q560" t="inlineStr">
        <is>
          <t>debuff</t>
        </is>
      </c>
      <c r="R560" t="n">
        <v>9008</v>
      </c>
      <c r="S560" t="inlineStr">
        <is>
          <t>5,13</t>
        </is>
      </c>
      <c r="U560" t="n">
        <v>0.8</v>
      </c>
      <c r="V560" t="n">
        <v>70001</v>
      </c>
      <c r="W560" t="n">
        <v>3</v>
      </c>
      <c r="X560" t="n">
        <v>1</v>
      </c>
      <c r="Y560" t="n">
        <v>70002</v>
      </c>
      <c r="Z560" t="n">
        <v>3</v>
      </c>
      <c r="AA560" t="n">
        <v>1</v>
      </c>
      <c r="AB560" t="n">
        <v>1001</v>
      </c>
      <c r="AC560" t="n">
        <v>50</v>
      </c>
      <c r="AD560" t="n">
        <v>1</v>
      </c>
      <c r="AE560" t="n">
        <v>8000</v>
      </c>
      <c r="AF560" t="n">
        <v>1870</v>
      </c>
      <c r="AG560" t="n">
        <v>1</v>
      </c>
    </row>
    <row r="561" ht="38.25" customHeight="1" s="142">
      <c r="A561" t="n">
        <v>1455</v>
      </c>
      <c r="B561" t="inlineStr">
        <is>
          <t>main</t>
        </is>
      </c>
      <c r="C561" t="n">
        <v>13</v>
      </c>
      <c r="D561" t="inlineStr">
        <is>
          <t>13-6</t>
        </is>
      </c>
      <c r="E561" t="n">
        <v>150</v>
      </c>
      <c r="G561" s="90" t="inlineStr">
        <is>
          <t>{role:-1},{state:-60017}
{id:-1},{id:-1},{id:-1},{id:-1},{id:-1}
{id:40064},{id:40051},{id:40062}</t>
        </is>
      </c>
      <c r="I561" t="n">
        <v>58095</v>
      </c>
      <c r="J561" s="80" t="inlineStr">
        <is>
          <t>暴風雪</t>
        </is>
      </c>
      <c r="K561" t="inlineStr">
        <is>
          <t>buff</t>
        </is>
      </c>
      <c r="L561" t="n">
        <v>9007</v>
      </c>
      <c r="M561" t="inlineStr">
        <is>
          <t>3,5</t>
        </is>
      </c>
      <c r="O561" t="n">
        <v>0.6</v>
      </c>
      <c r="P561" s="80" t="inlineStr">
        <is>
          <t>寒氣侵襲</t>
        </is>
      </c>
      <c r="Q561" t="inlineStr">
        <is>
          <t>debuff</t>
        </is>
      </c>
      <c r="R561" t="n">
        <v>9004</v>
      </c>
      <c r="S561" t="inlineStr">
        <is>
          <t>1,4,6</t>
        </is>
      </c>
      <c r="U561" t="n">
        <v>0.5</v>
      </c>
      <c r="V561" t="n">
        <v>70001</v>
      </c>
      <c r="W561" t="n">
        <v>3</v>
      </c>
      <c r="X561" t="n">
        <v>1</v>
      </c>
      <c r="Y561" t="n">
        <v>70002</v>
      </c>
      <c r="Z561" t="n">
        <v>3</v>
      </c>
      <c r="AA561" t="n">
        <v>1</v>
      </c>
      <c r="AB561" t="n">
        <v>1001</v>
      </c>
      <c r="AC561" t="n">
        <v>50</v>
      </c>
      <c r="AD561" t="n">
        <v>1</v>
      </c>
      <c r="AE561" t="n">
        <v>8000</v>
      </c>
      <c r="AF561" t="n">
        <v>1880</v>
      </c>
      <c r="AG561" t="n">
        <v>1</v>
      </c>
    </row>
    <row r="562" ht="38.25" customHeight="1" s="142">
      <c r="A562" t="n">
        <v>1456</v>
      </c>
      <c r="B562" t="inlineStr">
        <is>
          <t>main</t>
        </is>
      </c>
      <c r="C562" t="n">
        <v>13</v>
      </c>
      <c r="D562" t="inlineStr">
        <is>
          <t>13-7</t>
        </is>
      </c>
      <c r="E562" t="n">
        <v>150</v>
      </c>
      <c r="G562" s="90" t="inlineStr">
        <is>
          <t>{role:-1},{state:-60017}
{id:-1},{id:-1},{id:-1},{id:-1},{id:-1}
{id:40064},{id:40084},{id:40051}</t>
        </is>
      </c>
      <c r="I562" t="n">
        <v>58220</v>
      </c>
      <c r="J562" s="80" t="inlineStr">
        <is>
          <t>暴風雪</t>
        </is>
      </c>
      <c r="K562" t="inlineStr">
        <is>
          <t>buff</t>
        </is>
      </c>
      <c r="L562" t="n">
        <v>9005</v>
      </c>
      <c r="M562" t="inlineStr">
        <is>
          <t>2,5,6</t>
        </is>
      </c>
      <c r="O562" t="n">
        <v>0.3</v>
      </c>
      <c r="P562" s="80" t="inlineStr">
        <is>
          <t>寒氣侵襲</t>
        </is>
      </c>
      <c r="Q562" t="inlineStr">
        <is>
          <t>debuff</t>
        </is>
      </c>
      <c r="R562" t="n">
        <v>9010</v>
      </c>
      <c r="S562" t="inlineStr">
        <is>
          <t>4,12</t>
        </is>
      </c>
      <c r="U562" t="n">
        <v>0.7</v>
      </c>
      <c r="V562" t="n">
        <v>70001</v>
      </c>
      <c r="W562" t="n">
        <v>3</v>
      </c>
      <c r="X562" t="n">
        <v>1</v>
      </c>
      <c r="Y562" t="n">
        <v>70002</v>
      </c>
      <c r="Z562" t="n">
        <v>3</v>
      </c>
      <c r="AA562" t="n">
        <v>1</v>
      </c>
      <c r="AB562" t="n">
        <v>1001</v>
      </c>
      <c r="AC562" t="n">
        <v>50</v>
      </c>
      <c r="AD562" t="n">
        <v>1</v>
      </c>
      <c r="AE562" t="n">
        <v>8000</v>
      </c>
      <c r="AF562" t="n">
        <v>1880</v>
      </c>
      <c r="AG562" t="n">
        <v>1</v>
      </c>
    </row>
    <row r="563" ht="38.25" customHeight="1" s="142">
      <c r="A563" t="n">
        <v>1457</v>
      </c>
      <c r="B563" t="inlineStr">
        <is>
          <t>main</t>
        </is>
      </c>
      <c r="C563" t="n">
        <v>13</v>
      </c>
      <c r="D563" t="inlineStr">
        <is>
          <t>13-8</t>
        </is>
      </c>
      <c r="E563" t="n">
        <v>150</v>
      </c>
      <c r="G563" s="90" t="inlineStr">
        <is>
          <t>{role:-1},{state:-60017}
{id:-1},{id:-1},{id:-1},{id:-1},{id:-1}
{id:40062},{id:40051},{id:40084}</t>
        </is>
      </c>
      <c r="I563" t="n">
        <v>58345</v>
      </c>
      <c r="J563" s="80" t="inlineStr">
        <is>
          <t>暴風雪</t>
        </is>
      </c>
      <c r="K563" t="inlineStr">
        <is>
          <t>buff</t>
        </is>
      </c>
      <c r="L563" t="n">
        <v>9007</v>
      </c>
      <c r="M563" t="n">
        <v>11</v>
      </c>
      <c r="O563" t="n">
        <v>0.5</v>
      </c>
      <c r="P563" s="80" t="inlineStr">
        <is>
          <t>寒氣侵襲</t>
        </is>
      </c>
      <c r="Q563" t="inlineStr">
        <is>
          <t>debuff</t>
        </is>
      </c>
      <c r="R563" t="n">
        <v>9011</v>
      </c>
      <c r="S563" t="inlineStr">
        <is>
          <t>4,7,13</t>
        </is>
      </c>
      <c r="U563" t="n">
        <v>0.4</v>
      </c>
      <c r="V563" t="n">
        <v>70001</v>
      </c>
      <c r="W563" t="n">
        <v>3</v>
      </c>
      <c r="X563" t="n">
        <v>1</v>
      </c>
      <c r="Y563" t="n">
        <v>70002</v>
      </c>
      <c r="Z563" t="n">
        <v>3</v>
      </c>
      <c r="AA563" t="n">
        <v>1</v>
      </c>
      <c r="AB563" t="n">
        <v>1001</v>
      </c>
      <c r="AC563" t="n">
        <v>50</v>
      </c>
      <c r="AD563" t="n">
        <v>1</v>
      </c>
      <c r="AE563" t="n">
        <v>8000</v>
      </c>
      <c r="AF563" t="n">
        <v>1890</v>
      </c>
      <c r="AG563" t="n">
        <v>1</v>
      </c>
    </row>
    <row r="564" ht="38.25" customHeight="1" s="142">
      <c r="A564" t="n">
        <v>1458</v>
      </c>
      <c r="B564" t="inlineStr">
        <is>
          <t>main</t>
        </is>
      </c>
      <c r="C564" t="n">
        <v>13</v>
      </c>
      <c r="D564" t="inlineStr">
        <is>
          <t>13-9</t>
        </is>
      </c>
      <c r="E564" t="n">
        <v>150</v>
      </c>
      <c r="G564" s="90" t="inlineStr">
        <is>
          <t>{role:-1},{state:-60017}
{id:-1},{id:-1},{id:-1},{id:-1},{id:-1}
{id:40064},{id:40084},{id:40051}</t>
        </is>
      </c>
      <c r="I564" t="n">
        <v>58470</v>
      </c>
      <c r="J564" s="80" t="inlineStr">
        <is>
          <t>暴風雪</t>
        </is>
      </c>
      <c r="K564" t="inlineStr">
        <is>
          <t>buff</t>
        </is>
      </c>
      <c r="L564" t="n">
        <v>9002</v>
      </c>
      <c r="M564" t="inlineStr">
        <is>
          <t>10,13</t>
        </is>
      </c>
      <c r="O564" t="n">
        <v>0.3</v>
      </c>
      <c r="P564" s="80" t="inlineStr">
        <is>
          <t>寒氣侵襲</t>
        </is>
      </c>
      <c r="Q564" t="inlineStr">
        <is>
          <t>debuff</t>
        </is>
      </c>
      <c r="R564" t="n">
        <v>9011</v>
      </c>
      <c r="S564" t="n">
        <v>2</v>
      </c>
      <c r="U564" t="n">
        <v>0.5</v>
      </c>
      <c r="V564" t="n">
        <v>70001</v>
      </c>
      <c r="W564" t="n">
        <v>3</v>
      </c>
      <c r="X564" t="n">
        <v>1</v>
      </c>
      <c r="Y564" t="n">
        <v>70002</v>
      </c>
      <c r="Z564" t="n">
        <v>3</v>
      </c>
      <c r="AA564" t="n">
        <v>1</v>
      </c>
      <c r="AB564" t="n">
        <v>1001</v>
      </c>
      <c r="AC564" t="n">
        <v>50</v>
      </c>
      <c r="AD564" t="n">
        <v>1</v>
      </c>
      <c r="AE564" t="n">
        <v>8000</v>
      </c>
      <c r="AF564" t="n">
        <v>1890</v>
      </c>
      <c r="AG564" t="n">
        <v>1</v>
      </c>
    </row>
    <row r="565" ht="38.25" customHeight="1" s="142">
      <c r="A565" t="n">
        <v>1459</v>
      </c>
      <c r="B565" t="inlineStr">
        <is>
          <t>main</t>
        </is>
      </c>
      <c r="C565" t="n">
        <v>13</v>
      </c>
      <c r="D565" t="inlineStr">
        <is>
          <t>13-10</t>
        </is>
      </c>
      <c r="E565" t="n">
        <v>150</v>
      </c>
      <c r="G565" s="90" t="inlineStr">
        <is>
          <t>{role:-1},{state:-60017}
{id:-1},{id:-1},{id:-1},{id:-1},{id:-1}
{id:40084},{id:40061},{id:40051}</t>
        </is>
      </c>
      <c r="I565" t="n">
        <v>58595</v>
      </c>
      <c r="J565" s="80" t="inlineStr">
        <is>
          <t>暴風雪</t>
        </is>
      </c>
      <c r="K565" t="inlineStr">
        <is>
          <t>buff</t>
        </is>
      </c>
      <c r="L565" t="n">
        <v>9001</v>
      </c>
      <c r="M565" t="inlineStr">
        <is>
          <t>1,7,8</t>
        </is>
      </c>
      <c r="O565" t="n">
        <v>0.1</v>
      </c>
      <c r="P565" s="80" t="inlineStr">
        <is>
          <t>寒氣侵襲</t>
        </is>
      </c>
      <c r="Q565" t="inlineStr">
        <is>
          <t>debuff</t>
        </is>
      </c>
      <c r="R565" t="n">
        <v>9004</v>
      </c>
      <c r="S565" t="n">
        <v>3</v>
      </c>
      <c r="U565" t="n">
        <v>0.5</v>
      </c>
      <c r="V565" t="n">
        <v>70001</v>
      </c>
      <c r="W565" t="n">
        <v>3</v>
      </c>
      <c r="X565" t="n">
        <v>1</v>
      </c>
      <c r="Y565" t="n">
        <v>70002</v>
      </c>
      <c r="Z565" t="n">
        <v>3</v>
      </c>
      <c r="AA565" t="n">
        <v>1</v>
      </c>
      <c r="AB565" t="n">
        <v>1001</v>
      </c>
      <c r="AC565" t="n">
        <v>50</v>
      </c>
      <c r="AD565" t="n">
        <v>1</v>
      </c>
      <c r="AE565" t="n">
        <v>8000</v>
      </c>
      <c r="AF565" t="n">
        <v>1900</v>
      </c>
      <c r="AG565" t="n">
        <v>1</v>
      </c>
    </row>
    <row r="566" ht="38.25" customHeight="1" s="142">
      <c r="A566" t="n">
        <v>1460</v>
      </c>
      <c r="B566" t="inlineStr">
        <is>
          <t>main</t>
        </is>
      </c>
      <c r="C566" t="n">
        <v>13</v>
      </c>
      <c r="D566" t="inlineStr">
        <is>
          <t>13-11</t>
        </is>
      </c>
      <c r="E566" t="n">
        <v>150</v>
      </c>
      <c r="G566" s="90" t="inlineStr">
        <is>
          <t>{role:-1},{state:-60017}
{id:-1},{id:-1},{id:-1},{id:-1},{id:-1}
{id:40051},{id:40084},{id:40062}</t>
        </is>
      </c>
      <c r="I566" t="n">
        <v>58720</v>
      </c>
      <c r="J566" s="80" t="inlineStr">
        <is>
          <t>暴風雪</t>
        </is>
      </c>
      <c r="K566" t="inlineStr">
        <is>
          <t>buff</t>
        </is>
      </c>
      <c r="L566" t="n">
        <v>9001</v>
      </c>
      <c r="M566" t="inlineStr">
        <is>
          <t>8,12,13</t>
        </is>
      </c>
      <c r="O566" t="n">
        <v>0.7</v>
      </c>
      <c r="P566" s="80" t="inlineStr">
        <is>
          <t>寒氣侵襲</t>
        </is>
      </c>
      <c r="Q566" t="inlineStr">
        <is>
          <t>debuff</t>
        </is>
      </c>
      <c r="R566" t="n">
        <v>9011</v>
      </c>
      <c r="S566" t="inlineStr">
        <is>
          <t>3,5</t>
        </is>
      </c>
      <c r="U566" t="n">
        <v>0.4</v>
      </c>
      <c r="V566" t="n">
        <v>70001</v>
      </c>
      <c r="W566" t="n">
        <v>3</v>
      </c>
      <c r="X566" t="n">
        <v>1</v>
      </c>
      <c r="Y566" t="n">
        <v>70002</v>
      </c>
      <c r="Z566" t="n">
        <v>3</v>
      </c>
      <c r="AA566" t="n">
        <v>1</v>
      </c>
      <c r="AB566" t="n">
        <v>1001</v>
      </c>
      <c r="AC566" t="n">
        <v>50</v>
      </c>
      <c r="AD566" t="n">
        <v>1</v>
      </c>
      <c r="AE566" t="n">
        <v>8000</v>
      </c>
      <c r="AF566" t="n">
        <v>1900</v>
      </c>
      <c r="AG566" t="n">
        <v>1</v>
      </c>
    </row>
    <row r="567" ht="38.25" customHeight="1" s="142">
      <c r="A567" t="n">
        <v>1461</v>
      </c>
      <c r="B567" t="inlineStr">
        <is>
          <t>main</t>
        </is>
      </c>
      <c r="C567" t="n">
        <v>13</v>
      </c>
      <c r="D567" t="inlineStr">
        <is>
          <t>13-12</t>
        </is>
      </c>
      <c r="E567" t="n">
        <v>150</v>
      </c>
      <c r="G567" s="90" t="inlineStr">
        <is>
          <t>{role:-1},{state:-60017}
{id:-1},{id:-1},{id:-1},{id:-1},{id:-1}
{id:40062},{id:40061},{id:40051}</t>
        </is>
      </c>
      <c r="I567" t="n">
        <v>58845</v>
      </c>
      <c r="J567" s="80" t="inlineStr">
        <is>
          <t>暴風雪</t>
        </is>
      </c>
      <c r="K567" t="inlineStr">
        <is>
          <t>buff</t>
        </is>
      </c>
      <c r="L567" t="n">
        <v>9002</v>
      </c>
      <c r="M567" t="inlineStr">
        <is>
          <t>2,11,12</t>
        </is>
      </c>
      <c r="O567" t="n">
        <v>0.7</v>
      </c>
      <c r="P567" s="80" t="inlineStr">
        <is>
          <t>寒氣侵襲</t>
        </is>
      </c>
      <c r="Q567" t="inlineStr">
        <is>
          <t>debuff</t>
        </is>
      </c>
      <c r="R567" t="n">
        <v>9011</v>
      </c>
      <c r="S567" t="inlineStr">
        <is>
          <t>3,8</t>
        </is>
      </c>
      <c r="U567" t="n">
        <v>0.6</v>
      </c>
      <c r="V567" t="n">
        <v>70001</v>
      </c>
      <c r="W567" t="n">
        <v>3</v>
      </c>
      <c r="X567" t="n">
        <v>1</v>
      </c>
      <c r="Y567" t="n">
        <v>70002</v>
      </c>
      <c r="Z567" t="n">
        <v>3</v>
      </c>
      <c r="AA567" t="n">
        <v>1</v>
      </c>
      <c r="AB567" t="n">
        <v>1001</v>
      </c>
      <c r="AC567" t="n">
        <v>50</v>
      </c>
      <c r="AD567" t="n">
        <v>1</v>
      </c>
      <c r="AE567" t="n">
        <v>8000</v>
      </c>
      <c r="AF567" t="n">
        <v>1910</v>
      </c>
      <c r="AG567" t="n">
        <v>1</v>
      </c>
    </row>
    <row r="568" ht="38.25" customHeight="1" s="142">
      <c r="A568" t="n">
        <v>1462</v>
      </c>
      <c r="B568" t="inlineStr">
        <is>
          <t>main</t>
        </is>
      </c>
      <c r="C568" t="n">
        <v>13</v>
      </c>
      <c r="D568" t="inlineStr">
        <is>
          <t>13-13</t>
        </is>
      </c>
      <c r="E568" t="n">
        <v>150</v>
      </c>
      <c r="G568" s="90" t="inlineStr">
        <is>
          <t>{role:-1},{state:-60017}
{id:-1},{id:-1},{id:-1},{id:-1},{id:-1}
{id:40084},{id:40084},{id:40051}</t>
        </is>
      </c>
      <c r="I568" t="n">
        <v>58970</v>
      </c>
      <c r="J568" s="80" t="inlineStr">
        <is>
          <t>暴風雪</t>
        </is>
      </c>
      <c r="K568" t="inlineStr">
        <is>
          <t>buff</t>
        </is>
      </c>
      <c r="L568" t="n">
        <v>9012</v>
      </c>
      <c r="M568" t="n">
        <v>8</v>
      </c>
      <c r="O568" t="n">
        <v>0.5</v>
      </c>
      <c r="P568" s="80" t="inlineStr">
        <is>
          <t>寒氣侵襲</t>
        </is>
      </c>
      <c r="Q568" t="inlineStr">
        <is>
          <t>debuff</t>
        </is>
      </c>
      <c r="R568" t="n">
        <v>9007</v>
      </c>
      <c r="S568" t="n">
        <v>1</v>
      </c>
      <c r="U568" t="n">
        <v>0.2</v>
      </c>
      <c r="V568" t="n">
        <v>70001</v>
      </c>
      <c r="W568" t="n">
        <v>3</v>
      </c>
      <c r="X568" t="n">
        <v>1</v>
      </c>
      <c r="Y568" t="n">
        <v>70002</v>
      </c>
      <c r="Z568" t="n">
        <v>3</v>
      </c>
      <c r="AA568" t="n">
        <v>1</v>
      </c>
      <c r="AB568" t="n">
        <v>1001</v>
      </c>
      <c r="AC568" t="n">
        <v>50</v>
      </c>
      <c r="AD568" t="n">
        <v>1</v>
      </c>
      <c r="AE568" t="n">
        <v>8000</v>
      </c>
      <c r="AF568" t="n">
        <v>1910</v>
      </c>
      <c r="AG568" t="n">
        <v>1</v>
      </c>
    </row>
    <row r="569" ht="38.25" customHeight="1" s="142">
      <c r="A569" t="n">
        <v>1463</v>
      </c>
      <c r="B569" t="inlineStr">
        <is>
          <t>main</t>
        </is>
      </c>
      <c r="C569" t="n">
        <v>13</v>
      </c>
      <c r="D569" t="inlineStr">
        <is>
          <t>13-14</t>
        </is>
      </c>
      <c r="E569" t="n">
        <v>150</v>
      </c>
      <c r="G569" s="90" t="inlineStr">
        <is>
          <t>{role:-1},{state:-60017}
{id:-1},{id:-1},{id:-1},{id:-1},{id:-1}
{id:40062},{id:40062},{id:40084}</t>
        </is>
      </c>
      <c r="I569" t="n">
        <v>59095</v>
      </c>
      <c r="J569" s="80" t="inlineStr">
        <is>
          <t>暴風雪</t>
        </is>
      </c>
      <c r="K569" t="inlineStr">
        <is>
          <t>buff</t>
        </is>
      </c>
      <c r="L569" t="n">
        <v>9005</v>
      </c>
      <c r="M569" t="inlineStr">
        <is>
          <t>3,7</t>
        </is>
      </c>
      <c r="O569" t="n">
        <v>1</v>
      </c>
      <c r="P569" s="80" t="inlineStr">
        <is>
          <t>寒氣侵襲</t>
        </is>
      </c>
      <c r="Q569" t="inlineStr">
        <is>
          <t>debuff</t>
        </is>
      </c>
      <c r="R569" t="n">
        <v>9003</v>
      </c>
      <c r="S569" t="inlineStr">
        <is>
          <t>3,13</t>
        </is>
      </c>
      <c r="U569" t="n">
        <v>0.2</v>
      </c>
      <c r="V569" t="n">
        <v>70001</v>
      </c>
      <c r="W569" t="n">
        <v>3</v>
      </c>
      <c r="X569" t="n">
        <v>1</v>
      </c>
      <c r="Y569" t="n">
        <v>70002</v>
      </c>
      <c r="Z569" t="n">
        <v>3</v>
      </c>
      <c r="AA569" t="n">
        <v>1</v>
      </c>
      <c r="AB569" t="n">
        <v>1001</v>
      </c>
      <c r="AC569" t="n">
        <v>50</v>
      </c>
      <c r="AD569" t="n">
        <v>1</v>
      </c>
      <c r="AE569" t="n">
        <v>8000</v>
      </c>
      <c r="AF569" t="n">
        <v>1920</v>
      </c>
      <c r="AG569" t="n">
        <v>1</v>
      </c>
    </row>
    <row r="570" ht="38.25" customHeight="1" s="142">
      <c r="A570" t="n">
        <v>1464</v>
      </c>
      <c r="B570" t="inlineStr">
        <is>
          <t>main</t>
        </is>
      </c>
      <c r="C570" t="n">
        <v>13</v>
      </c>
      <c r="D570" t="inlineStr">
        <is>
          <t>13-15</t>
        </is>
      </c>
      <c r="E570" t="n">
        <v>150</v>
      </c>
      <c r="G570" s="90" t="inlineStr">
        <is>
          <t>{role:-1},{state:-60017}
{id:-1},{id:-1},{id:-1},{id:-1},{id:-1}
{id:40084},{id:40061},{id:40064}</t>
        </is>
      </c>
      <c r="I570" t="n">
        <v>59220</v>
      </c>
      <c r="J570" s="80" t="inlineStr">
        <is>
          <t>暴風雪</t>
        </is>
      </c>
      <c r="K570" t="inlineStr">
        <is>
          <t>buff</t>
        </is>
      </c>
      <c r="L570" t="n">
        <v>9007</v>
      </c>
      <c r="M570" t="inlineStr">
        <is>
          <t>3,9,11</t>
        </is>
      </c>
      <c r="O570" t="n">
        <v>0.6</v>
      </c>
      <c r="P570" s="80" t="inlineStr">
        <is>
          <t>寒氣侵襲</t>
        </is>
      </c>
      <c r="Q570" t="inlineStr">
        <is>
          <t>debuff</t>
        </is>
      </c>
      <c r="R570" t="n">
        <v>9011</v>
      </c>
      <c r="S570" t="inlineStr">
        <is>
          <t>6,9,13</t>
        </is>
      </c>
      <c r="U570" t="n">
        <v>0.1</v>
      </c>
      <c r="V570" t="n">
        <v>70001</v>
      </c>
      <c r="W570" t="n">
        <v>3</v>
      </c>
      <c r="X570" t="n">
        <v>1</v>
      </c>
      <c r="Y570" t="n">
        <v>70002</v>
      </c>
      <c r="Z570" t="n">
        <v>3</v>
      </c>
      <c r="AA570" t="n">
        <v>1</v>
      </c>
      <c r="AB570" t="n">
        <v>1001</v>
      </c>
      <c r="AC570" t="n">
        <v>50</v>
      </c>
      <c r="AD570" t="n">
        <v>1</v>
      </c>
      <c r="AE570" t="n">
        <v>8000</v>
      </c>
      <c r="AF570" t="n">
        <v>1920</v>
      </c>
      <c r="AG570" t="n">
        <v>1</v>
      </c>
    </row>
    <row r="571" ht="38.25" customHeight="1" s="142">
      <c r="A571" t="n">
        <v>1465</v>
      </c>
      <c r="B571" t="inlineStr">
        <is>
          <t>main</t>
        </is>
      </c>
      <c r="C571" t="n">
        <v>13</v>
      </c>
      <c r="D571" t="inlineStr">
        <is>
          <t>13-16</t>
        </is>
      </c>
      <c r="E571" t="n">
        <v>150</v>
      </c>
      <c r="G571" s="90" t="inlineStr">
        <is>
          <t>{role:-1},{state:-60017}
{id:-1},{id:-1},{id:-1},{id:-1},{id:-1}
{id:40084},{id:40062},{id:40064},{id:40062}</t>
        </is>
      </c>
      <c r="I571" t="n">
        <v>59345</v>
      </c>
      <c r="J571" s="80" t="inlineStr">
        <is>
          <t>暴風雪</t>
        </is>
      </c>
      <c r="K571" t="inlineStr">
        <is>
          <t>buff</t>
        </is>
      </c>
      <c r="L571" t="n">
        <v>9007</v>
      </c>
      <c r="M571" t="inlineStr">
        <is>
          <t>1,7</t>
        </is>
      </c>
      <c r="O571" t="n">
        <v>0.4</v>
      </c>
      <c r="P571" s="80" t="inlineStr">
        <is>
          <t>寒氣侵襲</t>
        </is>
      </c>
      <c r="Q571" t="inlineStr">
        <is>
          <t>debuff</t>
        </is>
      </c>
      <c r="R571" t="n">
        <v>9008</v>
      </c>
      <c r="S571" t="inlineStr">
        <is>
          <t>2,8,12</t>
        </is>
      </c>
      <c r="U571" t="n">
        <v>0.5</v>
      </c>
      <c r="V571" t="n">
        <v>70001</v>
      </c>
      <c r="W571" t="n">
        <v>3</v>
      </c>
      <c r="X571" t="n">
        <v>1</v>
      </c>
      <c r="Y571" t="n">
        <v>70002</v>
      </c>
      <c r="Z571" t="n">
        <v>3</v>
      </c>
      <c r="AA571" t="n">
        <v>1</v>
      </c>
      <c r="AB571" t="n">
        <v>1001</v>
      </c>
      <c r="AC571" t="n">
        <v>50</v>
      </c>
      <c r="AD571" t="n">
        <v>1</v>
      </c>
      <c r="AE571" t="n">
        <v>8000</v>
      </c>
      <c r="AF571" t="n">
        <v>1930</v>
      </c>
      <c r="AG571" t="n">
        <v>1</v>
      </c>
    </row>
    <row r="572" ht="38.25" customHeight="1" s="142">
      <c r="A572" t="n">
        <v>1466</v>
      </c>
      <c r="B572" t="inlineStr">
        <is>
          <t>main</t>
        </is>
      </c>
      <c r="C572" t="n">
        <v>13</v>
      </c>
      <c r="D572" t="inlineStr">
        <is>
          <t>13-17</t>
        </is>
      </c>
      <c r="E572" t="n">
        <v>150</v>
      </c>
      <c r="G572" s="90" t="inlineStr">
        <is>
          <t>{role:-1},{state:-60017}
{id:-1},{id:-1},{id:-1},{id:-1},{id:-1}
{id:40062},{id:40064},{id:40061},{id:40084}</t>
        </is>
      </c>
      <c r="I572" t="n">
        <v>59470</v>
      </c>
      <c r="J572" s="80" t="inlineStr">
        <is>
          <t>暴風雪</t>
        </is>
      </c>
      <c r="K572" t="inlineStr">
        <is>
          <t>buff</t>
        </is>
      </c>
      <c r="L572" t="n">
        <v>9006</v>
      </c>
      <c r="M572" t="n">
        <v>8</v>
      </c>
      <c r="O572" t="n">
        <v>0.4</v>
      </c>
      <c r="P572" s="80" t="inlineStr">
        <is>
          <t>寒氣侵襲</t>
        </is>
      </c>
      <c r="Q572" t="inlineStr">
        <is>
          <t>debuff</t>
        </is>
      </c>
      <c r="R572" t="n">
        <v>9007</v>
      </c>
      <c r="S572" t="inlineStr">
        <is>
          <t>1,10,11</t>
        </is>
      </c>
      <c r="U572" t="n">
        <v>0.3</v>
      </c>
      <c r="V572" t="n">
        <v>70001</v>
      </c>
      <c r="W572" t="n">
        <v>3</v>
      </c>
      <c r="X572" t="n">
        <v>1</v>
      </c>
      <c r="Y572" t="n">
        <v>70002</v>
      </c>
      <c r="Z572" t="n">
        <v>3</v>
      </c>
      <c r="AA572" t="n">
        <v>1</v>
      </c>
      <c r="AB572" t="n">
        <v>1001</v>
      </c>
      <c r="AC572" t="n">
        <v>50</v>
      </c>
      <c r="AD572" t="n">
        <v>1</v>
      </c>
      <c r="AE572" t="n">
        <v>8000</v>
      </c>
      <c r="AF572" t="n">
        <v>1940</v>
      </c>
      <c r="AG572" t="n">
        <v>1</v>
      </c>
    </row>
    <row r="573" ht="38.25" customHeight="1" s="142">
      <c r="A573" t="n">
        <v>1467</v>
      </c>
      <c r="B573" t="inlineStr">
        <is>
          <t>main</t>
        </is>
      </c>
      <c r="C573" t="n">
        <v>13</v>
      </c>
      <c r="D573" t="inlineStr">
        <is>
          <t>13-18</t>
        </is>
      </c>
      <c r="E573" t="n">
        <v>150</v>
      </c>
      <c r="G573" s="90" t="inlineStr">
        <is>
          <t>{role:-1},{state:-60017}
{id:-1},{id:-1},{id:-1},{id:-1},{id:-1}
{id:40061},{id:40084},{id:40061},{id:40084}</t>
        </is>
      </c>
      <c r="I573" t="n">
        <v>59595</v>
      </c>
      <c r="J573" s="80" t="inlineStr">
        <is>
          <t>暴風雪</t>
        </is>
      </c>
      <c r="K573" t="inlineStr">
        <is>
          <t>buff</t>
        </is>
      </c>
      <c r="L573" t="n">
        <v>9001</v>
      </c>
      <c r="M573" t="n">
        <v>11</v>
      </c>
      <c r="O573" t="n">
        <v>0.9</v>
      </c>
      <c r="P573" s="80" t="inlineStr">
        <is>
          <t>寒氣侵襲</t>
        </is>
      </c>
      <c r="Q573" t="inlineStr">
        <is>
          <t>debuff</t>
        </is>
      </c>
      <c r="R573" t="n">
        <v>9003</v>
      </c>
      <c r="S573" t="inlineStr">
        <is>
          <t>3,7,8</t>
        </is>
      </c>
      <c r="U573" t="n">
        <v>0.7</v>
      </c>
      <c r="V573" t="n">
        <v>70001</v>
      </c>
      <c r="W573" t="n">
        <v>3</v>
      </c>
      <c r="X573" t="n">
        <v>1</v>
      </c>
      <c r="Y573" t="n">
        <v>70002</v>
      </c>
      <c r="Z573" t="n">
        <v>3</v>
      </c>
      <c r="AA573" t="n">
        <v>1</v>
      </c>
      <c r="AB573" t="n">
        <v>1001</v>
      </c>
      <c r="AC573" t="n">
        <v>50</v>
      </c>
      <c r="AD573" t="n">
        <v>1</v>
      </c>
      <c r="AE573" t="n">
        <v>8000</v>
      </c>
      <c r="AF573" t="n">
        <v>1940</v>
      </c>
      <c r="AG573" t="n">
        <v>1</v>
      </c>
    </row>
    <row r="574" ht="38.25" customHeight="1" s="142">
      <c r="A574" t="n">
        <v>1468</v>
      </c>
      <c r="B574" t="inlineStr">
        <is>
          <t>main</t>
        </is>
      </c>
      <c r="C574" t="n">
        <v>13</v>
      </c>
      <c r="D574" t="inlineStr">
        <is>
          <t>13-19</t>
        </is>
      </c>
      <c r="E574" t="n">
        <v>150</v>
      </c>
      <c r="G574" s="90" t="inlineStr">
        <is>
          <t>{role:-1},{state:-60017}
{id:-1},{id:-1},{id:-1},{id:-1},{id:-1}
{id:40064},{id:40064},{id:40064},{id:40061}</t>
        </is>
      </c>
      <c r="I574" t="n">
        <v>59720</v>
      </c>
      <c r="J574" s="80" t="inlineStr">
        <is>
          <t>暴風雪</t>
        </is>
      </c>
      <c r="K574" t="inlineStr">
        <is>
          <t>buff</t>
        </is>
      </c>
      <c r="L574" t="n">
        <v>9011</v>
      </c>
      <c r="M574" t="inlineStr">
        <is>
          <t>6,13</t>
        </is>
      </c>
      <c r="O574" t="n">
        <v>0.7</v>
      </c>
      <c r="P574" s="80" t="inlineStr">
        <is>
          <t>寒氣侵襲</t>
        </is>
      </c>
      <c r="Q574" t="inlineStr">
        <is>
          <t>debuff</t>
        </is>
      </c>
      <c r="R574" t="n">
        <v>9003</v>
      </c>
      <c r="S574" t="inlineStr">
        <is>
          <t>1,4,6</t>
        </is>
      </c>
      <c r="U574" t="n">
        <v>0.7</v>
      </c>
      <c r="V574" t="n">
        <v>70001</v>
      </c>
      <c r="W574" t="n">
        <v>3</v>
      </c>
      <c r="X574" t="n">
        <v>1</v>
      </c>
      <c r="Y574" t="n">
        <v>70002</v>
      </c>
      <c r="Z574" t="n">
        <v>3</v>
      </c>
      <c r="AA574" t="n">
        <v>1</v>
      </c>
      <c r="AB574" t="n">
        <v>1001</v>
      </c>
      <c r="AC574" t="n">
        <v>50</v>
      </c>
      <c r="AD574" t="n">
        <v>1</v>
      </c>
      <c r="AE574" t="n">
        <v>8000</v>
      </c>
      <c r="AF574" t="n">
        <v>1950</v>
      </c>
      <c r="AG574" t="n">
        <v>1</v>
      </c>
    </row>
    <row r="575" ht="38.25" customHeight="1" s="142">
      <c r="A575" t="n">
        <v>1469</v>
      </c>
      <c r="B575" t="inlineStr">
        <is>
          <t>main</t>
        </is>
      </c>
      <c r="C575" t="n">
        <v>13</v>
      </c>
      <c r="D575" t="inlineStr">
        <is>
          <t>13-20</t>
        </is>
      </c>
      <c r="E575" t="n">
        <v>150</v>
      </c>
      <c r="G575" s="90" t="inlineStr">
        <is>
          <t>{role:-1},{state:-60017}
{id:-1},{id:-1},{id:-1},{id:-1},{id:-1}
{id:40062},{id:40062},{id:40051},{id:40084}</t>
        </is>
      </c>
      <c r="I575" t="n">
        <v>59845</v>
      </c>
      <c r="J575" s="80" t="inlineStr">
        <is>
          <t>暴風雪</t>
        </is>
      </c>
      <c r="K575" t="inlineStr">
        <is>
          <t>buff</t>
        </is>
      </c>
      <c r="L575" t="n">
        <v>9005</v>
      </c>
      <c r="M575" t="inlineStr">
        <is>
          <t>3,9,12</t>
        </is>
      </c>
      <c r="O575" t="n">
        <v>0.5</v>
      </c>
      <c r="P575" s="80" t="inlineStr">
        <is>
          <t>寒氣侵襲</t>
        </is>
      </c>
      <c r="Q575" t="inlineStr">
        <is>
          <t>debuff</t>
        </is>
      </c>
      <c r="R575" t="n">
        <v>9008</v>
      </c>
      <c r="S575" t="inlineStr">
        <is>
          <t>2,10</t>
        </is>
      </c>
      <c r="U575" t="n">
        <v>0.1</v>
      </c>
      <c r="V575" t="n">
        <v>70001</v>
      </c>
      <c r="W575" t="n">
        <v>3</v>
      </c>
      <c r="X575" t="n">
        <v>1</v>
      </c>
      <c r="Y575" t="n">
        <v>70002</v>
      </c>
      <c r="Z575" t="n">
        <v>3</v>
      </c>
      <c r="AA575" t="n">
        <v>1</v>
      </c>
      <c r="AB575" t="n">
        <v>1001</v>
      </c>
      <c r="AC575" t="n">
        <v>50</v>
      </c>
      <c r="AD575" t="n">
        <v>1</v>
      </c>
      <c r="AE575" t="n">
        <v>8000</v>
      </c>
      <c r="AF575" t="n">
        <v>1950</v>
      </c>
      <c r="AG575" t="n">
        <v>1</v>
      </c>
    </row>
    <row r="576" ht="38.25" customHeight="1" s="142">
      <c r="A576" t="n">
        <v>1470</v>
      </c>
      <c r="B576" t="inlineStr">
        <is>
          <t>main</t>
        </is>
      </c>
      <c r="C576" t="n">
        <v>13</v>
      </c>
      <c r="D576" t="inlineStr">
        <is>
          <t>13-21</t>
        </is>
      </c>
      <c r="E576" t="n">
        <v>150</v>
      </c>
      <c r="G576" s="90" t="inlineStr">
        <is>
          <t>{role:-1},{state:-60017}
{id:-1},{id:-1},{id:-1},{id:-1},{id:-1}
{id:40064},{id:40064},{id:40061},{id:40064},{id:40084}</t>
        </is>
      </c>
      <c r="I576" t="n">
        <v>59970</v>
      </c>
      <c r="J576" s="80" t="inlineStr">
        <is>
          <t>暴風雪</t>
        </is>
      </c>
      <c r="K576" t="inlineStr">
        <is>
          <t>buff</t>
        </is>
      </c>
      <c r="L576" t="n">
        <v>9008</v>
      </c>
      <c r="M576" t="n">
        <v>12</v>
      </c>
      <c r="O576" t="n">
        <v>0.1</v>
      </c>
      <c r="P576" s="80" t="inlineStr">
        <is>
          <t>寒氣侵襲</t>
        </is>
      </c>
      <c r="Q576" t="inlineStr">
        <is>
          <t>debuff</t>
        </is>
      </c>
      <c r="R576" t="n">
        <v>9003</v>
      </c>
      <c r="S576" t="inlineStr">
        <is>
          <t>8,10,12</t>
        </is>
      </c>
      <c r="U576" t="n">
        <v>0.4</v>
      </c>
      <c r="V576" t="n">
        <v>70001</v>
      </c>
      <c r="W576" t="n">
        <v>3</v>
      </c>
      <c r="X576" t="n">
        <v>1</v>
      </c>
      <c r="Y576" t="n">
        <v>70002</v>
      </c>
      <c r="Z576" t="n">
        <v>3</v>
      </c>
      <c r="AA576" t="n">
        <v>1</v>
      </c>
      <c r="AB576" t="n">
        <v>1001</v>
      </c>
      <c r="AC576" t="n">
        <v>50</v>
      </c>
      <c r="AD576" t="n">
        <v>1</v>
      </c>
      <c r="AE576" t="n">
        <v>8000</v>
      </c>
      <c r="AF576" t="n">
        <v>1960</v>
      </c>
      <c r="AG576" t="n">
        <v>1</v>
      </c>
    </row>
    <row r="577" ht="38.25" customHeight="1" s="142">
      <c r="A577" t="n">
        <v>1471</v>
      </c>
      <c r="B577" t="inlineStr">
        <is>
          <t>main</t>
        </is>
      </c>
      <c r="C577" t="n">
        <v>13</v>
      </c>
      <c r="D577" t="inlineStr">
        <is>
          <t>13-22</t>
        </is>
      </c>
      <c r="E577" t="n">
        <v>150</v>
      </c>
      <c r="G577" s="90" t="inlineStr">
        <is>
          <t>{role:-1},{state:-60017}
{id:-1},{id:-1},{id:-1},{id:-1},{id:-1}
{id:40061},{id:40051},{id:40084},{id:40051},{id:40064}</t>
        </is>
      </c>
      <c r="I577" t="n">
        <v>60095</v>
      </c>
      <c r="J577" s="80" t="inlineStr">
        <is>
          <t>暴風雪</t>
        </is>
      </c>
      <c r="K577" t="inlineStr">
        <is>
          <t>buff</t>
        </is>
      </c>
      <c r="L577" t="n">
        <v>9011</v>
      </c>
      <c r="M577" t="inlineStr">
        <is>
          <t>4,10,13</t>
        </is>
      </c>
      <c r="O577" t="n">
        <v>0.7</v>
      </c>
      <c r="P577" s="80" t="inlineStr">
        <is>
          <t>寒氣侵襲</t>
        </is>
      </c>
      <c r="Q577" t="inlineStr">
        <is>
          <t>debuff</t>
        </is>
      </c>
      <c r="R577" t="n">
        <v>9011</v>
      </c>
      <c r="S577" t="inlineStr">
        <is>
          <t>6,10,12</t>
        </is>
      </c>
      <c r="U577" t="n">
        <v>0.5</v>
      </c>
      <c r="V577" t="n">
        <v>70001</v>
      </c>
      <c r="W577" t="n">
        <v>3</v>
      </c>
      <c r="X577" t="n">
        <v>1</v>
      </c>
      <c r="Y577" t="n">
        <v>70002</v>
      </c>
      <c r="Z577" t="n">
        <v>3</v>
      </c>
      <c r="AA577" t="n">
        <v>1</v>
      </c>
      <c r="AB577" t="n">
        <v>1001</v>
      </c>
      <c r="AC577" t="n">
        <v>50</v>
      </c>
      <c r="AD577" t="n">
        <v>1</v>
      </c>
      <c r="AE577" t="n">
        <v>8000</v>
      </c>
      <c r="AF577" t="n">
        <v>1960</v>
      </c>
      <c r="AG577" t="n">
        <v>1</v>
      </c>
    </row>
    <row r="578" ht="38.25" customHeight="1" s="142">
      <c r="A578" t="n">
        <v>1472</v>
      </c>
      <c r="B578" t="inlineStr">
        <is>
          <t>main</t>
        </is>
      </c>
      <c r="C578" t="n">
        <v>13</v>
      </c>
      <c r="D578" t="inlineStr">
        <is>
          <t>13-23</t>
        </is>
      </c>
      <c r="E578" t="n">
        <v>150</v>
      </c>
      <c r="G578" s="90" t="inlineStr">
        <is>
          <t>{role:-1},{state:-60017}
{id:-1},{id:-1},{id:-1},{id:-1},{id:-1}
{id:40064},{id:40061},{id:40064},{id:40064},{id:40061}</t>
        </is>
      </c>
      <c r="I578" t="n">
        <v>60220</v>
      </c>
      <c r="J578" s="80" t="inlineStr">
        <is>
          <t>暴風雪</t>
        </is>
      </c>
      <c r="K578" t="inlineStr">
        <is>
          <t>buff</t>
        </is>
      </c>
      <c r="L578" t="n">
        <v>9005</v>
      </c>
      <c r="M578" t="inlineStr">
        <is>
          <t>1,11</t>
        </is>
      </c>
      <c r="O578" t="n">
        <v>0.2</v>
      </c>
      <c r="P578" s="80" t="inlineStr">
        <is>
          <t>寒氣侵襲</t>
        </is>
      </c>
      <c r="Q578" t="inlineStr">
        <is>
          <t>debuff</t>
        </is>
      </c>
      <c r="R578" t="n">
        <v>9007</v>
      </c>
      <c r="S578" t="inlineStr">
        <is>
          <t>4,5,10</t>
        </is>
      </c>
      <c r="U578" t="n">
        <v>0.5</v>
      </c>
      <c r="V578" t="n">
        <v>70001</v>
      </c>
      <c r="W578" t="n">
        <v>3</v>
      </c>
      <c r="X578" t="n">
        <v>1</v>
      </c>
      <c r="Y578" t="n">
        <v>70002</v>
      </c>
      <c r="Z578" t="n">
        <v>3</v>
      </c>
      <c r="AA578" t="n">
        <v>1</v>
      </c>
      <c r="AB578" t="n">
        <v>1001</v>
      </c>
      <c r="AC578" t="n">
        <v>50</v>
      </c>
      <c r="AD578" t="n">
        <v>1</v>
      </c>
      <c r="AE578" t="n">
        <v>8000</v>
      </c>
      <c r="AF578" t="n">
        <v>1970</v>
      </c>
      <c r="AG578" t="n">
        <v>1</v>
      </c>
    </row>
    <row r="579" ht="38.25" customHeight="1" s="142">
      <c r="A579" t="n">
        <v>1473</v>
      </c>
      <c r="B579" t="inlineStr">
        <is>
          <t>main</t>
        </is>
      </c>
      <c r="C579" t="n">
        <v>13</v>
      </c>
      <c r="D579" t="inlineStr">
        <is>
          <t>13-24</t>
        </is>
      </c>
      <c r="E579" t="n">
        <v>150</v>
      </c>
      <c r="G579" s="90" t="inlineStr">
        <is>
          <t>{role:-1},{state:-60017}
{id:-1},{id:-1},{id:-1},{id:-1},{id:-1}
{id:40051},{id:40064},{id:40064},{id:40064},{id:40064}</t>
        </is>
      </c>
      <c r="I579" t="n">
        <v>60345</v>
      </c>
      <c r="J579" s="80" t="inlineStr">
        <is>
          <t>暴風雪</t>
        </is>
      </c>
      <c r="K579" t="inlineStr">
        <is>
          <t>buff</t>
        </is>
      </c>
      <c r="L579" t="n">
        <v>9011</v>
      </c>
      <c r="M579" t="inlineStr">
        <is>
          <t>2,4,8</t>
        </is>
      </c>
      <c r="O579" t="n">
        <v>0.1</v>
      </c>
      <c r="P579" s="80" t="inlineStr">
        <is>
          <t>寒氣侵襲</t>
        </is>
      </c>
      <c r="Q579" t="inlineStr">
        <is>
          <t>debuff</t>
        </is>
      </c>
      <c r="R579" t="n">
        <v>9010</v>
      </c>
      <c r="S579" t="inlineStr">
        <is>
          <t>2,5,7</t>
        </is>
      </c>
      <c r="U579" t="n">
        <v>0.3</v>
      </c>
      <c r="V579" t="n">
        <v>70001</v>
      </c>
      <c r="W579" t="n">
        <v>3</v>
      </c>
      <c r="X579" t="n">
        <v>1</v>
      </c>
      <c r="Y579" t="n">
        <v>70002</v>
      </c>
      <c r="Z579" t="n">
        <v>3</v>
      </c>
      <c r="AA579" t="n">
        <v>1</v>
      </c>
      <c r="AB579" t="n">
        <v>1001</v>
      </c>
      <c r="AC579" t="n">
        <v>50</v>
      </c>
      <c r="AD579" t="n">
        <v>1</v>
      </c>
      <c r="AE579" t="n">
        <v>8000</v>
      </c>
      <c r="AF579" t="n">
        <v>1970</v>
      </c>
      <c r="AG579" t="n">
        <v>1</v>
      </c>
    </row>
    <row r="580" ht="38.25" customHeight="1" s="142">
      <c r="A580" t="n">
        <v>1474</v>
      </c>
      <c r="B580" t="inlineStr">
        <is>
          <t>main</t>
        </is>
      </c>
      <c r="C580" t="n">
        <v>13</v>
      </c>
      <c r="D580" t="inlineStr">
        <is>
          <t>13-25</t>
        </is>
      </c>
      <c r="E580" t="n">
        <v>150</v>
      </c>
      <c r="G580" s="90" t="inlineStr">
        <is>
          <t>{role:-1},{state:-60017}
{id:-1},{id:-1},{id:-1},{id:-1},{id:-1}
{id:40051},{id:40061},{id:40061},{id:40061},{id:40064}</t>
        </is>
      </c>
      <c r="I580" t="n">
        <v>60470</v>
      </c>
      <c r="J580" s="80" t="inlineStr">
        <is>
          <t>暴風雪</t>
        </is>
      </c>
      <c r="K580" t="inlineStr">
        <is>
          <t>buff</t>
        </is>
      </c>
      <c r="L580" t="n">
        <v>9005</v>
      </c>
      <c r="M580" t="n">
        <v>8</v>
      </c>
      <c r="O580" t="n">
        <v>0.3</v>
      </c>
      <c r="P580" s="80" t="inlineStr">
        <is>
          <t>寒氣侵襲</t>
        </is>
      </c>
      <c r="Q580" t="inlineStr">
        <is>
          <t>debuff</t>
        </is>
      </c>
      <c r="R580" t="n">
        <v>9007</v>
      </c>
      <c r="S580" t="inlineStr">
        <is>
          <t>2,7</t>
        </is>
      </c>
      <c r="U580" t="n">
        <v>0.8</v>
      </c>
      <c r="V580" t="n">
        <v>70001</v>
      </c>
      <c r="W580" t="n">
        <v>3</v>
      </c>
      <c r="X580" t="n">
        <v>1</v>
      </c>
      <c r="Y580" t="n">
        <v>70002</v>
      </c>
      <c r="Z580" t="n">
        <v>3</v>
      </c>
      <c r="AA580" t="n">
        <v>1</v>
      </c>
      <c r="AB580" t="n">
        <v>1001</v>
      </c>
      <c r="AC580" t="n">
        <v>50</v>
      </c>
      <c r="AD580" t="n">
        <v>1</v>
      </c>
      <c r="AE580" t="n">
        <v>8000</v>
      </c>
      <c r="AF580" t="n">
        <v>1980</v>
      </c>
      <c r="AG580" t="n">
        <v>1</v>
      </c>
    </row>
    <row r="581" ht="38.25" customHeight="1" s="142">
      <c r="A581" t="n">
        <v>1475</v>
      </c>
      <c r="B581" t="inlineStr">
        <is>
          <t>main</t>
        </is>
      </c>
      <c r="C581" t="n">
        <v>13</v>
      </c>
      <c r="D581" t="inlineStr">
        <is>
          <t>13-26</t>
        </is>
      </c>
      <c r="E581" t="n">
        <v>150</v>
      </c>
      <c r="G581" s="90" t="inlineStr">
        <is>
          <t>{role:-1},{state:-60017}
{id:-1},{id:-1},{id:-1},{id:-1},{id:-1}
{id:40051},{id:40084},{id:40061},{id:40051},{id:40064}</t>
        </is>
      </c>
      <c r="I581" t="n">
        <v>60595</v>
      </c>
      <c r="J581" s="80" t="inlineStr">
        <is>
          <t>暴風雪</t>
        </is>
      </c>
      <c r="K581" t="inlineStr">
        <is>
          <t>buff</t>
        </is>
      </c>
      <c r="L581" t="n">
        <v>9002</v>
      </c>
      <c r="M581" t="inlineStr">
        <is>
          <t>1,11</t>
        </is>
      </c>
      <c r="O581" t="n">
        <v>0.3</v>
      </c>
      <c r="P581" s="80" t="inlineStr">
        <is>
          <t>寒氣侵襲</t>
        </is>
      </c>
      <c r="Q581" t="inlineStr">
        <is>
          <t>debuff</t>
        </is>
      </c>
      <c r="R581" t="n">
        <v>9004</v>
      </c>
      <c r="S581" t="inlineStr">
        <is>
          <t>7,10,11</t>
        </is>
      </c>
      <c r="U581" t="n">
        <v>0.1</v>
      </c>
      <c r="V581" t="n">
        <v>70001</v>
      </c>
      <c r="W581" t="n">
        <v>3</v>
      </c>
      <c r="X581" t="n">
        <v>1</v>
      </c>
      <c r="Y581" t="n">
        <v>70002</v>
      </c>
      <c r="Z581" t="n">
        <v>3</v>
      </c>
      <c r="AA581" t="n">
        <v>1</v>
      </c>
      <c r="AB581" t="n">
        <v>1001</v>
      </c>
      <c r="AC581" t="n">
        <v>50</v>
      </c>
      <c r="AD581" t="n">
        <v>1</v>
      </c>
      <c r="AE581" t="n">
        <v>8000</v>
      </c>
      <c r="AF581" t="n">
        <v>1980</v>
      </c>
      <c r="AG581" t="n">
        <v>1</v>
      </c>
    </row>
    <row r="582" ht="38.25" customHeight="1" s="142">
      <c r="A582" t="n">
        <v>1476</v>
      </c>
      <c r="B582" t="inlineStr">
        <is>
          <t>main</t>
        </is>
      </c>
      <c r="C582" t="n">
        <v>13</v>
      </c>
      <c r="D582" t="inlineStr">
        <is>
          <t>13-27</t>
        </is>
      </c>
      <c r="E582" t="n">
        <v>150</v>
      </c>
      <c r="G582" s="90" t="inlineStr">
        <is>
          <t>{role:-1},{state:-60017}
{id:-1},{id:-1},{id:-1},{id:-1},{id:-1}
{id:40061},{id:40051},{id:40051},{id:40051},{id:40064}</t>
        </is>
      </c>
      <c r="I582" t="n">
        <v>60720</v>
      </c>
      <c r="J582" s="80" t="inlineStr">
        <is>
          <t>暴風雪</t>
        </is>
      </c>
      <c r="K582" t="inlineStr">
        <is>
          <t>buff</t>
        </is>
      </c>
      <c r="L582" t="n">
        <v>9006</v>
      </c>
      <c r="M582" t="inlineStr">
        <is>
          <t>6,10,12</t>
        </is>
      </c>
      <c r="O582" t="n">
        <v>0.5</v>
      </c>
      <c r="P582" s="80" t="inlineStr">
        <is>
          <t>寒氣侵襲</t>
        </is>
      </c>
      <c r="Q582" t="inlineStr">
        <is>
          <t>debuff</t>
        </is>
      </c>
      <c r="R582" t="n">
        <v>9011</v>
      </c>
      <c r="S582" t="inlineStr">
        <is>
          <t>2,9</t>
        </is>
      </c>
      <c r="U582" t="n">
        <v>0.2</v>
      </c>
      <c r="V582" t="n">
        <v>70001</v>
      </c>
      <c r="W582" t="n">
        <v>3</v>
      </c>
      <c r="X582" t="n">
        <v>1</v>
      </c>
      <c r="Y582" t="n">
        <v>70002</v>
      </c>
      <c r="Z582" t="n">
        <v>3</v>
      </c>
      <c r="AA582" t="n">
        <v>1</v>
      </c>
      <c r="AB582" t="n">
        <v>1001</v>
      </c>
      <c r="AC582" t="n">
        <v>50</v>
      </c>
      <c r="AD582" t="n">
        <v>1</v>
      </c>
      <c r="AE582" t="n">
        <v>8000</v>
      </c>
      <c r="AF582" t="n">
        <v>1990</v>
      </c>
      <c r="AG582" t="n">
        <v>1</v>
      </c>
    </row>
    <row r="583" ht="38.25" customHeight="1" s="142">
      <c r="A583" t="n">
        <v>1477</v>
      </c>
      <c r="B583" t="inlineStr">
        <is>
          <t>main</t>
        </is>
      </c>
      <c r="C583" t="n">
        <v>13</v>
      </c>
      <c r="D583" t="inlineStr">
        <is>
          <t>13-28</t>
        </is>
      </c>
      <c r="E583" t="n">
        <v>150</v>
      </c>
      <c r="G583" s="90" t="inlineStr">
        <is>
          <t>{role:-1},{state:-60017}
{id:-1},{id:-1},{id:-1},{id:-1},{id:-1}
{id:40084},{id:40084},{id:40051},{id:40064},{id:40084}</t>
        </is>
      </c>
      <c r="I583" t="n">
        <v>60845</v>
      </c>
      <c r="J583" s="80" t="inlineStr">
        <is>
          <t>暴風雪</t>
        </is>
      </c>
      <c r="K583" t="inlineStr">
        <is>
          <t>buff</t>
        </is>
      </c>
      <c r="L583" t="n">
        <v>9012</v>
      </c>
      <c r="M583" t="n">
        <v>9</v>
      </c>
      <c r="O583" t="n">
        <v>0.3</v>
      </c>
      <c r="P583" s="80" t="inlineStr">
        <is>
          <t>寒氣侵襲</t>
        </is>
      </c>
      <c r="Q583" t="inlineStr">
        <is>
          <t>debuff</t>
        </is>
      </c>
      <c r="R583" t="n">
        <v>9008</v>
      </c>
      <c r="S583" t="n">
        <v>8</v>
      </c>
      <c r="U583" t="n">
        <v>0.7</v>
      </c>
      <c r="V583" t="n">
        <v>70001</v>
      </c>
      <c r="W583" t="n">
        <v>3</v>
      </c>
      <c r="X583" t="n">
        <v>1</v>
      </c>
      <c r="Y583" t="n">
        <v>70002</v>
      </c>
      <c r="Z583" t="n">
        <v>3</v>
      </c>
      <c r="AA583" t="n">
        <v>1</v>
      </c>
      <c r="AB583" t="n">
        <v>1001</v>
      </c>
      <c r="AC583" t="n">
        <v>50</v>
      </c>
      <c r="AD583" t="n">
        <v>1</v>
      </c>
      <c r="AE583" t="n">
        <v>8000</v>
      </c>
      <c r="AF583" t="n">
        <v>2000</v>
      </c>
      <c r="AG583" t="n">
        <v>1</v>
      </c>
    </row>
    <row r="584" ht="38.25" customHeight="1" s="142">
      <c r="A584" t="n">
        <v>1478</v>
      </c>
      <c r="B584" t="inlineStr">
        <is>
          <t>main</t>
        </is>
      </c>
      <c r="C584" t="n">
        <v>13</v>
      </c>
      <c r="D584" t="inlineStr">
        <is>
          <t>13-29</t>
        </is>
      </c>
      <c r="E584" t="n">
        <v>150</v>
      </c>
      <c r="G584" s="90" t="inlineStr">
        <is>
          <t>{role:-1},{state:-60017}
{id:-1},{id:-1},{id:-1},{id:-1},{id:-1}
{id:40062},{id:40062},{id:40084},{id:40084},{id:40062}</t>
        </is>
      </c>
      <c r="I584" t="n">
        <v>60970</v>
      </c>
      <c r="J584" s="80" t="inlineStr">
        <is>
          <t>暴風雪</t>
        </is>
      </c>
      <c r="K584" t="inlineStr">
        <is>
          <t>buff</t>
        </is>
      </c>
      <c r="L584" t="n">
        <v>9011</v>
      </c>
      <c r="M584" t="n">
        <v>3</v>
      </c>
      <c r="O584" t="n">
        <v>0.9</v>
      </c>
      <c r="P584" s="80" t="inlineStr">
        <is>
          <t>寒氣侵襲</t>
        </is>
      </c>
      <c r="Q584" t="inlineStr">
        <is>
          <t>debuff</t>
        </is>
      </c>
      <c r="R584" t="n">
        <v>9011</v>
      </c>
      <c r="S584" t="inlineStr">
        <is>
          <t>6,7,8</t>
        </is>
      </c>
      <c r="U584" t="n">
        <v>0.2</v>
      </c>
      <c r="V584" t="n">
        <v>70001</v>
      </c>
      <c r="W584" t="n">
        <v>3</v>
      </c>
      <c r="X584" t="n">
        <v>1</v>
      </c>
      <c r="Y584" t="n">
        <v>70002</v>
      </c>
      <c r="Z584" t="n">
        <v>3</v>
      </c>
      <c r="AA584" t="n">
        <v>1</v>
      </c>
      <c r="AB584" t="n">
        <v>1001</v>
      </c>
      <c r="AC584" t="n">
        <v>50</v>
      </c>
      <c r="AD584" t="n">
        <v>1</v>
      </c>
      <c r="AE584" t="n">
        <v>8000</v>
      </c>
      <c r="AF584" t="n">
        <v>2000</v>
      </c>
      <c r="AG584" t="n">
        <v>1</v>
      </c>
    </row>
    <row r="585" ht="38.25" customHeight="1" s="142">
      <c r="A585" t="n">
        <v>1479</v>
      </c>
      <c r="B585" t="inlineStr">
        <is>
          <t>main</t>
        </is>
      </c>
      <c r="C585" t="n">
        <v>13</v>
      </c>
      <c r="D585" t="inlineStr">
        <is>
          <t>13-30</t>
        </is>
      </c>
      <c r="E585" t="n">
        <v>150</v>
      </c>
      <c r="G585" s="90" t="inlineStr">
        <is>
          <t>{role:-1},{state:-60017}
{id:-1},{id:-1},{id:-1},{id:-1},{id:-1}
{id:40062},{id:40084},{id:40062},{id:40062},{id:40061}</t>
        </is>
      </c>
      <c r="I585" t="n">
        <v>61095</v>
      </c>
      <c r="J585" s="80" t="inlineStr">
        <is>
          <t>暴風雪</t>
        </is>
      </c>
      <c r="K585" t="inlineStr">
        <is>
          <t>buff</t>
        </is>
      </c>
      <c r="L585" t="n">
        <v>9008</v>
      </c>
      <c r="M585" t="inlineStr">
        <is>
          <t>3,7,10</t>
        </is>
      </c>
      <c r="O585" t="n">
        <v>0.8</v>
      </c>
      <c r="P585" s="80" t="inlineStr">
        <is>
          <t>寒氣侵襲</t>
        </is>
      </c>
      <c r="Q585" t="inlineStr">
        <is>
          <t>debuff</t>
        </is>
      </c>
      <c r="R585" t="n">
        <v>9010</v>
      </c>
      <c r="S585" t="n">
        <v>9</v>
      </c>
      <c r="U585" t="n">
        <v>0.5</v>
      </c>
      <c r="V585" t="n">
        <v>70001</v>
      </c>
      <c r="W585" t="n">
        <v>3</v>
      </c>
      <c r="X585" t="n">
        <v>1</v>
      </c>
      <c r="Y585" t="n">
        <v>70002</v>
      </c>
      <c r="Z585" t="n">
        <v>3</v>
      </c>
      <c r="AA585" t="n">
        <v>1</v>
      </c>
      <c r="AB585" t="n">
        <v>1001</v>
      </c>
      <c r="AC585" t="n">
        <v>50</v>
      </c>
      <c r="AD585" t="n">
        <v>1</v>
      </c>
      <c r="AE585" t="n">
        <v>8000</v>
      </c>
      <c r="AF585" t="n">
        <v>2010</v>
      </c>
      <c r="AG585" t="n">
        <v>1</v>
      </c>
    </row>
    <row r="586" ht="38.25" customHeight="1" s="142">
      <c r="A586" t="n">
        <v>1480</v>
      </c>
      <c r="B586" t="inlineStr">
        <is>
          <t>main</t>
        </is>
      </c>
      <c r="C586" t="n">
        <v>13</v>
      </c>
      <c r="D586" t="inlineStr">
        <is>
          <t>13-31</t>
        </is>
      </c>
      <c r="E586" t="n">
        <v>150</v>
      </c>
      <c r="G586" s="90" t="inlineStr">
        <is>
          <t>{role:-1},{state:-60017}
{id:-1},{id:-1},{id:-1},{id:-1},{id:-1}
{id:40061},{id:40084},{id:40061},{id:40064},{id:40051}</t>
        </is>
      </c>
      <c r="I586" t="n">
        <v>61220</v>
      </c>
      <c r="J586" s="80" t="inlineStr">
        <is>
          <t>暴風雪</t>
        </is>
      </c>
      <c r="K586" t="inlineStr">
        <is>
          <t>buff</t>
        </is>
      </c>
      <c r="L586" t="n">
        <v>9006</v>
      </c>
      <c r="M586" t="inlineStr">
        <is>
          <t>8,10,11</t>
        </is>
      </c>
      <c r="O586" t="n">
        <v>0.2</v>
      </c>
      <c r="P586" s="80" t="inlineStr">
        <is>
          <t>寒氣侵襲</t>
        </is>
      </c>
      <c r="Q586" t="inlineStr">
        <is>
          <t>debuff</t>
        </is>
      </c>
      <c r="R586" t="n">
        <v>9008</v>
      </c>
      <c r="S586" t="n">
        <v>12</v>
      </c>
      <c r="U586" t="n">
        <v>0.8</v>
      </c>
      <c r="V586" t="n">
        <v>70001</v>
      </c>
      <c r="W586" t="n">
        <v>3</v>
      </c>
      <c r="X586" t="n">
        <v>1</v>
      </c>
      <c r="Y586" t="n">
        <v>70002</v>
      </c>
      <c r="Z586" t="n">
        <v>3</v>
      </c>
      <c r="AA586" t="n">
        <v>1</v>
      </c>
      <c r="AB586" t="n">
        <v>1001</v>
      </c>
      <c r="AC586" t="n">
        <v>50</v>
      </c>
      <c r="AD586" t="n">
        <v>1</v>
      </c>
      <c r="AE586" t="n">
        <v>8000</v>
      </c>
      <c r="AF586" t="n">
        <v>2010</v>
      </c>
      <c r="AG586" t="n">
        <v>1</v>
      </c>
    </row>
    <row r="587" ht="38.25" customHeight="1" s="142">
      <c r="A587" t="n">
        <v>1481</v>
      </c>
      <c r="B587" t="inlineStr">
        <is>
          <t>main</t>
        </is>
      </c>
      <c r="C587" t="n">
        <v>13</v>
      </c>
      <c r="D587" t="inlineStr">
        <is>
          <t>13-32</t>
        </is>
      </c>
      <c r="E587" t="n">
        <v>150</v>
      </c>
      <c r="G587" s="90" t="inlineStr">
        <is>
          <t>{role:-1},{state:-60017}
{id:-1},{id:-1},{id:-1},{id:-1},{id:-1}
{id:40061},{id:40061},{id:40062},{id:40061},{id:40061}</t>
        </is>
      </c>
      <c r="I587" t="n">
        <v>61345</v>
      </c>
      <c r="J587" s="80" t="inlineStr">
        <is>
          <t>暴風雪</t>
        </is>
      </c>
      <c r="K587" t="inlineStr">
        <is>
          <t>buff</t>
        </is>
      </c>
      <c r="L587" t="n">
        <v>9007</v>
      </c>
      <c r="M587" t="n">
        <v>12</v>
      </c>
      <c r="O587" t="n">
        <v>0.9</v>
      </c>
      <c r="P587" s="80" t="inlineStr">
        <is>
          <t>寒氣侵襲</t>
        </is>
      </c>
      <c r="Q587" t="inlineStr">
        <is>
          <t>debuff</t>
        </is>
      </c>
      <c r="R587" t="n">
        <v>9012</v>
      </c>
      <c r="S587" t="inlineStr">
        <is>
          <t>8,13</t>
        </is>
      </c>
      <c r="U587" t="n">
        <v>1</v>
      </c>
      <c r="V587" t="n">
        <v>70001</v>
      </c>
      <c r="W587" t="n">
        <v>3</v>
      </c>
      <c r="X587" t="n">
        <v>1</v>
      </c>
      <c r="Y587" t="n">
        <v>70002</v>
      </c>
      <c r="Z587" t="n">
        <v>3</v>
      </c>
      <c r="AA587" t="n">
        <v>1</v>
      </c>
      <c r="AB587" t="n">
        <v>1001</v>
      </c>
      <c r="AC587" t="n">
        <v>50</v>
      </c>
      <c r="AD587" t="n">
        <v>1</v>
      </c>
      <c r="AE587" t="n">
        <v>8000</v>
      </c>
      <c r="AF587" t="n">
        <v>2020</v>
      </c>
      <c r="AG587" t="n">
        <v>1</v>
      </c>
    </row>
    <row r="588" ht="38.25" customHeight="1" s="142">
      <c r="A588" t="n">
        <v>1482</v>
      </c>
      <c r="B588" t="inlineStr">
        <is>
          <t>main</t>
        </is>
      </c>
      <c r="C588" t="n">
        <v>13</v>
      </c>
      <c r="D588" t="inlineStr">
        <is>
          <t>13-33</t>
        </is>
      </c>
      <c r="E588" t="n">
        <v>150</v>
      </c>
      <c r="G588" s="90" t="inlineStr">
        <is>
          <t>{role:-1},{state:-60017}
{id:-1},{id:-1},{id:-1},{id:-1},{id:-1}
{id:40051},{id:40084},{id:40064},{id:40064},{id:40051}</t>
        </is>
      </c>
      <c r="I588" t="n">
        <v>61470</v>
      </c>
      <c r="J588" s="80" t="inlineStr">
        <is>
          <t>暴風雪</t>
        </is>
      </c>
      <c r="K588" t="inlineStr">
        <is>
          <t>buff</t>
        </is>
      </c>
      <c r="L588" t="n">
        <v>9011</v>
      </c>
      <c r="M588" t="inlineStr">
        <is>
          <t>3,13</t>
        </is>
      </c>
      <c r="O588" t="n">
        <v>0.6</v>
      </c>
      <c r="P588" s="80" t="inlineStr">
        <is>
          <t>寒氣侵襲</t>
        </is>
      </c>
      <c r="Q588" t="inlineStr">
        <is>
          <t>debuff</t>
        </is>
      </c>
      <c r="R588" t="n">
        <v>9007</v>
      </c>
      <c r="S588" t="inlineStr">
        <is>
          <t>3,8,13</t>
        </is>
      </c>
      <c r="U588" t="n">
        <v>0.7</v>
      </c>
      <c r="V588" t="n">
        <v>70001</v>
      </c>
      <c r="W588" t="n">
        <v>3</v>
      </c>
      <c r="X588" t="n">
        <v>1</v>
      </c>
      <c r="Y588" t="n">
        <v>70002</v>
      </c>
      <c r="Z588" t="n">
        <v>3</v>
      </c>
      <c r="AA588" t="n">
        <v>1</v>
      </c>
      <c r="AB588" t="n">
        <v>1001</v>
      </c>
      <c r="AC588" t="n">
        <v>50</v>
      </c>
      <c r="AD588" t="n">
        <v>1</v>
      </c>
      <c r="AE588" t="n">
        <v>8000</v>
      </c>
      <c r="AF588" t="n">
        <v>2020</v>
      </c>
      <c r="AG588" t="n">
        <v>1</v>
      </c>
    </row>
    <row r="589" ht="38.25" customHeight="1" s="142">
      <c r="A589" t="n">
        <v>1483</v>
      </c>
      <c r="B589" t="inlineStr">
        <is>
          <t>main</t>
        </is>
      </c>
      <c r="C589" t="n">
        <v>13</v>
      </c>
      <c r="D589" t="inlineStr">
        <is>
          <t>13-34</t>
        </is>
      </c>
      <c r="E589" t="n">
        <v>150</v>
      </c>
      <c r="G589" s="90" t="inlineStr">
        <is>
          <t>{role:-1},{state:-60017}
{id:-1},{id:-1},{id:-1},{id:-1},{id:-1}
{id:40064},{id:40064},{id:40062},{id:40062},{id:40084}</t>
        </is>
      </c>
      <c r="I589" t="n">
        <v>61595</v>
      </c>
      <c r="J589" s="80" t="inlineStr">
        <is>
          <t>暴風雪</t>
        </is>
      </c>
      <c r="K589" t="inlineStr">
        <is>
          <t>buff</t>
        </is>
      </c>
      <c r="L589" t="n">
        <v>9005</v>
      </c>
      <c r="M589" t="inlineStr">
        <is>
          <t>6,12</t>
        </is>
      </c>
      <c r="O589" t="n">
        <v>0.7</v>
      </c>
      <c r="P589" s="80" t="inlineStr">
        <is>
          <t>寒氣侵襲</t>
        </is>
      </c>
      <c r="Q589" t="inlineStr">
        <is>
          <t>debuff</t>
        </is>
      </c>
      <c r="R589" t="n">
        <v>9004</v>
      </c>
      <c r="S589" t="n">
        <v>11</v>
      </c>
      <c r="U589" t="n">
        <v>0.8</v>
      </c>
      <c r="V589" t="n">
        <v>70001</v>
      </c>
      <c r="W589" t="n">
        <v>3</v>
      </c>
      <c r="X589" t="n">
        <v>1</v>
      </c>
      <c r="Y589" t="n">
        <v>70002</v>
      </c>
      <c r="Z589" t="n">
        <v>3</v>
      </c>
      <c r="AA589" t="n">
        <v>1</v>
      </c>
      <c r="AB589" t="n">
        <v>1001</v>
      </c>
      <c r="AC589" t="n">
        <v>50</v>
      </c>
      <c r="AD589" t="n">
        <v>1</v>
      </c>
      <c r="AE589" t="n">
        <v>8000</v>
      </c>
      <c r="AF589" t="n">
        <v>2030</v>
      </c>
      <c r="AG589" t="n">
        <v>1</v>
      </c>
    </row>
    <row r="590" ht="38.25" customHeight="1" s="142">
      <c r="A590" t="n">
        <v>1484</v>
      </c>
      <c r="B590" t="inlineStr">
        <is>
          <t>main</t>
        </is>
      </c>
      <c r="C590" t="n">
        <v>13</v>
      </c>
      <c r="D590" t="inlineStr">
        <is>
          <t>13-35</t>
        </is>
      </c>
      <c r="E590" t="n">
        <v>150</v>
      </c>
      <c r="G590" s="90" t="inlineStr">
        <is>
          <t>{role:-1},{state:-60017}
{id:-1},{id:-1},{id:-1},{id:-1},{id:-1}
{id:40061},{id:40051},{id:40064},{id:40051},{id:40064}</t>
        </is>
      </c>
      <c r="I590" t="n">
        <v>61720</v>
      </c>
      <c r="J590" s="80" t="inlineStr">
        <is>
          <t>暴風雪</t>
        </is>
      </c>
      <c r="K590" t="inlineStr">
        <is>
          <t>buff</t>
        </is>
      </c>
      <c r="L590" t="n">
        <v>9005</v>
      </c>
      <c r="M590" t="n">
        <v>10</v>
      </c>
      <c r="O590" t="n">
        <v>0.4</v>
      </c>
      <c r="P590" s="80" t="inlineStr">
        <is>
          <t>寒氣侵襲</t>
        </is>
      </c>
      <c r="Q590" t="inlineStr">
        <is>
          <t>debuff</t>
        </is>
      </c>
      <c r="R590" t="n">
        <v>9008</v>
      </c>
      <c r="S590" t="n">
        <v>2</v>
      </c>
      <c r="U590" t="n">
        <v>0.6</v>
      </c>
      <c r="V590" t="n">
        <v>70001</v>
      </c>
      <c r="W590" t="n">
        <v>3</v>
      </c>
      <c r="X590" t="n">
        <v>1</v>
      </c>
      <c r="Y590" t="n">
        <v>70002</v>
      </c>
      <c r="Z590" t="n">
        <v>3</v>
      </c>
      <c r="AA590" t="n">
        <v>1</v>
      </c>
      <c r="AB590" t="n">
        <v>1001</v>
      </c>
      <c r="AC590" t="n">
        <v>50</v>
      </c>
      <c r="AD590" t="n">
        <v>1</v>
      </c>
      <c r="AE590" t="n">
        <v>8000</v>
      </c>
      <c r="AF590" t="n">
        <v>2030</v>
      </c>
      <c r="AG590" t="n">
        <v>1</v>
      </c>
    </row>
    <row r="591" ht="38.25" customHeight="1" s="142">
      <c r="A591" t="n">
        <v>1485</v>
      </c>
      <c r="B591" t="inlineStr">
        <is>
          <t>main</t>
        </is>
      </c>
      <c r="C591" t="n">
        <v>13</v>
      </c>
      <c r="D591" t="inlineStr">
        <is>
          <t>13-36</t>
        </is>
      </c>
      <c r="E591" t="n">
        <v>150</v>
      </c>
      <c r="G591" s="90" t="inlineStr">
        <is>
          <t>{role:-1},{state:-60017}
{id:-1},{id:-1},{id:-1},{id:-1},{id:-1}
{id:40064},{id:40064},{id:40084},{id:40061},{id:40061}</t>
        </is>
      </c>
      <c r="I591" t="n">
        <v>61845</v>
      </c>
      <c r="J591" s="80" t="inlineStr">
        <is>
          <t>暴風雪</t>
        </is>
      </c>
      <c r="K591" t="inlineStr">
        <is>
          <t>buff</t>
        </is>
      </c>
      <c r="L591" t="n">
        <v>9006</v>
      </c>
      <c r="M591" t="inlineStr">
        <is>
          <t>1,6,10</t>
        </is>
      </c>
      <c r="O591" t="n">
        <v>0.4</v>
      </c>
      <c r="P591" s="80" t="inlineStr">
        <is>
          <t>寒氣侵襲</t>
        </is>
      </c>
      <c r="Q591" t="inlineStr">
        <is>
          <t>debuff</t>
        </is>
      </c>
      <c r="R591" t="n">
        <v>9012</v>
      </c>
      <c r="S591" t="n">
        <v>6</v>
      </c>
      <c r="U591" t="n">
        <v>0.8</v>
      </c>
      <c r="V591" t="n">
        <v>70001</v>
      </c>
      <c r="W591" t="n">
        <v>3</v>
      </c>
      <c r="X591" t="n">
        <v>1</v>
      </c>
      <c r="Y591" t="n">
        <v>70002</v>
      </c>
      <c r="Z591" t="n">
        <v>3</v>
      </c>
      <c r="AA591" t="n">
        <v>1</v>
      </c>
      <c r="AB591" t="n">
        <v>1001</v>
      </c>
      <c r="AC591" t="n">
        <v>50</v>
      </c>
      <c r="AD591" t="n">
        <v>1</v>
      </c>
      <c r="AE591" t="n">
        <v>8000</v>
      </c>
      <c r="AF591" t="n">
        <v>2040</v>
      </c>
      <c r="AG591" t="n">
        <v>1</v>
      </c>
    </row>
    <row r="592" ht="38.25" customHeight="1" s="142">
      <c r="A592" t="n">
        <v>1486</v>
      </c>
      <c r="B592" t="inlineStr">
        <is>
          <t>main</t>
        </is>
      </c>
      <c r="C592" t="n">
        <v>13</v>
      </c>
      <c r="D592" t="inlineStr">
        <is>
          <t>13-37</t>
        </is>
      </c>
      <c r="E592" t="n">
        <v>150</v>
      </c>
      <c r="G592" s="90" t="inlineStr">
        <is>
          <t>{role:-1},{state:-60017}
{id:-1},{id:-1},{id:-1},{id:-1},{id:-1}
{id:40051},{id:40064},{id:40061},{id:40061},{id:40084}</t>
        </is>
      </c>
      <c r="I592" t="n">
        <v>61970</v>
      </c>
      <c r="J592" s="80" t="inlineStr">
        <is>
          <t>暴風雪</t>
        </is>
      </c>
      <c r="K592" t="inlineStr">
        <is>
          <t>buff</t>
        </is>
      </c>
      <c r="L592" t="n">
        <v>9001</v>
      </c>
      <c r="M592" t="inlineStr">
        <is>
          <t>1,11</t>
        </is>
      </c>
      <c r="O592" t="n">
        <v>0.3</v>
      </c>
      <c r="P592" s="80" t="inlineStr">
        <is>
          <t>寒氣侵襲</t>
        </is>
      </c>
      <c r="Q592" t="inlineStr">
        <is>
          <t>debuff</t>
        </is>
      </c>
      <c r="R592" t="n">
        <v>9011</v>
      </c>
      <c r="S592" t="inlineStr">
        <is>
          <t>5,8,10</t>
        </is>
      </c>
      <c r="U592" t="n">
        <v>0.2</v>
      </c>
      <c r="V592" t="n">
        <v>70001</v>
      </c>
      <c r="W592" t="n">
        <v>3</v>
      </c>
      <c r="X592" t="n">
        <v>1</v>
      </c>
      <c r="Y592" t="n">
        <v>70002</v>
      </c>
      <c r="Z592" t="n">
        <v>3</v>
      </c>
      <c r="AA592" t="n">
        <v>1</v>
      </c>
      <c r="AB592" t="n">
        <v>1001</v>
      </c>
      <c r="AC592" t="n">
        <v>50</v>
      </c>
      <c r="AD592" t="n">
        <v>1</v>
      </c>
      <c r="AE592" t="n">
        <v>8000</v>
      </c>
      <c r="AF592" t="n">
        <v>2040</v>
      </c>
      <c r="AG592" t="n">
        <v>1</v>
      </c>
    </row>
    <row r="593" ht="38.25" customHeight="1" s="142">
      <c r="A593" t="n">
        <v>1487</v>
      </c>
      <c r="B593" t="inlineStr">
        <is>
          <t>main</t>
        </is>
      </c>
      <c r="C593" t="n">
        <v>13</v>
      </c>
      <c r="D593" t="inlineStr">
        <is>
          <t>13-38</t>
        </is>
      </c>
      <c r="E593" t="n">
        <v>150</v>
      </c>
      <c r="G593" s="90" t="inlineStr">
        <is>
          <t>{role:-1},{state:-60017}
{id:-1},{id:-1},{id:-1},{id:-1},{id:-1}
{id:40064},{id:40051},{id:40061},{id:40064},{id:40064}</t>
        </is>
      </c>
      <c r="I593" t="n">
        <v>62095</v>
      </c>
      <c r="J593" s="80" t="inlineStr">
        <is>
          <t>暴風雪</t>
        </is>
      </c>
      <c r="K593" t="inlineStr">
        <is>
          <t>buff</t>
        </is>
      </c>
      <c r="L593" t="n">
        <v>9001</v>
      </c>
      <c r="M593" t="n">
        <v>5</v>
      </c>
      <c r="O593" t="n">
        <v>0.5</v>
      </c>
      <c r="P593" s="80" t="inlineStr">
        <is>
          <t>寒氣侵襲</t>
        </is>
      </c>
      <c r="Q593" t="inlineStr">
        <is>
          <t>debuff</t>
        </is>
      </c>
      <c r="R593" t="n">
        <v>9011</v>
      </c>
      <c r="S593" t="inlineStr">
        <is>
          <t>2,3,10</t>
        </is>
      </c>
      <c r="U593" t="n">
        <v>0.1</v>
      </c>
      <c r="V593" t="n">
        <v>70001</v>
      </c>
      <c r="W593" t="n">
        <v>3</v>
      </c>
      <c r="X593" t="n">
        <v>1</v>
      </c>
      <c r="Y593" t="n">
        <v>70002</v>
      </c>
      <c r="Z593" t="n">
        <v>3</v>
      </c>
      <c r="AA593" t="n">
        <v>1</v>
      </c>
      <c r="AB593" t="n">
        <v>1001</v>
      </c>
      <c r="AC593" t="n">
        <v>50</v>
      </c>
      <c r="AD593" t="n">
        <v>1</v>
      </c>
      <c r="AE593" t="n">
        <v>8000</v>
      </c>
      <c r="AF593" t="n">
        <v>2050</v>
      </c>
      <c r="AG593" t="n">
        <v>1</v>
      </c>
    </row>
    <row r="594" ht="38.25" customHeight="1" s="142">
      <c r="A594" t="n">
        <v>1488</v>
      </c>
      <c r="B594" t="inlineStr">
        <is>
          <t>main</t>
        </is>
      </c>
      <c r="C594" t="n">
        <v>13</v>
      </c>
      <c r="D594" t="inlineStr">
        <is>
          <t>13-39</t>
        </is>
      </c>
      <c r="E594" t="n">
        <v>150</v>
      </c>
      <c r="G594" s="90" t="inlineStr">
        <is>
          <t>{role:-1},{state:-60017}
{id:-1},{id:-1},{id:-1},{id:-1},{id:-1}
{id:40062},{id:40051},{id:40064},{id:40064},{id:40061}</t>
        </is>
      </c>
      <c r="I594" t="n">
        <v>62220</v>
      </c>
      <c r="J594" s="80" t="inlineStr">
        <is>
          <t>暴風雪</t>
        </is>
      </c>
      <c r="K594" t="inlineStr">
        <is>
          <t>buff</t>
        </is>
      </c>
      <c r="L594" t="n">
        <v>9002</v>
      </c>
      <c r="M594" t="inlineStr">
        <is>
          <t>4,6,10</t>
        </is>
      </c>
      <c r="O594" t="n">
        <v>0.5</v>
      </c>
      <c r="P594" s="80" t="inlineStr">
        <is>
          <t>寒氣侵襲</t>
        </is>
      </c>
      <c r="Q594" t="inlineStr">
        <is>
          <t>debuff</t>
        </is>
      </c>
      <c r="R594" t="n">
        <v>9008</v>
      </c>
      <c r="S594" t="inlineStr">
        <is>
          <t>4,6,9</t>
        </is>
      </c>
      <c r="U594" t="n">
        <v>0.6</v>
      </c>
      <c r="V594" t="n">
        <v>70001</v>
      </c>
      <c r="W594" t="n">
        <v>3</v>
      </c>
      <c r="X594" t="n">
        <v>1</v>
      </c>
      <c r="Y594" t="n">
        <v>70002</v>
      </c>
      <c r="Z594" t="n">
        <v>3</v>
      </c>
      <c r="AA594" t="n">
        <v>1</v>
      </c>
      <c r="AB594" t="n">
        <v>1001</v>
      </c>
      <c r="AC594" t="n">
        <v>50</v>
      </c>
      <c r="AD594" t="n">
        <v>1</v>
      </c>
      <c r="AE594" t="n">
        <v>8000</v>
      </c>
      <c r="AF594" t="n">
        <v>2060</v>
      </c>
      <c r="AG594" t="n">
        <v>1</v>
      </c>
    </row>
    <row r="595" ht="38.25" customHeight="1" s="142">
      <c r="A595" t="n">
        <v>1489</v>
      </c>
      <c r="B595" t="inlineStr">
        <is>
          <t>main</t>
        </is>
      </c>
      <c r="C595" t="n">
        <v>13</v>
      </c>
      <c r="D595" t="inlineStr">
        <is>
          <t>13-40</t>
        </is>
      </c>
      <c r="E595" t="n">
        <v>150</v>
      </c>
      <c r="G595" s="90" t="inlineStr">
        <is>
          <t>{role:-1},{state:-60017}
{id:-1},{id:-1},{id:-1},{id:-1},{id:-1}
{id:40084},{id:40062},{id:40051},{id:40064},{id:40061}</t>
        </is>
      </c>
      <c r="I595" t="n">
        <v>62345</v>
      </c>
      <c r="J595" s="80" t="inlineStr">
        <is>
          <t>暴風雪</t>
        </is>
      </c>
      <c r="K595" t="inlineStr">
        <is>
          <t>buff</t>
        </is>
      </c>
      <c r="L595" t="n">
        <v>9005</v>
      </c>
      <c r="M595" t="inlineStr">
        <is>
          <t>1,4,5</t>
        </is>
      </c>
      <c r="O595" t="n">
        <v>0.6</v>
      </c>
      <c r="P595" s="80" t="inlineStr">
        <is>
          <t>寒氣侵襲</t>
        </is>
      </c>
      <c r="Q595" t="inlineStr">
        <is>
          <t>debuff</t>
        </is>
      </c>
      <c r="R595" t="n">
        <v>9012</v>
      </c>
      <c r="S595" t="n">
        <v>1</v>
      </c>
      <c r="U595" t="n">
        <v>0.6</v>
      </c>
      <c r="V595" t="n">
        <v>70001</v>
      </c>
      <c r="W595" t="n">
        <v>3</v>
      </c>
      <c r="X595" t="n">
        <v>1</v>
      </c>
      <c r="Y595" t="n">
        <v>70002</v>
      </c>
      <c r="Z595" t="n">
        <v>3</v>
      </c>
      <c r="AA595" t="n">
        <v>1</v>
      </c>
      <c r="AB595" t="n">
        <v>1001</v>
      </c>
      <c r="AC595" t="n">
        <v>50</v>
      </c>
      <c r="AD595" t="n">
        <v>1</v>
      </c>
      <c r="AE595" t="n">
        <v>8000</v>
      </c>
      <c r="AF595" t="n">
        <v>2060</v>
      </c>
      <c r="AG595" t="n">
        <v>1</v>
      </c>
    </row>
    <row r="596" ht="38.25" customHeight="1" s="142">
      <c r="A596" t="n">
        <v>1490</v>
      </c>
      <c r="B596" t="inlineStr">
        <is>
          <t>main</t>
        </is>
      </c>
      <c r="C596" t="n">
        <v>13</v>
      </c>
      <c r="D596" t="inlineStr">
        <is>
          <t>13-41</t>
        </is>
      </c>
      <c r="E596" t="n">
        <v>150</v>
      </c>
      <c r="G596" s="90" t="inlineStr">
        <is>
          <t>{role:-1},{state:-60017}
{id:-1},{id:-1},{id:-1},{id:-1},{id:-1}
{id:40062},{id:40084},{id:40051},{id:40062},{id:40064}</t>
        </is>
      </c>
      <c r="I596" t="n">
        <v>62470</v>
      </c>
      <c r="J596" s="80" t="inlineStr">
        <is>
          <t>暴風雪</t>
        </is>
      </c>
      <c r="K596" t="inlineStr">
        <is>
          <t>buff</t>
        </is>
      </c>
      <c r="L596" t="n">
        <v>9005</v>
      </c>
      <c r="M596" t="inlineStr">
        <is>
          <t>4,9</t>
        </is>
      </c>
      <c r="O596" t="n">
        <v>0.6</v>
      </c>
      <c r="P596" s="80" t="inlineStr">
        <is>
          <t>寒氣侵襲</t>
        </is>
      </c>
      <c r="Q596" t="inlineStr">
        <is>
          <t>debuff</t>
        </is>
      </c>
      <c r="R596" t="n">
        <v>9012</v>
      </c>
      <c r="S596" t="inlineStr">
        <is>
          <t>4,10,13</t>
        </is>
      </c>
      <c r="U596" t="n">
        <v>0.6</v>
      </c>
      <c r="V596" t="n">
        <v>70001</v>
      </c>
      <c r="W596" t="n">
        <v>3</v>
      </c>
      <c r="X596" t="n">
        <v>1</v>
      </c>
      <c r="Y596" t="n">
        <v>70002</v>
      </c>
      <c r="Z596" t="n">
        <v>3</v>
      </c>
      <c r="AA596" t="n">
        <v>1</v>
      </c>
      <c r="AB596" t="n">
        <v>1001</v>
      </c>
      <c r="AC596" t="n">
        <v>50</v>
      </c>
      <c r="AD596" t="n">
        <v>1</v>
      </c>
      <c r="AE596" t="n">
        <v>8000</v>
      </c>
      <c r="AF596" t="n">
        <v>2070</v>
      </c>
      <c r="AG596" t="n">
        <v>1</v>
      </c>
    </row>
    <row r="597" ht="38.25" customHeight="1" s="142">
      <c r="A597" t="n">
        <v>1491</v>
      </c>
      <c r="B597" t="inlineStr">
        <is>
          <t>main</t>
        </is>
      </c>
      <c r="C597" t="n">
        <v>13</v>
      </c>
      <c r="D597" t="inlineStr">
        <is>
          <t>13-42</t>
        </is>
      </c>
      <c r="E597" t="n">
        <v>150</v>
      </c>
      <c r="G597" s="90" t="inlineStr">
        <is>
          <t>{role:-1},{state:-60017}
{id:-1},{id:-1},{id:-1},{id:-1},{id:-1}
{id:40062},{id:40051},{id:40062},{id:40061},{id:40064}</t>
        </is>
      </c>
      <c r="I597" t="n">
        <v>62595</v>
      </c>
      <c r="J597" s="80" t="inlineStr">
        <is>
          <t>暴風雪</t>
        </is>
      </c>
      <c r="K597" t="inlineStr">
        <is>
          <t>buff</t>
        </is>
      </c>
      <c r="L597" t="n">
        <v>9007</v>
      </c>
      <c r="M597" t="inlineStr">
        <is>
          <t>4,10</t>
        </is>
      </c>
      <c r="O597" t="n">
        <v>0.4</v>
      </c>
      <c r="P597" s="80" t="inlineStr">
        <is>
          <t>寒氣侵襲</t>
        </is>
      </c>
      <c r="Q597" t="inlineStr">
        <is>
          <t>debuff</t>
        </is>
      </c>
      <c r="R597" t="n">
        <v>9003</v>
      </c>
      <c r="S597" t="n">
        <v>5</v>
      </c>
      <c r="U597" t="n">
        <v>0.2</v>
      </c>
      <c r="V597" t="n">
        <v>70001</v>
      </c>
      <c r="W597" t="n">
        <v>3</v>
      </c>
      <c r="X597" t="n">
        <v>1</v>
      </c>
      <c r="Y597" t="n">
        <v>70002</v>
      </c>
      <c r="Z597" t="n">
        <v>3</v>
      </c>
      <c r="AA597" t="n">
        <v>1</v>
      </c>
      <c r="AB597" t="n">
        <v>1001</v>
      </c>
      <c r="AC597" t="n">
        <v>50</v>
      </c>
      <c r="AD597" t="n">
        <v>1</v>
      </c>
      <c r="AE597" t="n">
        <v>8000</v>
      </c>
      <c r="AF597" t="n">
        <v>2070</v>
      </c>
      <c r="AG597" t="n">
        <v>1</v>
      </c>
    </row>
    <row r="598" ht="38.25" customHeight="1" s="142">
      <c r="A598" t="n">
        <v>1492</v>
      </c>
      <c r="B598" t="inlineStr">
        <is>
          <t>main</t>
        </is>
      </c>
      <c r="C598" t="n">
        <v>13</v>
      </c>
      <c r="D598" t="inlineStr">
        <is>
          <t>13-43</t>
        </is>
      </c>
      <c r="E598" t="n">
        <v>150</v>
      </c>
      <c r="G598" s="90" t="inlineStr">
        <is>
          <t>{role:-1},{state:-60017}
{id:-1},{id:-1},{id:-1},{id:-1},{id:-1}
{id:40084},{id:40064},{id:40061},{id:40064},{id:40084}</t>
        </is>
      </c>
      <c r="I598" t="n">
        <v>62720</v>
      </c>
      <c r="J598" s="80" t="inlineStr">
        <is>
          <t>暴風雪</t>
        </is>
      </c>
      <c r="K598" t="inlineStr">
        <is>
          <t>buff</t>
        </is>
      </c>
      <c r="L598" t="n">
        <v>9007</v>
      </c>
      <c r="M598" t="inlineStr">
        <is>
          <t>6,7</t>
        </is>
      </c>
      <c r="O598" t="n">
        <v>0.3</v>
      </c>
      <c r="P598" s="80" t="inlineStr">
        <is>
          <t>寒氣侵襲</t>
        </is>
      </c>
      <c r="Q598" t="inlineStr">
        <is>
          <t>debuff</t>
        </is>
      </c>
      <c r="R598" t="n">
        <v>9012</v>
      </c>
      <c r="S598" t="n">
        <v>1</v>
      </c>
      <c r="U598" t="n">
        <v>0.9</v>
      </c>
      <c r="V598" t="n">
        <v>70001</v>
      </c>
      <c r="W598" t="n">
        <v>3</v>
      </c>
      <c r="X598" t="n">
        <v>1</v>
      </c>
      <c r="Y598" t="n">
        <v>70002</v>
      </c>
      <c r="Z598" t="n">
        <v>3</v>
      </c>
      <c r="AA598" t="n">
        <v>1</v>
      </c>
      <c r="AB598" t="n">
        <v>1001</v>
      </c>
      <c r="AC598" t="n">
        <v>50</v>
      </c>
      <c r="AD598" t="n">
        <v>1</v>
      </c>
      <c r="AE598" t="n">
        <v>8000</v>
      </c>
      <c r="AF598" t="n">
        <v>2080</v>
      </c>
      <c r="AG598" t="n">
        <v>1</v>
      </c>
    </row>
    <row r="599" ht="38.25" customHeight="1" s="142">
      <c r="A599" t="n">
        <v>1493</v>
      </c>
      <c r="B599" t="inlineStr">
        <is>
          <t>main</t>
        </is>
      </c>
      <c r="C599" t="n">
        <v>13</v>
      </c>
      <c r="D599" t="inlineStr">
        <is>
          <t>13-44</t>
        </is>
      </c>
      <c r="E599" t="n">
        <v>150</v>
      </c>
      <c r="G599" s="90" t="inlineStr">
        <is>
          <t>{role:-1},{state:-60017}
{id:-1},{id:-1},{id:-1},{id:-1},{id:-1}
{id:40084},{id:40064},{id:40051},{id:40084},{id:40064}</t>
        </is>
      </c>
      <c r="I599" t="n">
        <v>62845</v>
      </c>
      <c r="J599" s="80" t="inlineStr">
        <is>
          <t>暴風雪</t>
        </is>
      </c>
      <c r="K599" t="inlineStr">
        <is>
          <t>buff</t>
        </is>
      </c>
      <c r="L599" t="n">
        <v>9012</v>
      </c>
      <c r="M599" t="n">
        <v>6</v>
      </c>
      <c r="O599" t="n">
        <v>0.9</v>
      </c>
      <c r="P599" s="80" t="inlineStr">
        <is>
          <t>寒氣侵襲</t>
        </is>
      </c>
      <c r="Q599" t="inlineStr">
        <is>
          <t>debuff</t>
        </is>
      </c>
      <c r="R599" t="n">
        <v>9003</v>
      </c>
      <c r="S599" t="inlineStr">
        <is>
          <t>5,7,11</t>
        </is>
      </c>
      <c r="U599" t="n">
        <v>0.7</v>
      </c>
      <c r="V599" t="n">
        <v>70001</v>
      </c>
      <c r="W599" t="n">
        <v>3</v>
      </c>
      <c r="X599" t="n">
        <v>1</v>
      </c>
      <c r="Y599" t="n">
        <v>70002</v>
      </c>
      <c r="Z599" t="n">
        <v>3</v>
      </c>
      <c r="AA599" t="n">
        <v>1</v>
      </c>
      <c r="AB599" t="n">
        <v>1001</v>
      </c>
      <c r="AC599" t="n">
        <v>50</v>
      </c>
      <c r="AD599" t="n">
        <v>1</v>
      </c>
      <c r="AE599" t="n">
        <v>8000</v>
      </c>
      <c r="AF599" t="n">
        <v>2080</v>
      </c>
      <c r="AG599" t="n">
        <v>1</v>
      </c>
    </row>
    <row r="600" ht="38.25" customHeight="1" s="142">
      <c r="A600" t="n">
        <v>1494</v>
      </c>
      <c r="B600" t="inlineStr">
        <is>
          <t>main</t>
        </is>
      </c>
      <c r="C600" t="n">
        <v>13</v>
      </c>
      <c r="D600" t="inlineStr">
        <is>
          <t>13-45</t>
        </is>
      </c>
      <c r="E600" t="n">
        <v>150</v>
      </c>
      <c r="G600" s="90" t="inlineStr">
        <is>
          <t>{role:-1},{state:-60017}
{id:-1},{id:-1},{id:-1},{id:-1},{id:-1}
{id:40061},{id:40064},{id:40062},{id:40084},{id:40051}</t>
        </is>
      </c>
      <c r="I600" t="n">
        <v>62970</v>
      </c>
      <c r="J600" s="80" t="inlineStr">
        <is>
          <t>暴風雪</t>
        </is>
      </c>
      <c r="K600" t="inlineStr">
        <is>
          <t>buff</t>
        </is>
      </c>
      <c r="L600" t="n">
        <v>9006</v>
      </c>
      <c r="M600" t="inlineStr">
        <is>
          <t>3,6</t>
        </is>
      </c>
      <c r="O600" t="n">
        <v>0.7</v>
      </c>
      <c r="P600" s="80" t="inlineStr">
        <is>
          <t>寒氣侵襲</t>
        </is>
      </c>
      <c r="Q600" t="inlineStr">
        <is>
          <t>debuff</t>
        </is>
      </c>
      <c r="R600" t="n">
        <v>9012</v>
      </c>
      <c r="S600" t="inlineStr">
        <is>
          <t>2,11,13</t>
        </is>
      </c>
      <c r="U600" t="n">
        <v>0.8</v>
      </c>
      <c r="V600" t="n">
        <v>70001</v>
      </c>
      <c r="W600" t="n">
        <v>3</v>
      </c>
      <c r="X600" t="n">
        <v>1</v>
      </c>
      <c r="Y600" t="n">
        <v>70002</v>
      </c>
      <c r="Z600" t="n">
        <v>3</v>
      </c>
      <c r="AA600" t="n">
        <v>1</v>
      </c>
      <c r="AB600" t="n">
        <v>1001</v>
      </c>
      <c r="AC600" t="n">
        <v>50</v>
      </c>
      <c r="AD600" t="n">
        <v>1</v>
      </c>
      <c r="AE600" t="n">
        <v>8000</v>
      </c>
      <c r="AF600" t="n">
        <v>2090</v>
      </c>
      <c r="AG600" t="n">
        <v>1</v>
      </c>
    </row>
    <row r="601" ht="38.25" customHeight="1" s="142">
      <c r="A601" t="n">
        <v>1495</v>
      </c>
      <c r="B601" t="inlineStr">
        <is>
          <t>main</t>
        </is>
      </c>
      <c r="C601" t="n">
        <v>13</v>
      </c>
      <c r="D601" t="inlineStr">
        <is>
          <t>13-46</t>
        </is>
      </c>
      <c r="E601" t="n">
        <v>150</v>
      </c>
      <c r="G601" s="90" t="inlineStr">
        <is>
          <t>{role:-1},{state:-60017}
{id:-1},{id:-1},{id:-1},{id:-1},{id:-1}
{id:40051},{id:40051},{id:40084},{id:40051},{id:40084}</t>
        </is>
      </c>
      <c r="I601" t="n">
        <v>63095</v>
      </c>
      <c r="J601" s="80" t="inlineStr">
        <is>
          <t>暴風雪</t>
        </is>
      </c>
      <c r="K601" t="inlineStr">
        <is>
          <t>buff</t>
        </is>
      </c>
      <c r="L601" t="n">
        <v>9006</v>
      </c>
      <c r="M601" t="inlineStr">
        <is>
          <t>6,7,9</t>
        </is>
      </c>
      <c r="O601" t="n">
        <v>0.9</v>
      </c>
      <c r="P601" s="80" t="inlineStr">
        <is>
          <t>寒氣侵襲</t>
        </is>
      </c>
      <c r="Q601" t="inlineStr">
        <is>
          <t>debuff</t>
        </is>
      </c>
      <c r="R601" t="n">
        <v>9003</v>
      </c>
      <c r="S601" t="inlineStr">
        <is>
          <t>9,10</t>
        </is>
      </c>
      <c r="U601" t="n">
        <v>1</v>
      </c>
      <c r="V601" t="n">
        <v>70001</v>
      </c>
      <c r="W601" t="n">
        <v>3</v>
      </c>
      <c r="X601" t="n">
        <v>1</v>
      </c>
      <c r="Y601" t="n">
        <v>70002</v>
      </c>
      <c r="Z601" t="n">
        <v>3</v>
      </c>
      <c r="AA601" t="n">
        <v>1</v>
      </c>
      <c r="AB601" t="n">
        <v>1001</v>
      </c>
      <c r="AC601" t="n">
        <v>50</v>
      </c>
      <c r="AD601" t="n">
        <v>1</v>
      </c>
      <c r="AE601" t="n">
        <v>8000</v>
      </c>
      <c r="AF601" t="n">
        <v>2090</v>
      </c>
      <c r="AG601" t="n">
        <v>1</v>
      </c>
    </row>
    <row r="602" ht="38.25" customHeight="1" s="142">
      <c r="A602" t="n">
        <v>1496</v>
      </c>
      <c r="B602" t="inlineStr">
        <is>
          <t>main</t>
        </is>
      </c>
      <c r="C602" t="n">
        <v>13</v>
      </c>
      <c r="D602" t="inlineStr">
        <is>
          <t>13-47</t>
        </is>
      </c>
      <c r="E602" t="n">
        <v>150</v>
      </c>
      <c r="G602" s="90" t="inlineStr">
        <is>
          <t>{role:-1},{state:-60017}
{id:-1},{id:-1},{id:-1},{id:-1},{id:-1}
{id:40061},{id:40051},{id:40051},{id:40062},{id:40061}</t>
        </is>
      </c>
      <c r="I602" t="n">
        <v>63220</v>
      </c>
      <c r="J602" s="80" t="inlineStr">
        <is>
          <t>暴風雪</t>
        </is>
      </c>
      <c r="K602" t="inlineStr">
        <is>
          <t>buff</t>
        </is>
      </c>
      <c r="L602" t="n">
        <v>9002</v>
      </c>
      <c r="M602" t="n">
        <v>11</v>
      </c>
      <c r="O602" t="n">
        <v>0.9</v>
      </c>
      <c r="P602" s="80" t="inlineStr">
        <is>
          <t>寒氣侵襲</t>
        </is>
      </c>
      <c r="Q602" t="inlineStr">
        <is>
          <t>debuff</t>
        </is>
      </c>
      <c r="R602" t="n">
        <v>9007</v>
      </c>
      <c r="S602" t="inlineStr">
        <is>
          <t>5,7</t>
        </is>
      </c>
      <c r="U602" t="n">
        <v>0.4</v>
      </c>
      <c r="V602" t="n">
        <v>70001</v>
      </c>
      <c r="W602" t="n">
        <v>3</v>
      </c>
      <c r="X602" t="n">
        <v>1</v>
      </c>
      <c r="Y602" t="n">
        <v>70002</v>
      </c>
      <c r="Z602" t="n">
        <v>3</v>
      </c>
      <c r="AA602" t="n">
        <v>1</v>
      </c>
      <c r="AB602" t="n">
        <v>1001</v>
      </c>
      <c r="AC602" t="n">
        <v>50</v>
      </c>
      <c r="AD602" t="n">
        <v>1</v>
      </c>
      <c r="AE602" t="n">
        <v>8000</v>
      </c>
      <c r="AF602" t="n">
        <v>2100</v>
      </c>
      <c r="AG602" t="n">
        <v>1</v>
      </c>
    </row>
    <row r="603" ht="38.25" customHeight="1" s="142">
      <c r="A603" t="n">
        <v>1497</v>
      </c>
      <c r="B603" t="inlineStr">
        <is>
          <t>main</t>
        </is>
      </c>
      <c r="C603" t="n">
        <v>13</v>
      </c>
      <c r="D603" t="inlineStr">
        <is>
          <t>13-48</t>
        </is>
      </c>
      <c r="E603" t="n">
        <v>150</v>
      </c>
      <c r="G603" s="90" t="inlineStr">
        <is>
          <t>{role:-1},{state:-60017}
{id:-1},{id:-1},{id:-1},{id:-1},{id:-1}
{id:40062},{id:40084},{id:40061},{id:40084},{id:40084}</t>
        </is>
      </c>
      <c r="I603" t="n">
        <v>63345</v>
      </c>
      <c r="J603" s="80" t="inlineStr">
        <is>
          <t>暴風雪</t>
        </is>
      </c>
      <c r="K603" t="inlineStr">
        <is>
          <t>buff</t>
        </is>
      </c>
      <c r="L603" t="n">
        <v>9007</v>
      </c>
      <c r="M603" t="n">
        <v>13</v>
      </c>
      <c r="O603" t="n">
        <v>0.4</v>
      </c>
      <c r="P603" s="80" t="inlineStr">
        <is>
          <t>寒氣侵襲</t>
        </is>
      </c>
      <c r="Q603" t="inlineStr">
        <is>
          <t>debuff</t>
        </is>
      </c>
      <c r="R603" t="n">
        <v>9003</v>
      </c>
      <c r="S603" t="inlineStr">
        <is>
          <t>7,11</t>
        </is>
      </c>
      <c r="U603" t="n">
        <v>0.2</v>
      </c>
      <c r="V603" t="n">
        <v>70001</v>
      </c>
      <c r="W603" t="n">
        <v>3</v>
      </c>
      <c r="X603" t="n">
        <v>1</v>
      </c>
      <c r="Y603" t="n">
        <v>70002</v>
      </c>
      <c r="Z603" t="n">
        <v>3</v>
      </c>
      <c r="AA603" t="n">
        <v>1</v>
      </c>
      <c r="AB603" t="n">
        <v>1001</v>
      </c>
      <c r="AC603" t="n">
        <v>50</v>
      </c>
      <c r="AD603" t="n">
        <v>1</v>
      </c>
      <c r="AE603" t="n">
        <v>8000</v>
      </c>
      <c r="AF603" t="n">
        <v>2100</v>
      </c>
      <c r="AG603" t="n">
        <v>1</v>
      </c>
    </row>
    <row r="604" ht="38.25" customHeight="1" s="142">
      <c r="A604" t="n">
        <v>1498</v>
      </c>
      <c r="B604" t="inlineStr">
        <is>
          <t>main</t>
        </is>
      </c>
      <c r="C604" t="n">
        <v>13</v>
      </c>
      <c r="D604" t="inlineStr">
        <is>
          <t>13-49</t>
        </is>
      </c>
      <c r="E604" t="n">
        <v>150</v>
      </c>
      <c r="G604" s="90" t="inlineStr">
        <is>
          <t>{role:-1},{state:-60017}
{id:-1},{id:-1},{id:-1},{id:-1},{id:-1}
{id:40051},{id:40062},{id:40061},{id:40061},{id:40051}</t>
        </is>
      </c>
      <c r="I604" t="n">
        <v>63470</v>
      </c>
      <c r="J604" s="80" t="inlineStr">
        <is>
          <t>暴風雪</t>
        </is>
      </c>
      <c r="K604" t="inlineStr">
        <is>
          <t>buff</t>
        </is>
      </c>
      <c r="L604" t="n">
        <v>9007</v>
      </c>
      <c r="M604" t="n">
        <v>13</v>
      </c>
      <c r="O604" t="n">
        <v>0.4</v>
      </c>
      <c r="P604" s="80" t="inlineStr">
        <is>
          <t>寒氣侵襲</t>
        </is>
      </c>
      <c r="Q604" t="inlineStr">
        <is>
          <t>debuff</t>
        </is>
      </c>
      <c r="R604" t="n">
        <v>9012</v>
      </c>
      <c r="S604" t="inlineStr">
        <is>
          <t>1,8,9</t>
        </is>
      </c>
      <c r="U604" t="n">
        <v>0.9</v>
      </c>
      <c r="V604" t="n">
        <v>70001</v>
      </c>
      <c r="W604" t="n">
        <v>3</v>
      </c>
      <c r="X604" t="n">
        <v>1</v>
      </c>
      <c r="Y604" t="n">
        <v>70002</v>
      </c>
      <c r="Z604" t="n">
        <v>3</v>
      </c>
      <c r="AA604" t="n">
        <v>1</v>
      </c>
      <c r="AB604" t="n">
        <v>1001</v>
      </c>
      <c r="AC604" t="n">
        <v>50</v>
      </c>
      <c r="AD604" t="n">
        <v>1</v>
      </c>
      <c r="AE604" t="n">
        <v>8000</v>
      </c>
      <c r="AF604" t="n">
        <v>2110</v>
      </c>
      <c r="AG604" t="n">
        <v>1</v>
      </c>
    </row>
    <row r="605" ht="38.25" customHeight="1" s="142">
      <c r="A605" t="n">
        <v>1499</v>
      </c>
      <c r="B605" t="inlineStr">
        <is>
          <t>main</t>
        </is>
      </c>
      <c r="C605" t="n">
        <v>13</v>
      </c>
      <c r="D605" t="inlineStr">
        <is>
          <t>13-50</t>
        </is>
      </c>
      <c r="E605" t="n">
        <v>150</v>
      </c>
      <c r="G605" s="90" t="inlineStr">
        <is>
          <t>{role:-1},{state:-60017}
{id:-1},{id:-1},{id:-1},{id:-1},{id:-1}
{id:50014},{id:40051},{id:40084},{id:40061},{id:40064}</t>
        </is>
      </c>
      <c r="I605" t="n">
        <v>63595</v>
      </c>
      <c r="J605" s="80" t="inlineStr">
        <is>
          <t>暴風雪</t>
        </is>
      </c>
      <c r="K605" t="inlineStr">
        <is>
          <t>buff</t>
        </is>
      </c>
      <c r="L605" t="n">
        <v>9002</v>
      </c>
      <c r="M605" t="inlineStr">
        <is>
          <t>6,8,11</t>
        </is>
      </c>
      <c r="O605" t="n">
        <v>0.7</v>
      </c>
      <c r="P605" s="80" t="inlineStr">
        <is>
          <t>寒氣侵襲</t>
        </is>
      </c>
      <c r="Q605" t="inlineStr">
        <is>
          <t>debuff</t>
        </is>
      </c>
      <c r="R605" t="n">
        <v>9007</v>
      </c>
      <c r="S605" t="inlineStr">
        <is>
          <t>2,12</t>
        </is>
      </c>
      <c r="U605" t="n">
        <v>0.1</v>
      </c>
      <c r="V605" t="n">
        <v>70001</v>
      </c>
      <c r="W605" t="n">
        <v>3</v>
      </c>
      <c r="X605" t="n">
        <v>1</v>
      </c>
      <c r="Y605" t="n">
        <v>70002</v>
      </c>
      <c r="Z605" t="n">
        <v>3</v>
      </c>
      <c r="AA605" t="n">
        <v>1</v>
      </c>
      <c r="AB605" t="n">
        <v>1001</v>
      </c>
      <c r="AC605" t="n">
        <v>50</v>
      </c>
      <c r="AD605" t="n">
        <v>1</v>
      </c>
      <c r="AE605" t="n">
        <v>8000</v>
      </c>
      <c r="AF605" t="n">
        <v>2120</v>
      </c>
      <c r="AG605" t="n">
        <v>1</v>
      </c>
    </row>
    <row r="606" ht="38.25" customHeight="1" s="142">
      <c r="A606" t="n">
        <v>1500</v>
      </c>
      <c r="B606" t="inlineStr">
        <is>
          <t>main</t>
        </is>
      </c>
      <c r="C606" t="n">
        <v>14</v>
      </c>
      <c r="D606" t="inlineStr">
        <is>
          <t>14-1</t>
        </is>
      </c>
      <c r="E606" t="n">
        <v>150</v>
      </c>
      <c r="G606" s="90" t="inlineStr">
        <is>
          <t>{role:-1},{state:-60018}
{id:-1},{id:-1},{id:-1},{id:-1},{id:-1}
{id:40060},{id:40056}</t>
        </is>
      </c>
      <c r="I606" t="n">
        <v>63720</v>
      </c>
      <c r="J606" s="80" t="inlineStr">
        <is>
          <t>亡靈低語</t>
        </is>
      </c>
      <c r="K606" t="inlineStr">
        <is>
          <t>buff</t>
        </is>
      </c>
      <c r="L606" t="n">
        <v>9006</v>
      </c>
      <c r="M606" t="n">
        <v>7</v>
      </c>
      <c r="O606" t="n">
        <v>0.7</v>
      </c>
      <c r="P606" s="80" t="inlineStr">
        <is>
          <t>黑暗籠罩</t>
        </is>
      </c>
      <c r="Q606" t="inlineStr">
        <is>
          <t>debuff</t>
        </is>
      </c>
      <c r="R606" t="n">
        <v>9007</v>
      </c>
      <c r="S606" t="inlineStr">
        <is>
          <t>10,11</t>
        </is>
      </c>
      <c r="U606" t="n">
        <v>0.5</v>
      </c>
      <c r="V606" t="n">
        <v>70001</v>
      </c>
      <c r="W606" t="n">
        <v>3</v>
      </c>
      <c r="X606" t="n">
        <v>1</v>
      </c>
      <c r="Y606" t="n">
        <v>70002</v>
      </c>
      <c r="Z606" t="n">
        <v>3</v>
      </c>
      <c r="AA606" t="n">
        <v>1</v>
      </c>
      <c r="AB606" t="n">
        <v>1001</v>
      </c>
      <c r="AC606" t="n">
        <v>50</v>
      </c>
      <c r="AD606" t="n">
        <v>1</v>
      </c>
      <c r="AE606" t="n">
        <v>8000</v>
      </c>
      <c r="AF606" t="n">
        <v>2120</v>
      </c>
      <c r="AG606" t="n">
        <v>1</v>
      </c>
    </row>
    <row r="607" ht="38.25" customHeight="1" s="142">
      <c r="A607" t="n">
        <v>1501</v>
      </c>
      <c r="B607" t="inlineStr">
        <is>
          <t>main</t>
        </is>
      </c>
      <c r="C607" t="n">
        <v>14</v>
      </c>
      <c r="D607" t="inlineStr">
        <is>
          <t>14-2</t>
        </is>
      </c>
      <c r="E607" t="n">
        <v>150</v>
      </c>
      <c r="G607" s="90" t="inlineStr">
        <is>
          <t>{role:-1},{state:-60018}
{id:-1},{id:-1},{id:-1},{id:-1},{id:-1}
{id:40060},{id:40085}</t>
        </is>
      </c>
      <c r="I607" t="n">
        <v>63845</v>
      </c>
      <c r="J607" s="80" t="inlineStr">
        <is>
          <t>亡靈低語</t>
        </is>
      </c>
      <c r="K607" t="inlineStr">
        <is>
          <t>buff</t>
        </is>
      </c>
      <c r="L607" t="n">
        <v>9007</v>
      </c>
      <c r="M607" t="inlineStr">
        <is>
          <t>7,8,10</t>
        </is>
      </c>
      <c r="O607" t="n">
        <v>0.9</v>
      </c>
      <c r="P607" s="80" t="inlineStr">
        <is>
          <t>黑暗籠罩</t>
        </is>
      </c>
      <c r="Q607" t="inlineStr">
        <is>
          <t>debuff</t>
        </is>
      </c>
      <c r="R607" t="n">
        <v>9012</v>
      </c>
      <c r="S607" t="n">
        <v>1</v>
      </c>
      <c r="U607" t="n">
        <v>0.8</v>
      </c>
      <c r="V607" t="n">
        <v>70001</v>
      </c>
      <c r="W607" t="n">
        <v>3</v>
      </c>
      <c r="X607" t="n">
        <v>1</v>
      </c>
      <c r="Y607" t="n">
        <v>70002</v>
      </c>
      <c r="Z607" t="n">
        <v>3</v>
      </c>
      <c r="AA607" t="n">
        <v>1</v>
      </c>
      <c r="AB607" t="n">
        <v>1001</v>
      </c>
      <c r="AC607" t="n">
        <v>50</v>
      </c>
      <c r="AD607" t="n">
        <v>1</v>
      </c>
      <c r="AE607" t="n">
        <v>8000</v>
      </c>
      <c r="AF607" t="n">
        <v>2130</v>
      </c>
      <c r="AG607" t="n">
        <v>1</v>
      </c>
    </row>
    <row r="608" ht="38.25" customHeight="1" s="142">
      <c r="A608" t="n">
        <v>1502</v>
      </c>
      <c r="B608" t="inlineStr">
        <is>
          <t>main</t>
        </is>
      </c>
      <c r="C608" t="n">
        <v>14</v>
      </c>
      <c r="D608" t="inlineStr">
        <is>
          <t>14-3</t>
        </is>
      </c>
      <c r="E608" t="n">
        <v>150</v>
      </c>
      <c r="G608" s="90" t="inlineStr">
        <is>
          <t>{role:-1},{state:-60018}
{id:-1},{id:-1},{id:-1},{id:-1},{id:-1}
{id:40066},{id:40066}</t>
        </is>
      </c>
      <c r="I608" t="n">
        <v>63970</v>
      </c>
      <c r="J608" s="80" t="inlineStr">
        <is>
          <t>亡靈低語</t>
        </is>
      </c>
      <c r="K608" t="inlineStr">
        <is>
          <t>buff</t>
        </is>
      </c>
      <c r="L608" t="n">
        <v>9005</v>
      </c>
      <c r="M608" t="inlineStr">
        <is>
          <t>6,9,12</t>
        </is>
      </c>
      <c r="O608" t="n">
        <v>0.9</v>
      </c>
      <c r="P608" s="80" t="inlineStr">
        <is>
          <t>黑暗籠罩</t>
        </is>
      </c>
      <c r="Q608" t="inlineStr">
        <is>
          <t>debuff</t>
        </is>
      </c>
      <c r="R608" t="n">
        <v>9007</v>
      </c>
      <c r="S608" t="n">
        <v>3</v>
      </c>
      <c r="U608" t="n">
        <v>0.1</v>
      </c>
      <c r="V608" t="n">
        <v>70001</v>
      </c>
      <c r="W608" t="n">
        <v>3</v>
      </c>
      <c r="X608" t="n">
        <v>1</v>
      </c>
      <c r="Y608" t="n">
        <v>70002</v>
      </c>
      <c r="Z608" t="n">
        <v>3</v>
      </c>
      <c r="AA608" t="n">
        <v>1</v>
      </c>
      <c r="AB608" t="n">
        <v>1001</v>
      </c>
      <c r="AC608" t="n">
        <v>50</v>
      </c>
      <c r="AD608" t="n">
        <v>1</v>
      </c>
      <c r="AE608" t="n">
        <v>8000</v>
      </c>
      <c r="AF608" t="n">
        <v>2130</v>
      </c>
      <c r="AG608" t="n">
        <v>1</v>
      </c>
    </row>
    <row r="609" ht="38.25" customHeight="1" s="142">
      <c r="A609" t="n">
        <v>1503</v>
      </c>
      <c r="B609" t="inlineStr">
        <is>
          <t>main</t>
        </is>
      </c>
      <c r="C609" t="n">
        <v>14</v>
      </c>
      <c r="D609" t="inlineStr">
        <is>
          <t>14-4</t>
        </is>
      </c>
      <c r="E609" t="n">
        <v>150</v>
      </c>
      <c r="G609" s="90" t="inlineStr">
        <is>
          <t>{role:-1},{state:-60018}
{id:-1},{id:-1},{id:-1},{id:-1},{id:-1}
{id:40067},{id:40085}</t>
        </is>
      </c>
      <c r="I609" t="n">
        <v>64095</v>
      </c>
      <c r="J609" s="80" t="inlineStr">
        <is>
          <t>亡靈低語</t>
        </is>
      </c>
      <c r="K609" t="inlineStr">
        <is>
          <t>buff</t>
        </is>
      </c>
      <c r="L609" t="n">
        <v>9012</v>
      </c>
      <c r="M609" t="inlineStr">
        <is>
          <t>1,2,7</t>
        </is>
      </c>
      <c r="O609" t="n">
        <v>0.9</v>
      </c>
      <c r="P609" s="80" t="inlineStr">
        <is>
          <t>黑暗籠罩</t>
        </is>
      </c>
      <c r="Q609" t="inlineStr">
        <is>
          <t>debuff</t>
        </is>
      </c>
      <c r="R609" t="n">
        <v>9007</v>
      </c>
      <c r="S609" t="inlineStr">
        <is>
          <t>9,13</t>
        </is>
      </c>
      <c r="U609" t="n">
        <v>0.3</v>
      </c>
      <c r="V609" t="n">
        <v>70001</v>
      </c>
      <c r="W609" t="n">
        <v>3</v>
      </c>
      <c r="X609" t="n">
        <v>1</v>
      </c>
      <c r="Y609" t="n">
        <v>70002</v>
      </c>
      <c r="Z609" t="n">
        <v>3</v>
      </c>
      <c r="AA609" t="n">
        <v>1</v>
      </c>
      <c r="AB609" t="n">
        <v>1001</v>
      </c>
      <c r="AC609" t="n">
        <v>50</v>
      </c>
      <c r="AD609" t="n">
        <v>1</v>
      </c>
      <c r="AE609" t="n">
        <v>8000</v>
      </c>
      <c r="AF609" t="n">
        <v>2140</v>
      </c>
      <c r="AG609" t="n">
        <v>1</v>
      </c>
    </row>
    <row r="610" ht="38.25" customHeight="1" s="142">
      <c r="A610" t="n">
        <v>1504</v>
      </c>
      <c r="B610" t="inlineStr">
        <is>
          <t>main</t>
        </is>
      </c>
      <c r="C610" t="n">
        <v>14</v>
      </c>
      <c r="D610" t="inlineStr">
        <is>
          <t>14-5</t>
        </is>
      </c>
      <c r="E610" t="n">
        <v>150</v>
      </c>
      <c r="G610" s="90" t="inlineStr">
        <is>
          <t>{role:-1},{state:-60018}
{id:-1},{id:-1},{id:-1},{id:-1},{id:-1}
{id:40060},{id:40066}</t>
        </is>
      </c>
      <c r="I610" t="n">
        <v>64220</v>
      </c>
      <c r="J610" s="80" t="inlineStr">
        <is>
          <t>亡靈低語</t>
        </is>
      </c>
      <c r="K610" t="inlineStr">
        <is>
          <t>buff</t>
        </is>
      </c>
      <c r="L610" t="n">
        <v>9012</v>
      </c>
      <c r="M610" t="n">
        <v>13</v>
      </c>
      <c r="O610" t="n">
        <v>0.6</v>
      </c>
      <c r="P610" s="80" t="inlineStr">
        <is>
          <t>黑暗籠罩</t>
        </is>
      </c>
      <c r="Q610" t="inlineStr">
        <is>
          <t>debuff</t>
        </is>
      </c>
      <c r="R610" t="n">
        <v>9011</v>
      </c>
      <c r="S610" t="n">
        <v>9</v>
      </c>
      <c r="U610" t="n">
        <v>0.2</v>
      </c>
      <c r="V610" t="n">
        <v>70001</v>
      </c>
      <c r="W610" t="n">
        <v>3</v>
      </c>
      <c r="X610" t="n">
        <v>1</v>
      </c>
      <c r="Y610" t="n">
        <v>70002</v>
      </c>
      <c r="Z610" t="n">
        <v>3</v>
      </c>
      <c r="AA610" t="n">
        <v>1</v>
      </c>
      <c r="AB610" t="n">
        <v>1001</v>
      </c>
      <c r="AC610" t="n">
        <v>50</v>
      </c>
      <c r="AD610" t="n">
        <v>1</v>
      </c>
      <c r="AE610" t="n">
        <v>8000</v>
      </c>
      <c r="AF610" t="n">
        <v>2140</v>
      </c>
      <c r="AG610" t="n">
        <v>1</v>
      </c>
    </row>
    <row r="611" ht="38.25" customHeight="1" s="142">
      <c r="A611" t="n">
        <v>1505</v>
      </c>
      <c r="B611" t="inlineStr">
        <is>
          <t>main</t>
        </is>
      </c>
      <c r="C611" t="n">
        <v>14</v>
      </c>
      <c r="D611" t="inlineStr">
        <is>
          <t>14-6</t>
        </is>
      </c>
      <c r="E611" t="n">
        <v>150</v>
      </c>
      <c r="G611" s="90" t="inlineStr">
        <is>
          <t>{role:-1},{state:-60018}
{id:-1},{id:-1},{id:-1},{id:-1},{id:-1}
{id:40056},{id:40085},{id:40085}</t>
        </is>
      </c>
      <c r="I611" t="n">
        <v>64345</v>
      </c>
      <c r="J611" s="80" t="inlineStr">
        <is>
          <t>亡靈低語</t>
        </is>
      </c>
      <c r="K611" t="inlineStr">
        <is>
          <t>buff</t>
        </is>
      </c>
      <c r="L611" t="n">
        <v>9002</v>
      </c>
      <c r="M611" t="n">
        <v>1</v>
      </c>
      <c r="O611" t="n">
        <v>0.9</v>
      </c>
      <c r="P611" s="80" t="inlineStr">
        <is>
          <t>黑暗籠罩</t>
        </is>
      </c>
      <c r="Q611" t="inlineStr">
        <is>
          <t>debuff</t>
        </is>
      </c>
      <c r="R611" t="n">
        <v>9008</v>
      </c>
      <c r="S611" t="inlineStr">
        <is>
          <t>8,11,13</t>
        </is>
      </c>
      <c r="U611" t="n">
        <v>0.8</v>
      </c>
      <c r="V611" t="n">
        <v>70001</v>
      </c>
      <c r="W611" t="n">
        <v>3</v>
      </c>
      <c r="X611" t="n">
        <v>1</v>
      </c>
      <c r="Y611" t="n">
        <v>70002</v>
      </c>
      <c r="Z611" t="n">
        <v>3</v>
      </c>
      <c r="AA611" t="n">
        <v>1</v>
      </c>
      <c r="AB611" t="n">
        <v>1001</v>
      </c>
      <c r="AC611" t="n">
        <v>50</v>
      </c>
      <c r="AD611" t="n">
        <v>1</v>
      </c>
      <c r="AE611" t="n">
        <v>8000</v>
      </c>
      <c r="AF611" t="n">
        <v>2150</v>
      </c>
      <c r="AG611" t="n">
        <v>1</v>
      </c>
    </row>
    <row r="612" ht="38.25" customHeight="1" s="142">
      <c r="A612" t="n">
        <v>1506</v>
      </c>
      <c r="B612" t="inlineStr">
        <is>
          <t>main</t>
        </is>
      </c>
      <c r="C612" t="n">
        <v>14</v>
      </c>
      <c r="D612" t="inlineStr">
        <is>
          <t>14-7</t>
        </is>
      </c>
      <c r="E612" t="n">
        <v>150</v>
      </c>
      <c r="G612" s="90" t="inlineStr">
        <is>
          <t>{role:-1},{state:-60018}
{id:-1},{id:-1},{id:-1},{id:-1},{id:-1}
{id:40066},{id:40060},{id:40056}</t>
        </is>
      </c>
      <c r="I612" t="n">
        <v>64470</v>
      </c>
      <c r="J612" s="80" t="inlineStr">
        <is>
          <t>亡靈低語</t>
        </is>
      </c>
      <c r="K612" t="inlineStr">
        <is>
          <t>buff</t>
        </is>
      </c>
      <c r="L612" t="n">
        <v>9007</v>
      </c>
      <c r="M612" t="inlineStr">
        <is>
          <t>3,10</t>
        </is>
      </c>
      <c r="O612" t="n">
        <v>0.2</v>
      </c>
      <c r="P612" s="80" t="inlineStr">
        <is>
          <t>黑暗籠罩</t>
        </is>
      </c>
      <c r="Q612" t="inlineStr">
        <is>
          <t>debuff</t>
        </is>
      </c>
      <c r="R612" t="n">
        <v>9003</v>
      </c>
      <c r="S612" t="inlineStr">
        <is>
          <t>1,11</t>
        </is>
      </c>
      <c r="U612" t="n">
        <v>0.8</v>
      </c>
      <c r="V612" t="n">
        <v>70001</v>
      </c>
      <c r="W612" t="n">
        <v>3</v>
      </c>
      <c r="X612" t="n">
        <v>1</v>
      </c>
      <c r="Y612" t="n">
        <v>70002</v>
      </c>
      <c r="Z612" t="n">
        <v>3</v>
      </c>
      <c r="AA612" t="n">
        <v>1</v>
      </c>
      <c r="AB612" t="n">
        <v>1001</v>
      </c>
      <c r="AC612" t="n">
        <v>50</v>
      </c>
      <c r="AD612" t="n">
        <v>1</v>
      </c>
      <c r="AE612" t="n">
        <v>8000</v>
      </c>
      <c r="AF612" t="n">
        <v>2150</v>
      </c>
      <c r="AG612" t="n">
        <v>1</v>
      </c>
    </row>
    <row r="613" ht="38.25" customHeight="1" s="142">
      <c r="A613" t="n">
        <v>1507</v>
      </c>
      <c r="B613" t="inlineStr">
        <is>
          <t>main</t>
        </is>
      </c>
      <c r="C613" t="n">
        <v>14</v>
      </c>
      <c r="D613" t="inlineStr">
        <is>
          <t>14-8</t>
        </is>
      </c>
      <c r="E613" t="n">
        <v>150</v>
      </c>
      <c r="G613" s="90" t="inlineStr">
        <is>
          <t>{role:-1},{state:-60018}
{id:-1},{id:-1},{id:-1},{id:-1},{id:-1}
{id:40056},{id:40060},{id:40067}</t>
        </is>
      </c>
      <c r="I613" t="n">
        <v>64595</v>
      </c>
      <c r="J613" s="80" t="inlineStr">
        <is>
          <t>亡靈低語</t>
        </is>
      </c>
      <c r="K613" t="inlineStr">
        <is>
          <t>buff</t>
        </is>
      </c>
      <c r="L613" t="n">
        <v>9001</v>
      </c>
      <c r="M613" t="inlineStr">
        <is>
          <t>1,9</t>
        </is>
      </c>
      <c r="O613" t="n">
        <v>0.6</v>
      </c>
      <c r="P613" s="80" t="inlineStr">
        <is>
          <t>黑暗籠罩</t>
        </is>
      </c>
      <c r="Q613" t="inlineStr">
        <is>
          <t>debuff</t>
        </is>
      </c>
      <c r="R613" t="n">
        <v>9011</v>
      </c>
      <c r="S613" t="n">
        <v>12</v>
      </c>
      <c r="U613" t="n">
        <v>0.7</v>
      </c>
      <c r="V613" t="n">
        <v>70001</v>
      </c>
      <c r="W613" t="n">
        <v>3</v>
      </c>
      <c r="X613" t="n">
        <v>1</v>
      </c>
      <c r="Y613" t="n">
        <v>70002</v>
      </c>
      <c r="Z613" t="n">
        <v>3</v>
      </c>
      <c r="AA613" t="n">
        <v>1</v>
      </c>
      <c r="AB613" t="n">
        <v>1001</v>
      </c>
      <c r="AC613" t="n">
        <v>50</v>
      </c>
      <c r="AD613" t="n">
        <v>1</v>
      </c>
      <c r="AE613" t="n">
        <v>8000</v>
      </c>
      <c r="AF613" t="n">
        <v>2160</v>
      </c>
      <c r="AG613" t="n">
        <v>1</v>
      </c>
    </row>
    <row r="614" ht="38.25" customHeight="1" s="142">
      <c r="A614" t="n">
        <v>1508</v>
      </c>
      <c r="B614" t="inlineStr">
        <is>
          <t>main</t>
        </is>
      </c>
      <c r="C614" t="n">
        <v>14</v>
      </c>
      <c r="D614" t="inlineStr">
        <is>
          <t>14-9</t>
        </is>
      </c>
      <c r="E614" t="n">
        <v>150</v>
      </c>
      <c r="G614" s="90" t="inlineStr">
        <is>
          <t>{role:-1},{state:-60018}
{id:-1},{id:-1},{id:-1},{id:-1},{id:-1}
{id:40056},{id:40066},{id:40060}</t>
        </is>
      </c>
      <c r="I614" t="n">
        <v>64720</v>
      </c>
      <c r="J614" s="80" t="inlineStr">
        <is>
          <t>亡靈低語</t>
        </is>
      </c>
      <c r="K614" t="inlineStr">
        <is>
          <t>buff</t>
        </is>
      </c>
      <c r="L614" t="n">
        <v>9011</v>
      </c>
      <c r="M614" t="inlineStr">
        <is>
          <t>2,4,6</t>
        </is>
      </c>
      <c r="O614" t="n">
        <v>0.6</v>
      </c>
      <c r="P614" s="80" t="inlineStr">
        <is>
          <t>黑暗籠罩</t>
        </is>
      </c>
      <c r="Q614" t="inlineStr">
        <is>
          <t>debuff</t>
        </is>
      </c>
      <c r="R614" t="n">
        <v>9004</v>
      </c>
      <c r="S614" t="n">
        <v>11</v>
      </c>
      <c r="U614" t="n">
        <v>0.1</v>
      </c>
      <c r="V614" t="n">
        <v>70001</v>
      </c>
      <c r="W614" t="n">
        <v>3</v>
      </c>
      <c r="X614" t="n">
        <v>1</v>
      </c>
      <c r="Y614" t="n">
        <v>70002</v>
      </c>
      <c r="Z614" t="n">
        <v>3</v>
      </c>
      <c r="AA614" t="n">
        <v>1</v>
      </c>
      <c r="AB614" t="n">
        <v>1001</v>
      </c>
      <c r="AC614" t="n">
        <v>50</v>
      </c>
      <c r="AD614" t="n">
        <v>1</v>
      </c>
      <c r="AE614" t="n">
        <v>8000</v>
      </c>
      <c r="AF614" t="n">
        <v>2170</v>
      </c>
      <c r="AG614" t="n">
        <v>1</v>
      </c>
    </row>
    <row r="615" ht="38.25" customHeight="1" s="142">
      <c r="A615" t="n">
        <v>1509</v>
      </c>
      <c r="B615" t="inlineStr">
        <is>
          <t>main</t>
        </is>
      </c>
      <c r="C615" t="n">
        <v>14</v>
      </c>
      <c r="D615" t="inlineStr">
        <is>
          <t>14-10</t>
        </is>
      </c>
      <c r="E615" t="n">
        <v>150</v>
      </c>
      <c r="G615" s="90" t="inlineStr">
        <is>
          <t>{role:-1},{state:-60018}
{id:-1},{id:-1},{id:-1},{id:-1},{id:-1}
{id:40056},{id:40085},{id:40085}</t>
        </is>
      </c>
      <c r="I615" t="n">
        <v>64845</v>
      </c>
      <c r="J615" s="80" t="inlineStr">
        <is>
          <t>亡靈低語</t>
        </is>
      </c>
      <c r="K615" t="inlineStr">
        <is>
          <t>buff</t>
        </is>
      </c>
      <c r="L615" t="n">
        <v>9012</v>
      </c>
      <c r="M615" t="n">
        <v>3</v>
      </c>
      <c r="O615" t="n">
        <v>0.3</v>
      </c>
      <c r="P615" s="80" t="inlineStr">
        <is>
          <t>黑暗籠罩</t>
        </is>
      </c>
      <c r="Q615" t="inlineStr">
        <is>
          <t>debuff</t>
        </is>
      </c>
      <c r="R615" t="n">
        <v>9004</v>
      </c>
      <c r="S615" t="inlineStr">
        <is>
          <t>3,5</t>
        </is>
      </c>
      <c r="U615" t="n">
        <v>0.4</v>
      </c>
      <c r="V615" t="n">
        <v>70001</v>
      </c>
      <c r="W615" t="n">
        <v>3</v>
      </c>
      <c r="X615" t="n">
        <v>1</v>
      </c>
      <c r="Y615" t="n">
        <v>70002</v>
      </c>
      <c r="Z615" t="n">
        <v>3</v>
      </c>
      <c r="AA615" t="n">
        <v>1</v>
      </c>
      <c r="AB615" t="n">
        <v>1001</v>
      </c>
      <c r="AC615" t="n">
        <v>50</v>
      </c>
      <c r="AD615" t="n">
        <v>1</v>
      </c>
      <c r="AE615" t="n">
        <v>8000</v>
      </c>
      <c r="AF615" t="n">
        <v>2170</v>
      </c>
      <c r="AG615" t="n">
        <v>1</v>
      </c>
    </row>
    <row r="616" ht="38.25" customHeight="1" s="142">
      <c r="A616" t="n">
        <v>1510</v>
      </c>
      <c r="B616" t="inlineStr">
        <is>
          <t>main</t>
        </is>
      </c>
      <c r="C616" t="n">
        <v>14</v>
      </c>
      <c r="D616" t="inlineStr">
        <is>
          <t>14-11</t>
        </is>
      </c>
      <c r="E616" t="n">
        <v>150</v>
      </c>
      <c r="G616" s="90" t="inlineStr">
        <is>
          <t>{role:-1},{state:-60018}
{id:-1},{id:-1},{id:-1},{id:-1},{id:-1}
{id:40066},{id:40085},{id:40066}</t>
        </is>
      </c>
      <c r="I616" t="n">
        <v>64970</v>
      </c>
      <c r="J616" s="80" t="inlineStr">
        <is>
          <t>亡靈低語</t>
        </is>
      </c>
      <c r="K616" t="inlineStr">
        <is>
          <t>buff</t>
        </is>
      </c>
      <c r="L616" t="n">
        <v>9006</v>
      </c>
      <c r="M616" t="inlineStr">
        <is>
          <t>4,7,12</t>
        </is>
      </c>
      <c r="O616" t="n">
        <v>0.3</v>
      </c>
      <c r="P616" s="80" t="inlineStr">
        <is>
          <t>黑暗籠罩</t>
        </is>
      </c>
      <c r="Q616" t="inlineStr">
        <is>
          <t>debuff</t>
        </is>
      </c>
      <c r="R616" t="n">
        <v>9008</v>
      </c>
      <c r="S616" t="n">
        <v>5</v>
      </c>
      <c r="U616" t="n">
        <v>0.8</v>
      </c>
      <c r="V616" t="n">
        <v>70001</v>
      </c>
      <c r="W616" t="n">
        <v>3</v>
      </c>
      <c r="X616" t="n">
        <v>1</v>
      </c>
      <c r="Y616" t="n">
        <v>70002</v>
      </c>
      <c r="Z616" t="n">
        <v>3</v>
      </c>
      <c r="AA616" t="n">
        <v>1</v>
      </c>
      <c r="AB616" t="n">
        <v>1001</v>
      </c>
      <c r="AC616" t="n">
        <v>50</v>
      </c>
      <c r="AD616" t="n">
        <v>1</v>
      </c>
      <c r="AE616" t="n">
        <v>8000</v>
      </c>
      <c r="AF616" t="n">
        <v>2180</v>
      </c>
      <c r="AG616" t="n">
        <v>1</v>
      </c>
    </row>
    <row r="617" ht="38.25" customHeight="1" s="142">
      <c r="A617" t="n">
        <v>1511</v>
      </c>
      <c r="B617" t="inlineStr">
        <is>
          <t>main</t>
        </is>
      </c>
      <c r="C617" t="n">
        <v>14</v>
      </c>
      <c r="D617" t="inlineStr">
        <is>
          <t>14-12</t>
        </is>
      </c>
      <c r="E617" t="n">
        <v>150</v>
      </c>
      <c r="G617" s="90" t="inlineStr">
        <is>
          <t>{role:-1},{state:-60018}
{id:-1},{id:-1},{id:-1},{id:-1},{id:-1}
{id:40066},{id:40067},{id:40056}</t>
        </is>
      </c>
      <c r="I617" t="n">
        <v>65095</v>
      </c>
      <c r="J617" s="80" t="inlineStr">
        <is>
          <t>亡靈低語</t>
        </is>
      </c>
      <c r="K617" t="inlineStr">
        <is>
          <t>buff</t>
        </is>
      </c>
      <c r="L617" t="n">
        <v>9011</v>
      </c>
      <c r="M617" t="n">
        <v>8</v>
      </c>
      <c r="O617" t="n">
        <v>0.3</v>
      </c>
      <c r="P617" s="80" t="inlineStr">
        <is>
          <t>黑暗籠罩</t>
        </is>
      </c>
      <c r="Q617" t="inlineStr">
        <is>
          <t>debuff</t>
        </is>
      </c>
      <c r="R617" t="n">
        <v>9008</v>
      </c>
      <c r="S617" t="inlineStr">
        <is>
          <t>2,8,9</t>
        </is>
      </c>
      <c r="U617" t="n">
        <v>1</v>
      </c>
      <c r="V617" t="n">
        <v>70001</v>
      </c>
      <c r="W617" t="n">
        <v>3</v>
      </c>
      <c r="X617" t="n">
        <v>1</v>
      </c>
      <c r="Y617" t="n">
        <v>70002</v>
      </c>
      <c r="Z617" t="n">
        <v>3</v>
      </c>
      <c r="AA617" t="n">
        <v>1</v>
      </c>
      <c r="AB617" t="n">
        <v>1001</v>
      </c>
      <c r="AC617" t="n">
        <v>50</v>
      </c>
      <c r="AD617" t="n">
        <v>1</v>
      </c>
      <c r="AE617" t="n">
        <v>8000</v>
      </c>
      <c r="AF617" t="n">
        <v>2180</v>
      </c>
      <c r="AG617" t="n">
        <v>1</v>
      </c>
    </row>
    <row r="618" ht="38.25" customHeight="1" s="142">
      <c r="A618" t="n">
        <v>1512</v>
      </c>
      <c r="B618" t="inlineStr">
        <is>
          <t>main</t>
        </is>
      </c>
      <c r="C618" t="n">
        <v>14</v>
      </c>
      <c r="D618" t="inlineStr">
        <is>
          <t>14-13</t>
        </is>
      </c>
      <c r="E618" t="n">
        <v>150</v>
      </c>
      <c r="G618" s="90" t="inlineStr">
        <is>
          <t>{role:-1},{state:-60018}
{id:-1},{id:-1},{id:-1},{id:-1},{id:-1}
{id:40060},{id:40085},{id:40066}</t>
        </is>
      </c>
      <c r="I618" t="n">
        <v>65220</v>
      </c>
      <c r="J618" s="80" t="inlineStr">
        <is>
          <t>亡靈低語</t>
        </is>
      </c>
      <c r="K618" t="inlineStr">
        <is>
          <t>buff</t>
        </is>
      </c>
      <c r="L618" t="n">
        <v>9001</v>
      </c>
      <c r="M618" t="inlineStr">
        <is>
          <t>4,11</t>
        </is>
      </c>
      <c r="O618" t="n">
        <v>0.5</v>
      </c>
      <c r="P618" s="80" t="inlineStr">
        <is>
          <t>黑暗籠罩</t>
        </is>
      </c>
      <c r="Q618" t="inlineStr">
        <is>
          <t>debuff</t>
        </is>
      </c>
      <c r="R618" t="n">
        <v>9004</v>
      </c>
      <c r="S618" t="n">
        <v>13</v>
      </c>
      <c r="U618" t="n">
        <v>0.1</v>
      </c>
      <c r="V618" t="n">
        <v>70001</v>
      </c>
      <c r="W618" t="n">
        <v>3</v>
      </c>
      <c r="X618" t="n">
        <v>1</v>
      </c>
      <c r="Y618" t="n">
        <v>70002</v>
      </c>
      <c r="Z618" t="n">
        <v>3</v>
      </c>
      <c r="AA618" t="n">
        <v>1</v>
      </c>
      <c r="AB618" t="n">
        <v>1001</v>
      </c>
      <c r="AC618" t="n">
        <v>50</v>
      </c>
      <c r="AD618" t="n">
        <v>1</v>
      </c>
      <c r="AE618" t="n">
        <v>8000</v>
      </c>
      <c r="AF618" t="n">
        <v>2190</v>
      </c>
      <c r="AG618" t="n">
        <v>1</v>
      </c>
    </row>
    <row r="619" ht="38.25" customHeight="1" s="142">
      <c r="A619" t="n">
        <v>1513</v>
      </c>
      <c r="B619" t="inlineStr">
        <is>
          <t>main</t>
        </is>
      </c>
      <c r="C619" t="n">
        <v>14</v>
      </c>
      <c r="D619" t="inlineStr">
        <is>
          <t>14-14</t>
        </is>
      </c>
      <c r="E619" t="n">
        <v>150</v>
      </c>
      <c r="G619" s="90" t="inlineStr">
        <is>
          <t>{role:-1},{state:-60018}
{id:-1},{id:-1},{id:-1},{id:-1},{id:-1}
{id:40056},{id:40085},{id:40056}</t>
        </is>
      </c>
      <c r="I619" t="n">
        <v>65345</v>
      </c>
      <c r="J619" s="80" t="inlineStr">
        <is>
          <t>亡靈低語</t>
        </is>
      </c>
      <c r="K619" t="inlineStr">
        <is>
          <t>buff</t>
        </is>
      </c>
      <c r="L619" t="n">
        <v>9007</v>
      </c>
      <c r="M619" t="inlineStr">
        <is>
          <t>3,10,11</t>
        </is>
      </c>
      <c r="O619" t="n">
        <v>0.5</v>
      </c>
      <c r="P619" s="80" t="inlineStr">
        <is>
          <t>黑暗籠罩</t>
        </is>
      </c>
      <c r="Q619" t="inlineStr">
        <is>
          <t>debuff</t>
        </is>
      </c>
      <c r="R619" t="n">
        <v>9007</v>
      </c>
      <c r="S619" t="n">
        <v>2</v>
      </c>
      <c r="U619" t="n">
        <v>0.5</v>
      </c>
      <c r="V619" t="n">
        <v>70001</v>
      </c>
      <c r="W619" t="n">
        <v>3</v>
      </c>
      <c r="X619" t="n">
        <v>1</v>
      </c>
      <c r="Y619" t="n">
        <v>70002</v>
      </c>
      <c r="Z619" t="n">
        <v>3</v>
      </c>
      <c r="AA619" t="n">
        <v>1</v>
      </c>
      <c r="AB619" t="n">
        <v>1001</v>
      </c>
      <c r="AC619" t="n">
        <v>50</v>
      </c>
      <c r="AD619" t="n">
        <v>1</v>
      </c>
      <c r="AE619" t="n">
        <v>8000</v>
      </c>
      <c r="AF619" t="n">
        <v>2190</v>
      </c>
      <c r="AG619" t="n">
        <v>1</v>
      </c>
    </row>
    <row r="620" ht="38.25" customHeight="1" s="142">
      <c r="A620" t="n">
        <v>1514</v>
      </c>
      <c r="B620" t="inlineStr">
        <is>
          <t>main</t>
        </is>
      </c>
      <c r="C620" t="n">
        <v>14</v>
      </c>
      <c r="D620" t="inlineStr">
        <is>
          <t>14-15</t>
        </is>
      </c>
      <c r="E620" t="n">
        <v>150</v>
      </c>
      <c r="G620" s="90" t="inlineStr">
        <is>
          <t>{role:-1},{state:-60018}
{id:-1},{id:-1},{id:-1},{id:-1},{id:-1}
{id:40066},{id:40067},{id:40067}</t>
        </is>
      </c>
      <c r="I620" t="n">
        <v>65470</v>
      </c>
      <c r="J620" s="80" t="inlineStr">
        <is>
          <t>亡靈低語</t>
        </is>
      </c>
      <c r="K620" t="inlineStr">
        <is>
          <t>buff</t>
        </is>
      </c>
      <c r="L620" t="n">
        <v>9001</v>
      </c>
      <c r="M620" t="inlineStr">
        <is>
          <t>2,9,10</t>
        </is>
      </c>
      <c r="O620" t="n">
        <v>0.2</v>
      </c>
      <c r="P620" s="80" t="inlineStr">
        <is>
          <t>黑暗籠罩</t>
        </is>
      </c>
      <c r="Q620" t="inlineStr">
        <is>
          <t>debuff</t>
        </is>
      </c>
      <c r="R620" t="n">
        <v>9007</v>
      </c>
      <c r="S620" t="n">
        <v>7</v>
      </c>
      <c r="U620" t="n">
        <v>0.7</v>
      </c>
      <c r="V620" t="n">
        <v>70001</v>
      </c>
      <c r="W620" t="n">
        <v>3</v>
      </c>
      <c r="X620" t="n">
        <v>1</v>
      </c>
      <c r="Y620" t="n">
        <v>70002</v>
      </c>
      <c r="Z620" t="n">
        <v>3</v>
      </c>
      <c r="AA620" t="n">
        <v>1</v>
      </c>
      <c r="AB620" t="n">
        <v>1001</v>
      </c>
      <c r="AC620" t="n">
        <v>50</v>
      </c>
      <c r="AD620" t="n">
        <v>1</v>
      </c>
      <c r="AE620" t="n">
        <v>8000</v>
      </c>
      <c r="AF620" t="n">
        <v>2200</v>
      </c>
      <c r="AG620" t="n">
        <v>1</v>
      </c>
    </row>
    <row r="621" ht="38.25" customHeight="1" s="142">
      <c r="A621" t="n">
        <v>1515</v>
      </c>
      <c r="B621" t="inlineStr">
        <is>
          <t>main</t>
        </is>
      </c>
      <c r="C621" t="n">
        <v>14</v>
      </c>
      <c r="D621" t="inlineStr">
        <is>
          <t>14-16</t>
        </is>
      </c>
      <c r="E621" t="n">
        <v>150</v>
      </c>
      <c r="G621" s="90" t="inlineStr">
        <is>
          <t>{role:-1},{state:-60018}
{id:-1},{id:-1},{id:-1},{id:-1},{id:-1}
{id:40067},{id:40066},{id:40056},{id:40067}</t>
        </is>
      </c>
      <c r="I621" t="n">
        <v>65595</v>
      </c>
      <c r="J621" s="80" t="inlineStr">
        <is>
          <t>亡靈低語</t>
        </is>
      </c>
      <c r="K621" t="inlineStr">
        <is>
          <t>buff</t>
        </is>
      </c>
      <c r="L621" t="n">
        <v>9011</v>
      </c>
      <c r="M621" t="n">
        <v>3</v>
      </c>
      <c r="O621" t="n">
        <v>0.5</v>
      </c>
      <c r="P621" s="80" t="inlineStr">
        <is>
          <t>黑暗籠罩</t>
        </is>
      </c>
      <c r="Q621" t="inlineStr">
        <is>
          <t>debuff</t>
        </is>
      </c>
      <c r="R621" t="n">
        <v>9008</v>
      </c>
      <c r="S621" t="inlineStr">
        <is>
          <t>6,9</t>
        </is>
      </c>
      <c r="U621" t="n">
        <v>0.4</v>
      </c>
      <c r="V621" t="n">
        <v>70001</v>
      </c>
      <c r="W621" t="n">
        <v>3</v>
      </c>
      <c r="X621" t="n">
        <v>1</v>
      </c>
      <c r="Y621" t="n">
        <v>70002</v>
      </c>
      <c r="Z621" t="n">
        <v>3</v>
      </c>
      <c r="AA621" t="n">
        <v>1</v>
      </c>
      <c r="AB621" t="n">
        <v>1001</v>
      </c>
      <c r="AC621" t="n">
        <v>50</v>
      </c>
      <c r="AD621" t="n">
        <v>1</v>
      </c>
      <c r="AE621" t="n">
        <v>8000</v>
      </c>
      <c r="AF621" t="n">
        <v>2200</v>
      </c>
      <c r="AG621" t="n">
        <v>1</v>
      </c>
    </row>
    <row r="622" ht="38.25" customHeight="1" s="142">
      <c r="A622" t="n">
        <v>1516</v>
      </c>
      <c r="B622" t="inlineStr">
        <is>
          <t>main</t>
        </is>
      </c>
      <c r="C622" t="n">
        <v>14</v>
      </c>
      <c r="D622" t="inlineStr">
        <is>
          <t>14-17</t>
        </is>
      </c>
      <c r="E622" t="n">
        <v>150</v>
      </c>
      <c r="G622" s="90" t="inlineStr">
        <is>
          <t>{role:-1},{state:-60018}
{id:-1},{id:-1},{id:-1},{id:-1},{id:-1}
{id:40056},{id:40085},{id:40085},{id:40060}</t>
        </is>
      </c>
      <c r="I622" t="n">
        <v>65720</v>
      </c>
      <c r="J622" s="80" t="inlineStr">
        <is>
          <t>亡靈低語</t>
        </is>
      </c>
      <c r="K622" t="inlineStr">
        <is>
          <t>buff</t>
        </is>
      </c>
      <c r="L622" t="n">
        <v>9011</v>
      </c>
      <c r="M622" t="inlineStr">
        <is>
          <t>2,4,11</t>
        </is>
      </c>
      <c r="O622" t="n">
        <v>0.2</v>
      </c>
      <c r="P622" s="80" t="inlineStr">
        <is>
          <t>黑暗籠罩</t>
        </is>
      </c>
      <c r="Q622" t="inlineStr">
        <is>
          <t>debuff</t>
        </is>
      </c>
      <c r="R622" t="n">
        <v>9003</v>
      </c>
      <c r="S622" t="inlineStr">
        <is>
          <t>5,6</t>
        </is>
      </c>
      <c r="U622" t="n">
        <v>0.4</v>
      </c>
      <c r="V622" t="n">
        <v>70001</v>
      </c>
      <c r="W622" t="n">
        <v>3</v>
      </c>
      <c r="X622" t="n">
        <v>1</v>
      </c>
      <c r="Y622" t="n">
        <v>70002</v>
      </c>
      <c r="Z622" t="n">
        <v>3</v>
      </c>
      <c r="AA622" t="n">
        <v>1</v>
      </c>
      <c r="AB622" t="n">
        <v>1001</v>
      </c>
      <c r="AC622" t="n">
        <v>50</v>
      </c>
      <c r="AD622" t="n">
        <v>1</v>
      </c>
      <c r="AE622" t="n">
        <v>8000</v>
      </c>
      <c r="AF622" t="n">
        <v>2210</v>
      </c>
      <c r="AG622" t="n">
        <v>1</v>
      </c>
    </row>
    <row r="623" ht="38.25" customHeight="1" s="142">
      <c r="A623" t="n">
        <v>1517</v>
      </c>
      <c r="B623" t="inlineStr">
        <is>
          <t>main</t>
        </is>
      </c>
      <c r="C623" t="n">
        <v>14</v>
      </c>
      <c r="D623" t="inlineStr">
        <is>
          <t>14-18</t>
        </is>
      </c>
      <c r="E623" t="n">
        <v>150</v>
      </c>
      <c r="G623" s="90" t="inlineStr">
        <is>
          <t>{role:-1},{state:-60018}
{id:-1},{id:-1},{id:-1},{id:-1},{id:-1}
{id:40056},{id:40060},{id:40085},{id:40085}</t>
        </is>
      </c>
      <c r="I623" t="n">
        <v>65845</v>
      </c>
      <c r="J623" s="80" t="inlineStr">
        <is>
          <t>亡靈低語</t>
        </is>
      </c>
      <c r="K623" t="inlineStr">
        <is>
          <t>buff</t>
        </is>
      </c>
      <c r="L623" t="n">
        <v>9011</v>
      </c>
      <c r="M623" t="inlineStr">
        <is>
          <t>9,10,13</t>
        </is>
      </c>
      <c r="O623" t="n">
        <v>0.2</v>
      </c>
      <c r="P623" s="80" t="inlineStr">
        <is>
          <t>黑暗籠罩</t>
        </is>
      </c>
      <c r="Q623" t="inlineStr">
        <is>
          <t>debuff</t>
        </is>
      </c>
      <c r="R623" t="n">
        <v>9010</v>
      </c>
      <c r="S623" t="n">
        <v>8</v>
      </c>
      <c r="U623" t="n">
        <v>1</v>
      </c>
      <c r="V623" t="n">
        <v>70001</v>
      </c>
      <c r="W623" t="n">
        <v>3</v>
      </c>
      <c r="X623" t="n">
        <v>1</v>
      </c>
      <c r="Y623" t="n">
        <v>70002</v>
      </c>
      <c r="Z623" t="n">
        <v>3</v>
      </c>
      <c r="AA623" t="n">
        <v>1</v>
      </c>
      <c r="AB623" t="n">
        <v>1001</v>
      </c>
      <c r="AC623" t="n">
        <v>50</v>
      </c>
      <c r="AD623" t="n">
        <v>1</v>
      </c>
      <c r="AE623" t="n">
        <v>8000</v>
      </c>
      <c r="AF623" t="n">
        <v>2220</v>
      </c>
      <c r="AG623" t="n">
        <v>1</v>
      </c>
    </row>
    <row r="624" ht="38.25" customHeight="1" s="142">
      <c r="A624" t="n">
        <v>1518</v>
      </c>
      <c r="B624" t="inlineStr">
        <is>
          <t>main</t>
        </is>
      </c>
      <c r="C624" t="n">
        <v>14</v>
      </c>
      <c r="D624" t="inlineStr">
        <is>
          <t>14-19</t>
        </is>
      </c>
      <c r="E624" t="n">
        <v>150</v>
      </c>
      <c r="G624" s="90" t="inlineStr">
        <is>
          <t>{role:-1},{state:-60018}
{id:-1},{id:-1},{id:-1},{id:-1},{id:-1}
{id:40067},{id:40067},{id:40067},{id:40056}</t>
        </is>
      </c>
      <c r="I624" t="n">
        <v>65970</v>
      </c>
      <c r="J624" s="80" t="inlineStr">
        <is>
          <t>亡靈低語</t>
        </is>
      </c>
      <c r="K624" t="inlineStr">
        <is>
          <t>buff</t>
        </is>
      </c>
      <c r="L624" t="n">
        <v>9008</v>
      </c>
      <c r="M624" t="n">
        <v>6</v>
      </c>
      <c r="O624" t="n">
        <v>0.1</v>
      </c>
      <c r="P624" s="80" t="inlineStr">
        <is>
          <t>黑暗籠罩</t>
        </is>
      </c>
      <c r="Q624" t="inlineStr">
        <is>
          <t>debuff</t>
        </is>
      </c>
      <c r="R624" t="n">
        <v>9008</v>
      </c>
      <c r="S624" t="inlineStr">
        <is>
          <t>1,9</t>
        </is>
      </c>
      <c r="U624" t="n">
        <v>0.5</v>
      </c>
      <c r="V624" t="n">
        <v>70001</v>
      </c>
      <c r="W624" t="n">
        <v>3</v>
      </c>
      <c r="X624" t="n">
        <v>1</v>
      </c>
      <c r="Y624" t="n">
        <v>70002</v>
      </c>
      <c r="Z624" t="n">
        <v>3</v>
      </c>
      <c r="AA624" t="n">
        <v>1</v>
      </c>
      <c r="AB624" t="n">
        <v>1001</v>
      </c>
      <c r="AC624" t="n">
        <v>50</v>
      </c>
      <c r="AD624" t="n">
        <v>1</v>
      </c>
      <c r="AE624" t="n">
        <v>8000</v>
      </c>
      <c r="AF624" t="n">
        <v>2220</v>
      </c>
      <c r="AG624" t="n">
        <v>1</v>
      </c>
    </row>
    <row r="625" ht="38.25" customHeight="1" s="142">
      <c r="A625" t="n">
        <v>1519</v>
      </c>
      <c r="B625" t="inlineStr">
        <is>
          <t>main</t>
        </is>
      </c>
      <c r="C625" t="n">
        <v>14</v>
      </c>
      <c r="D625" t="inlineStr">
        <is>
          <t>14-20</t>
        </is>
      </c>
      <c r="E625" t="n">
        <v>150</v>
      </c>
      <c r="G625" s="90" t="inlineStr">
        <is>
          <t>{role:-1},{state:-60018}
{id:-1},{id:-1},{id:-1},{id:-1},{id:-1}
{id:40056},{id:40085},{id:40056},{id:40060}</t>
        </is>
      </c>
      <c r="I625" t="n">
        <v>66095</v>
      </c>
      <c r="J625" s="80" t="inlineStr">
        <is>
          <t>亡靈低語</t>
        </is>
      </c>
      <c r="K625" t="inlineStr">
        <is>
          <t>buff</t>
        </is>
      </c>
      <c r="L625" t="n">
        <v>9005</v>
      </c>
      <c r="M625" t="inlineStr">
        <is>
          <t>2,5,11</t>
        </is>
      </c>
      <c r="O625" t="n">
        <v>0.7</v>
      </c>
      <c r="P625" s="80" t="inlineStr">
        <is>
          <t>黑暗籠罩</t>
        </is>
      </c>
      <c r="Q625" t="inlineStr">
        <is>
          <t>debuff</t>
        </is>
      </c>
      <c r="R625" t="n">
        <v>9012</v>
      </c>
      <c r="S625" t="inlineStr">
        <is>
          <t>2,3</t>
        </is>
      </c>
      <c r="U625" t="n">
        <v>0.9</v>
      </c>
      <c r="V625" t="n">
        <v>70001</v>
      </c>
      <c r="W625" t="n">
        <v>3</v>
      </c>
      <c r="X625" t="n">
        <v>1</v>
      </c>
      <c r="Y625" t="n">
        <v>70002</v>
      </c>
      <c r="Z625" t="n">
        <v>3</v>
      </c>
      <c r="AA625" t="n">
        <v>1</v>
      </c>
      <c r="AB625" t="n">
        <v>1001</v>
      </c>
      <c r="AC625" t="n">
        <v>50</v>
      </c>
      <c r="AD625" t="n">
        <v>1</v>
      </c>
      <c r="AE625" t="n">
        <v>8000</v>
      </c>
      <c r="AF625" t="n">
        <v>2230</v>
      </c>
      <c r="AG625" t="n">
        <v>1</v>
      </c>
    </row>
    <row r="626" ht="38.25" customHeight="1" s="142">
      <c r="A626" t="n">
        <v>1520</v>
      </c>
      <c r="B626" t="inlineStr">
        <is>
          <t>main</t>
        </is>
      </c>
      <c r="C626" t="n">
        <v>14</v>
      </c>
      <c r="D626" t="inlineStr">
        <is>
          <t>14-21</t>
        </is>
      </c>
      <c r="E626" t="n">
        <v>150</v>
      </c>
      <c r="G626" s="90" t="inlineStr">
        <is>
          <t>{role:-1},{state:-60018}
{id:-1},{id:-1},{id:-1},{id:-1},{id:-1}
{id:40085},{id:40056},{id:40085},{id:40060},{id:40060}</t>
        </is>
      </c>
      <c r="I626" t="n">
        <v>66220</v>
      </c>
      <c r="J626" s="80" t="inlineStr">
        <is>
          <t>亡靈低語</t>
        </is>
      </c>
      <c r="K626" t="inlineStr">
        <is>
          <t>buff</t>
        </is>
      </c>
      <c r="L626" t="n">
        <v>9012</v>
      </c>
      <c r="M626" t="inlineStr">
        <is>
          <t>1,4,6</t>
        </is>
      </c>
      <c r="O626" t="n">
        <v>0.4</v>
      </c>
      <c r="P626" s="80" t="inlineStr">
        <is>
          <t>黑暗籠罩</t>
        </is>
      </c>
      <c r="Q626" t="inlineStr">
        <is>
          <t>debuff</t>
        </is>
      </c>
      <c r="R626" t="n">
        <v>9010</v>
      </c>
      <c r="S626" t="inlineStr">
        <is>
          <t>2,8</t>
        </is>
      </c>
      <c r="U626" t="n">
        <v>0.3</v>
      </c>
      <c r="V626" t="n">
        <v>70001</v>
      </c>
      <c r="W626" t="n">
        <v>3</v>
      </c>
      <c r="X626" t="n">
        <v>1</v>
      </c>
      <c r="Y626" t="n">
        <v>70002</v>
      </c>
      <c r="Z626" t="n">
        <v>3</v>
      </c>
      <c r="AA626" t="n">
        <v>1</v>
      </c>
      <c r="AB626" t="n">
        <v>1001</v>
      </c>
      <c r="AC626" t="n">
        <v>50</v>
      </c>
      <c r="AD626" t="n">
        <v>1</v>
      </c>
      <c r="AE626" t="n">
        <v>8000</v>
      </c>
      <c r="AF626" t="n">
        <v>2230</v>
      </c>
      <c r="AG626" t="n">
        <v>1</v>
      </c>
    </row>
    <row r="627" ht="38.25" customHeight="1" s="142">
      <c r="A627" t="n">
        <v>1521</v>
      </c>
      <c r="B627" t="inlineStr">
        <is>
          <t>main</t>
        </is>
      </c>
      <c r="C627" t="n">
        <v>14</v>
      </c>
      <c r="D627" t="inlineStr">
        <is>
          <t>14-22</t>
        </is>
      </c>
      <c r="E627" t="n">
        <v>150</v>
      </c>
      <c r="G627" s="90" t="inlineStr">
        <is>
          <t>{role:-1},{state:-60018}
{id:-1},{id:-1},{id:-1},{id:-1},{id:-1}
{id:40085},{id:40066},{id:40067},{id:40060},{id:40060}</t>
        </is>
      </c>
      <c r="I627" t="n">
        <v>66345</v>
      </c>
      <c r="J627" s="80" t="inlineStr">
        <is>
          <t>亡靈低語</t>
        </is>
      </c>
      <c r="K627" t="inlineStr">
        <is>
          <t>buff</t>
        </is>
      </c>
      <c r="L627" t="n">
        <v>9006</v>
      </c>
      <c r="M627" t="inlineStr">
        <is>
          <t>3,5,13</t>
        </is>
      </c>
      <c r="O627" t="n">
        <v>0.3</v>
      </c>
      <c r="P627" s="80" t="inlineStr">
        <is>
          <t>黑暗籠罩</t>
        </is>
      </c>
      <c r="Q627" t="inlineStr">
        <is>
          <t>debuff</t>
        </is>
      </c>
      <c r="R627" t="n">
        <v>9010</v>
      </c>
      <c r="S627" t="inlineStr">
        <is>
          <t>3,8,13</t>
        </is>
      </c>
      <c r="U627" t="n">
        <v>0.7</v>
      </c>
      <c r="V627" t="n">
        <v>70001</v>
      </c>
      <c r="W627" t="n">
        <v>3</v>
      </c>
      <c r="X627" t="n">
        <v>1</v>
      </c>
      <c r="Y627" t="n">
        <v>70002</v>
      </c>
      <c r="Z627" t="n">
        <v>3</v>
      </c>
      <c r="AA627" t="n">
        <v>1</v>
      </c>
      <c r="AB627" t="n">
        <v>1001</v>
      </c>
      <c r="AC627" t="n">
        <v>50</v>
      </c>
      <c r="AD627" t="n">
        <v>1</v>
      </c>
      <c r="AE627" t="n">
        <v>8000</v>
      </c>
      <c r="AF627" t="n">
        <v>2240</v>
      </c>
      <c r="AG627" t="n">
        <v>1</v>
      </c>
    </row>
    <row r="628" ht="38.25" customHeight="1" s="142">
      <c r="A628" t="n">
        <v>1522</v>
      </c>
      <c r="B628" t="inlineStr">
        <is>
          <t>main</t>
        </is>
      </c>
      <c r="C628" t="n">
        <v>14</v>
      </c>
      <c r="D628" t="inlineStr">
        <is>
          <t>14-23</t>
        </is>
      </c>
      <c r="E628" t="n">
        <v>150</v>
      </c>
      <c r="G628" s="90" t="inlineStr">
        <is>
          <t>{role:-1},{state:-60018}
{id:-1},{id:-1},{id:-1},{id:-1},{id:-1}
{id:40067},{id:40066},{id:40067},{id:40060},{id:40066}</t>
        </is>
      </c>
      <c r="I628" t="n">
        <v>66470</v>
      </c>
      <c r="J628" s="80" t="inlineStr">
        <is>
          <t>亡靈低語</t>
        </is>
      </c>
      <c r="K628" t="inlineStr">
        <is>
          <t>buff</t>
        </is>
      </c>
      <c r="L628" t="n">
        <v>9005</v>
      </c>
      <c r="M628" t="n">
        <v>12</v>
      </c>
      <c r="O628" t="n">
        <v>0.9</v>
      </c>
      <c r="P628" s="80" t="inlineStr">
        <is>
          <t>黑暗籠罩</t>
        </is>
      </c>
      <c r="Q628" t="inlineStr">
        <is>
          <t>debuff</t>
        </is>
      </c>
      <c r="R628" t="n">
        <v>9007</v>
      </c>
      <c r="S628" t="inlineStr">
        <is>
          <t>2,3,9</t>
        </is>
      </c>
      <c r="U628" t="n">
        <v>0.6</v>
      </c>
      <c r="V628" t="n">
        <v>70001</v>
      </c>
      <c r="W628" t="n">
        <v>3</v>
      </c>
      <c r="X628" t="n">
        <v>1</v>
      </c>
      <c r="Y628" t="n">
        <v>70002</v>
      </c>
      <c r="Z628" t="n">
        <v>3</v>
      </c>
      <c r="AA628" t="n">
        <v>1</v>
      </c>
      <c r="AB628" t="n">
        <v>1001</v>
      </c>
      <c r="AC628" t="n">
        <v>50</v>
      </c>
      <c r="AD628" t="n">
        <v>1</v>
      </c>
      <c r="AE628" t="n">
        <v>8000</v>
      </c>
      <c r="AF628" t="n">
        <v>2240</v>
      </c>
      <c r="AG628" t="n">
        <v>1</v>
      </c>
    </row>
    <row r="629" ht="38.25" customHeight="1" s="142">
      <c r="A629" t="n">
        <v>1523</v>
      </c>
      <c r="B629" t="inlineStr">
        <is>
          <t>main</t>
        </is>
      </c>
      <c r="C629" t="n">
        <v>14</v>
      </c>
      <c r="D629" t="inlineStr">
        <is>
          <t>14-24</t>
        </is>
      </c>
      <c r="E629" t="n">
        <v>150</v>
      </c>
      <c r="G629" s="90" t="inlineStr">
        <is>
          <t>{role:-1},{state:-60018}
{id:-1},{id:-1},{id:-1},{id:-1},{id:-1}
{id:40066},{id:40060},{id:40056},{id:40066},{id:40056}</t>
        </is>
      </c>
      <c r="I629" t="n">
        <v>66595</v>
      </c>
      <c r="J629" s="80" t="inlineStr">
        <is>
          <t>亡靈低語</t>
        </is>
      </c>
      <c r="K629" t="inlineStr">
        <is>
          <t>buff</t>
        </is>
      </c>
      <c r="L629" t="n">
        <v>9008</v>
      </c>
      <c r="M629" t="n">
        <v>5</v>
      </c>
      <c r="O629" t="n">
        <v>0.6</v>
      </c>
      <c r="P629" s="80" t="inlineStr">
        <is>
          <t>黑暗籠罩</t>
        </is>
      </c>
      <c r="Q629" t="inlineStr">
        <is>
          <t>debuff</t>
        </is>
      </c>
      <c r="R629" t="n">
        <v>9010</v>
      </c>
      <c r="S629" t="n">
        <v>3</v>
      </c>
      <c r="U629" t="n">
        <v>0.8</v>
      </c>
      <c r="V629" t="n">
        <v>70001</v>
      </c>
      <c r="W629" t="n">
        <v>3</v>
      </c>
      <c r="X629" t="n">
        <v>1</v>
      </c>
      <c r="Y629" t="n">
        <v>70002</v>
      </c>
      <c r="Z629" t="n">
        <v>3</v>
      </c>
      <c r="AA629" t="n">
        <v>1</v>
      </c>
      <c r="AB629" t="n">
        <v>1001</v>
      </c>
      <c r="AC629" t="n">
        <v>50</v>
      </c>
      <c r="AD629" t="n">
        <v>1</v>
      </c>
      <c r="AE629" t="n">
        <v>8000</v>
      </c>
      <c r="AF629" t="n">
        <v>2250</v>
      </c>
      <c r="AG629" t="n">
        <v>1</v>
      </c>
    </row>
    <row r="630" ht="38.25" customHeight="1" s="142">
      <c r="A630" t="n">
        <v>1524</v>
      </c>
      <c r="B630" t="inlineStr">
        <is>
          <t>main</t>
        </is>
      </c>
      <c r="C630" t="n">
        <v>14</v>
      </c>
      <c r="D630" t="inlineStr">
        <is>
          <t>14-25</t>
        </is>
      </c>
      <c r="E630" t="n">
        <v>150</v>
      </c>
      <c r="G630" s="90" t="inlineStr">
        <is>
          <t>{role:-1},{state:-60018}
{id:-1},{id:-1},{id:-1},{id:-1},{id:-1}
{id:40066},{id:40056},{id:40066},{id:40066},{id:40060}</t>
        </is>
      </c>
      <c r="I630" t="n">
        <v>66720</v>
      </c>
      <c r="J630" s="80" t="inlineStr">
        <is>
          <t>亡靈低語</t>
        </is>
      </c>
      <c r="K630" t="inlineStr">
        <is>
          <t>buff</t>
        </is>
      </c>
      <c r="L630" t="n">
        <v>9001</v>
      </c>
      <c r="M630" t="inlineStr">
        <is>
          <t>5,12,13</t>
        </is>
      </c>
      <c r="O630" t="n">
        <v>0.9</v>
      </c>
      <c r="P630" s="80" t="inlineStr">
        <is>
          <t>黑暗籠罩</t>
        </is>
      </c>
      <c r="Q630" t="inlineStr">
        <is>
          <t>debuff</t>
        </is>
      </c>
      <c r="R630" t="n">
        <v>9010</v>
      </c>
      <c r="S630" t="n">
        <v>11</v>
      </c>
      <c r="U630" t="n">
        <v>0.2</v>
      </c>
      <c r="V630" t="n">
        <v>70001</v>
      </c>
      <c r="W630" t="n">
        <v>3</v>
      </c>
      <c r="X630" t="n">
        <v>1</v>
      </c>
      <c r="Y630" t="n">
        <v>70002</v>
      </c>
      <c r="Z630" t="n">
        <v>3</v>
      </c>
      <c r="AA630" t="n">
        <v>1</v>
      </c>
      <c r="AB630" t="n">
        <v>1001</v>
      </c>
      <c r="AC630" t="n">
        <v>50</v>
      </c>
      <c r="AD630" t="n">
        <v>1</v>
      </c>
      <c r="AE630" t="n">
        <v>8000</v>
      </c>
      <c r="AF630" t="n">
        <v>2250</v>
      </c>
      <c r="AG630" t="n">
        <v>1</v>
      </c>
    </row>
    <row r="631" ht="38.25" customHeight="1" s="142">
      <c r="A631" t="n">
        <v>1525</v>
      </c>
      <c r="B631" t="inlineStr">
        <is>
          <t>main</t>
        </is>
      </c>
      <c r="C631" t="n">
        <v>14</v>
      </c>
      <c r="D631" t="inlineStr">
        <is>
          <t>14-26</t>
        </is>
      </c>
      <c r="E631" t="n">
        <v>150</v>
      </c>
      <c r="G631" s="90" t="inlineStr">
        <is>
          <t>{role:-1},{state:-60018}
{id:-1},{id:-1},{id:-1},{id:-1},{id:-1}
{id:40067},{id:40066},{id:40056},{id:40067},{id:40067}</t>
        </is>
      </c>
      <c r="I631" t="n">
        <v>66845</v>
      </c>
      <c r="J631" s="80" t="inlineStr">
        <is>
          <t>亡靈低語</t>
        </is>
      </c>
      <c r="K631" t="inlineStr">
        <is>
          <t>buff</t>
        </is>
      </c>
      <c r="L631" t="n">
        <v>9011</v>
      </c>
      <c r="M631" t="n">
        <v>3</v>
      </c>
      <c r="O631" t="n">
        <v>0.2</v>
      </c>
      <c r="P631" s="80" t="inlineStr">
        <is>
          <t>黑暗籠罩</t>
        </is>
      </c>
      <c r="Q631" t="inlineStr">
        <is>
          <t>debuff</t>
        </is>
      </c>
      <c r="R631" t="n">
        <v>9011</v>
      </c>
      <c r="S631" t="inlineStr">
        <is>
          <t>8,9</t>
        </is>
      </c>
      <c r="U631" t="n">
        <v>1</v>
      </c>
      <c r="V631" t="n">
        <v>70001</v>
      </c>
      <c r="W631" t="n">
        <v>3</v>
      </c>
      <c r="X631" t="n">
        <v>1</v>
      </c>
      <c r="Y631" t="n">
        <v>70002</v>
      </c>
      <c r="Z631" t="n">
        <v>3</v>
      </c>
      <c r="AA631" t="n">
        <v>1</v>
      </c>
      <c r="AB631" t="n">
        <v>1001</v>
      </c>
      <c r="AC631" t="n">
        <v>50</v>
      </c>
      <c r="AD631" t="n">
        <v>1</v>
      </c>
      <c r="AE631" t="n">
        <v>8000</v>
      </c>
      <c r="AF631" t="n">
        <v>2260</v>
      </c>
      <c r="AG631" t="n">
        <v>1</v>
      </c>
    </row>
    <row r="632" ht="38.25" customHeight="1" s="142">
      <c r="A632" t="n">
        <v>1526</v>
      </c>
      <c r="B632" t="inlineStr">
        <is>
          <t>main</t>
        </is>
      </c>
      <c r="C632" t="n">
        <v>14</v>
      </c>
      <c r="D632" t="inlineStr">
        <is>
          <t>14-27</t>
        </is>
      </c>
      <c r="E632" t="n">
        <v>150</v>
      </c>
      <c r="G632" s="90" t="inlineStr">
        <is>
          <t>{role:-1},{state:-60018}
{id:-1},{id:-1},{id:-1},{id:-1},{id:-1}
{id:40056},{id:40056},{id:40056},{id:40056},{id:40060}</t>
        </is>
      </c>
      <c r="I632" t="n">
        <v>66970</v>
      </c>
      <c r="J632" s="80" t="inlineStr">
        <is>
          <t>亡靈低語</t>
        </is>
      </c>
      <c r="K632" t="inlineStr">
        <is>
          <t>buff</t>
        </is>
      </c>
      <c r="L632" t="n">
        <v>9008</v>
      </c>
      <c r="M632" t="inlineStr">
        <is>
          <t>5,10</t>
        </is>
      </c>
      <c r="O632" t="n">
        <v>0.4</v>
      </c>
      <c r="P632" s="80" t="inlineStr">
        <is>
          <t>黑暗籠罩</t>
        </is>
      </c>
      <c r="Q632" t="inlineStr">
        <is>
          <t>debuff</t>
        </is>
      </c>
      <c r="R632" t="n">
        <v>9004</v>
      </c>
      <c r="S632" t="n">
        <v>7</v>
      </c>
      <c r="U632" t="n">
        <v>0.8</v>
      </c>
      <c r="V632" t="n">
        <v>70001</v>
      </c>
      <c r="W632" t="n">
        <v>3</v>
      </c>
      <c r="X632" t="n">
        <v>1</v>
      </c>
      <c r="Y632" t="n">
        <v>70002</v>
      </c>
      <c r="Z632" t="n">
        <v>3</v>
      </c>
      <c r="AA632" t="n">
        <v>1</v>
      </c>
      <c r="AB632" t="n">
        <v>1001</v>
      </c>
      <c r="AC632" t="n">
        <v>50</v>
      </c>
      <c r="AD632" t="n">
        <v>1</v>
      </c>
      <c r="AE632" t="n">
        <v>8000</v>
      </c>
      <c r="AF632" t="n">
        <v>2270</v>
      </c>
      <c r="AG632" t="n">
        <v>1</v>
      </c>
    </row>
    <row r="633" ht="38.25" customHeight="1" s="142">
      <c r="A633" t="n">
        <v>1527</v>
      </c>
      <c r="B633" t="inlineStr">
        <is>
          <t>main</t>
        </is>
      </c>
      <c r="C633" t="n">
        <v>14</v>
      </c>
      <c r="D633" t="inlineStr">
        <is>
          <t>14-28</t>
        </is>
      </c>
      <c r="E633" t="n">
        <v>150</v>
      </c>
      <c r="G633" s="90" t="inlineStr">
        <is>
          <t>{role:-1},{state:-60018}
{id:-1},{id:-1},{id:-1},{id:-1},{id:-1}
{id:40066},{id:40056},{id:40066},{id:40056},{id:40060}</t>
        </is>
      </c>
      <c r="I633" t="n">
        <v>67095</v>
      </c>
      <c r="J633" s="80" t="inlineStr">
        <is>
          <t>亡靈低語</t>
        </is>
      </c>
      <c r="K633" t="inlineStr">
        <is>
          <t>buff</t>
        </is>
      </c>
      <c r="L633" t="n">
        <v>9011</v>
      </c>
      <c r="M633" t="inlineStr">
        <is>
          <t>7,11,13</t>
        </is>
      </c>
      <c r="O633" t="n">
        <v>0.7</v>
      </c>
      <c r="P633" s="80" t="inlineStr">
        <is>
          <t>黑暗籠罩</t>
        </is>
      </c>
      <c r="Q633" t="inlineStr">
        <is>
          <t>debuff</t>
        </is>
      </c>
      <c r="R633" t="n">
        <v>9010</v>
      </c>
      <c r="S633" t="inlineStr">
        <is>
          <t>6,7</t>
        </is>
      </c>
      <c r="U633" t="n">
        <v>0.8</v>
      </c>
      <c r="V633" t="n">
        <v>70001</v>
      </c>
      <c r="W633" t="n">
        <v>3</v>
      </c>
      <c r="X633" t="n">
        <v>1</v>
      </c>
      <c r="Y633" t="n">
        <v>70002</v>
      </c>
      <c r="Z633" t="n">
        <v>3</v>
      </c>
      <c r="AA633" t="n">
        <v>1</v>
      </c>
      <c r="AB633" t="n">
        <v>1001</v>
      </c>
      <c r="AC633" t="n">
        <v>50</v>
      </c>
      <c r="AD633" t="n">
        <v>1</v>
      </c>
      <c r="AE633" t="n">
        <v>8000</v>
      </c>
      <c r="AF633" t="n">
        <v>2270</v>
      </c>
      <c r="AG633" t="n">
        <v>1</v>
      </c>
    </row>
    <row r="634" ht="38.25" customHeight="1" s="142">
      <c r="A634" t="n">
        <v>1528</v>
      </c>
      <c r="B634" t="inlineStr">
        <is>
          <t>main</t>
        </is>
      </c>
      <c r="C634" t="n">
        <v>14</v>
      </c>
      <c r="D634" t="inlineStr">
        <is>
          <t>14-29</t>
        </is>
      </c>
      <c r="E634" t="n">
        <v>150</v>
      </c>
      <c r="G634" s="90" t="inlineStr">
        <is>
          <t>{role:-1},{state:-60018}
{id:-1},{id:-1},{id:-1},{id:-1},{id:-1}
{id:40060},{id:40056},{id:40056},{id:40056},{id:40067}</t>
        </is>
      </c>
      <c r="I634" t="n">
        <v>67220</v>
      </c>
      <c r="J634" s="80" t="inlineStr">
        <is>
          <t>亡靈低語</t>
        </is>
      </c>
      <c r="K634" t="inlineStr">
        <is>
          <t>buff</t>
        </is>
      </c>
      <c r="L634" t="n">
        <v>9007</v>
      </c>
      <c r="M634" t="inlineStr">
        <is>
          <t>3,6,11</t>
        </is>
      </c>
      <c r="O634" t="n">
        <v>0.8</v>
      </c>
      <c r="P634" s="80" t="inlineStr">
        <is>
          <t>黑暗籠罩</t>
        </is>
      </c>
      <c r="Q634" t="inlineStr">
        <is>
          <t>debuff</t>
        </is>
      </c>
      <c r="R634" t="n">
        <v>9004</v>
      </c>
      <c r="S634" t="n">
        <v>5</v>
      </c>
      <c r="U634" t="n">
        <v>0.8</v>
      </c>
      <c r="V634" t="n">
        <v>70001</v>
      </c>
      <c r="W634" t="n">
        <v>3</v>
      </c>
      <c r="X634" t="n">
        <v>1</v>
      </c>
      <c r="Y634" t="n">
        <v>70002</v>
      </c>
      <c r="Z634" t="n">
        <v>3</v>
      </c>
      <c r="AA634" t="n">
        <v>1</v>
      </c>
      <c r="AB634" t="n">
        <v>1001</v>
      </c>
      <c r="AC634" t="n">
        <v>50</v>
      </c>
      <c r="AD634" t="n">
        <v>1</v>
      </c>
      <c r="AE634" t="n">
        <v>8000</v>
      </c>
      <c r="AF634" t="n">
        <v>2280</v>
      </c>
      <c r="AG634" t="n">
        <v>1</v>
      </c>
    </row>
    <row r="635" ht="38.25" customHeight="1" s="142">
      <c r="A635" t="n">
        <v>1529</v>
      </c>
      <c r="B635" t="inlineStr">
        <is>
          <t>main</t>
        </is>
      </c>
      <c r="C635" t="n">
        <v>14</v>
      </c>
      <c r="D635" t="inlineStr">
        <is>
          <t>14-30</t>
        </is>
      </c>
      <c r="E635" t="n">
        <v>150</v>
      </c>
      <c r="G635" s="90" t="inlineStr">
        <is>
          <t>{role:-1},{state:-60018}
{id:-1},{id:-1},{id:-1},{id:-1},{id:-1}
{id:40056},{id:40056},{id:40056},{id:40085},{id:40060}</t>
        </is>
      </c>
      <c r="I635" t="n">
        <v>67345</v>
      </c>
      <c r="J635" s="80" t="inlineStr">
        <is>
          <t>亡靈低語</t>
        </is>
      </c>
      <c r="K635" t="inlineStr">
        <is>
          <t>buff</t>
        </is>
      </c>
      <c r="L635" t="n">
        <v>9005</v>
      </c>
      <c r="M635" t="inlineStr">
        <is>
          <t>3,6,12</t>
        </is>
      </c>
      <c r="O635" t="n">
        <v>0.8</v>
      </c>
      <c r="P635" s="80" t="inlineStr">
        <is>
          <t>黑暗籠罩</t>
        </is>
      </c>
      <c r="Q635" t="inlineStr">
        <is>
          <t>debuff</t>
        </is>
      </c>
      <c r="R635" t="n">
        <v>9010</v>
      </c>
      <c r="S635" t="n">
        <v>12</v>
      </c>
      <c r="U635" t="n">
        <v>0.5</v>
      </c>
      <c r="V635" t="n">
        <v>70001</v>
      </c>
      <c r="W635" t="n">
        <v>3</v>
      </c>
      <c r="X635" t="n">
        <v>1</v>
      </c>
      <c r="Y635" t="n">
        <v>70002</v>
      </c>
      <c r="Z635" t="n">
        <v>3</v>
      </c>
      <c r="AA635" t="n">
        <v>1</v>
      </c>
      <c r="AB635" t="n">
        <v>1001</v>
      </c>
      <c r="AC635" t="n">
        <v>50</v>
      </c>
      <c r="AD635" t="n">
        <v>1</v>
      </c>
      <c r="AE635" t="n">
        <v>8000</v>
      </c>
      <c r="AF635" t="n">
        <v>2280</v>
      </c>
      <c r="AG635" t="n">
        <v>1</v>
      </c>
    </row>
    <row r="636" ht="38.25" customHeight="1" s="142">
      <c r="A636" t="n">
        <v>1530</v>
      </c>
      <c r="B636" t="inlineStr">
        <is>
          <t>main</t>
        </is>
      </c>
      <c r="C636" t="n">
        <v>14</v>
      </c>
      <c r="D636" t="inlineStr">
        <is>
          <t>14-31</t>
        </is>
      </c>
      <c r="E636" t="n">
        <v>150</v>
      </c>
      <c r="G636" s="90" t="inlineStr">
        <is>
          <t>{role:-1},{state:-60018}
{id:-1},{id:-1},{id:-1},{id:-1},{id:-1}
{id:40066},{id:40085},{id:40066},{id:40066},{id:40085}</t>
        </is>
      </c>
      <c r="I636" t="n">
        <v>67470</v>
      </c>
      <c r="J636" s="80" t="inlineStr">
        <is>
          <t>亡靈低語</t>
        </is>
      </c>
      <c r="K636" t="inlineStr">
        <is>
          <t>buff</t>
        </is>
      </c>
      <c r="L636" t="n">
        <v>9007</v>
      </c>
      <c r="M636" t="inlineStr">
        <is>
          <t>1,6,9</t>
        </is>
      </c>
      <c r="O636" t="n">
        <v>0.7</v>
      </c>
      <c r="P636" s="80" t="inlineStr">
        <is>
          <t>黑暗籠罩</t>
        </is>
      </c>
      <c r="Q636" t="inlineStr">
        <is>
          <t>debuff</t>
        </is>
      </c>
      <c r="R636" t="n">
        <v>9007</v>
      </c>
      <c r="S636" t="inlineStr">
        <is>
          <t>4,5,6</t>
        </is>
      </c>
      <c r="U636" t="n">
        <v>0.4</v>
      </c>
      <c r="V636" t="n">
        <v>70001</v>
      </c>
      <c r="W636" t="n">
        <v>3</v>
      </c>
      <c r="X636" t="n">
        <v>1</v>
      </c>
      <c r="Y636" t="n">
        <v>70002</v>
      </c>
      <c r="Z636" t="n">
        <v>3</v>
      </c>
      <c r="AA636" t="n">
        <v>1</v>
      </c>
      <c r="AB636" t="n">
        <v>1001</v>
      </c>
      <c r="AC636" t="n">
        <v>50</v>
      </c>
      <c r="AD636" t="n">
        <v>1</v>
      </c>
      <c r="AE636" t="n">
        <v>8000</v>
      </c>
      <c r="AF636" t="n">
        <v>2290</v>
      </c>
      <c r="AG636" t="n">
        <v>1</v>
      </c>
    </row>
    <row r="637" ht="38.25" customHeight="1" s="142">
      <c r="A637" t="n">
        <v>1531</v>
      </c>
      <c r="B637" t="inlineStr">
        <is>
          <t>main</t>
        </is>
      </c>
      <c r="C637" t="n">
        <v>14</v>
      </c>
      <c r="D637" t="inlineStr">
        <is>
          <t>14-32</t>
        </is>
      </c>
      <c r="E637" t="n">
        <v>150</v>
      </c>
      <c r="G637" s="90" t="inlineStr">
        <is>
          <t>{role:-1},{state:-60018}
{id:-1},{id:-1},{id:-1},{id:-1},{id:-1}
{id:40085},{id:40085},{id:40067},{id:40085},{id:40056}</t>
        </is>
      </c>
      <c r="I637" t="n">
        <v>67595</v>
      </c>
      <c r="J637" s="80" t="inlineStr">
        <is>
          <t>亡靈低語</t>
        </is>
      </c>
      <c r="K637" t="inlineStr">
        <is>
          <t>buff</t>
        </is>
      </c>
      <c r="L637" t="n">
        <v>9002</v>
      </c>
      <c r="M637" t="inlineStr">
        <is>
          <t>5,12,13</t>
        </is>
      </c>
      <c r="O637" t="n">
        <v>0.2</v>
      </c>
      <c r="P637" s="80" t="inlineStr">
        <is>
          <t>黑暗籠罩</t>
        </is>
      </c>
      <c r="Q637" t="inlineStr">
        <is>
          <t>debuff</t>
        </is>
      </c>
      <c r="R637" t="n">
        <v>9004</v>
      </c>
      <c r="S637" t="inlineStr">
        <is>
          <t>2,3,4</t>
        </is>
      </c>
      <c r="U637" t="n">
        <v>0.5</v>
      </c>
      <c r="V637" t="n">
        <v>70001</v>
      </c>
      <c r="W637" t="n">
        <v>3</v>
      </c>
      <c r="X637" t="n">
        <v>1</v>
      </c>
      <c r="Y637" t="n">
        <v>70002</v>
      </c>
      <c r="Z637" t="n">
        <v>3</v>
      </c>
      <c r="AA637" t="n">
        <v>1</v>
      </c>
      <c r="AB637" t="n">
        <v>1001</v>
      </c>
      <c r="AC637" t="n">
        <v>50</v>
      </c>
      <c r="AD637" t="n">
        <v>1</v>
      </c>
      <c r="AE637" t="n">
        <v>8000</v>
      </c>
      <c r="AF637" t="n">
        <v>2290</v>
      </c>
      <c r="AG637" t="n">
        <v>1</v>
      </c>
    </row>
    <row r="638" ht="38.25" customHeight="1" s="142">
      <c r="A638" t="n">
        <v>1532</v>
      </c>
      <c r="B638" t="inlineStr">
        <is>
          <t>main</t>
        </is>
      </c>
      <c r="C638" t="n">
        <v>14</v>
      </c>
      <c r="D638" t="inlineStr">
        <is>
          <t>14-33</t>
        </is>
      </c>
      <c r="E638" t="n">
        <v>150</v>
      </c>
      <c r="G638" s="90" t="inlineStr">
        <is>
          <t>{role:-1},{state:-60018}
{id:-1},{id:-1},{id:-1},{id:-1},{id:-1}
{id:40066},{id:40067},{id:40085},{id:40060},{id:40067}</t>
        </is>
      </c>
      <c r="I638" t="n">
        <v>67720</v>
      </c>
      <c r="J638" s="80" t="inlineStr">
        <is>
          <t>亡靈低語</t>
        </is>
      </c>
      <c r="K638" t="inlineStr">
        <is>
          <t>buff</t>
        </is>
      </c>
      <c r="L638" t="n">
        <v>9007</v>
      </c>
      <c r="M638" t="n">
        <v>10</v>
      </c>
      <c r="O638" t="n">
        <v>0.8</v>
      </c>
      <c r="P638" s="80" t="inlineStr">
        <is>
          <t>黑暗籠罩</t>
        </is>
      </c>
      <c r="Q638" t="inlineStr">
        <is>
          <t>debuff</t>
        </is>
      </c>
      <c r="R638" t="n">
        <v>9004</v>
      </c>
      <c r="S638" t="inlineStr">
        <is>
          <t>5,10</t>
        </is>
      </c>
      <c r="U638" t="n">
        <v>0.4</v>
      </c>
      <c r="V638" t="n">
        <v>70001</v>
      </c>
      <c r="W638" t="n">
        <v>3</v>
      </c>
      <c r="X638" t="n">
        <v>1</v>
      </c>
      <c r="Y638" t="n">
        <v>70002</v>
      </c>
      <c r="Z638" t="n">
        <v>3</v>
      </c>
      <c r="AA638" t="n">
        <v>1</v>
      </c>
      <c r="AB638" t="n">
        <v>1001</v>
      </c>
      <c r="AC638" t="n">
        <v>50</v>
      </c>
      <c r="AD638" t="n">
        <v>1</v>
      </c>
      <c r="AE638" t="n">
        <v>8000</v>
      </c>
      <c r="AF638" t="n">
        <v>2300</v>
      </c>
      <c r="AG638" t="n">
        <v>1</v>
      </c>
    </row>
    <row r="639" ht="38.25" customHeight="1" s="142">
      <c r="A639" t="n">
        <v>1533</v>
      </c>
      <c r="B639" t="inlineStr">
        <is>
          <t>main</t>
        </is>
      </c>
      <c r="C639" t="n">
        <v>14</v>
      </c>
      <c r="D639" t="inlineStr">
        <is>
          <t>14-34</t>
        </is>
      </c>
      <c r="E639" t="n">
        <v>150</v>
      </c>
      <c r="G639" s="90" t="inlineStr">
        <is>
          <t>{role:-1},{state:-60018}
{id:-1},{id:-1},{id:-1},{id:-1},{id:-1}
{id:40060},{id:40085},{id:40085},{id:40067},{id:40066}</t>
        </is>
      </c>
      <c r="I639" t="n">
        <v>67845</v>
      </c>
      <c r="J639" s="80" t="inlineStr">
        <is>
          <t>亡靈低語</t>
        </is>
      </c>
      <c r="K639" t="inlineStr">
        <is>
          <t>buff</t>
        </is>
      </c>
      <c r="L639" t="n">
        <v>9007</v>
      </c>
      <c r="M639" t="n">
        <v>9</v>
      </c>
      <c r="O639" t="n">
        <v>0.9</v>
      </c>
      <c r="P639" s="80" t="inlineStr">
        <is>
          <t>黑暗籠罩</t>
        </is>
      </c>
      <c r="Q639" t="inlineStr">
        <is>
          <t>debuff</t>
        </is>
      </c>
      <c r="R639" t="n">
        <v>9004</v>
      </c>
      <c r="S639" t="n">
        <v>1</v>
      </c>
      <c r="U639" t="n">
        <v>0.6</v>
      </c>
      <c r="V639" t="n">
        <v>70001</v>
      </c>
      <c r="W639" t="n">
        <v>3</v>
      </c>
      <c r="X639" t="n">
        <v>1</v>
      </c>
      <c r="Y639" t="n">
        <v>70002</v>
      </c>
      <c r="Z639" t="n">
        <v>3</v>
      </c>
      <c r="AA639" t="n">
        <v>1</v>
      </c>
      <c r="AB639" t="n">
        <v>1001</v>
      </c>
      <c r="AC639" t="n">
        <v>50</v>
      </c>
      <c r="AD639" t="n">
        <v>1</v>
      </c>
      <c r="AE639" t="n">
        <v>8000</v>
      </c>
      <c r="AF639" t="n">
        <v>2300</v>
      </c>
      <c r="AG639" t="n">
        <v>1</v>
      </c>
    </row>
    <row r="640" ht="38.25" customHeight="1" s="142">
      <c r="A640" t="n">
        <v>1534</v>
      </c>
      <c r="B640" t="inlineStr">
        <is>
          <t>main</t>
        </is>
      </c>
      <c r="C640" t="n">
        <v>14</v>
      </c>
      <c r="D640" t="inlineStr">
        <is>
          <t>14-35</t>
        </is>
      </c>
      <c r="E640" t="n">
        <v>150</v>
      </c>
      <c r="G640" s="90" t="inlineStr">
        <is>
          <t>{role:-1},{state:-60018}
{id:-1},{id:-1},{id:-1},{id:-1},{id:-1}
{id:40056},{id:40067},{id:40085},{id:40085},{id:40060}</t>
        </is>
      </c>
      <c r="I640" t="n">
        <v>67970</v>
      </c>
      <c r="J640" s="80" t="inlineStr">
        <is>
          <t>亡靈低語</t>
        </is>
      </c>
      <c r="K640" t="inlineStr">
        <is>
          <t>buff</t>
        </is>
      </c>
      <c r="L640" t="n">
        <v>9005</v>
      </c>
      <c r="M640" t="inlineStr">
        <is>
          <t>1,10,11</t>
        </is>
      </c>
      <c r="O640" t="n">
        <v>0.1</v>
      </c>
      <c r="P640" s="80" t="inlineStr">
        <is>
          <t>黑暗籠罩</t>
        </is>
      </c>
      <c r="Q640" t="inlineStr">
        <is>
          <t>debuff</t>
        </is>
      </c>
      <c r="R640" t="n">
        <v>9008</v>
      </c>
      <c r="S640" t="n">
        <v>2</v>
      </c>
      <c r="U640" t="n">
        <v>0.3</v>
      </c>
      <c r="V640" t="n">
        <v>70001</v>
      </c>
      <c r="W640" t="n">
        <v>3</v>
      </c>
      <c r="X640" t="n">
        <v>1</v>
      </c>
      <c r="Y640" t="n">
        <v>70002</v>
      </c>
      <c r="Z640" t="n">
        <v>3</v>
      </c>
      <c r="AA640" t="n">
        <v>1</v>
      </c>
      <c r="AB640" t="n">
        <v>1001</v>
      </c>
      <c r="AC640" t="n">
        <v>50</v>
      </c>
      <c r="AD640" t="n">
        <v>1</v>
      </c>
      <c r="AE640" t="n">
        <v>8000</v>
      </c>
      <c r="AF640" t="n">
        <v>2310</v>
      </c>
      <c r="AG640" t="n">
        <v>1</v>
      </c>
    </row>
    <row r="641" ht="38.25" customHeight="1" s="142">
      <c r="A641" t="n">
        <v>1535</v>
      </c>
      <c r="B641" t="inlineStr">
        <is>
          <t>main</t>
        </is>
      </c>
      <c r="C641" t="n">
        <v>14</v>
      </c>
      <c r="D641" t="inlineStr">
        <is>
          <t>14-36</t>
        </is>
      </c>
      <c r="E641" t="n">
        <v>150</v>
      </c>
      <c r="G641" s="90" t="inlineStr">
        <is>
          <t>{role:-1},{state:-60018}
{id:-1},{id:-1},{id:-1},{id:-1},{id:-1}
{id:40066},{id:40066},{id:40060},{id:40085},{id:40066}</t>
        </is>
      </c>
      <c r="I641" t="n">
        <v>68095</v>
      </c>
      <c r="J641" s="80" t="inlineStr">
        <is>
          <t>亡靈低語</t>
        </is>
      </c>
      <c r="K641" t="inlineStr">
        <is>
          <t>buff</t>
        </is>
      </c>
      <c r="L641" t="n">
        <v>9012</v>
      </c>
      <c r="M641" t="n">
        <v>7</v>
      </c>
      <c r="O641" t="n">
        <v>0.8</v>
      </c>
      <c r="P641" s="80" t="inlineStr">
        <is>
          <t>黑暗籠罩</t>
        </is>
      </c>
      <c r="Q641" t="inlineStr">
        <is>
          <t>debuff</t>
        </is>
      </c>
      <c r="R641" t="n">
        <v>9004</v>
      </c>
      <c r="S641" t="n">
        <v>13</v>
      </c>
      <c r="U641" t="n">
        <v>0.7</v>
      </c>
      <c r="V641" t="n">
        <v>70001</v>
      </c>
      <c r="W641" t="n">
        <v>3</v>
      </c>
      <c r="X641" t="n">
        <v>1</v>
      </c>
      <c r="Y641" t="n">
        <v>70002</v>
      </c>
      <c r="Z641" t="n">
        <v>3</v>
      </c>
      <c r="AA641" t="n">
        <v>1</v>
      </c>
      <c r="AB641" t="n">
        <v>1001</v>
      </c>
      <c r="AC641" t="n">
        <v>50</v>
      </c>
      <c r="AD641" t="n">
        <v>1</v>
      </c>
      <c r="AE641" t="n">
        <v>8000</v>
      </c>
      <c r="AF641" t="n">
        <v>2320</v>
      </c>
      <c r="AG641" t="n">
        <v>1</v>
      </c>
    </row>
    <row r="642" ht="38.25" customHeight="1" s="142">
      <c r="A642" t="n">
        <v>1536</v>
      </c>
      <c r="B642" t="inlineStr">
        <is>
          <t>main</t>
        </is>
      </c>
      <c r="C642" t="n">
        <v>14</v>
      </c>
      <c r="D642" t="inlineStr">
        <is>
          <t>14-37</t>
        </is>
      </c>
      <c r="E642" t="n">
        <v>150</v>
      </c>
      <c r="G642" s="90" t="inlineStr">
        <is>
          <t>{role:-1},{state:-60018}
{id:-1},{id:-1},{id:-1},{id:-1},{id:-1}
{id:40085},{id:40060},{id:40067},{id:40067},{id:40067}</t>
        </is>
      </c>
      <c r="I642" t="n">
        <v>68220</v>
      </c>
      <c r="J642" s="80" t="inlineStr">
        <is>
          <t>亡靈低語</t>
        </is>
      </c>
      <c r="K642" t="inlineStr">
        <is>
          <t>buff</t>
        </is>
      </c>
      <c r="L642" t="n">
        <v>9008</v>
      </c>
      <c r="M642" t="n">
        <v>11</v>
      </c>
      <c r="O642" t="n">
        <v>0.2</v>
      </c>
      <c r="P642" s="80" t="inlineStr">
        <is>
          <t>黑暗籠罩</t>
        </is>
      </c>
      <c r="Q642" t="inlineStr">
        <is>
          <t>debuff</t>
        </is>
      </c>
      <c r="R642" t="n">
        <v>9004</v>
      </c>
      <c r="S642" t="inlineStr">
        <is>
          <t>5,7,9</t>
        </is>
      </c>
      <c r="U642" t="n">
        <v>0.1</v>
      </c>
      <c r="V642" t="n">
        <v>70001</v>
      </c>
      <c r="W642" t="n">
        <v>3</v>
      </c>
      <c r="X642" t="n">
        <v>1</v>
      </c>
      <c r="Y642" t="n">
        <v>70002</v>
      </c>
      <c r="Z642" t="n">
        <v>3</v>
      </c>
      <c r="AA642" t="n">
        <v>1</v>
      </c>
      <c r="AB642" t="n">
        <v>1001</v>
      </c>
      <c r="AC642" t="n">
        <v>50</v>
      </c>
      <c r="AD642" t="n">
        <v>1</v>
      </c>
      <c r="AE642" t="n">
        <v>8000</v>
      </c>
      <c r="AF642" t="n">
        <v>2320</v>
      </c>
      <c r="AG642" t="n">
        <v>1</v>
      </c>
    </row>
    <row r="643" ht="38.25" customHeight="1" s="142">
      <c r="A643" t="n">
        <v>1537</v>
      </c>
      <c r="B643" t="inlineStr">
        <is>
          <t>main</t>
        </is>
      </c>
      <c r="C643" t="n">
        <v>14</v>
      </c>
      <c r="D643" t="inlineStr">
        <is>
          <t>14-38</t>
        </is>
      </c>
      <c r="E643" t="n">
        <v>150</v>
      </c>
      <c r="G643" s="90" t="inlineStr">
        <is>
          <t>{role:-1},{state:-60018}
{id:-1},{id:-1},{id:-1},{id:-1},{id:-1}
{id:40060},{id:40060},{id:40067},{id:40056},{id:40085}</t>
        </is>
      </c>
      <c r="I643" t="n">
        <v>68345</v>
      </c>
      <c r="J643" s="80" t="inlineStr">
        <is>
          <t>亡靈低語</t>
        </is>
      </c>
      <c r="K643" t="inlineStr">
        <is>
          <t>buff</t>
        </is>
      </c>
      <c r="L643" t="n">
        <v>9002</v>
      </c>
      <c r="M643" t="inlineStr">
        <is>
          <t>3,7,11</t>
        </is>
      </c>
      <c r="O643" t="n">
        <v>0.8</v>
      </c>
      <c r="P643" s="80" t="inlineStr">
        <is>
          <t>黑暗籠罩</t>
        </is>
      </c>
      <c r="Q643" t="inlineStr">
        <is>
          <t>debuff</t>
        </is>
      </c>
      <c r="R643" t="n">
        <v>9007</v>
      </c>
      <c r="S643" t="inlineStr">
        <is>
          <t>5,6,9</t>
        </is>
      </c>
      <c r="U643" t="n">
        <v>0.6</v>
      </c>
      <c r="V643" t="n">
        <v>70001</v>
      </c>
      <c r="W643" t="n">
        <v>3</v>
      </c>
      <c r="X643" t="n">
        <v>1</v>
      </c>
      <c r="Y643" t="n">
        <v>70002</v>
      </c>
      <c r="Z643" t="n">
        <v>3</v>
      </c>
      <c r="AA643" t="n">
        <v>1</v>
      </c>
      <c r="AB643" t="n">
        <v>1001</v>
      </c>
      <c r="AC643" t="n">
        <v>50</v>
      </c>
      <c r="AD643" t="n">
        <v>1</v>
      </c>
      <c r="AE643" t="n">
        <v>8000</v>
      </c>
      <c r="AF643" t="n">
        <v>2330</v>
      </c>
      <c r="AG643" t="n">
        <v>1</v>
      </c>
    </row>
    <row r="644" ht="38.25" customHeight="1" s="142">
      <c r="A644" t="n">
        <v>1538</v>
      </c>
      <c r="B644" t="inlineStr">
        <is>
          <t>main</t>
        </is>
      </c>
      <c r="C644" t="n">
        <v>14</v>
      </c>
      <c r="D644" t="inlineStr">
        <is>
          <t>14-39</t>
        </is>
      </c>
      <c r="E644" t="n">
        <v>150</v>
      </c>
      <c r="G644" s="90" t="inlineStr">
        <is>
          <t>{role:-1},{state:-60018}
{id:-1},{id:-1},{id:-1},{id:-1},{id:-1}
{id:40060},{id:40060},{id:40066},{id:40056},{id:40067}</t>
        </is>
      </c>
      <c r="I644" t="n">
        <v>68470</v>
      </c>
      <c r="J644" s="80" t="inlineStr">
        <is>
          <t>亡靈低語</t>
        </is>
      </c>
      <c r="K644" t="inlineStr">
        <is>
          <t>buff</t>
        </is>
      </c>
      <c r="L644" t="n">
        <v>9012</v>
      </c>
      <c r="M644" t="inlineStr">
        <is>
          <t>8,12</t>
        </is>
      </c>
      <c r="O644" t="n">
        <v>0.5</v>
      </c>
      <c r="P644" s="80" t="inlineStr">
        <is>
          <t>黑暗籠罩</t>
        </is>
      </c>
      <c r="Q644" t="inlineStr">
        <is>
          <t>debuff</t>
        </is>
      </c>
      <c r="R644" t="n">
        <v>9012</v>
      </c>
      <c r="S644" t="inlineStr">
        <is>
          <t>5,8,11</t>
        </is>
      </c>
      <c r="U644" t="n">
        <v>0.7</v>
      </c>
      <c r="V644" t="n">
        <v>70001</v>
      </c>
      <c r="W644" t="n">
        <v>3</v>
      </c>
      <c r="X644" t="n">
        <v>1</v>
      </c>
      <c r="Y644" t="n">
        <v>70002</v>
      </c>
      <c r="Z644" t="n">
        <v>3</v>
      </c>
      <c r="AA644" t="n">
        <v>1</v>
      </c>
      <c r="AB644" t="n">
        <v>1001</v>
      </c>
      <c r="AC644" t="n">
        <v>50</v>
      </c>
      <c r="AD644" t="n">
        <v>1</v>
      </c>
      <c r="AE644" t="n">
        <v>8000</v>
      </c>
      <c r="AF644" t="n">
        <v>2330</v>
      </c>
      <c r="AG644" t="n">
        <v>1</v>
      </c>
    </row>
    <row r="645" ht="38.25" customHeight="1" s="142">
      <c r="A645" t="n">
        <v>1539</v>
      </c>
      <c r="B645" t="inlineStr">
        <is>
          <t>main</t>
        </is>
      </c>
      <c r="C645" t="n">
        <v>14</v>
      </c>
      <c r="D645" t="inlineStr">
        <is>
          <t>14-40</t>
        </is>
      </c>
      <c r="E645" t="n">
        <v>150</v>
      </c>
      <c r="G645" s="90" t="inlineStr">
        <is>
          <t>{role:-1},{state:-60018}
{id:-1},{id:-1},{id:-1},{id:-1},{id:-1}
{id:40067},{id:40066},{id:40067},{id:40056},{id:40066}</t>
        </is>
      </c>
      <c r="I645" t="n">
        <v>68595</v>
      </c>
      <c r="J645" s="80" t="inlineStr">
        <is>
          <t>亡靈低語</t>
        </is>
      </c>
      <c r="K645" t="inlineStr">
        <is>
          <t>buff</t>
        </is>
      </c>
      <c r="L645" t="n">
        <v>9002</v>
      </c>
      <c r="M645" t="inlineStr">
        <is>
          <t>3,12</t>
        </is>
      </c>
      <c r="O645" t="n">
        <v>0.6</v>
      </c>
      <c r="P645" s="80" t="inlineStr">
        <is>
          <t>黑暗籠罩</t>
        </is>
      </c>
      <c r="Q645" t="inlineStr">
        <is>
          <t>debuff</t>
        </is>
      </c>
      <c r="R645" t="n">
        <v>9007</v>
      </c>
      <c r="S645" t="n">
        <v>2</v>
      </c>
      <c r="U645" t="n">
        <v>0.6</v>
      </c>
      <c r="V645" t="n">
        <v>70001</v>
      </c>
      <c r="W645" t="n">
        <v>3</v>
      </c>
      <c r="X645" t="n">
        <v>1</v>
      </c>
      <c r="Y645" t="n">
        <v>70002</v>
      </c>
      <c r="Z645" t="n">
        <v>3</v>
      </c>
      <c r="AA645" t="n">
        <v>1</v>
      </c>
      <c r="AB645" t="n">
        <v>1001</v>
      </c>
      <c r="AC645" t="n">
        <v>50</v>
      </c>
      <c r="AD645" t="n">
        <v>1</v>
      </c>
      <c r="AE645" t="n">
        <v>8000</v>
      </c>
      <c r="AF645" t="n">
        <v>2340</v>
      </c>
      <c r="AG645" t="n">
        <v>1</v>
      </c>
    </row>
    <row r="646" ht="38.25" customHeight="1" s="142">
      <c r="A646" t="n">
        <v>1540</v>
      </c>
      <c r="B646" t="inlineStr">
        <is>
          <t>main</t>
        </is>
      </c>
      <c r="C646" t="n">
        <v>14</v>
      </c>
      <c r="D646" t="inlineStr">
        <is>
          <t>14-41</t>
        </is>
      </c>
      <c r="E646" t="n">
        <v>150</v>
      </c>
      <c r="G646" s="90" t="inlineStr">
        <is>
          <t>{role:-1},{state:-60018}
{id:-1},{id:-1},{id:-1},{id:-1},{id:-1}
{id:40085},{id:40060},{id:40060},{id:40067},{id:40056}</t>
        </is>
      </c>
      <c r="I646" t="n">
        <v>68720</v>
      </c>
      <c r="J646" s="80" t="inlineStr">
        <is>
          <t>亡靈低語</t>
        </is>
      </c>
      <c r="K646" t="inlineStr">
        <is>
          <t>buff</t>
        </is>
      </c>
      <c r="L646" t="n">
        <v>9005</v>
      </c>
      <c r="M646" t="n">
        <v>6</v>
      </c>
      <c r="O646" t="n">
        <v>0.6</v>
      </c>
      <c r="P646" s="80" t="inlineStr">
        <is>
          <t>黑暗籠罩</t>
        </is>
      </c>
      <c r="Q646" t="inlineStr">
        <is>
          <t>debuff</t>
        </is>
      </c>
      <c r="R646" t="n">
        <v>9007</v>
      </c>
      <c r="S646" t="n">
        <v>7</v>
      </c>
      <c r="U646" t="n">
        <v>0.6</v>
      </c>
      <c r="V646" t="n">
        <v>70001</v>
      </c>
      <c r="W646" t="n">
        <v>3</v>
      </c>
      <c r="X646" t="n">
        <v>1</v>
      </c>
      <c r="Y646" t="n">
        <v>70002</v>
      </c>
      <c r="Z646" t="n">
        <v>3</v>
      </c>
      <c r="AA646" t="n">
        <v>1</v>
      </c>
      <c r="AB646" t="n">
        <v>1001</v>
      </c>
      <c r="AC646" t="n">
        <v>50</v>
      </c>
      <c r="AD646" t="n">
        <v>1</v>
      </c>
      <c r="AE646" t="n">
        <v>8000</v>
      </c>
      <c r="AF646" t="n">
        <v>2340</v>
      </c>
      <c r="AG646" t="n">
        <v>1</v>
      </c>
    </row>
    <row r="647" ht="38.25" customHeight="1" s="142">
      <c r="A647" t="n">
        <v>1541</v>
      </c>
      <c r="B647" t="inlineStr">
        <is>
          <t>main</t>
        </is>
      </c>
      <c r="C647" t="n">
        <v>14</v>
      </c>
      <c r="D647" t="inlineStr">
        <is>
          <t>14-42</t>
        </is>
      </c>
      <c r="E647" t="n">
        <v>150</v>
      </c>
      <c r="G647" s="90" t="inlineStr">
        <is>
          <t>{role:-1},{state:-60018}
{id:-1},{id:-1},{id:-1},{id:-1},{id:-1}
{id:40060},{id:40085},{id:40085},{id:40056},{id:40067}</t>
        </is>
      </c>
      <c r="I647" t="n">
        <v>68845</v>
      </c>
      <c r="J647" s="80" t="inlineStr">
        <is>
          <t>亡靈低語</t>
        </is>
      </c>
      <c r="K647" t="inlineStr">
        <is>
          <t>buff</t>
        </is>
      </c>
      <c r="L647" t="n">
        <v>9012</v>
      </c>
      <c r="M647" t="inlineStr">
        <is>
          <t>5,6</t>
        </is>
      </c>
      <c r="O647" t="n">
        <v>0.9</v>
      </c>
      <c r="P647" s="80" t="inlineStr">
        <is>
          <t>黑暗籠罩</t>
        </is>
      </c>
      <c r="Q647" t="inlineStr">
        <is>
          <t>debuff</t>
        </is>
      </c>
      <c r="R647" t="n">
        <v>9003</v>
      </c>
      <c r="S647" t="n">
        <v>9</v>
      </c>
      <c r="U647" t="n">
        <v>0.4</v>
      </c>
      <c r="V647" t="n">
        <v>70001</v>
      </c>
      <c r="W647" t="n">
        <v>3</v>
      </c>
      <c r="X647" t="n">
        <v>1</v>
      </c>
      <c r="Y647" t="n">
        <v>70002</v>
      </c>
      <c r="Z647" t="n">
        <v>3</v>
      </c>
      <c r="AA647" t="n">
        <v>1</v>
      </c>
      <c r="AB647" t="n">
        <v>1001</v>
      </c>
      <c r="AC647" t="n">
        <v>50</v>
      </c>
      <c r="AD647" t="n">
        <v>1</v>
      </c>
      <c r="AE647" t="n">
        <v>8000</v>
      </c>
      <c r="AF647" t="n">
        <v>2350</v>
      </c>
      <c r="AG647" t="n">
        <v>1</v>
      </c>
    </row>
    <row r="648" ht="38.25" customHeight="1" s="142">
      <c r="A648" t="n">
        <v>1542</v>
      </c>
      <c r="B648" t="inlineStr">
        <is>
          <t>main</t>
        </is>
      </c>
      <c r="C648" t="n">
        <v>14</v>
      </c>
      <c r="D648" t="inlineStr">
        <is>
          <t>14-43</t>
        </is>
      </c>
      <c r="E648" t="n">
        <v>150</v>
      </c>
      <c r="G648" s="90" t="inlineStr">
        <is>
          <t>{role:-1},{state:-60018}
{id:-1},{id:-1},{id:-1},{id:-1},{id:-1}
{id:40067},{id:40066},{id:40085},{id:40067},{id:40060}</t>
        </is>
      </c>
      <c r="I648" t="n">
        <v>68970</v>
      </c>
      <c r="J648" s="80" t="inlineStr">
        <is>
          <t>亡靈低語</t>
        </is>
      </c>
      <c r="K648" t="inlineStr">
        <is>
          <t>buff</t>
        </is>
      </c>
      <c r="L648" t="n">
        <v>9011</v>
      </c>
      <c r="M648" t="inlineStr">
        <is>
          <t>1,7,9</t>
        </is>
      </c>
      <c r="O648" t="n">
        <v>0.7</v>
      </c>
      <c r="P648" s="80" t="inlineStr">
        <is>
          <t>黑暗籠罩</t>
        </is>
      </c>
      <c r="Q648" t="inlineStr">
        <is>
          <t>debuff</t>
        </is>
      </c>
      <c r="R648" t="n">
        <v>9003</v>
      </c>
      <c r="S648" t="inlineStr">
        <is>
          <t>7,10</t>
        </is>
      </c>
      <c r="U648" t="n">
        <v>0.9</v>
      </c>
      <c r="V648" t="n">
        <v>70001</v>
      </c>
      <c r="W648" t="n">
        <v>3</v>
      </c>
      <c r="X648" t="n">
        <v>1</v>
      </c>
      <c r="Y648" t="n">
        <v>70002</v>
      </c>
      <c r="Z648" t="n">
        <v>3</v>
      </c>
      <c r="AA648" t="n">
        <v>1</v>
      </c>
      <c r="AB648" t="n">
        <v>1001</v>
      </c>
      <c r="AC648" t="n">
        <v>50</v>
      </c>
      <c r="AD648" t="n">
        <v>1</v>
      </c>
      <c r="AE648" t="n">
        <v>8000</v>
      </c>
      <c r="AF648" t="n">
        <v>2360</v>
      </c>
      <c r="AG648" t="n">
        <v>1</v>
      </c>
    </row>
    <row r="649" ht="38.25" customHeight="1" s="142">
      <c r="A649" t="n">
        <v>1543</v>
      </c>
      <c r="B649" t="inlineStr">
        <is>
          <t>main</t>
        </is>
      </c>
      <c r="C649" t="n">
        <v>14</v>
      </c>
      <c r="D649" t="inlineStr">
        <is>
          <t>14-44</t>
        </is>
      </c>
      <c r="E649" t="n">
        <v>150</v>
      </c>
      <c r="G649" s="90" t="inlineStr">
        <is>
          <t>{role:-1},{state:-60018}
{id:-1},{id:-1},{id:-1},{id:-1},{id:-1}
{id:40060},{id:40085},{id:40056},{id:40066},{id:40067}</t>
        </is>
      </c>
      <c r="I649" t="n">
        <v>69095</v>
      </c>
      <c r="J649" s="80" t="inlineStr">
        <is>
          <t>亡靈低語</t>
        </is>
      </c>
      <c r="K649" t="inlineStr">
        <is>
          <t>buff</t>
        </is>
      </c>
      <c r="L649" t="n">
        <v>9002</v>
      </c>
      <c r="M649" t="inlineStr">
        <is>
          <t>1,8,11</t>
        </is>
      </c>
      <c r="O649" t="n">
        <v>0.5</v>
      </c>
      <c r="P649" s="80" t="inlineStr">
        <is>
          <t>黑暗籠罩</t>
        </is>
      </c>
      <c r="Q649" t="inlineStr">
        <is>
          <t>debuff</t>
        </is>
      </c>
      <c r="R649" t="n">
        <v>9010</v>
      </c>
      <c r="S649" t="inlineStr">
        <is>
          <t>3,11</t>
        </is>
      </c>
      <c r="U649" t="n">
        <v>0.3</v>
      </c>
      <c r="V649" t="n">
        <v>70001</v>
      </c>
      <c r="W649" t="n">
        <v>3</v>
      </c>
      <c r="X649" t="n">
        <v>1</v>
      </c>
      <c r="Y649" t="n">
        <v>70002</v>
      </c>
      <c r="Z649" t="n">
        <v>3</v>
      </c>
      <c r="AA649" t="n">
        <v>1</v>
      </c>
      <c r="AB649" t="n">
        <v>1001</v>
      </c>
      <c r="AC649" t="n">
        <v>50</v>
      </c>
      <c r="AD649" t="n">
        <v>1</v>
      </c>
      <c r="AE649" t="n">
        <v>8000</v>
      </c>
      <c r="AF649" t="n">
        <v>2360</v>
      </c>
      <c r="AG649" t="n">
        <v>1</v>
      </c>
    </row>
    <row r="650" ht="38.25" customHeight="1" s="142">
      <c r="A650" t="n">
        <v>1544</v>
      </c>
      <c r="B650" t="inlineStr">
        <is>
          <t>main</t>
        </is>
      </c>
      <c r="C650" t="n">
        <v>14</v>
      </c>
      <c r="D650" t="inlineStr">
        <is>
          <t>14-45</t>
        </is>
      </c>
      <c r="E650" t="n">
        <v>150</v>
      </c>
      <c r="G650" s="90" t="inlineStr">
        <is>
          <t>{role:-1},{state:-60018}
{id:-1},{id:-1},{id:-1},{id:-1},{id:-1}
{id:40060},{id:40060},{id:40056},{id:40060},{id:40067}</t>
        </is>
      </c>
      <c r="I650" t="n">
        <v>69220</v>
      </c>
      <c r="J650" s="80" t="inlineStr">
        <is>
          <t>亡靈低語</t>
        </is>
      </c>
      <c r="K650" t="inlineStr">
        <is>
          <t>buff</t>
        </is>
      </c>
      <c r="L650" t="n">
        <v>9001</v>
      </c>
      <c r="M650" t="n">
        <v>13</v>
      </c>
      <c r="O650" t="n">
        <v>0.3</v>
      </c>
      <c r="P650" s="80" t="inlineStr">
        <is>
          <t>黑暗籠罩</t>
        </is>
      </c>
      <c r="Q650" t="inlineStr">
        <is>
          <t>debuff</t>
        </is>
      </c>
      <c r="R650" t="n">
        <v>9011</v>
      </c>
      <c r="S650" t="n">
        <v>1</v>
      </c>
      <c r="U650" t="n">
        <v>0.6</v>
      </c>
      <c r="V650" t="n">
        <v>70001</v>
      </c>
      <c r="W650" t="n">
        <v>3</v>
      </c>
      <c r="X650" t="n">
        <v>1</v>
      </c>
      <c r="Y650" t="n">
        <v>70002</v>
      </c>
      <c r="Z650" t="n">
        <v>3</v>
      </c>
      <c r="AA650" t="n">
        <v>1</v>
      </c>
      <c r="AB650" t="n">
        <v>1001</v>
      </c>
      <c r="AC650" t="n">
        <v>50</v>
      </c>
      <c r="AD650" t="n">
        <v>1</v>
      </c>
      <c r="AE650" t="n">
        <v>8000</v>
      </c>
      <c r="AF650" t="n">
        <v>2370</v>
      </c>
      <c r="AG650" t="n">
        <v>1</v>
      </c>
    </row>
    <row r="651" ht="38.25" customHeight="1" s="142">
      <c r="A651" t="n">
        <v>1545</v>
      </c>
      <c r="B651" t="inlineStr">
        <is>
          <t>main</t>
        </is>
      </c>
      <c r="C651" t="n">
        <v>14</v>
      </c>
      <c r="D651" t="inlineStr">
        <is>
          <t>14-46</t>
        </is>
      </c>
      <c r="E651" t="n">
        <v>150</v>
      </c>
      <c r="G651" s="90" t="inlineStr">
        <is>
          <t>{role:-1},{state:-60018}
{id:-1},{id:-1},{id:-1},{id:-1},{id:-1}
{id:40067},{id:40085},{id:40056},{id:40066},{id:40066}</t>
        </is>
      </c>
      <c r="I651" t="n">
        <v>69345</v>
      </c>
      <c r="J651" s="80" t="inlineStr">
        <is>
          <t>亡靈低語</t>
        </is>
      </c>
      <c r="K651" t="inlineStr">
        <is>
          <t>buff</t>
        </is>
      </c>
      <c r="L651" t="n">
        <v>9012</v>
      </c>
      <c r="M651" t="n">
        <v>8</v>
      </c>
      <c r="O651" t="n">
        <v>0.8</v>
      </c>
      <c r="P651" s="80" t="inlineStr">
        <is>
          <t>黑暗籠罩</t>
        </is>
      </c>
      <c r="Q651" t="inlineStr">
        <is>
          <t>debuff</t>
        </is>
      </c>
      <c r="R651" t="n">
        <v>9004</v>
      </c>
      <c r="S651" t="inlineStr">
        <is>
          <t>8,12,13</t>
        </is>
      </c>
      <c r="U651" t="n">
        <v>0.2</v>
      </c>
      <c r="V651" t="n">
        <v>70001</v>
      </c>
      <c r="W651" t="n">
        <v>3</v>
      </c>
      <c r="X651" t="n">
        <v>1</v>
      </c>
      <c r="Y651" t="n">
        <v>70002</v>
      </c>
      <c r="Z651" t="n">
        <v>3</v>
      </c>
      <c r="AA651" t="n">
        <v>1</v>
      </c>
      <c r="AB651" t="n">
        <v>1001</v>
      </c>
      <c r="AC651" t="n">
        <v>50</v>
      </c>
      <c r="AD651" t="n">
        <v>1</v>
      </c>
      <c r="AE651" t="n">
        <v>8000</v>
      </c>
      <c r="AF651" t="n">
        <v>2370</v>
      </c>
      <c r="AG651" t="n">
        <v>1</v>
      </c>
    </row>
    <row r="652" ht="38.25" customHeight="1" s="142">
      <c r="A652" t="n">
        <v>1546</v>
      </c>
      <c r="B652" t="inlineStr">
        <is>
          <t>main</t>
        </is>
      </c>
      <c r="C652" t="n">
        <v>14</v>
      </c>
      <c r="D652" t="inlineStr">
        <is>
          <t>14-47</t>
        </is>
      </c>
      <c r="E652" t="n">
        <v>150</v>
      </c>
      <c r="G652" s="90" t="inlineStr">
        <is>
          <t>{role:-1},{state:-60018}
{id:-1},{id:-1},{id:-1},{id:-1},{id:-1}
{id:40066},{id:40056},{id:40066},{id:40056},{id:40066}</t>
        </is>
      </c>
      <c r="I652" t="n">
        <v>69470</v>
      </c>
      <c r="J652" s="80" t="inlineStr">
        <is>
          <t>亡靈低語</t>
        </is>
      </c>
      <c r="K652" t="inlineStr">
        <is>
          <t>buff</t>
        </is>
      </c>
      <c r="L652" t="n">
        <v>9006</v>
      </c>
      <c r="M652" t="inlineStr">
        <is>
          <t>1,4,6</t>
        </is>
      </c>
      <c r="O652" t="n">
        <v>0.7</v>
      </c>
      <c r="P652" s="80" t="inlineStr">
        <is>
          <t>黑暗籠罩</t>
        </is>
      </c>
      <c r="Q652" t="inlineStr">
        <is>
          <t>debuff</t>
        </is>
      </c>
      <c r="R652" t="n">
        <v>9010</v>
      </c>
      <c r="S652" t="inlineStr">
        <is>
          <t>1,6,8</t>
        </is>
      </c>
      <c r="U652" t="n">
        <v>0.9</v>
      </c>
      <c r="V652" t="n">
        <v>70001</v>
      </c>
      <c r="W652" t="n">
        <v>3</v>
      </c>
      <c r="X652" t="n">
        <v>1</v>
      </c>
      <c r="Y652" t="n">
        <v>70002</v>
      </c>
      <c r="Z652" t="n">
        <v>3</v>
      </c>
      <c r="AA652" t="n">
        <v>1</v>
      </c>
      <c r="AB652" t="n">
        <v>1001</v>
      </c>
      <c r="AC652" t="n">
        <v>50</v>
      </c>
      <c r="AD652" t="n">
        <v>1</v>
      </c>
      <c r="AE652" t="n">
        <v>8000</v>
      </c>
      <c r="AF652" t="n">
        <v>2380</v>
      </c>
      <c r="AG652" t="n">
        <v>1</v>
      </c>
    </row>
    <row r="653" ht="38.25" customHeight="1" s="142">
      <c r="A653" t="n">
        <v>1547</v>
      </c>
      <c r="B653" t="inlineStr">
        <is>
          <t>main</t>
        </is>
      </c>
      <c r="C653" t="n">
        <v>14</v>
      </c>
      <c r="D653" t="inlineStr">
        <is>
          <t>14-48</t>
        </is>
      </c>
      <c r="E653" t="n">
        <v>150</v>
      </c>
      <c r="G653" s="90" t="inlineStr">
        <is>
          <t>{role:-1},{state:-60018}
{id:-1},{id:-1},{id:-1},{id:-1},{id:-1}
{id:40060},{id:40060},{id:40085},{id:40056},{id:40067}</t>
        </is>
      </c>
      <c r="I653" t="n">
        <v>69595</v>
      </c>
      <c r="J653" s="80" t="inlineStr">
        <is>
          <t>亡靈低語</t>
        </is>
      </c>
      <c r="K653" t="inlineStr">
        <is>
          <t>buff</t>
        </is>
      </c>
      <c r="L653" t="n">
        <v>9002</v>
      </c>
      <c r="M653" t="n">
        <v>8</v>
      </c>
      <c r="O653" t="n">
        <v>0.8</v>
      </c>
      <c r="P653" s="80" t="inlineStr">
        <is>
          <t>黑暗籠罩</t>
        </is>
      </c>
      <c r="Q653" t="inlineStr">
        <is>
          <t>debuff</t>
        </is>
      </c>
      <c r="R653" t="n">
        <v>9011</v>
      </c>
      <c r="S653" t="n">
        <v>8</v>
      </c>
      <c r="U653" t="n">
        <v>0.2</v>
      </c>
      <c r="V653" t="n">
        <v>70001</v>
      </c>
      <c r="W653" t="n">
        <v>3</v>
      </c>
      <c r="X653" t="n">
        <v>1</v>
      </c>
      <c r="Y653" t="n">
        <v>70002</v>
      </c>
      <c r="Z653" t="n">
        <v>3</v>
      </c>
      <c r="AA653" t="n">
        <v>1</v>
      </c>
      <c r="AB653" t="n">
        <v>1001</v>
      </c>
      <c r="AC653" t="n">
        <v>50</v>
      </c>
      <c r="AD653" t="n">
        <v>1</v>
      </c>
      <c r="AE653" t="n">
        <v>8000</v>
      </c>
      <c r="AF653" t="n">
        <v>2380</v>
      </c>
      <c r="AG653" t="n">
        <v>1</v>
      </c>
    </row>
    <row r="654" ht="38.25" customHeight="1" s="142">
      <c r="A654" t="n">
        <v>1548</v>
      </c>
      <c r="B654" t="inlineStr">
        <is>
          <t>main</t>
        </is>
      </c>
      <c r="C654" t="n">
        <v>14</v>
      </c>
      <c r="D654" t="inlineStr">
        <is>
          <t>14-49</t>
        </is>
      </c>
      <c r="E654" t="n">
        <v>150</v>
      </c>
      <c r="G654" s="90" t="inlineStr">
        <is>
          <t>{role:-1},{state:-60018}
{id:-1},{id:-1},{id:-1},{id:-1},{id:-1}
{id:40067},{id:40085},{id:40056},{id:40060},{id:40085}</t>
        </is>
      </c>
      <c r="I654" t="n">
        <v>69720</v>
      </c>
      <c r="J654" s="80" t="inlineStr">
        <is>
          <t>亡靈低語</t>
        </is>
      </c>
      <c r="K654" t="inlineStr">
        <is>
          <t>buff</t>
        </is>
      </c>
      <c r="L654" t="n">
        <v>9011</v>
      </c>
      <c r="M654" t="n">
        <v>8</v>
      </c>
      <c r="O654" t="n">
        <v>0.9</v>
      </c>
      <c r="P654" s="80" t="inlineStr">
        <is>
          <t>黑暗籠罩</t>
        </is>
      </c>
      <c r="Q654" t="inlineStr">
        <is>
          <t>debuff</t>
        </is>
      </c>
      <c r="R654" t="n">
        <v>9004</v>
      </c>
      <c r="S654" t="inlineStr">
        <is>
          <t>6,8,13</t>
        </is>
      </c>
      <c r="U654" t="n">
        <v>0.7</v>
      </c>
      <c r="V654" t="n">
        <v>70001</v>
      </c>
      <c r="W654" t="n">
        <v>3</v>
      </c>
      <c r="X654" t="n">
        <v>1</v>
      </c>
      <c r="Y654" t="n">
        <v>70002</v>
      </c>
      <c r="Z654" t="n">
        <v>3</v>
      </c>
      <c r="AA654" t="n">
        <v>1</v>
      </c>
      <c r="AB654" t="n">
        <v>1001</v>
      </c>
      <c r="AC654" t="n">
        <v>50</v>
      </c>
      <c r="AD654" t="n">
        <v>1</v>
      </c>
      <c r="AE654" t="n">
        <v>8000</v>
      </c>
      <c r="AF654" t="n">
        <v>2390</v>
      </c>
      <c r="AG654" t="n">
        <v>1</v>
      </c>
    </row>
    <row r="655" ht="38.25" customHeight="1" s="142">
      <c r="A655" t="n">
        <v>1549</v>
      </c>
      <c r="B655" t="inlineStr">
        <is>
          <t>main</t>
        </is>
      </c>
      <c r="C655" t="n">
        <v>14</v>
      </c>
      <c r="D655" t="inlineStr">
        <is>
          <t>14-50</t>
        </is>
      </c>
      <c r="E655" t="n">
        <v>150</v>
      </c>
      <c r="G655" s="90" t="inlineStr">
        <is>
          <t>{role:-1},{state:-60018}
{id:-1},{id:-1},{id:-1},{id:-1},{id:-1}
{id:50015},{id:40060},{id:40085},{id:40056},{id:40066}</t>
        </is>
      </c>
      <c r="I655" t="n">
        <v>69845</v>
      </c>
      <c r="J655" s="80" t="inlineStr">
        <is>
          <t>亡靈低語</t>
        </is>
      </c>
      <c r="K655" t="inlineStr">
        <is>
          <t>buff</t>
        </is>
      </c>
      <c r="L655" t="n">
        <v>9005</v>
      </c>
      <c r="M655" t="inlineStr">
        <is>
          <t>4,7,12</t>
        </is>
      </c>
      <c r="O655" t="n">
        <v>0.5</v>
      </c>
      <c r="P655" s="80" t="inlineStr">
        <is>
          <t>黑暗籠罩</t>
        </is>
      </c>
      <c r="Q655" t="inlineStr">
        <is>
          <t>debuff</t>
        </is>
      </c>
      <c r="R655" t="n">
        <v>9011</v>
      </c>
      <c r="S655" t="n">
        <v>2</v>
      </c>
      <c r="U655" t="n">
        <v>0.5</v>
      </c>
      <c r="V655" t="n">
        <v>70001</v>
      </c>
      <c r="W655" t="n">
        <v>3</v>
      </c>
      <c r="X655" t="n">
        <v>1</v>
      </c>
      <c r="Y655" t="n">
        <v>70002</v>
      </c>
      <c r="Z655" t="n">
        <v>3</v>
      </c>
      <c r="AA655" t="n">
        <v>1</v>
      </c>
      <c r="AB655" t="n">
        <v>1001</v>
      </c>
      <c r="AC655" t="n">
        <v>50</v>
      </c>
      <c r="AD655" t="n">
        <v>1</v>
      </c>
      <c r="AE655" t="n">
        <v>8000</v>
      </c>
      <c r="AF655" t="n">
        <v>2400</v>
      </c>
      <c r="AG655" t="n">
        <v>1</v>
      </c>
    </row>
    <row r="656" ht="38.25" customHeight="1" s="142">
      <c r="A656" t="n">
        <v>1550</v>
      </c>
      <c r="B656" t="inlineStr">
        <is>
          <t>main</t>
        </is>
      </c>
      <c r="C656" t="n">
        <v>15</v>
      </c>
      <c r="D656" t="inlineStr">
        <is>
          <t>15-1</t>
        </is>
      </c>
      <c r="E656" t="n">
        <v>150</v>
      </c>
      <c r="G656" s="90" t="inlineStr">
        <is>
          <t>{role:-1},{state:-60019}
{id:-1},{id:-1},{id:-1},{id:-1},{id:-1}
{id:40063},{id:40086}</t>
        </is>
      </c>
      <c r="I656" t="n">
        <v>69970</v>
      </c>
      <c r="J656" s="80" t="inlineStr">
        <is>
          <t>魔王威壓</t>
        </is>
      </c>
      <c r="K656" t="inlineStr">
        <is>
          <t>buff</t>
        </is>
      </c>
      <c r="L656" t="n">
        <v>9012</v>
      </c>
      <c r="M656" t="inlineStr">
        <is>
          <t>7,11,13</t>
        </is>
      </c>
      <c r="O656" t="n">
        <v>0.7</v>
      </c>
      <c r="P656" s="80" t="inlineStr">
        <is>
          <t>深淵絕望</t>
        </is>
      </c>
      <c r="Q656" t="inlineStr">
        <is>
          <t>debuff</t>
        </is>
      </c>
      <c r="R656" t="n">
        <v>9010</v>
      </c>
      <c r="S656" t="inlineStr">
        <is>
          <t>7,10</t>
        </is>
      </c>
      <c r="U656" t="n">
        <v>0.4</v>
      </c>
      <c r="V656" t="n">
        <v>70001</v>
      </c>
      <c r="W656" t="n">
        <v>3</v>
      </c>
      <c r="X656" t="n">
        <v>1</v>
      </c>
      <c r="Y656" t="n">
        <v>70002</v>
      </c>
      <c r="Z656" t="n">
        <v>3</v>
      </c>
      <c r="AA656" t="n">
        <v>1</v>
      </c>
      <c r="AB656" t="n">
        <v>1001</v>
      </c>
      <c r="AC656" t="n">
        <v>50</v>
      </c>
      <c r="AD656" t="n">
        <v>1</v>
      </c>
      <c r="AE656" t="n">
        <v>8000</v>
      </c>
      <c r="AF656" t="n">
        <v>2400</v>
      </c>
      <c r="AG656" t="n">
        <v>1</v>
      </c>
    </row>
    <row r="657" ht="38.25" customHeight="1" s="142">
      <c r="A657" t="n">
        <v>1551</v>
      </c>
      <c r="B657" t="inlineStr">
        <is>
          <t>main</t>
        </is>
      </c>
      <c r="C657" t="n">
        <v>15</v>
      </c>
      <c r="D657" t="inlineStr">
        <is>
          <t>15-2</t>
        </is>
      </c>
      <c r="E657" t="n">
        <v>150</v>
      </c>
      <c r="G657" s="90" t="inlineStr">
        <is>
          <t>{role:-1},{state:-60019}
{id:-1},{id:-1},{id:-1},{id:-1},{id:-1}
{id:40072},{id:40063}</t>
        </is>
      </c>
      <c r="I657" t="n">
        <v>70095</v>
      </c>
      <c r="J657" s="80" t="inlineStr">
        <is>
          <t>魔王威壓</t>
        </is>
      </c>
      <c r="K657" t="inlineStr">
        <is>
          <t>buff</t>
        </is>
      </c>
      <c r="L657" t="n">
        <v>9002</v>
      </c>
      <c r="M657" t="inlineStr">
        <is>
          <t>8,13</t>
        </is>
      </c>
      <c r="O657" t="n">
        <v>0.7</v>
      </c>
      <c r="P657" s="80" t="inlineStr">
        <is>
          <t>深淵絕望</t>
        </is>
      </c>
      <c r="Q657" t="inlineStr">
        <is>
          <t>debuff</t>
        </is>
      </c>
      <c r="R657" t="n">
        <v>9012</v>
      </c>
      <c r="S657" t="inlineStr">
        <is>
          <t>6,9</t>
        </is>
      </c>
      <c r="U657" t="n">
        <v>0.8</v>
      </c>
      <c r="V657" t="n">
        <v>70001</v>
      </c>
      <c r="W657" t="n">
        <v>3</v>
      </c>
      <c r="X657" t="n">
        <v>1</v>
      </c>
      <c r="Y657" t="n">
        <v>70002</v>
      </c>
      <c r="Z657" t="n">
        <v>3</v>
      </c>
      <c r="AA657" t="n">
        <v>1</v>
      </c>
      <c r="AB657" t="n">
        <v>1001</v>
      </c>
      <c r="AC657" t="n">
        <v>50</v>
      </c>
      <c r="AD657" t="n">
        <v>1</v>
      </c>
      <c r="AE657" t="n">
        <v>8000</v>
      </c>
      <c r="AF657" t="n">
        <v>2410</v>
      </c>
      <c r="AG657" t="n">
        <v>1</v>
      </c>
    </row>
    <row r="658" ht="38.25" customHeight="1" s="142">
      <c r="A658" t="n">
        <v>1552</v>
      </c>
      <c r="B658" t="inlineStr">
        <is>
          <t>main</t>
        </is>
      </c>
      <c r="C658" t="n">
        <v>15</v>
      </c>
      <c r="D658" t="inlineStr">
        <is>
          <t>15-3</t>
        </is>
      </c>
      <c r="E658" t="n">
        <v>150</v>
      </c>
      <c r="G658" s="90" t="inlineStr">
        <is>
          <t>{role:-1},{state:-60019}
{id:-1},{id:-1},{id:-1},{id:-1},{id:-1}
{id:40069},{id:40086}</t>
        </is>
      </c>
      <c r="I658" t="n">
        <v>70220</v>
      </c>
      <c r="J658" s="80" t="inlineStr">
        <is>
          <t>魔王威壓</t>
        </is>
      </c>
      <c r="K658" t="inlineStr">
        <is>
          <t>buff</t>
        </is>
      </c>
      <c r="L658" t="n">
        <v>9001</v>
      </c>
      <c r="M658" t="inlineStr">
        <is>
          <t>2,7,10</t>
        </is>
      </c>
      <c r="O658" t="n">
        <v>0.5</v>
      </c>
      <c r="P658" s="80" t="inlineStr">
        <is>
          <t>深淵絕望</t>
        </is>
      </c>
      <c r="Q658" t="inlineStr">
        <is>
          <t>debuff</t>
        </is>
      </c>
      <c r="R658" t="n">
        <v>9004</v>
      </c>
      <c r="S658" t="n">
        <v>5</v>
      </c>
      <c r="U658" t="n">
        <v>0.6</v>
      </c>
      <c r="V658" t="n">
        <v>70001</v>
      </c>
      <c r="W658" t="n">
        <v>3</v>
      </c>
      <c r="X658" t="n">
        <v>1</v>
      </c>
      <c r="Y658" t="n">
        <v>70002</v>
      </c>
      <c r="Z658" t="n">
        <v>3</v>
      </c>
      <c r="AA658" t="n">
        <v>1</v>
      </c>
      <c r="AB658" t="n">
        <v>1001</v>
      </c>
      <c r="AC658" t="n">
        <v>50</v>
      </c>
      <c r="AD658" t="n">
        <v>1</v>
      </c>
      <c r="AE658" t="n">
        <v>8000</v>
      </c>
      <c r="AF658" t="n">
        <v>2410</v>
      </c>
      <c r="AG658" t="n">
        <v>1</v>
      </c>
    </row>
    <row r="659" ht="38.25" customHeight="1" s="142">
      <c r="A659" t="n">
        <v>1553</v>
      </c>
      <c r="B659" t="inlineStr">
        <is>
          <t>main</t>
        </is>
      </c>
      <c r="C659" t="n">
        <v>15</v>
      </c>
      <c r="D659" t="inlineStr">
        <is>
          <t>15-4</t>
        </is>
      </c>
      <c r="E659" t="n">
        <v>150</v>
      </c>
      <c r="G659" s="90" t="inlineStr">
        <is>
          <t>{role:-1},{state:-60019}
{id:-1},{id:-1},{id:-1},{id:-1},{id:-1}
{id:40072},{id:40072}</t>
        </is>
      </c>
      <c r="I659" t="n">
        <v>70345</v>
      </c>
      <c r="J659" s="80" t="inlineStr">
        <is>
          <t>魔王威壓</t>
        </is>
      </c>
      <c r="K659" t="inlineStr">
        <is>
          <t>buff</t>
        </is>
      </c>
      <c r="L659" t="n">
        <v>9007</v>
      </c>
      <c r="M659" t="inlineStr">
        <is>
          <t>3,4,7</t>
        </is>
      </c>
      <c r="O659" t="n">
        <v>0.3</v>
      </c>
      <c r="P659" s="80" t="inlineStr">
        <is>
          <t>深淵絕望</t>
        </is>
      </c>
      <c r="Q659" t="inlineStr">
        <is>
          <t>debuff</t>
        </is>
      </c>
      <c r="R659" t="n">
        <v>9007</v>
      </c>
      <c r="S659" t="n">
        <v>1</v>
      </c>
      <c r="U659" t="n">
        <v>0.6</v>
      </c>
      <c r="V659" t="n">
        <v>70001</v>
      </c>
      <c r="W659" t="n">
        <v>3</v>
      </c>
      <c r="X659" t="n">
        <v>1</v>
      </c>
      <c r="Y659" t="n">
        <v>70002</v>
      </c>
      <c r="Z659" t="n">
        <v>3</v>
      </c>
      <c r="AA659" t="n">
        <v>1</v>
      </c>
      <c r="AB659" t="n">
        <v>1001</v>
      </c>
      <c r="AC659" t="n">
        <v>50</v>
      </c>
      <c r="AD659" t="n">
        <v>1</v>
      </c>
      <c r="AE659" t="n">
        <v>8000</v>
      </c>
      <c r="AF659" t="n">
        <v>2420</v>
      </c>
      <c r="AG659" t="n">
        <v>1</v>
      </c>
    </row>
    <row r="660" ht="38.25" customHeight="1" s="142">
      <c r="A660" t="n">
        <v>1554</v>
      </c>
      <c r="B660" t="inlineStr">
        <is>
          <t>main</t>
        </is>
      </c>
      <c r="C660" t="n">
        <v>15</v>
      </c>
      <c r="D660" t="inlineStr">
        <is>
          <t>15-5</t>
        </is>
      </c>
      <c r="E660" t="n">
        <v>150</v>
      </c>
      <c r="G660" s="90" t="inlineStr">
        <is>
          <t>{role:-1},{state:-60019}
{id:-1},{id:-1},{id:-1},{id:-1},{id:-1}
{id:40072},{id:40063}</t>
        </is>
      </c>
      <c r="I660" t="n">
        <v>70470</v>
      </c>
      <c r="J660" s="80" t="inlineStr">
        <is>
          <t>魔王威壓</t>
        </is>
      </c>
      <c r="K660" t="inlineStr">
        <is>
          <t>buff</t>
        </is>
      </c>
      <c r="L660" t="n">
        <v>9011</v>
      </c>
      <c r="M660" t="n">
        <v>2</v>
      </c>
      <c r="O660" t="n">
        <v>0.3</v>
      </c>
      <c r="P660" s="80" t="inlineStr">
        <is>
          <t>深淵絕望</t>
        </is>
      </c>
      <c r="Q660" t="inlineStr">
        <is>
          <t>debuff</t>
        </is>
      </c>
      <c r="R660" t="n">
        <v>9008</v>
      </c>
      <c r="S660" t="n">
        <v>4</v>
      </c>
      <c r="U660" t="n">
        <v>0.8</v>
      </c>
      <c r="V660" t="n">
        <v>70001</v>
      </c>
      <c r="W660" t="n">
        <v>3</v>
      </c>
      <c r="X660" t="n">
        <v>1</v>
      </c>
      <c r="Y660" t="n">
        <v>70002</v>
      </c>
      <c r="Z660" t="n">
        <v>3</v>
      </c>
      <c r="AA660" t="n">
        <v>1</v>
      </c>
      <c r="AB660" t="n">
        <v>1001</v>
      </c>
      <c r="AC660" t="n">
        <v>50</v>
      </c>
      <c r="AD660" t="n">
        <v>1</v>
      </c>
      <c r="AE660" t="n">
        <v>8000</v>
      </c>
      <c r="AF660" t="n">
        <v>2420</v>
      </c>
      <c r="AG660" t="n">
        <v>1</v>
      </c>
    </row>
    <row r="661" ht="38.25" customHeight="1" s="142">
      <c r="A661" t="n">
        <v>1555</v>
      </c>
      <c r="B661" t="inlineStr">
        <is>
          <t>main</t>
        </is>
      </c>
      <c r="C661" t="n">
        <v>15</v>
      </c>
      <c r="D661" t="inlineStr">
        <is>
          <t>15-6</t>
        </is>
      </c>
      <c r="E661" t="n">
        <v>150</v>
      </c>
      <c r="G661" s="90" t="inlineStr">
        <is>
          <t>{role:-1},{state:-60019}
{id:-1},{id:-1},{id:-1},{id:-1},{id:-1}
{id:40087},{id:40069},{id:40063}</t>
        </is>
      </c>
      <c r="I661" t="n">
        <v>70595</v>
      </c>
      <c r="J661" s="80" t="inlineStr">
        <is>
          <t>魔王威壓</t>
        </is>
      </c>
      <c r="K661" t="inlineStr">
        <is>
          <t>buff</t>
        </is>
      </c>
      <c r="L661" t="n">
        <v>9012</v>
      </c>
      <c r="M661" t="inlineStr">
        <is>
          <t>7,8</t>
        </is>
      </c>
      <c r="O661" t="n">
        <v>0.2</v>
      </c>
      <c r="P661" s="80" t="inlineStr">
        <is>
          <t>深淵絕望</t>
        </is>
      </c>
      <c r="Q661" t="inlineStr">
        <is>
          <t>debuff</t>
        </is>
      </c>
      <c r="R661" t="n">
        <v>9004</v>
      </c>
      <c r="S661" t="inlineStr">
        <is>
          <t>6,10,13</t>
        </is>
      </c>
      <c r="U661" t="n">
        <v>0.9</v>
      </c>
      <c r="V661" t="n">
        <v>70001</v>
      </c>
      <c r="W661" t="n">
        <v>3</v>
      </c>
      <c r="X661" t="n">
        <v>1</v>
      </c>
      <c r="Y661" t="n">
        <v>70002</v>
      </c>
      <c r="Z661" t="n">
        <v>3</v>
      </c>
      <c r="AA661" t="n">
        <v>1</v>
      </c>
      <c r="AB661" t="n">
        <v>1001</v>
      </c>
      <c r="AC661" t="n">
        <v>50</v>
      </c>
      <c r="AD661" t="n">
        <v>1</v>
      </c>
      <c r="AE661" t="n">
        <v>8000</v>
      </c>
      <c r="AF661" t="n">
        <v>2430</v>
      </c>
      <c r="AG661" t="n">
        <v>1</v>
      </c>
    </row>
    <row r="662" ht="38.25" customHeight="1" s="142">
      <c r="A662" t="n">
        <v>1556</v>
      </c>
      <c r="B662" t="inlineStr">
        <is>
          <t>main</t>
        </is>
      </c>
      <c r="C662" t="n">
        <v>15</v>
      </c>
      <c r="D662" t="inlineStr">
        <is>
          <t>15-7</t>
        </is>
      </c>
      <c r="E662" t="n">
        <v>150</v>
      </c>
      <c r="G662" s="90" t="inlineStr">
        <is>
          <t>{role:-1},{state:-60019}
{id:-1},{id:-1},{id:-1},{id:-1},{id:-1}
{id:40072},{id:40072},{id:40063}</t>
        </is>
      </c>
      <c r="I662" t="n">
        <v>70720</v>
      </c>
      <c r="J662" s="80" t="inlineStr">
        <is>
          <t>魔王威壓</t>
        </is>
      </c>
      <c r="K662" t="inlineStr">
        <is>
          <t>buff</t>
        </is>
      </c>
      <c r="L662" t="n">
        <v>9011</v>
      </c>
      <c r="M662" t="n">
        <v>1</v>
      </c>
      <c r="O662" t="n">
        <v>0.8</v>
      </c>
      <c r="P662" s="80" t="inlineStr">
        <is>
          <t>深淵絕望</t>
        </is>
      </c>
      <c r="Q662" t="inlineStr">
        <is>
          <t>debuff</t>
        </is>
      </c>
      <c r="R662" t="n">
        <v>9004</v>
      </c>
      <c r="S662" t="inlineStr">
        <is>
          <t>3,9</t>
        </is>
      </c>
      <c r="U662" t="n">
        <v>0.6</v>
      </c>
      <c r="V662" t="n">
        <v>70001</v>
      </c>
      <c r="W662" t="n">
        <v>3</v>
      </c>
      <c r="X662" t="n">
        <v>1</v>
      </c>
      <c r="Y662" t="n">
        <v>70002</v>
      </c>
      <c r="Z662" t="n">
        <v>3</v>
      </c>
      <c r="AA662" t="n">
        <v>1</v>
      </c>
      <c r="AB662" t="n">
        <v>1001</v>
      </c>
      <c r="AC662" t="n">
        <v>50</v>
      </c>
      <c r="AD662" t="n">
        <v>1</v>
      </c>
      <c r="AE662" t="n">
        <v>8000</v>
      </c>
      <c r="AF662" t="n">
        <v>2440</v>
      </c>
      <c r="AG662" t="n">
        <v>1</v>
      </c>
    </row>
    <row r="663" ht="38.25" customHeight="1" s="142">
      <c r="A663" t="n">
        <v>1557</v>
      </c>
      <c r="B663" t="inlineStr">
        <is>
          <t>main</t>
        </is>
      </c>
      <c r="C663" t="n">
        <v>15</v>
      </c>
      <c r="D663" t="inlineStr">
        <is>
          <t>15-8</t>
        </is>
      </c>
      <c r="E663" t="n">
        <v>150</v>
      </c>
      <c r="G663" s="90" t="inlineStr">
        <is>
          <t>{role:-1},{state:-60019}
{id:-1},{id:-1},{id:-1},{id:-1},{id:-1}
{id:40087},{id:40087},{id:40072}</t>
        </is>
      </c>
      <c r="I663" t="n">
        <v>70845</v>
      </c>
      <c r="J663" s="80" t="inlineStr">
        <is>
          <t>魔王威壓</t>
        </is>
      </c>
      <c r="K663" t="inlineStr">
        <is>
          <t>buff</t>
        </is>
      </c>
      <c r="L663" t="n">
        <v>9001</v>
      </c>
      <c r="M663" t="n">
        <v>3</v>
      </c>
      <c r="O663" t="n">
        <v>0.8</v>
      </c>
      <c r="P663" s="80" t="inlineStr">
        <is>
          <t>深淵絕望</t>
        </is>
      </c>
      <c r="Q663" t="inlineStr">
        <is>
          <t>debuff</t>
        </is>
      </c>
      <c r="R663" t="n">
        <v>9004</v>
      </c>
      <c r="S663" t="n">
        <v>5</v>
      </c>
      <c r="U663" t="n">
        <v>0.1</v>
      </c>
      <c r="V663" t="n">
        <v>70001</v>
      </c>
      <c r="W663" t="n">
        <v>3</v>
      </c>
      <c r="X663" t="n">
        <v>1</v>
      </c>
      <c r="Y663" t="n">
        <v>70002</v>
      </c>
      <c r="Z663" t="n">
        <v>3</v>
      </c>
      <c r="AA663" t="n">
        <v>1</v>
      </c>
      <c r="AB663" t="n">
        <v>1001</v>
      </c>
      <c r="AC663" t="n">
        <v>50</v>
      </c>
      <c r="AD663" t="n">
        <v>1</v>
      </c>
      <c r="AE663" t="n">
        <v>8000</v>
      </c>
      <c r="AF663" t="n">
        <v>2440</v>
      </c>
      <c r="AG663" t="n">
        <v>1</v>
      </c>
    </row>
    <row r="664" ht="38.25" customHeight="1" s="142">
      <c r="A664" t="n">
        <v>1558</v>
      </c>
      <c r="B664" t="inlineStr">
        <is>
          <t>main</t>
        </is>
      </c>
      <c r="C664" t="n">
        <v>15</v>
      </c>
      <c r="D664" t="inlineStr">
        <is>
          <t>15-9</t>
        </is>
      </c>
      <c r="E664" t="n">
        <v>150</v>
      </c>
      <c r="G664" s="90" t="inlineStr">
        <is>
          <t>{role:-1},{state:-60019}
{id:-1},{id:-1},{id:-1},{id:-1},{id:-1}
{id:40086},{id:40069},{id:40069}</t>
        </is>
      </c>
      <c r="I664" t="n">
        <v>70970</v>
      </c>
      <c r="J664" s="80" t="inlineStr">
        <is>
          <t>魔王威壓</t>
        </is>
      </c>
      <c r="K664" t="inlineStr">
        <is>
          <t>buff</t>
        </is>
      </c>
      <c r="L664" t="n">
        <v>9001</v>
      </c>
      <c r="M664" t="n">
        <v>13</v>
      </c>
      <c r="O664" t="n">
        <v>0.8</v>
      </c>
      <c r="P664" s="80" t="inlineStr">
        <is>
          <t>深淵絕望</t>
        </is>
      </c>
      <c r="Q664" t="inlineStr">
        <is>
          <t>debuff</t>
        </is>
      </c>
      <c r="R664" t="n">
        <v>9011</v>
      </c>
      <c r="S664" t="inlineStr">
        <is>
          <t>6,10,12</t>
        </is>
      </c>
      <c r="U664" t="n">
        <v>0.9</v>
      </c>
      <c r="V664" t="n">
        <v>70001</v>
      </c>
      <c r="W664" t="n">
        <v>3</v>
      </c>
      <c r="X664" t="n">
        <v>1</v>
      </c>
      <c r="Y664" t="n">
        <v>70002</v>
      </c>
      <c r="Z664" t="n">
        <v>3</v>
      </c>
      <c r="AA664" t="n">
        <v>1</v>
      </c>
      <c r="AB664" t="n">
        <v>1001</v>
      </c>
      <c r="AC664" t="n">
        <v>50</v>
      </c>
      <c r="AD664" t="n">
        <v>1</v>
      </c>
      <c r="AE664" t="n">
        <v>8000</v>
      </c>
      <c r="AF664" t="n">
        <v>2450</v>
      </c>
      <c r="AG664" t="n">
        <v>1</v>
      </c>
    </row>
    <row r="665" ht="38.25" customHeight="1" s="142">
      <c r="A665" t="n">
        <v>1559</v>
      </c>
      <c r="B665" t="inlineStr">
        <is>
          <t>main</t>
        </is>
      </c>
      <c r="C665" t="n">
        <v>15</v>
      </c>
      <c r="D665" t="inlineStr">
        <is>
          <t>15-10</t>
        </is>
      </c>
      <c r="E665" t="n">
        <v>150</v>
      </c>
      <c r="G665" s="90" t="inlineStr">
        <is>
          <t>{role:-1},{state:-60019}
{id:-1},{id:-1},{id:-1},{id:-1},{id:-1}
{id:40063},{id:40086},{id:40069}</t>
        </is>
      </c>
      <c r="I665" t="n">
        <v>71095</v>
      </c>
      <c r="J665" s="80" t="inlineStr">
        <is>
          <t>魔王威壓</t>
        </is>
      </c>
      <c r="K665" t="inlineStr">
        <is>
          <t>buff</t>
        </is>
      </c>
      <c r="L665" t="n">
        <v>9001</v>
      </c>
      <c r="M665" t="inlineStr">
        <is>
          <t>5,10</t>
        </is>
      </c>
      <c r="O665" t="n">
        <v>0.1</v>
      </c>
      <c r="P665" s="80" t="inlineStr">
        <is>
          <t>深淵絕望</t>
        </is>
      </c>
      <c r="Q665" t="inlineStr">
        <is>
          <t>debuff</t>
        </is>
      </c>
      <c r="R665" t="n">
        <v>9010</v>
      </c>
      <c r="S665" t="inlineStr">
        <is>
          <t>8,12,13</t>
        </is>
      </c>
      <c r="U665" t="n">
        <v>0.2</v>
      </c>
      <c r="V665" t="n">
        <v>70001</v>
      </c>
      <c r="W665" t="n">
        <v>3</v>
      </c>
      <c r="X665" t="n">
        <v>1</v>
      </c>
      <c r="Y665" t="n">
        <v>70002</v>
      </c>
      <c r="Z665" t="n">
        <v>3</v>
      </c>
      <c r="AA665" t="n">
        <v>1</v>
      </c>
      <c r="AB665" t="n">
        <v>1001</v>
      </c>
      <c r="AC665" t="n">
        <v>50</v>
      </c>
      <c r="AD665" t="n">
        <v>1</v>
      </c>
      <c r="AE665" t="n">
        <v>8000</v>
      </c>
      <c r="AF665" t="n">
        <v>2450</v>
      </c>
      <c r="AG665" t="n">
        <v>1</v>
      </c>
    </row>
    <row r="666" ht="38.25" customHeight="1" s="142">
      <c r="A666" t="n">
        <v>1560</v>
      </c>
      <c r="B666" t="inlineStr">
        <is>
          <t>main</t>
        </is>
      </c>
      <c r="C666" t="n">
        <v>15</v>
      </c>
      <c r="D666" t="inlineStr">
        <is>
          <t>15-11</t>
        </is>
      </c>
      <c r="E666" t="n">
        <v>150</v>
      </c>
      <c r="G666" s="90" t="inlineStr">
        <is>
          <t>{role:-1},{state:-60019}
{id:-1},{id:-1},{id:-1},{id:-1},{id:-1}
{id:40063},{id:40087},{id:40086}</t>
        </is>
      </c>
      <c r="I666" t="n">
        <v>71220</v>
      </c>
      <c r="J666" s="80" t="inlineStr">
        <is>
          <t>魔王威壓</t>
        </is>
      </c>
      <c r="K666" t="inlineStr">
        <is>
          <t>buff</t>
        </is>
      </c>
      <c r="L666" t="n">
        <v>9007</v>
      </c>
      <c r="M666" t="inlineStr">
        <is>
          <t>2,5,10</t>
        </is>
      </c>
      <c r="O666" t="n">
        <v>0.7</v>
      </c>
      <c r="P666" s="80" t="inlineStr">
        <is>
          <t>深淵絕望</t>
        </is>
      </c>
      <c r="Q666" t="inlineStr">
        <is>
          <t>debuff</t>
        </is>
      </c>
      <c r="R666" t="n">
        <v>9008</v>
      </c>
      <c r="S666" t="n">
        <v>8</v>
      </c>
      <c r="U666" t="n">
        <v>0.9</v>
      </c>
      <c r="V666" t="n">
        <v>70001</v>
      </c>
      <c r="W666" t="n">
        <v>3</v>
      </c>
      <c r="X666" t="n">
        <v>1</v>
      </c>
      <c r="Y666" t="n">
        <v>70002</v>
      </c>
      <c r="Z666" t="n">
        <v>3</v>
      </c>
      <c r="AA666" t="n">
        <v>1</v>
      </c>
      <c r="AB666" t="n">
        <v>1001</v>
      </c>
      <c r="AC666" t="n">
        <v>50</v>
      </c>
      <c r="AD666" t="n">
        <v>1</v>
      </c>
      <c r="AE666" t="n">
        <v>8000</v>
      </c>
      <c r="AF666" t="n">
        <v>2460</v>
      </c>
      <c r="AG666" t="n">
        <v>1</v>
      </c>
    </row>
    <row r="667" ht="38.25" customHeight="1" s="142">
      <c r="A667" t="n">
        <v>1561</v>
      </c>
      <c r="B667" t="inlineStr">
        <is>
          <t>main</t>
        </is>
      </c>
      <c r="C667" t="n">
        <v>15</v>
      </c>
      <c r="D667" t="inlineStr">
        <is>
          <t>15-12</t>
        </is>
      </c>
      <c r="E667" t="n">
        <v>150</v>
      </c>
      <c r="G667" s="90" t="inlineStr">
        <is>
          <t>{role:-1},{state:-60019}
{id:-1},{id:-1},{id:-1},{id:-1},{id:-1}
{id:40063},{id:40069},{id:40072}</t>
        </is>
      </c>
      <c r="I667" t="n">
        <v>71345</v>
      </c>
      <c r="J667" s="80" t="inlineStr">
        <is>
          <t>魔王威壓</t>
        </is>
      </c>
      <c r="K667" t="inlineStr">
        <is>
          <t>buff</t>
        </is>
      </c>
      <c r="L667" t="n">
        <v>9005</v>
      </c>
      <c r="M667" t="inlineStr">
        <is>
          <t>7,11</t>
        </is>
      </c>
      <c r="O667" t="n">
        <v>0.2</v>
      </c>
      <c r="P667" s="80" t="inlineStr">
        <is>
          <t>深淵絕望</t>
        </is>
      </c>
      <c r="Q667" t="inlineStr">
        <is>
          <t>debuff</t>
        </is>
      </c>
      <c r="R667" t="n">
        <v>9011</v>
      </c>
      <c r="S667" t="inlineStr">
        <is>
          <t>2,5</t>
        </is>
      </c>
      <c r="U667" t="n">
        <v>0.6</v>
      </c>
      <c r="V667" t="n">
        <v>70001</v>
      </c>
      <c r="W667" t="n">
        <v>3</v>
      </c>
      <c r="X667" t="n">
        <v>1</v>
      </c>
      <c r="Y667" t="n">
        <v>70002</v>
      </c>
      <c r="Z667" t="n">
        <v>3</v>
      </c>
      <c r="AA667" t="n">
        <v>1</v>
      </c>
      <c r="AB667" t="n">
        <v>1001</v>
      </c>
      <c r="AC667" t="n">
        <v>50</v>
      </c>
      <c r="AD667" t="n">
        <v>1</v>
      </c>
      <c r="AE667" t="n">
        <v>8000</v>
      </c>
      <c r="AF667" t="n">
        <v>2460</v>
      </c>
      <c r="AG667" t="n">
        <v>1</v>
      </c>
    </row>
    <row r="668" ht="38.25" customHeight="1" s="142">
      <c r="A668" t="n">
        <v>1562</v>
      </c>
      <c r="B668" t="inlineStr">
        <is>
          <t>main</t>
        </is>
      </c>
      <c r="C668" t="n">
        <v>15</v>
      </c>
      <c r="D668" t="inlineStr">
        <is>
          <t>15-13</t>
        </is>
      </c>
      <c r="E668" t="n">
        <v>150</v>
      </c>
      <c r="G668" s="90" t="inlineStr">
        <is>
          <t>{role:-1},{state:-60019}
{id:-1},{id:-1},{id:-1},{id:-1},{id:-1}
{id:40072},{id:40069},{id:40072}</t>
        </is>
      </c>
      <c r="I668" t="n">
        <v>71470</v>
      </c>
      <c r="J668" s="80" t="inlineStr">
        <is>
          <t>魔王威壓</t>
        </is>
      </c>
      <c r="K668" t="inlineStr">
        <is>
          <t>buff</t>
        </is>
      </c>
      <c r="L668" t="n">
        <v>9011</v>
      </c>
      <c r="M668" t="inlineStr">
        <is>
          <t>4,12,13</t>
        </is>
      </c>
      <c r="O668" t="n">
        <v>0.6</v>
      </c>
      <c r="P668" s="80" t="inlineStr">
        <is>
          <t>深淵絕望</t>
        </is>
      </c>
      <c r="Q668" t="inlineStr">
        <is>
          <t>debuff</t>
        </is>
      </c>
      <c r="R668" t="n">
        <v>9012</v>
      </c>
      <c r="S668" t="inlineStr">
        <is>
          <t>2,11,13</t>
        </is>
      </c>
      <c r="U668" t="n">
        <v>0.4</v>
      </c>
      <c r="V668" t="n">
        <v>70001</v>
      </c>
      <c r="W668" t="n">
        <v>3</v>
      </c>
      <c r="X668" t="n">
        <v>1</v>
      </c>
      <c r="Y668" t="n">
        <v>70002</v>
      </c>
      <c r="Z668" t="n">
        <v>3</v>
      </c>
      <c r="AA668" t="n">
        <v>1</v>
      </c>
      <c r="AB668" t="n">
        <v>1001</v>
      </c>
      <c r="AC668" t="n">
        <v>50</v>
      </c>
      <c r="AD668" t="n">
        <v>1</v>
      </c>
      <c r="AE668" t="n">
        <v>8000</v>
      </c>
      <c r="AF668" t="n">
        <v>2470</v>
      </c>
      <c r="AG668" t="n">
        <v>1</v>
      </c>
    </row>
    <row r="669" ht="38.25" customHeight="1" s="142">
      <c r="A669" t="n">
        <v>1563</v>
      </c>
      <c r="B669" t="inlineStr">
        <is>
          <t>main</t>
        </is>
      </c>
      <c r="C669" t="n">
        <v>15</v>
      </c>
      <c r="D669" t="inlineStr">
        <is>
          <t>15-14</t>
        </is>
      </c>
      <c r="E669" t="n">
        <v>150</v>
      </c>
      <c r="G669" s="90" t="inlineStr">
        <is>
          <t>{role:-1},{state:-60019}
{id:-1},{id:-1},{id:-1},{id:-1},{id:-1}
{id:40086},{id:40086},{id:40086}</t>
        </is>
      </c>
      <c r="I669" t="n">
        <v>71595</v>
      </c>
      <c r="J669" s="80" t="inlineStr">
        <is>
          <t>魔王威壓</t>
        </is>
      </c>
      <c r="K669" t="inlineStr">
        <is>
          <t>buff</t>
        </is>
      </c>
      <c r="L669" t="n">
        <v>9007</v>
      </c>
      <c r="M669" t="inlineStr">
        <is>
          <t>3,7,10</t>
        </is>
      </c>
      <c r="O669" t="n">
        <v>0.1</v>
      </c>
      <c r="P669" s="80" t="inlineStr">
        <is>
          <t>深淵絕望</t>
        </is>
      </c>
      <c r="Q669" t="inlineStr">
        <is>
          <t>debuff</t>
        </is>
      </c>
      <c r="R669" t="n">
        <v>9011</v>
      </c>
      <c r="S669" t="n">
        <v>12</v>
      </c>
      <c r="U669" t="n">
        <v>0.2</v>
      </c>
      <c r="V669" t="n">
        <v>70001</v>
      </c>
      <c r="W669" t="n">
        <v>3</v>
      </c>
      <c r="X669" t="n">
        <v>1</v>
      </c>
      <c r="Y669" t="n">
        <v>70002</v>
      </c>
      <c r="Z669" t="n">
        <v>3</v>
      </c>
      <c r="AA669" t="n">
        <v>1</v>
      </c>
      <c r="AB669" t="n">
        <v>1001</v>
      </c>
      <c r="AC669" t="n">
        <v>50</v>
      </c>
      <c r="AD669" t="n">
        <v>1</v>
      </c>
      <c r="AE669" t="n">
        <v>8000</v>
      </c>
      <c r="AF669" t="n">
        <v>2470</v>
      </c>
      <c r="AG669" t="n">
        <v>1</v>
      </c>
    </row>
    <row r="670" ht="38.25" customHeight="1" s="142">
      <c r="A670" t="n">
        <v>1564</v>
      </c>
      <c r="B670" t="inlineStr">
        <is>
          <t>main</t>
        </is>
      </c>
      <c r="C670" t="n">
        <v>15</v>
      </c>
      <c r="D670" t="inlineStr">
        <is>
          <t>15-15</t>
        </is>
      </c>
      <c r="E670" t="n">
        <v>150</v>
      </c>
      <c r="G670" s="90" t="inlineStr">
        <is>
          <t>{role:-1},{state:-60019}
{id:-1},{id:-1},{id:-1},{id:-1},{id:-1}
{id:40072},{id:40086},{id:40063}</t>
        </is>
      </c>
      <c r="I670" t="n">
        <v>71720</v>
      </c>
      <c r="J670" s="80" t="inlineStr">
        <is>
          <t>魔王威壓</t>
        </is>
      </c>
      <c r="K670" t="inlineStr">
        <is>
          <t>buff</t>
        </is>
      </c>
      <c r="L670" t="n">
        <v>9001</v>
      </c>
      <c r="M670" t="inlineStr">
        <is>
          <t>4,8</t>
        </is>
      </c>
      <c r="O670" t="n">
        <v>0.6</v>
      </c>
      <c r="P670" s="80" t="inlineStr">
        <is>
          <t>深淵絕望</t>
        </is>
      </c>
      <c r="Q670" t="inlineStr">
        <is>
          <t>debuff</t>
        </is>
      </c>
      <c r="R670" t="n">
        <v>9004</v>
      </c>
      <c r="S670" t="inlineStr">
        <is>
          <t>6,8,13</t>
        </is>
      </c>
      <c r="U670" t="n">
        <v>0.6</v>
      </c>
      <c r="V670" t="n">
        <v>70001</v>
      </c>
      <c r="W670" t="n">
        <v>3</v>
      </c>
      <c r="X670" t="n">
        <v>1</v>
      </c>
      <c r="Y670" t="n">
        <v>70002</v>
      </c>
      <c r="Z670" t="n">
        <v>3</v>
      </c>
      <c r="AA670" t="n">
        <v>1</v>
      </c>
      <c r="AB670" t="n">
        <v>1001</v>
      </c>
      <c r="AC670" t="n">
        <v>50</v>
      </c>
      <c r="AD670" t="n">
        <v>1</v>
      </c>
      <c r="AE670" t="n">
        <v>8000</v>
      </c>
      <c r="AF670" t="n">
        <v>2480</v>
      </c>
      <c r="AG670" t="n">
        <v>1</v>
      </c>
    </row>
    <row r="671" ht="38.25" customHeight="1" s="142">
      <c r="A671" t="n">
        <v>1565</v>
      </c>
      <c r="B671" t="inlineStr">
        <is>
          <t>main</t>
        </is>
      </c>
      <c r="C671" t="n">
        <v>15</v>
      </c>
      <c r="D671" t="inlineStr">
        <is>
          <t>15-16</t>
        </is>
      </c>
      <c r="E671" t="n">
        <v>150</v>
      </c>
      <c r="G671" s="90" t="inlineStr">
        <is>
          <t>{role:-1},{state:-60019}
{id:-1},{id:-1},{id:-1},{id:-1},{id:-1}
{id:40087},{id:40069},{id:40087},{id:40086}</t>
        </is>
      </c>
      <c r="I671" t="n">
        <v>71845</v>
      </c>
      <c r="J671" s="80" t="inlineStr">
        <is>
          <t>魔王威壓</t>
        </is>
      </c>
      <c r="K671" t="inlineStr">
        <is>
          <t>buff</t>
        </is>
      </c>
      <c r="L671" t="n">
        <v>9007</v>
      </c>
      <c r="M671" t="inlineStr">
        <is>
          <t>4,11,13</t>
        </is>
      </c>
      <c r="O671" t="n">
        <v>0.8</v>
      </c>
      <c r="P671" s="80" t="inlineStr">
        <is>
          <t>深淵絕望</t>
        </is>
      </c>
      <c r="Q671" t="inlineStr">
        <is>
          <t>debuff</t>
        </is>
      </c>
      <c r="R671" t="n">
        <v>9010</v>
      </c>
      <c r="S671" t="n">
        <v>11</v>
      </c>
      <c r="U671" t="n">
        <v>0.2</v>
      </c>
      <c r="V671" t="n">
        <v>70001</v>
      </c>
      <c r="W671" t="n">
        <v>3</v>
      </c>
      <c r="X671" t="n">
        <v>1</v>
      </c>
      <c r="Y671" t="n">
        <v>70002</v>
      </c>
      <c r="Z671" t="n">
        <v>3</v>
      </c>
      <c r="AA671" t="n">
        <v>1</v>
      </c>
      <c r="AB671" t="n">
        <v>1001</v>
      </c>
      <c r="AC671" t="n">
        <v>50</v>
      </c>
      <c r="AD671" t="n">
        <v>1</v>
      </c>
      <c r="AE671" t="n">
        <v>8000</v>
      </c>
      <c r="AF671" t="n">
        <v>2490</v>
      </c>
      <c r="AG671" t="n">
        <v>1</v>
      </c>
    </row>
    <row r="672" ht="38.25" customHeight="1" s="142">
      <c r="A672" t="n">
        <v>1566</v>
      </c>
      <c r="B672" t="inlineStr">
        <is>
          <t>main</t>
        </is>
      </c>
      <c r="C672" t="n">
        <v>15</v>
      </c>
      <c r="D672" t="inlineStr">
        <is>
          <t>15-17</t>
        </is>
      </c>
      <c r="E672" t="n">
        <v>150</v>
      </c>
      <c r="G672" s="90" t="inlineStr">
        <is>
          <t>{role:-1},{state:-60019}
{id:-1},{id:-1},{id:-1},{id:-1},{id:-1}
{id:40086},{id:40087},{id:40069},{id:40063}</t>
        </is>
      </c>
      <c r="I672" t="n">
        <v>71970</v>
      </c>
      <c r="J672" s="80" t="inlineStr">
        <is>
          <t>魔王威壓</t>
        </is>
      </c>
      <c r="K672" t="inlineStr">
        <is>
          <t>buff</t>
        </is>
      </c>
      <c r="L672" t="n">
        <v>9008</v>
      </c>
      <c r="M672" t="n">
        <v>12</v>
      </c>
      <c r="O672" t="n">
        <v>0.5</v>
      </c>
      <c r="P672" s="80" t="inlineStr">
        <is>
          <t>深淵絕望</t>
        </is>
      </c>
      <c r="Q672" t="inlineStr">
        <is>
          <t>debuff</t>
        </is>
      </c>
      <c r="R672" t="n">
        <v>9007</v>
      </c>
      <c r="S672" t="inlineStr">
        <is>
          <t>3,10,12</t>
        </is>
      </c>
      <c r="U672" t="n">
        <v>0.3</v>
      </c>
      <c r="V672" t="n">
        <v>70001</v>
      </c>
      <c r="W672" t="n">
        <v>3</v>
      </c>
      <c r="X672" t="n">
        <v>1</v>
      </c>
      <c r="Y672" t="n">
        <v>70002</v>
      </c>
      <c r="Z672" t="n">
        <v>3</v>
      </c>
      <c r="AA672" t="n">
        <v>1</v>
      </c>
      <c r="AB672" t="n">
        <v>1001</v>
      </c>
      <c r="AC672" t="n">
        <v>50</v>
      </c>
      <c r="AD672" t="n">
        <v>1</v>
      </c>
      <c r="AE672" t="n">
        <v>8000</v>
      </c>
      <c r="AF672" t="n">
        <v>2490</v>
      </c>
      <c r="AG672" t="n">
        <v>1</v>
      </c>
    </row>
    <row r="673" ht="38.25" customHeight="1" s="142">
      <c r="A673" t="n">
        <v>1567</v>
      </c>
      <c r="B673" t="inlineStr">
        <is>
          <t>main</t>
        </is>
      </c>
      <c r="C673" t="n">
        <v>15</v>
      </c>
      <c r="D673" t="inlineStr">
        <is>
          <t>15-18</t>
        </is>
      </c>
      <c r="E673" t="n">
        <v>150</v>
      </c>
      <c r="G673" s="90" t="inlineStr">
        <is>
          <t>{role:-1},{state:-60019}
{id:-1},{id:-1},{id:-1},{id:-1},{id:-1}
{id:40069},{id:40072},{id:40069},{id:40086}</t>
        </is>
      </c>
      <c r="I673" t="n">
        <v>72095</v>
      </c>
      <c r="J673" s="80" t="inlineStr">
        <is>
          <t>魔王威壓</t>
        </is>
      </c>
      <c r="K673" t="inlineStr">
        <is>
          <t>buff</t>
        </is>
      </c>
      <c r="L673" t="n">
        <v>9007</v>
      </c>
      <c r="M673" t="inlineStr">
        <is>
          <t>4,13</t>
        </is>
      </c>
      <c r="O673" t="n">
        <v>0.4</v>
      </c>
      <c r="P673" s="80" t="inlineStr">
        <is>
          <t>深淵絕望</t>
        </is>
      </c>
      <c r="Q673" t="inlineStr">
        <is>
          <t>debuff</t>
        </is>
      </c>
      <c r="R673" t="n">
        <v>9010</v>
      </c>
      <c r="S673" t="inlineStr">
        <is>
          <t>1,8,13</t>
        </is>
      </c>
      <c r="U673" t="n">
        <v>0.8</v>
      </c>
      <c r="V673" t="n">
        <v>70001</v>
      </c>
      <c r="W673" t="n">
        <v>3</v>
      </c>
      <c r="X673" t="n">
        <v>1</v>
      </c>
      <c r="Y673" t="n">
        <v>70002</v>
      </c>
      <c r="Z673" t="n">
        <v>3</v>
      </c>
      <c r="AA673" t="n">
        <v>1</v>
      </c>
      <c r="AB673" t="n">
        <v>1001</v>
      </c>
      <c r="AC673" t="n">
        <v>50</v>
      </c>
      <c r="AD673" t="n">
        <v>1</v>
      </c>
      <c r="AE673" t="n">
        <v>8000</v>
      </c>
      <c r="AF673" t="n">
        <v>2500</v>
      </c>
      <c r="AG673" t="n">
        <v>1</v>
      </c>
    </row>
    <row r="674" ht="38.25" customHeight="1" s="142">
      <c r="A674" t="n">
        <v>1568</v>
      </c>
      <c r="B674" t="inlineStr">
        <is>
          <t>main</t>
        </is>
      </c>
      <c r="C674" t="n">
        <v>15</v>
      </c>
      <c r="D674" t="inlineStr">
        <is>
          <t>15-19</t>
        </is>
      </c>
      <c r="E674" t="n">
        <v>150</v>
      </c>
      <c r="G674" s="90" t="inlineStr">
        <is>
          <t>{role:-1},{state:-60019}
{id:-1},{id:-1},{id:-1},{id:-1},{id:-1}
{id:40087},{id:40086},{id:40063},{id:40087}</t>
        </is>
      </c>
      <c r="I674" t="n">
        <v>72220</v>
      </c>
      <c r="J674" s="80" t="inlineStr">
        <is>
          <t>魔王威壓</t>
        </is>
      </c>
      <c r="K674" t="inlineStr">
        <is>
          <t>buff</t>
        </is>
      </c>
      <c r="L674" t="n">
        <v>9002</v>
      </c>
      <c r="M674" t="inlineStr">
        <is>
          <t>1,13</t>
        </is>
      </c>
      <c r="O674" t="n">
        <v>0.2</v>
      </c>
      <c r="P674" s="80" t="inlineStr">
        <is>
          <t>深淵絕望</t>
        </is>
      </c>
      <c r="Q674" t="inlineStr">
        <is>
          <t>debuff</t>
        </is>
      </c>
      <c r="R674" t="n">
        <v>9010</v>
      </c>
      <c r="S674" t="inlineStr">
        <is>
          <t>5,10</t>
        </is>
      </c>
      <c r="U674" t="n">
        <v>0.6</v>
      </c>
      <c r="V674" t="n">
        <v>70001</v>
      </c>
      <c r="W674" t="n">
        <v>3</v>
      </c>
      <c r="X674" t="n">
        <v>1</v>
      </c>
      <c r="Y674" t="n">
        <v>70002</v>
      </c>
      <c r="Z674" t="n">
        <v>3</v>
      </c>
      <c r="AA674" t="n">
        <v>1</v>
      </c>
      <c r="AB674" t="n">
        <v>1001</v>
      </c>
      <c r="AC674" t="n">
        <v>50</v>
      </c>
      <c r="AD674" t="n">
        <v>1</v>
      </c>
      <c r="AE674" t="n">
        <v>8000</v>
      </c>
      <c r="AF674" t="n">
        <v>2500</v>
      </c>
      <c r="AG674" t="n">
        <v>1</v>
      </c>
    </row>
    <row r="675" ht="38.25" customHeight="1" s="142">
      <c r="A675" t="n">
        <v>1569</v>
      </c>
      <c r="B675" t="inlineStr">
        <is>
          <t>main</t>
        </is>
      </c>
      <c r="C675" t="n">
        <v>15</v>
      </c>
      <c r="D675" t="inlineStr">
        <is>
          <t>15-20</t>
        </is>
      </c>
      <c r="E675" t="n">
        <v>150</v>
      </c>
      <c r="G675" s="90" t="inlineStr">
        <is>
          <t>{role:-1},{state:-60019}
{id:-1},{id:-1},{id:-1},{id:-1},{id:-1}
{id:40063},{id:40086},{id:40087},{id:40087}</t>
        </is>
      </c>
      <c r="I675" t="n">
        <v>72345</v>
      </c>
      <c r="J675" s="80" t="inlineStr">
        <is>
          <t>魔王威壓</t>
        </is>
      </c>
      <c r="K675" t="inlineStr">
        <is>
          <t>buff</t>
        </is>
      </c>
      <c r="L675" t="n">
        <v>9001</v>
      </c>
      <c r="M675" t="inlineStr">
        <is>
          <t>2,7,11</t>
        </is>
      </c>
      <c r="O675" t="n">
        <v>0.8</v>
      </c>
      <c r="P675" s="80" t="inlineStr">
        <is>
          <t>深淵絕望</t>
        </is>
      </c>
      <c r="Q675" t="inlineStr">
        <is>
          <t>debuff</t>
        </is>
      </c>
      <c r="R675" t="n">
        <v>9007</v>
      </c>
      <c r="S675" t="n">
        <v>1</v>
      </c>
      <c r="U675" t="n">
        <v>0.9</v>
      </c>
      <c r="V675" t="n">
        <v>70001</v>
      </c>
      <c r="W675" t="n">
        <v>3</v>
      </c>
      <c r="X675" t="n">
        <v>1</v>
      </c>
      <c r="Y675" t="n">
        <v>70002</v>
      </c>
      <c r="Z675" t="n">
        <v>3</v>
      </c>
      <c r="AA675" t="n">
        <v>1</v>
      </c>
      <c r="AB675" t="n">
        <v>1001</v>
      </c>
      <c r="AC675" t="n">
        <v>50</v>
      </c>
      <c r="AD675" t="n">
        <v>1</v>
      </c>
      <c r="AE675" t="n">
        <v>8000</v>
      </c>
      <c r="AF675" t="n">
        <v>2510</v>
      </c>
      <c r="AG675" t="n">
        <v>1</v>
      </c>
    </row>
    <row r="676" ht="38.25" customHeight="1" s="142">
      <c r="A676" t="n">
        <v>1570</v>
      </c>
      <c r="B676" t="inlineStr">
        <is>
          <t>main</t>
        </is>
      </c>
      <c r="C676" t="n">
        <v>15</v>
      </c>
      <c r="D676" t="inlineStr">
        <is>
          <t>15-21</t>
        </is>
      </c>
      <c r="E676" t="n">
        <v>150</v>
      </c>
      <c r="G676" s="90" t="inlineStr">
        <is>
          <t>{role:-1},{state:-60019}
{id:-1},{id:-1},{id:-1},{id:-1},{id:-1}
{id:40087},{id:40072},{id:40063},{id:40072},{id:40086}</t>
        </is>
      </c>
      <c r="I676" t="n">
        <v>72470</v>
      </c>
      <c r="J676" s="80" t="inlineStr">
        <is>
          <t>魔王威壓</t>
        </is>
      </c>
      <c r="K676" t="inlineStr">
        <is>
          <t>buff</t>
        </is>
      </c>
      <c r="L676" t="n">
        <v>9008</v>
      </c>
      <c r="M676" t="n">
        <v>5</v>
      </c>
      <c r="O676" t="n">
        <v>0.7</v>
      </c>
      <c r="P676" s="80" t="inlineStr">
        <is>
          <t>深淵絕望</t>
        </is>
      </c>
      <c r="Q676" t="inlineStr">
        <is>
          <t>debuff</t>
        </is>
      </c>
      <c r="R676" t="n">
        <v>9004</v>
      </c>
      <c r="S676" t="n">
        <v>6</v>
      </c>
      <c r="U676" t="n">
        <v>0.4</v>
      </c>
      <c r="V676" t="n">
        <v>70001</v>
      </c>
      <c r="W676" t="n">
        <v>3</v>
      </c>
      <c r="X676" t="n">
        <v>1</v>
      </c>
      <c r="Y676" t="n">
        <v>70002</v>
      </c>
      <c r="Z676" t="n">
        <v>3</v>
      </c>
      <c r="AA676" t="n">
        <v>1</v>
      </c>
      <c r="AB676" t="n">
        <v>1001</v>
      </c>
      <c r="AC676" t="n">
        <v>50</v>
      </c>
      <c r="AD676" t="n">
        <v>1</v>
      </c>
      <c r="AE676" t="n">
        <v>8000</v>
      </c>
      <c r="AF676" t="n">
        <v>2520</v>
      </c>
      <c r="AG676" t="n">
        <v>1</v>
      </c>
    </row>
    <row r="677" ht="38.25" customHeight="1" s="142">
      <c r="A677" t="n">
        <v>1571</v>
      </c>
      <c r="B677" t="inlineStr">
        <is>
          <t>main</t>
        </is>
      </c>
      <c r="C677" t="n">
        <v>15</v>
      </c>
      <c r="D677" t="inlineStr">
        <is>
          <t>15-22</t>
        </is>
      </c>
      <c r="E677" t="n">
        <v>150</v>
      </c>
      <c r="G677" s="90" t="inlineStr">
        <is>
          <t>{role:-1},{state:-60019}
{id:-1},{id:-1},{id:-1},{id:-1},{id:-1}
{id:40072},{id:40063},{id:40069},{id:40063},{id:40072}</t>
        </is>
      </c>
      <c r="I677" t="n">
        <v>72595</v>
      </c>
      <c r="J677" s="80" t="inlineStr">
        <is>
          <t>魔王威壓</t>
        </is>
      </c>
      <c r="K677" t="inlineStr">
        <is>
          <t>buff</t>
        </is>
      </c>
      <c r="L677" t="n">
        <v>9012</v>
      </c>
      <c r="M677" t="inlineStr">
        <is>
          <t>9,10</t>
        </is>
      </c>
      <c r="O677" t="n">
        <v>0.5</v>
      </c>
      <c r="P677" s="80" t="inlineStr">
        <is>
          <t>深淵絕望</t>
        </is>
      </c>
      <c r="Q677" t="inlineStr">
        <is>
          <t>debuff</t>
        </is>
      </c>
      <c r="R677" t="n">
        <v>9010</v>
      </c>
      <c r="S677" t="inlineStr">
        <is>
          <t>4,8,9</t>
        </is>
      </c>
      <c r="U677" t="n">
        <v>0.6</v>
      </c>
      <c r="V677" t="n">
        <v>70001</v>
      </c>
      <c r="W677" t="n">
        <v>3</v>
      </c>
      <c r="X677" t="n">
        <v>1</v>
      </c>
      <c r="Y677" t="n">
        <v>70002</v>
      </c>
      <c r="Z677" t="n">
        <v>3</v>
      </c>
      <c r="AA677" t="n">
        <v>1</v>
      </c>
      <c r="AB677" t="n">
        <v>1001</v>
      </c>
      <c r="AC677" t="n">
        <v>50</v>
      </c>
      <c r="AD677" t="n">
        <v>1</v>
      </c>
      <c r="AE677" t="n">
        <v>8000</v>
      </c>
      <c r="AF677" t="n">
        <v>2520</v>
      </c>
      <c r="AG677" t="n">
        <v>1</v>
      </c>
    </row>
    <row r="678" ht="38.25" customHeight="1" s="142">
      <c r="A678" t="n">
        <v>1572</v>
      </c>
      <c r="B678" t="inlineStr">
        <is>
          <t>main</t>
        </is>
      </c>
      <c r="C678" t="n">
        <v>15</v>
      </c>
      <c r="D678" t="inlineStr">
        <is>
          <t>15-23</t>
        </is>
      </c>
      <c r="E678" t="n">
        <v>150</v>
      </c>
      <c r="G678" s="90" t="inlineStr">
        <is>
          <t>{role:-1},{state:-60019}
{id:-1},{id:-1},{id:-1},{id:-1},{id:-1}
{id:40086},{id:40086},{id:40063},{id:40063},{id:40072}</t>
        </is>
      </c>
      <c r="I678" t="n">
        <v>72720</v>
      </c>
      <c r="J678" s="80" t="inlineStr">
        <is>
          <t>魔王威壓</t>
        </is>
      </c>
      <c r="K678" t="inlineStr">
        <is>
          <t>buff</t>
        </is>
      </c>
      <c r="L678" t="n">
        <v>9007</v>
      </c>
      <c r="M678" t="n">
        <v>6</v>
      </c>
      <c r="O678" t="n">
        <v>0.6</v>
      </c>
      <c r="P678" s="80" t="inlineStr">
        <is>
          <t>深淵絕望</t>
        </is>
      </c>
      <c r="Q678" t="inlineStr">
        <is>
          <t>debuff</t>
        </is>
      </c>
      <c r="R678" t="n">
        <v>9011</v>
      </c>
      <c r="S678" t="inlineStr">
        <is>
          <t>11,12</t>
        </is>
      </c>
      <c r="U678" t="n">
        <v>0.1</v>
      </c>
      <c r="V678" t="n">
        <v>70001</v>
      </c>
      <c r="W678" t="n">
        <v>3</v>
      </c>
      <c r="X678" t="n">
        <v>1</v>
      </c>
      <c r="Y678" t="n">
        <v>70002</v>
      </c>
      <c r="Z678" t="n">
        <v>3</v>
      </c>
      <c r="AA678" t="n">
        <v>1</v>
      </c>
      <c r="AB678" t="n">
        <v>1001</v>
      </c>
      <c r="AC678" t="n">
        <v>50</v>
      </c>
      <c r="AD678" t="n">
        <v>1</v>
      </c>
      <c r="AE678" t="n">
        <v>8000</v>
      </c>
      <c r="AF678" t="n">
        <v>2530</v>
      </c>
      <c r="AG678" t="n">
        <v>1</v>
      </c>
    </row>
    <row r="679" ht="38.25" customHeight="1" s="142">
      <c r="A679" t="n">
        <v>1573</v>
      </c>
      <c r="B679" t="inlineStr">
        <is>
          <t>main</t>
        </is>
      </c>
      <c r="C679" t="n">
        <v>15</v>
      </c>
      <c r="D679" t="inlineStr">
        <is>
          <t>15-24</t>
        </is>
      </c>
      <c r="E679" t="n">
        <v>150</v>
      </c>
      <c r="G679" s="90" t="inlineStr">
        <is>
          <t>{role:-1},{state:-60019}
{id:-1},{id:-1},{id:-1},{id:-1},{id:-1}
{id:40069},{id:40069},{id:40087},{id:40086},{id:40087}</t>
        </is>
      </c>
      <c r="I679" t="n">
        <v>72845</v>
      </c>
      <c r="J679" s="80" t="inlineStr">
        <is>
          <t>魔王威壓</t>
        </is>
      </c>
      <c r="K679" t="inlineStr">
        <is>
          <t>buff</t>
        </is>
      </c>
      <c r="L679" t="n">
        <v>9007</v>
      </c>
      <c r="M679" t="n">
        <v>2</v>
      </c>
      <c r="O679" t="n">
        <v>0.4</v>
      </c>
      <c r="P679" s="80" t="inlineStr">
        <is>
          <t>深淵絕望</t>
        </is>
      </c>
      <c r="Q679" t="inlineStr">
        <is>
          <t>debuff</t>
        </is>
      </c>
      <c r="R679" t="n">
        <v>9010</v>
      </c>
      <c r="S679" t="inlineStr">
        <is>
          <t>2,7</t>
        </is>
      </c>
      <c r="U679" t="n">
        <v>0.5</v>
      </c>
      <c r="V679" t="n">
        <v>70001</v>
      </c>
      <c r="W679" t="n">
        <v>3</v>
      </c>
      <c r="X679" t="n">
        <v>1</v>
      </c>
      <c r="Y679" t="n">
        <v>70002</v>
      </c>
      <c r="Z679" t="n">
        <v>3</v>
      </c>
      <c r="AA679" t="n">
        <v>1</v>
      </c>
      <c r="AB679" t="n">
        <v>1001</v>
      </c>
      <c r="AC679" t="n">
        <v>50</v>
      </c>
      <c r="AD679" t="n">
        <v>1</v>
      </c>
      <c r="AE679" t="n">
        <v>8000</v>
      </c>
      <c r="AF679" t="n">
        <v>2530</v>
      </c>
      <c r="AG679" t="n">
        <v>1</v>
      </c>
    </row>
    <row r="680" ht="38.25" customHeight="1" s="142">
      <c r="A680" t="n">
        <v>1574</v>
      </c>
      <c r="B680" t="inlineStr">
        <is>
          <t>main</t>
        </is>
      </c>
      <c r="C680" t="n">
        <v>15</v>
      </c>
      <c r="D680" t="inlineStr">
        <is>
          <t>15-25</t>
        </is>
      </c>
      <c r="E680" t="n">
        <v>150</v>
      </c>
      <c r="G680" s="90" t="inlineStr">
        <is>
          <t>{role:-1},{state:-60019}
{id:-1},{id:-1},{id:-1},{id:-1},{id:-1}
{id:40072},{id:40072},{id:40087},{id:40087},{id:40087}</t>
        </is>
      </c>
      <c r="I680" t="n">
        <v>72970</v>
      </c>
      <c r="J680" s="80" t="inlineStr">
        <is>
          <t>魔王威壓</t>
        </is>
      </c>
      <c r="K680" t="inlineStr">
        <is>
          <t>buff</t>
        </is>
      </c>
      <c r="L680" t="n">
        <v>9011</v>
      </c>
      <c r="M680" t="inlineStr">
        <is>
          <t>5,6,8</t>
        </is>
      </c>
      <c r="O680" t="n">
        <v>0.5</v>
      </c>
      <c r="P680" s="80" t="inlineStr">
        <is>
          <t>深淵絕望</t>
        </is>
      </c>
      <c r="Q680" t="inlineStr">
        <is>
          <t>debuff</t>
        </is>
      </c>
      <c r="R680" t="n">
        <v>9011</v>
      </c>
      <c r="S680" t="n">
        <v>5</v>
      </c>
      <c r="U680" t="n">
        <v>0.8</v>
      </c>
      <c r="V680" t="n">
        <v>70001</v>
      </c>
      <c r="W680" t="n">
        <v>3</v>
      </c>
      <c r="X680" t="n">
        <v>1</v>
      </c>
      <c r="Y680" t="n">
        <v>70002</v>
      </c>
      <c r="Z680" t="n">
        <v>3</v>
      </c>
      <c r="AA680" t="n">
        <v>1</v>
      </c>
      <c r="AB680" t="n">
        <v>1001</v>
      </c>
      <c r="AC680" t="n">
        <v>50</v>
      </c>
      <c r="AD680" t="n">
        <v>1</v>
      </c>
      <c r="AE680" t="n">
        <v>8000</v>
      </c>
      <c r="AF680" t="n">
        <v>2540</v>
      </c>
      <c r="AG680" t="n">
        <v>1</v>
      </c>
    </row>
    <row r="681" ht="38.25" customHeight="1" s="142">
      <c r="A681" t="n">
        <v>1575</v>
      </c>
      <c r="B681" t="inlineStr">
        <is>
          <t>main</t>
        </is>
      </c>
      <c r="C681" t="n">
        <v>15</v>
      </c>
      <c r="D681" t="inlineStr">
        <is>
          <t>15-26</t>
        </is>
      </c>
      <c r="E681" t="n">
        <v>150</v>
      </c>
      <c r="G681" s="90" t="inlineStr">
        <is>
          <t>{role:-1},{state:-60019}
{id:-1},{id:-1},{id:-1},{id:-1},{id:-1}
{id:40069},{id:40072},{id:40063},{id:40072},{id:40086}</t>
        </is>
      </c>
      <c r="I681" t="n">
        <v>73095</v>
      </c>
      <c r="J681" s="80" t="inlineStr">
        <is>
          <t>魔王威壓</t>
        </is>
      </c>
      <c r="K681" t="inlineStr">
        <is>
          <t>buff</t>
        </is>
      </c>
      <c r="L681" t="n">
        <v>9006</v>
      </c>
      <c r="M681" t="n">
        <v>2</v>
      </c>
      <c r="O681" t="n">
        <v>0.4</v>
      </c>
      <c r="P681" s="80" t="inlineStr">
        <is>
          <t>深淵絕望</t>
        </is>
      </c>
      <c r="Q681" t="inlineStr">
        <is>
          <t>debuff</t>
        </is>
      </c>
      <c r="R681" t="n">
        <v>9012</v>
      </c>
      <c r="S681" t="n">
        <v>6</v>
      </c>
      <c r="U681" t="n">
        <v>0.4</v>
      </c>
      <c r="V681" t="n">
        <v>70001</v>
      </c>
      <c r="W681" t="n">
        <v>3</v>
      </c>
      <c r="X681" t="n">
        <v>1</v>
      </c>
      <c r="Y681" t="n">
        <v>70002</v>
      </c>
      <c r="Z681" t="n">
        <v>3</v>
      </c>
      <c r="AA681" t="n">
        <v>1</v>
      </c>
      <c r="AB681" t="n">
        <v>1001</v>
      </c>
      <c r="AC681" t="n">
        <v>50</v>
      </c>
      <c r="AD681" t="n">
        <v>1</v>
      </c>
      <c r="AE681" t="n">
        <v>8000</v>
      </c>
      <c r="AF681" t="n">
        <v>2540</v>
      </c>
      <c r="AG681" t="n">
        <v>1</v>
      </c>
    </row>
    <row r="682" ht="38.25" customHeight="1" s="142">
      <c r="A682" t="n">
        <v>1576</v>
      </c>
      <c r="B682" t="inlineStr">
        <is>
          <t>main</t>
        </is>
      </c>
      <c r="C682" t="n">
        <v>15</v>
      </c>
      <c r="D682" t="inlineStr">
        <is>
          <t>15-27</t>
        </is>
      </c>
      <c r="E682" t="n">
        <v>150</v>
      </c>
      <c r="G682" s="90" t="inlineStr">
        <is>
          <t>{role:-1},{state:-60019}
{id:-1},{id:-1},{id:-1},{id:-1},{id:-1}
{id:40086},{id:40086},{id:40069},{id:40069},{id:40063}</t>
        </is>
      </c>
      <c r="I682" t="n">
        <v>73220</v>
      </c>
      <c r="J682" s="80" t="inlineStr">
        <is>
          <t>魔王威壓</t>
        </is>
      </c>
      <c r="K682" t="inlineStr">
        <is>
          <t>buff</t>
        </is>
      </c>
      <c r="L682" t="n">
        <v>9008</v>
      </c>
      <c r="M682" t="n">
        <v>11</v>
      </c>
      <c r="O682" t="n">
        <v>0.7</v>
      </c>
      <c r="P682" s="80" t="inlineStr">
        <is>
          <t>深淵絕望</t>
        </is>
      </c>
      <c r="Q682" t="inlineStr">
        <is>
          <t>debuff</t>
        </is>
      </c>
      <c r="R682" t="n">
        <v>9004</v>
      </c>
      <c r="S682" t="inlineStr">
        <is>
          <t>4,8</t>
        </is>
      </c>
      <c r="U682" t="n">
        <v>0.6</v>
      </c>
      <c r="V682" t="n">
        <v>70001</v>
      </c>
      <c r="W682" t="n">
        <v>3</v>
      </c>
      <c r="X682" t="n">
        <v>1</v>
      </c>
      <c r="Y682" t="n">
        <v>70002</v>
      </c>
      <c r="Z682" t="n">
        <v>3</v>
      </c>
      <c r="AA682" t="n">
        <v>1</v>
      </c>
      <c r="AB682" t="n">
        <v>1001</v>
      </c>
      <c r="AC682" t="n">
        <v>50</v>
      </c>
      <c r="AD682" t="n">
        <v>1</v>
      </c>
      <c r="AE682" t="n">
        <v>8000</v>
      </c>
      <c r="AF682" t="n">
        <v>2550</v>
      </c>
      <c r="AG682" t="n">
        <v>1</v>
      </c>
    </row>
    <row r="683" ht="38.25" customHeight="1" s="142">
      <c r="A683" t="n">
        <v>1577</v>
      </c>
      <c r="B683" t="inlineStr">
        <is>
          <t>main</t>
        </is>
      </c>
      <c r="C683" t="n">
        <v>15</v>
      </c>
      <c r="D683" t="inlineStr">
        <is>
          <t>15-28</t>
        </is>
      </c>
      <c r="E683" t="n">
        <v>150</v>
      </c>
      <c r="G683" s="90" t="inlineStr">
        <is>
          <t>{role:-1},{state:-60019}
{id:-1},{id:-1},{id:-1},{id:-1},{id:-1}
{id:40072},{id:40086},{id:40072},{id:40063},{id:40087}</t>
        </is>
      </c>
      <c r="I683" t="n">
        <v>73345</v>
      </c>
      <c r="J683" s="80" t="inlineStr">
        <is>
          <t>魔王威壓</t>
        </is>
      </c>
      <c r="K683" t="inlineStr">
        <is>
          <t>buff</t>
        </is>
      </c>
      <c r="L683" t="n">
        <v>9007</v>
      </c>
      <c r="M683" t="inlineStr">
        <is>
          <t>2,4,9</t>
        </is>
      </c>
      <c r="O683" t="n">
        <v>0.2</v>
      </c>
      <c r="P683" s="80" t="inlineStr">
        <is>
          <t>深淵絕望</t>
        </is>
      </c>
      <c r="Q683" t="inlineStr">
        <is>
          <t>debuff</t>
        </is>
      </c>
      <c r="R683" t="n">
        <v>9008</v>
      </c>
      <c r="S683" t="inlineStr">
        <is>
          <t>7,9</t>
        </is>
      </c>
      <c r="U683" t="n">
        <v>0.8</v>
      </c>
      <c r="V683" t="n">
        <v>70001</v>
      </c>
      <c r="W683" t="n">
        <v>3</v>
      </c>
      <c r="X683" t="n">
        <v>1</v>
      </c>
      <c r="Y683" t="n">
        <v>70002</v>
      </c>
      <c r="Z683" t="n">
        <v>3</v>
      </c>
      <c r="AA683" t="n">
        <v>1</v>
      </c>
      <c r="AB683" t="n">
        <v>1001</v>
      </c>
      <c r="AC683" t="n">
        <v>50</v>
      </c>
      <c r="AD683" t="n">
        <v>1</v>
      </c>
      <c r="AE683" t="n">
        <v>8000</v>
      </c>
      <c r="AF683" t="n">
        <v>2560</v>
      </c>
      <c r="AG683" t="n">
        <v>1</v>
      </c>
    </row>
    <row r="684" ht="38.25" customHeight="1" s="142">
      <c r="A684" t="n">
        <v>1578</v>
      </c>
      <c r="B684" t="inlineStr">
        <is>
          <t>main</t>
        </is>
      </c>
      <c r="C684" t="n">
        <v>15</v>
      </c>
      <c r="D684" t="inlineStr">
        <is>
          <t>15-29</t>
        </is>
      </c>
      <c r="E684" t="n">
        <v>150</v>
      </c>
      <c r="G684" s="90" t="inlineStr">
        <is>
          <t>{role:-1},{state:-60019}
{id:-1},{id:-1},{id:-1},{id:-1},{id:-1}
{id:40063},{id:40072},{id:40086},{id:40086},{id:40086}</t>
        </is>
      </c>
      <c r="I684" t="n">
        <v>73470</v>
      </c>
      <c r="J684" s="80" t="inlineStr">
        <is>
          <t>魔王威壓</t>
        </is>
      </c>
      <c r="K684" t="inlineStr">
        <is>
          <t>buff</t>
        </is>
      </c>
      <c r="L684" t="n">
        <v>9011</v>
      </c>
      <c r="M684" t="inlineStr">
        <is>
          <t>2,3,13</t>
        </is>
      </c>
      <c r="O684" t="n">
        <v>0.3</v>
      </c>
      <c r="P684" s="80" t="inlineStr">
        <is>
          <t>深淵絕望</t>
        </is>
      </c>
      <c r="Q684" t="inlineStr">
        <is>
          <t>debuff</t>
        </is>
      </c>
      <c r="R684" t="n">
        <v>9008</v>
      </c>
      <c r="S684" t="inlineStr">
        <is>
          <t>1,10</t>
        </is>
      </c>
      <c r="U684" t="n">
        <v>1</v>
      </c>
      <c r="V684" t="n">
        <v>70001</v>
      </c>
      <c r="W684" t="n">
        <v>3</v>
      </c>
      <c r="X684" t="n">
        <v>1</v>
      </c>
      <c r="Y684" t="n">
        <v>70002</v>
      </c>
      <c r="Z684" t="n">
        <v>3</v>
      </c>
      <c r="AA684" t="n">
        <v>1</v>
      </c>
      <c r="AB684" t="n">
        <v>1001</v>
      </c>
      <c r="AC684" t="n">
        <v>50</v>
      </c>
      <c r="AD684" t="n">
        <v>1</v>
      </c>
      <c r="AE684" t="n">
        <v>8000</v>
      </c>
      <c r="AF684" t="n">
        <v>2560</v>
      </c>
      <c r="AG684" t="n">
        <v>1</v>
      </c>
    </row>
    <row r="685" ht="38.25" customHeight="1" s="142">
      <c r="A685" t="n">
        <v>1579</v>
      </c>
      <c r="B685" t="inlineStr">
        <is>
          <t>main</t>
        </is>
      </c>
      <c r="C685" t="n">
        <v>15</v>
      </c>
      <c r="D685" t="inlineStr">
        <is>
          <t>15-30</t>
        </is>
      </c>
      <c r="E685" t="n">
        <v>150</v>
      </c>
      <c r="G685" s="90" t="inlineStr">
        <is>
          <t>{role:-1},{state:-60019}
{id:-1},{id:-1},{id:-1},{id:-1},{id:-1}
{id:40087},{id:40086},{id:40072},{id:40063},{id:40086}</t>
        </is>
      </c>
      <c r="I685" t="n">
        <v>73595</v>
      </c>
      <c r="J685" s="80" t="inlineStr">
        <is>
          <t>魔王威壓</t>
        </is>
      </c>
      <c r="K685" t="inlineStr">
        <is>
          <t>buff</t>
        </is>
      </c>
      <c r="L685" t="n">
        <v>9001</v>
      </c>
      <c r="M685" t="inlineStr">
        <is>
          <t>5,10,12</t>
        </is>
      </c>
      <c r="O685" t="n">
        <v>0.7</v>
      </c>
      <c r="P685" s="80" t="inlineStr">
        <is>
          <t>深淵絕望</t>
        </is>
      </c>
      <c r="Q685" t="inlineStr">
        <is>
          <t>debuff</t>
        </is>
      </c>
      <c r="R685" t="n">
        <v>9007</v>
      </c>
      <c r="S685" t="n">
        <v>4</v>
      </c>
      <c r="U685" t="n">
        <v>0.7</v>
      </c>
      <c r="V685" t="n">
        <v>70001</v>
      </c>
      <c r="W685" t="n">
        <v>3</v>
      </c>
      <c r="X685" t="n">
        <v>1</v>
      </c>
      <c r="Y685" t="n">
        <v>70002</v>
      </c>
      <c r="Z685" t="n">
        <v>3</v>
      </c>
      <c r="AA685" t="n">
        <v>1</v>
      </c>
      <c r="AB685" t="n">
        <v>1001</v>
      </c>
      <c r="AC685" t="n">
        <v>50</v>
      </c>
      <c r="AD685" t="n">
        <v>1</v>
      </c>
      <c r="AE685" t="n">
        <v>8000</v>
      </c>
      <c r="AF685" t="n">
        <v>2570</v>
      </c>
      <c r="AG685" t="n">
        <v>1</v>
      </c>
    </row>
    <row r="686" ht="38.25" customHeight="1" s="142">
      <c r="A686" t="n">
        <v>1580</v>
      </c>
      <c r="B686" t="inlineStr">
        <is>
          <t>main</t>
        </is>
      </c>
      <c r="C686" t="n">
        <v>15</v>
      </c>
      <c r="D686" t="inlineStr">
        <is>
          <t>15-31</t>
        </is>
      </c>
      <c r="E686" t="n">
        <v>150</v>
      </c>
      <c r="G686" s="90" t="inlineStr">
        <is>
          <t>{role:-1},{state:-60019}
{id:-1},{id:-1},{id:-1},{id:-1},{id:-1}
{id:40087},{id:40069},{id:40086},{id:40086},{id:40087}</t>
        </is>
      </c>
      <c r="I686" t="n">
        <v>73720</v>
      </c>
      <c r="J686" s="80" t="inlineStr">
        <is>
          <t>魔王威壓</t>
        </is>
      </c>
      <c r="K686" t="inlineStr">
        <is>
          <t>buff</t>
        </is>
      </c>
      <c r="L686" t="n">
        <v>9001</v>
      </c>
      <c r="M686" t="inlineStr">
        <is>
          <t>3,8</t>
        </is>
      </c>
      <c r="O686" t="n">
        <v>1</v>
      </c>
      <c r="P686" s="80" t="inlineStr">
        <is>
          <t>深淵絕望</t>
        </is>
      </c>
      <c r="Q686" t="inlineStr">
        <is>
          <t>debuff</t>
        </is>
      </c>
      <c r="R686" t="n">
        <v>9012</v>
      </c>
      <c r="S686" t="n">
        <v>10</v>
      </c>
      <c r="U686" t="n">
        <v>0.9</v>
      </c>
      <c r="V686" t="n">
        <v>70001</v>
      </c>
      <c r="W686" t="n">
        <v>3</v>
      </c>
      <c r="X686" t="n">
        <v>1</v>
      </c>
      <c r="Y686" t="n">
        <v>70002</v>
      </c>
      <c r="Z686" t="n">
        <v>3</v>
      </c>
      <c r="AA686" t="n">
        <v>1</v>
      </c>
      <c r="AB686" t="n">
        <v>1001</v>
      </c>
      <c r="AC686" t="n">
        <v>50</v>
      </c>
      <c r="AD686" t="n">
        <v>1</v>
      </c>
      <c r="AE686" t="n">
        <v>8000</v>
      </c>
      <c r="AF686" t="n">
        <v>2570</v>
      </c>
      <c r="AG686" t="n">
        <v>1</v>
      </c>
    </row>
    <row r="687" ht="38.25" customHeight="1" s="142">
      <c r="A687" t="n">
        <v>1581</v>
      </c>
      <c r="B687" t="inlineStr">
        <is>
          <t>main</t>
        </is>
      </c>
      <c r="C687" t="n">
        <v>15</v>
      </c>
      <c r="D687" t="inlineStr">
        <is>
          <t>15-32</t>
        </is>
      </c>
      <c r="E687" t="n">
        <v>150</v>
      </c>
      <c r="G687" s="90" t="inlineStr">
        <is>
          <t>{role:-1},{state:-60019}
{id:-1},{id:-1},{id:-1},{id:-1},{id:-1}
{id:40069},{id:40072},{id:40069},{id:40072},{id:40072}</t>
        </is>
      </c>
      <c r="I687" t="n">
        <v>73845</v>
      </c>
      <c r="J687" s="80" t="inlineStr">
        <is>
          <t>魔王威壓</t>
        </is>
      </c>
      <c r="K687" t="inlineStr">
        <is>
          <t>buff</t>
        </is>
      </c>
      <c r="L687" t="n">
        <v>9001</v>
      </c>
      <c r="M687" t="inlineStr">
        <is>
          <t>1,7</t>
        </is>
      </c>
      <c r="O687" t="n">
        <v>0.4</v>
      </c>
      <c r="P687" s="80" t="inlineStr">
        <is>
          <t>深淵絕望</t>
        </is>
      </c>
      <c r="Q687" t="inlineStr">
        <is>
          <t>debuff</t>
        </is>
      </c>
      <c r="R687" t="n">
        <v>9012</v>
      </c>
      <c r="S687" t="n">
        <v>4</v>
      </c>
      <c r="U687" t="n">
        <v>0.5</v>
      </c>
      <c r="V687" t="n">
        <v>70001</v>
      </c>
      <c r="W687" t="n">
        <v>3</v>
      </c>
      <c r="X687" t="n">
        <v>1</v>
      </c>
      <c r="Y687" t="n">
        <v>70002</v>
      </c>
      <c r="Z687" t="n">
        <v>3</v>
      </c>
      <c r="AA687" t="n">
        <v>1</v>
      </c>
      <c r="AB687" t="n">
        <v>1001</v>
      </c>
      <c r="AC687" t="n">
        <v>50</v>
      </c>
      <c r="AD687" t="n">
        <v>1</v>
      </c>
      <c r="AE687" t="n">
        <v>8000</v>
      </c>
      <c r="AF687" t="n">
        <v>2580</v>
      </c>
      <c r="AG687" t="n">
        <v>1</v>
      </c>
    </row>
    <row r="688" ht="38.25" customHeight="1" s="142">
      <c r="A688" t="n">
        <v>1582</v>
      </c>
      <c r="B688" t="inlineStr">
        <is>
          <t>main</t>
        </is>
      </c>
      <c r="C688" t="n">
        <v>15</v>
      </c>
      <c r="D688" t="inlineStr">
        <is>
          <t>15-33</t>
        </is>
      </c>
      <c r="E688" t="n">
        <v>150</v>
      </c>
      <c r="G688" s="90" t="inlineStr">
        <is>
          <t>{role:-1},{state:-60019}
{id:-1},{id:-1},{id:-1},{id:-1},{id:-1}
{id:40087},{id:40069},{id:40072},{id:40063},{id:40069}</t>
        </is>
      </c>
      <c r="I688" t="n">
        <v>73970</v>
      </c>
      <c r="J688" s="80" t="inlineStr">
        <is>
          <t>魔王威壓</t>
        </is>
      </c>
      <c r="K688" t="inlineStr">
        <is>
          <t>buff</t>
        </is>
      </c>
      <c r="L688" t="n">
        <v>9002</v>
      </c>
      <c r="M688" t="inlineStr">
        <is>
          <t>6,7</t>
        </is>
      </c>
      <c r="O688" t="n">
        <v>0.3</v>
      </c>
      <c r="P688" s="80" t="inlineStr">
        <is>
          <t>深淵絕望</t>
        </is>
      </c>
      <c r="Q688" t="inlineStr">
        <is>
          <t>debuff</t>
        </is>
      </c>
      <c r="R688" t="n">
        <v>9008</v>
      </c>
      <c r="S688" t="inlineStr">
        <is>
          <t>8,9</t>
        </is>
      </c>
      <c r="U688" t="n">
        <v>0.5</v>
      </c>
      <c r="V688" t="n">
        <v>70001</v>
      </c>
      <c r="W688" t="n">
        <v>3</v>
      </c>
      <c r="X688" t="n">
        <v>1</v>
      </c>
      <c r="Y688" t="n">
        <v>70002</v>
      </c>
      <c r="Z688" t="n">
        <v>3</v>
      </c>
      <c r="AA688" t="n">
        <v>1</v>
      </c>
      <c r="AB688" t="n">
        <v>1001</v>
      </c>
      <c r="AC688" t="n">
        <v>50</v>
      </c>
      <c r="AD688" t="n">
        <v>1</v>
      </c>
      <c r="AE688" t="n">
        <v>8000</v>
      </c>
      <c r="AF688" t="n">
        <v>2580</v>
      </c>
      <c r="AG688" t="n">
        <v>1</v>
      </c>
    </row>
    <row r="689" ht="38.25" customHeight="1" s="142">
      <c r="A689" t="n">
        <v>1583</v>
      </c>
      <c r="B689" t="inlineStr">
        <is>
          <t>main</t>
        </is>
      </c>
      <c r="C689" t="n">
        <v>15</v>
      </c>
      <c r="D689" t="inlineStr">
        <is>
          <t>15-34</t>
        </is>
      </c>
      <c r="E689" t="n">
        <v>150</v>
      </c>
      <c r="G689" s="90" t="inlineStr">
        <is>
          <t>{role:-1},{state:-60019}
{id:-1},{id:-1},{id:-1},{id:-1},{id:-1}
{id:40086},{id:40072},{id:40087},{id:40069},{id:40069}</t>
        </is>
      </c>
      <c r="I689" t="n">
        <v>74095</v>
      </c>
      <c r="J689" s="80" t="inlineStr">
        <is>
          <t>魔王威壓</t>
        </is>
      </c>
      <c r="K689" t="inlineStr">
        <is>
          <t>buff</t>
        </is>
      </c>
      <c r="L689" t="n">
        <v>9005</v>
      </c>
      <c r="M689" t="inlineStr">
        <is>
          <t>6,9,11</t>
        </is>
      </c>
      <c r="O689" t="n">
        <v>0.3</v>
      </c>
      <c r="P689" s="80" t="inlineStr">
        <is>
          <t>深淵絕望</t>
        </is>
      </c>
      <c r="Q689" t="inlineStr">
        <is>
          <t>debuff</t>
        </is>
      </c>
      <c r="R689" t="n">
        <v>9011</v>
      </c>
      <c r="S689" t="inlineStr">
        <is>
          <t>1,6,8</t>
        </is>
      </c>
      <c r="U689" t="n">
        <v>0.5</v>
      </c>
      <c r="V689" t="n">
        <v>70001</v>
      </c>
      <c r="W689" t="n">
        <v>3</v>
      </c>
      <c r="X689" t="n">
        <v>1</v>
      </c>
      <c r="Y689" t="n">
        <v>70002</v>
      </c>
      <c r="Z689" t="n">
        <v>3</v>
      </c>
      <c r="AA689" t="n">
        <v>1</v>
      </c>
      <c r="AB689" t="n">
        <v>1001</v>
      </c>
      <c r="AC689" t="n">
        <v>50</v>
      </c>
      <c r="AD689" t="n">
        <v>1</v>
      </c>
      <c r="AE689" t="n">
        <v>8000</v>
      </c>
      <c r="AF689" t="n">
        <v>2590</v>
      </c>
      <c r="AG689" t="n">
        <v>1</v>
      </c>
    </row>
    <row r="690" ht="38.25" customHeight="1" s="142">
      <c r="A690" t="n">
        <v>1584</v>
      </c>
      <c r="B690" t="inlineStr">
        <is>
          <t>main</t>
        </is>
      </c>
      <c r="C690" t="n">
        <v>15</v>
      </c>
      <c r="D690" t="inlineStr">
        <is>
          <t>15-35</t>
        </is>
      </c>
      <c r="E690" t="n">
        <v>150</v>
      </c>
      <c r="G690" s="90" t="inlineStr">
        <is>
          <t>{role:-1},{state:-60019}
{id:-1},{id:-1},{id:-1},{id:-1},{id:-1}
{id:40069},{id:40087},{id:40087},{id:40063},{id:40086}</t>
        </is>
      </c>
      <c r="I690" t="n">
        <v>74220</v>
      </c>
      <c r="J690" s="80" t="inlineStr">
        <is>
          <t>魔王威壓</t>
        </is>
      </c>
      <c r="K690" t="inlineStr">
        <is>
          <t>buff</t>
        </is>
      </c>
      <c r="L690" t="n">
        <v>9002</v>
      </c>
      <c r="M690" t="inlineStr">
        <is>
          <t>8,12</t>
        </is>
      </c>
      <c r="O690" t="n">
        <v>0.7</v>
      </c>
      <c r="P690" s="80" t="inlineStr">
        <is>
          <t>深淵絕望</t>
        </is>
      </c>
      <c r="Q690" t="inlineStr">
        <is>
          <t>debuff</t>
        </is>
      </c>
      <c r="R690" t="n">
        <v>9004</v>
      </c>
      <c r="S690" t="n">
        <v>2</v>
      </c>
      <c r="U690" t="n">
        <v>0.8</v>
      </c>
      <c r="V690" t="n">
        <v>70001</v>
      </c>
      <c r="W690" t="n">
        <v>3</v>
      </c>
      <c r="X690" t="n">
        <v>1</v>
      </c>
      <c r="Y690" t="n">
        <v>70002</v>
      </c>
      <c r="Z690" t="n">
        <v>3</v>
      </c>
      <c r="AA690" t="n">
        <v>1</v>
      </c>
      <c r="AB690" t="n">
        <v>1001</v>
      </c>
      <c r="AC690" t="n">
        <v>50</v>
      </c>
      <c r="AD690" t="n">
        <v>1</v>
      </c>
      <c r="AE690" t="n">
        <v>8000</v>
      </c>
      <c r="AF690" t="n">
        <v>2600</v>
      </c>
      <c r="AG690" t="n">
        <v>1</v>
      </c>
    </row>
    <row r="691" ht="38.25" customHeight="1" s="142">
      <c r="A691" t="n">
        <v>1585</v>
      </c>
      <c r="B691" t="inlineStr">
        <is>
          <t>main</t>
        </is>
      </c>
      <c r="C691" t="n">
        <v>15</v>
      </c>
      <c r="D691" t="inlineStr">
        <is>
          <t>15-36</t>
        </is>
      </c>
      <c r="E691" t="n">
        <v>150</v>
      </c>
      <c r="G691" s="90" t="inlineStr">
        <is>
          <t>{role:-1},{state:-60019}
{id:-1},{id:-1},{id:-1},{id:-1},{id:-1}
{id:40069},{id:40086},{id:40087},{id:40072},{id:40072}</t>
        </is>
      </c>
      <c r="I691" t="n">
        <v>74345</v>
      </c>
      <c r="J691" s="80" t="inlineStr">
        <is>
          <t>魔王威壓</t>
        </is>
      </c>
      <c r="K691" t="inlineStr">
        <is>
          <t>buff</t>
        </is>
      </c>
      <c r="L691" t="n">
        <v>9001</v>
      </c>
      <c r="M691" t="inlineStr">
        <is>
          <t>8,11</t>
        </is>
      </c>
      <c r="O691" t="n">
        <v>0.3</v>
      </c>
      <c r="P691" s="80" t="inlineStr">
        <is>
          <t>深淵絕望</t>
        </is>
      </c>
      <c r="Q691" t="inlineStr">
        <is>
          <t>debuff</t>
        </is>
      </c>
      <c r="R691" t="n">
        <v>9007</v>
      </c>
      <c r="S691" t="n">
        <v>2</v>
      </c>
      <c r="U691" t="n">
        <v>0.8</v>
      </c>
      <c r="V691" t="n">
        <v>70001</v>
      </c>
      <c r="W691" t="n">
        <v>3</v>
      </c>
      <c r="X691" t="n">
        <v>1</v>
      </c>
      <c r="Y691" t="n">
        <v>70002</v>
      </c>
      <c r="Z691" t="n">
        <v>3</v>
      </c>
      <c r="AA691" t="n">
        <v>1</v>
      </c>
      <c r="AB691" t="n">
        <v>1001</v>
      </c>
      <c r="AC691" t="n">
        <v>50</v>
      </c>
      <c r="AD691" t="n">
        <v>1</v>
      </c>
      <c r="AE691" t="n">
        <v>8000</v>
      </c>
      <c r="AF691" t="n">
        <v>2600</v>
      </c>
      <c r="AG691" t="n">
        <v>1</v>
      </c>
    </row>
    <row r="692" ht="38.25" customHeight="1" s="142">
      <c r="A692" t="n">
        <v>1586</v>
      </c>
      <c r="B692" t="inlineStr">
        <is>
          <t>main</t>
        </is>
      </c>
      <c r="C692" t="n">
        <v>15</v>
      </c>
      <c r="D692" t="inlineStr">
        <is>
          <t>15-37</t>
        </is>
      </c>
      <c r="E692" t="n">
        <v>150</v>
      </c>
      <c r="G692" s="90" t="inlineStr">
        <is>
          <t>{role:-1},{state:-60019}
{id:-1},{id:-1},{id:-1},{id:-1},{id:-1}
{id:40086},{id:40087},{id:40069},{id:40069},{id:40086}</t>
        </is>
      </c>
      <c r="I692" t="n">
        <v>74470</v>
      </c>
      <c r="J692" s="80" t="inlineStr">
        <is>
          <t>魔王威壓</t>
        </is>
      </c>
      <c r="K692" t="inlineStr">
        <is>
          <t>buff</t>
        </is>
      </c>
      <c r="L692" t="n">
        <v>9005</v>
      </c>
      <c r="M692" t="inlineStr">
        <is>
          <t>8,13</t>
        </is>
      </c>
      <c r="O692" t="n">
        <v>0.6</v>
      </c>
      <c r="P692" s="80" t="inlineStr">
        <is>
          <t>深淵絕望</t>
        </is>
      </c>
      <c r="Q692" t="inlineStr">
        <is>
          <t>debuff</t>
        </is>
      </c>
      <c r="R692" t="n">
        <v>9011</v>
      </c>
      <c r="S692" t="inlineStr">
        <is>
          <t>4,6,9</t>
        </is>
      </c>
      <c r="U692" t="n">
        <v>0.5</v>
      </c>
      <c r="V692" t="n">
        <v>70001</v>
      </c>
      <c r="W692" t="n">
        <v>3</v>
      </c>
      <c r="X692" t="n">
        <v>1</v>
      </c>
      <c r="Y692" t="n">
        <v>70002</v>
      </c>
      <c r="Z692" t="n">
        <v>3</v>
      </c>
      <c r="AA692" t="n">
        <v>1</v>
      </c>
      <c r="AB692" t="n">
        <v>1001</v>
      </c>
      <c r="AC692" t="n">
        <v>50</v>
      </c>
      <c r="AD692" t="n">
        <v>1</v>
      </c>
      <c r="AE692" t="n">
        <v>8000</v>
      </c>
      <c r="AF692" t="n">
        <v>2610</v>
      </c>
      <c r="AG692" t="n">
        <v>1</v>
      </c>
    </row>
    <row r="693" ht="38.25" customHeight="1" s="142">
      <c r="A693" t="n">
        <v>1587</v>
      </c>
      <c r="B693" t="inlineStr">
        <is>
          <t>main</t>
        </is>
      </c>
      <c r="C693" t="n">
        <v>15</v>
      </c>
      <c r="D693" t="inlineStr">
        <is>
          <t>15-38</t>
        </is>
      </c>
      <c r="E693" t="n">
        <v>150</v>
      </c>
      <c r="G693" s="90" t="inlineStr">
        <is>
          <t>{role:-1},{state:-60019}
{id:-1},{id:-1},{id:-1},{id:-1},{id:-1}
{id:40072},{id:40069},{id:40072},{id:40063},{id:40072}</t>
        </is>
      </c>
      <c r="I693" t="n">
        <v>74595</v>
      </c>
      <c r="J693" s="80" t="inlineStr">
        <is>
          <t>魔王威壓</t>
        </is>
      </c>
      <c r="K693" t="inlineStr">
        <is>
          <t>buff</t>
        </is>
      </c>
      <c r="L693" t="n">
        <v>9011</v>
      </c>
      <c r="M693" t="inlineStr">
        <is>
          <t>6,12</t>
        </is>
      </c>
      <c r="O693" t="n">
        <v>0.8</v>
      </c>
      <c r="P693" s="80" t="inlineStr">
        <is>
          <t>深淵絕望</t>
        </is>
      </c>
      <c r="Q693" t="inlineStr">
        <is>
          <t>debuff</t>
        </is>
      </c>
      <c r="R693" t="n">
        <v>9007</v>
      </c>
      <c r="S693" t="n">
        <v>3</v>
      </c>
      <c r="U693" t="n">
        <v>0.2</v>
      </c>
      <c r="V693" t="n">
        <v>70001</v>
      </c>
      <c r="W693" t="n">
        <v>3</v>
      </c>
      <c r="X693" t="n">
        <v>1</v>
      </c>
      <c r="Y693" t="n">
        <v>70002</v>
      </c>
      <c r="Z693" t="n">
        <v>3</v>
      </c>
      <c r="AA693" t="n">
        <v>1</v>
      </c>
      <c r="AB693" t="n">
        <v>1001</v>
      </c>
      <c r="AC693" t="n">
        <v>50</v>
      </c>
      <c r="AD693" t="n">
        <v>1</v>
      </c>
      <c r="AE693" t="n">
        <v>8000</v>
      </c>
      <c r="AF693" t="n">
        <v>2610</v>
      </c>
      <c r="AG693" t="n">
        <v>1</v>
      </c>
    </row>
    <row r="694" ht="38.25" customHeight="1" s="142">
      <c r="A694" t="n">
        <v>1588</v>
      </c>
      <c r="B694" t="inlineStr">
        <is>
          <t>main</t>
        </is>
      </c>
      <c r="C694" t="n">
        <v>15</v>
      </c>
      <c r="D694" t="inlineStr">
        <is>
          <t>15-39</t>
        </is>
      </c>
      <c r="E694" t="n">
        <v>150</v>
      </c>
      <c r="G694" s="90" t="inlineStr">
        <is>
          <t>{role:-1},{state:-60019}
{id:-1},{id:-1},{id:-1},{id:-1},{id:-1}
{id:40087},{id:40063},{id:40072},{id:40072},{id:40069}</t>
        </is>
      </c>
      <c r="I694" t="n">
        <v>74720</v>
      </c>
      <c r="J694" s="80" t="inlineStr">
        <is>
          <t>魔王威壓</t>
        </is>
      </c>
      <c r="K694" t="inlineStr">
        <is>
          <t>buff</t>
        </is>
      </c>
      <c r="L694" t="n">
        <v>9005</v>
      </c>
      <c r="M694" t="n">
        <v>4</v>
      </c>
      <c r="O694" t="n">
        <v>0.7</v>
      </c>
      <c r="P694" s="80" t="inlineStr">
        <is>
          <t>深淵絕望</t>
        </is>
      </c>
      <c r="Q694" t="inlineStr">
        <is>
          <t>debuff</t>
        </is>
      </c>
      <c r="R694" t="n">
        <v>9003</v>
      </c>
      <c r="S694" t="inlineStr">
        <is>
          <t>2,4,12</t>
        </is>
      </c>
      <c r="U694" t="n">
        <v>0.6</v>
      </c>
      <c r="V694" t="n">
        <v>70001</v>
      </c>
      <c r="W694" t="n">
        <v>3</v>
      </c>
      <c r="X694" t="n">
        <v>1</v>
      </c>
      <c r="Y694" t="n">
        <v>70002</v>
      </c>
      <c r="Z694" t="n">
        <v>3</v>
      </c>
      <c r="AA694" t="n">
        <v>1</v>
      </c>
      <c r="AB694" t="n">
        <v>1001</v>
      </c>
      <c r="AC694" t="n">
        <v>50</v>
      </c>
      <c r="AD694" t="n">
        <v>1</v>
      </c>
      <c r="AE694" t="n">
        <v>8000</v>
      </c>
      <c r="AF694" t="n">
        <v>2620</v>
      </c>
      <c r="AG694" t="n">
        <v>1</v>
      </c>
    </row>
    <row r="695" ht="38.25" customHeight="1" s="142">
      <c r="A695" t="n">
        <v>1589</v>
      </c>
      <c r="B695" t="inlineStr">
        <is>
          <t>main</t>
        </is>
      </c>
      <c r="C695" t="n">
        <v>15</v>
      </c>
      <c r="D695" t="inlineStr">
        <is>
          <t>15-40</t>
        </is>
      </c>
      <c r="E695" t="n">
        <v>150</v>
      </c>
      <c r="G695" s="90" t="inlineStr">
        <is>
          <t>{role:-1},{state:-60019}
{id:-1},{id:-1},{id:-1},{id:-1},{id:-1}
{id:40086},{id:40069},{id:40063},{id:40069},{id:40087}</t>
        </is>
      </c>
      <c r="I695" t="n">
        <v>74845</v>
      </c>
      <c r="J695" s="80" t="inlineStr">
        <is>
          <t>魔王威壓</t>
        </is>
      </c>
      <c r="K695" t="inlineStr">
        <is>
          <t>buff</t>
        </is>
      </c>
      <c r="L695" t="n">
        <v>9008</v>
      </c>
      <c r="M695" t="inlineStr">
        <is>
          <t>6,7,10</t>
        </is>
      </c>
      <c r="O695" t="n">
        <v>0.7</v>
      </c>
      <c r="P695" s="80" t="inlineStr">
        <is>
          <t>深淵絕望</t>
        </is>
      </c>
      <c r="Q695" t="inlineStr">
        <is>
          <t>debuff</t>
        </is>
      </c>
      <c r="R695" t="n">
        <v>9004</v>
      </c>
      <c r="S695" t="n">
        <v>6</v>
      </c>
      <c r="U695" t="n">
        <v>1</v>
      </c>
      <c r="V695" t="n">
        <v>70001</v>
      </c>
      <c r="W695" t="n">
        <v>3</v>
      </c>
      <c r="X695" t="n">
        <v>1</v>
      </c>
      <c r="Y695" t="n">
        <v>70002</v>
      </c>
      <c r="Z695" t="n">
        <v>3</v>
      </c>
      <c r="AA695" t="n">
        <v>1</v>
      </c>
      <c r="AB695" t="n">
        <v>1001</v>
      </c>
      <c r="AC695" t="n">
        <v>50</v>
      </c>
      <c r="AD695" t="n">
        <v>1</v>
      </c>
      <c r="AE695" t="n">
        <v>8000</v>
      </c>
      <c r="AF695" t="n">
        <v>2620</v>
      </c>
      <c r="AG695" t="n">
        <v>1</v>
      </c>
    </row>
    <row r="696" ht="38.25" customHeight="1" s="142">
      <c r="A696" t="n">
        <v>1590</v>
      </c>
      <c r="B696" t="inlineStr">
        <is>
          <t>main</t>
        </is>
      </c>
      <c r="C696" t="n">
        <v>15</v>
      </c>
      <c r="D696" t="inlineStr">
        <is>
          <t>15-41</t>
        </is>
      </c>
      <c r="E696" t="n">
        <v>150</v>
      </c>
      <c r="G696" s="90" t="inlineStr">
        <is>
          <t>{role:-1},{state:-60019}
{id:-1},{id:-1},{id:-1},{id:-1},{id:-1}
{id:40069},{id:40086},{id:40086},{id:40072},{id:40086}</t>
        </is>
      </c>
      <c r="I696" t="n">
        <v>74970</v>
      </c>
      <c r="J696" s="80" t="inlineStr">
        <is>
          <t>魔王威壓</t>
        </is>
      </c>
      <c r="K696" t="inlineStr">
        <is>
          <t>buff</t>
        </is>
      </c>
      <c r="L696" t="n">
        <v>9006</v>
      </c>
      <c r="M696" t="inlineStr">
        <is>
          <t>8,10,12</t>
        </is>
      </c>
      <c r="O696" t="n">
        <v>0.7</v>
      </c>
      <c r="P696" s="80" t="inlineStr">
        <is>
          <t>深淵絕望</t>
        </is>
      </c>
      <c r="Q696" t="inlineStr">
        <is>
          <t>debuff</t>
        </is>
      </c>
      <c r="R696" t="n">
        <v>9011</v>
      </c>
      <c r="S696" t="inlineStr">
        <is>
          <t>3,7,13</t>
        </is>
      </c>
      <c r="U696" t="n">
        <v>0.9</v>
      </c>
      <c r="V696" t="n">
        <v>70001</v>
      </c>
      <c r="W696" t="n">
        <v>3</v>
      </c>
      <c r="X696" t="n">
        <v>1</v>
      </c>
      <c r="Y696" t="n">
        <v>70002</v>
      </c>
      <c r="Z696" t="n">
        <v>3</v>
      </c>
      <c r="AA696" t="n">
        <v>1</v>
      </c>
      <c r="AB696" t="n">
        <v>1001</v>
      </c>
      <c r="AC696" t="n">
        <v>50</v>
      </c>
      <c r="AD696" t="n">
        <v>1</v>
      </c>
      <c r="AE696" t="n">
        <v>8000</v>
      </c>
      <c r="AF696" t="n">
        <v>2630</v>
      </c>
      <c r="AG696" t="n">
        <v>1</v>
      </c>
    </row>
    <row r="697" ht="38.25" customHeight="1" s="142">
      <c r="A697" t="n">
        <v>1591</v>
      </c>
      <c r="B697" t="inlineStr">
        <is>
          <t>main</t>
        </is>
      </c>
      <c r="C697" t="n">
        <v>15</v>
      </c>
      <c r="D697" t="inlineStr">
        <is>
          <t>15-42</t>
        </is>
      </c>
      <c r="E697" t="n">
        <v>150</v>
      </c>
      <c r="G697" s="90" t="inlineStr">
        <is>
          <t>{role:-1},{state:-60019}
{id:-1},{id:-1},{id:-1},{id:-1},{id:-1}
{id:40087},{id:40063},{id:40072},{id:40069},{id:40072}</t>
        </is>
      </c>
      <c r="I697" t="n">
        <v>75095</v>
      </c>
      <c r="J697" s="80" t="inlineStr">
        <is>
          <t>魔王威壓</t>
        </is>
      </c>
      <c r="K697" t="inlineStr">
        <is>
          <t>buff</t>
        </is>
      </c>
      <c r="L697" t="n">
        <v>9006</v>
      </c>
      <c r="M697" t="inlineStr">
        <is>
          <t>2,3,10</t>
        </is>
      </c>
      <c r="O697" t="n">
        <v>0.8</v>
      </c>
      <c r="P697" s="80" t="inlineStr">
        <is>
          <t>深淵絕望</t>
        </is>
      </c>
      <c r="Q697" t="inlineStr">
        <is>
          <t>debuff</t>
        </is>
      </c>
      <c r="R697" t="n">
        <v>9011</v>
      </c>
      <c r="S697" t="inlineStr">
        <is>
          <t>8,10</t>
        </is>
      </c>
      <c r="U697" t="n">
        <v>0.4</v>
      </c>
      <c r="V697" t="n">
        <v>70001</v>
      </c>
      <c r="W697" t="n">
        <v>3</v>
      </c>
      <c r="X697" t="n">
        <v>1</v>
      </c>
      <c r="Y697" t="n">
        <v>70002</v>
      </c>
      <c r="Z697" t="n">
        <v>3</v>
      </c>
      <c r="AA697" t="n">
        <v>1</v>
      </c>
      <c r="AB697" t="n">
        <v>1001</v>
      </c>
      <c r="AC697" t="n">
        <v>50</v>
      </c>
      <c r="AD697" t="n">
        <v>1</v>
      </c>
      <c r="AE697" t="n">
        <v>8000</v>
      </c>
      <c r="AF697" t="n">
        <v>2640</v>
      </c>
      <c r="AG697" t="n">
        <v>1</v>
      </c>
    </row>
    <row r="698" ht="38.25" customHeight="1" s="142">
      <c r="A698" t="n">
        <v>1592</v>
      </c>
      <c r="B698" t="inlineStr">
        <is>
          <t>main</t>
        </is>
      </c>
      <c r="C698" t="n">
        <v>15</v>
      </c>
      <c r="D698" t="inlineStr">
        <is>
          <t>15-43</t>
        </is>
      </c>
      <c r="E698" t="n">
        <v>150</v>
      </c>
      <c r="G698" s="90" t="inlineStr">
        <is>
          <t>{role:-1},{state:-60019}
{id:-1},{id:-1},{id:-1},{id:-1},{id:-1}
{id:40086},{id:40087},{id:40072},{id:40069},{id:40086}</t>
        </is>
      </c>
      <c r="I698" t="n">
        <v>75220</v>
      </c>
      <c r="J698" s="80" t="inlineStr">
        <is>
          <t>魔王威壓</t>
        </is>
      </c>
      <c r="K698" t="inlineStr">
        <is>
          <t>buff</t>
        </is>
      </c>
      <c r="L698" t="n">
        <v>9002</v>
      </c>
      <c r="M698" t="n">
        <v>3</v>
      </c>
      <c r="O698" t="n">
        <v>0.8</v>
      </c>
      <c r="P698" s="80" t="inlineStr">
        <is>
          <t>深淵絕望</t>
        </is>
      </c>
      <c r="Q698" t="inlineStr">
        <is>
          <t>debuff</t>
        </is>
      </c>
      <c r="R698" t="n">
        <v>9007</v>
      </c>
      <c r="S698" t="n">
        <v>3</v>
      </c>
      <c r="U698" t="n">
        <v>0.7</v>
      </c>
      <c r="V698" t="n">
        <v>70001</v>
      </c>
      <c r="W698" t="n">
        <v>3</v>
      </c>
      <c r="X698" t="n">
        <v>1</v>
      </c>
      <c r="Y698" t="n">
        <v>70002</v>
      </c>
      <c r="Z698" t="n">
        <v>3</v>
      </c>
      <c r="AA698" t="n">
        <v>1</v>
      </c>
      <c r="AB698" t="n">
        <v>1001</v>
      </c>
      <c r="AC698" t="n">
        <v>50</v>
      </c>
      <c r="AD698" t="n">
        <v>1</v>
      </c>
      <c r="AE698" t="n">
        <v>8000</v>
      </c>
      <c r="AF698" t="n">
        <v>2640</v>
      </c>
      <c r="AG698" t="n">
        <v>1</v>
      </c>
    </row>
    <row r="699" ht="38.25" customHeight="1" s="142">
      <c r="A699" t="n">
        <v>1593</v>
      </c>
      <c r="B699" t="inlineStr">
        <is>
          <t>main</t>
        </is>
      </c>
      <c r="C699" t="n">
        <v>15</v>
      </c>
      <c r="D699" t="inlineStr">
        <is>
          <t>15-44</t>
        </is>
      </c>
      <c r="E699" t="n">
        <v>150</v>
      </c>
      <c r="G699" s="90" t="inlineStr">
        <is>
          <t>{role:-1},{state:-60019}
{id:-1},{id:-1},{id:-1},{id:-1},{id:-1}
{id:40072},{id:40087},{id:40069},{id:40087},{id:40069}</t>
        </is>
      </c>
      <c r="I699" t="n">
        <v>75345</v>
      </c>
      <c r="J699" s="80" t="inlineStr">
        <is>
          <t>魔王威壓</t>
        </is>
      </c>
      <c r="K699" t="inlineStr">
        <is>
          <t>buff</t>
        </is>
      </c>
      <c r="L699" t="n">
        <v>9001</v>
      </c>
      <c r="M699" t="inlineStr">
        <is>
          <t>4,5,13</t>
        </is>
      </c>
      <c r="O699" t="n">
        <v>0.7</v>
      </c>
      <c r="P699" s="80" t="inlineStr">
        <is>
          <t>深淵絕望</t>
        </is>
      </c>
      <c r="Q699" t="inlineStr">
        <is>
          <t>debuff</t>
        </is>
      </c>
      <c r="R699" t="n">
        <v>9003</v>
      </c>
      <c r="S699" t="inlineStr">
        <is>
          <t>4,11</t>
        </is>
      </c>
      <c r="U699" t="n">
        <v>0.2</v>
      </c>
      <c r="V699" t="n">
        <v>70001</v>
      </c>
      <c r="W699" t="n">
        <v>3</v>
      </c>
      <c r="X699" t="n">
        <v>1</v>
      </c>
      <c r="Y699" t="n">
        <v>70002</v>
      </c>
      <c r="Z699" t="n">
        <v>3</v>
      </c>
      <c r="AA699" t="n">
        <v>1</v>
      </c>
      <c r="AB699" t="n">
        <v>1001</v>
      </c>
      <c r="AC699" t="n">
        <v>50</v>
      </c>
      <c r="AD699" t="n">
        <v>1</v>
      </c>
      <c r="AE699" t="n">
        <v>8000</v>
      </c>
      <c r="AF699" t="n">
        <v>2650</v>
      </c>
      <c r="AG699" t="n">
        <v>1</v>
      </c>
    </row>
    <row r="700" ht="38.25" customHeight="1" s="142">
      <c r="A700" t="n">
        <v>1594</v>
      </c>
      <c r="B700" t="inlineStr">
        <is>
          <t>main</t>
        </is>
      </c>
      <c r="C700" t="n">
        <v>15</v>
      </c>
      <c r="D700" t="inlineStr">
        <is>
          <t>15-45</t>
        </is>
      </c>
      <c r="E700" t="n">
        <v>150</v>
      </c>
      <c r="G700" s="90" t="inlineStr">
        <is>
          <t>{role:-1},{state:-60019}
{id:-1},{id:-1},{id:-1},{id:-1},{id:-1}
{id:40063},{id:40087},{id:40072},{id:40086},{id:40086}</t>
        </is>
      </c>
      <c r="I700" t="n">
        <v>75470</v>
      </c>
      <c r="J700" s="80" t="inlineStr">
        <is>
          <t>魔王威壓</t>
        </is>
      </c>
      <c r="K700" t="inlineStr">
        <is>
          <t>buff</t>
        </is>
      </c>
      <c r="L700" t="n">
        <v>9001</v>
      </c>
      <c r="M700" t="inlineStr">
        <is>
          <t>12,13</t>
        </is>
      </c>
      <c r="O700" t="n">
        <v>0.1</v>
      </c>
      <c r="P700" s="80" t="inlineStr">
        <is>
          <t>深淵絕望</t>
        </is>
      </c>
      <c r="Q700" t="inlineStr">
        <is>
          <t>debuff</t>
        </is>
      </c>
      <c r="R700" t="n">
        <v>9003</v>
      </c>
      <c r="S700" t="n">
        <v>9</v>
      </c>
      <c r="U700" t="n">
        <v>0.5</v>
      </c>
      <c r="V700" t="n">
        <v>70001</v>
      </c>
      <c r="W700" t="n">
        <v>3</v>
      </c>
      <c r="X700" t="n">
        <v>1</v>
      </c>
      <c r="Y700" t="n">
        <v>70002</v>
      </c>
      <c r="Z700" t="n">
        <v>3</v>
      </c>
      <c r="AA700" t="n">
        <v>1</v>
      </c>
      <c r="AB700" t="n">
        <v>1001</v>
      </c>
      <c r="AC700" t="n">
        <v>50</v>
      </c>
      <c r="AD700" t="n">
        <v>1</v>
      </c>
      <c r="AE700" t="n">
        <v>8000</v>
      </c>
      <c r="AF700" t="n">
        <v>2650</v>
      </c>
      <c r="AG700" t="n">
        <v>1</v>
      </c>
    </row>
    <row r="701" ht="38.25" customHeight="1" s="142">
      <c r="A701" t="n">
        <v>1595</v>
      </c>
      <c r="B701" t="inlineStr">
        <is>
          <t>main</t>
        </is>
      </c>
      <c r="C701" t="n">
        <v>15</v>
      </c>
      <c r="D701" t="inlineStr">
        <is>
          <t>15-46</t>
        </is>
      </c>
      <c r="E701" t="n">
        <v>150</v>
      </c>
      <c r="G701" s="90" t="inlineStr">
        <is>
          <t>{role:-1},{state:-60019}
{id:-1},{id:-1},{id:-1},{id:-1},{id:-1}
{id:40086},{id:40086},{id:40072},{id:40086},{id:40086}</t>
        </is>
      </c>
      <c r="I701" t="n">
        <v>75595</v>
      </c>
      <c r="J701" s="80" t="inlineStr">
        <is>
          <t>魔王威壓</t>
        </is>
      </c>
      <c r="K701" t="inlineStr">
        <is>
          <t>buff</t>
        </is>
      </c>
      <c r="L701" t="n">
        <v>9011</v>
      </c>
      <c r="M701" t="inlineStr">
        <is>
          <t>11,12,13</t>
        </is>
      </c>
      <c r="O701" t="n">
        <v>0.8</v>
      </c>
      <c r="P701" s="80" t="inlineStr">
        <is>
          <t>深淵絕望</t>
        </is>
      </c>
      <c r="Q701" t="inlineStr">
        <is>
          <t>debuff</t>
        </is>
      </c>
      <c r="R701" t="n">
        <v>9012</v>
      </c>
      <c r="S701" t="n">
        <v>1</v>
      </c>
      <c r="U701" t="n">
        <v>0.7</v>
      </c>
      <c r="V701" t="n">
        <v>70001</v>
      </c>
      <c r="W701" t="n">
        <v>3</v>
      </c>
      <c r="X701" t="n">
        <v>1</v>
      </c>
      <c r="Y701" t="n">
        <v>70002</v>
      </c>
      <c r="Z701" t="n">
        <v>3</v>
      </c>
      <c r="AA701" t="n">
        <v>1</v>
      </c>
      <c r="AB701" t="n">
        <v>1001</v>
      </c>
      <c r="AC701" t="n">
        <v>50</v>
      </c>
      <c r="AD701" t="n">
        <v>1</v>
      </c>
      <c r="AE701" t="n">
        <v>8000</v>
      </c>
      <c r="AF701" t="n">
        <v>2660</v>
      </c>
      <c r="AG701" t="n">
        <v>1</v>
      </c>
    </row>
    <row r="702" ht="38.25" customHeight="1" s="142">
      <c r="A702" t="n">
        <v>1596</v>
      </c>
      <c r="B702" t="inlineStr">
        <is>
          <t>main</t>
        </is>
      </c>
      <c r="C702" t="n">
        <v>15</v>
      </c>
      <c r="D702" t="inlineStr">
        <is>
          <t>15-47</t>
        </is>
      </c>
      <c r="E702" t="n">
        <v>150</v>
      </c>
      <c r="G702" s="90" t="inlineStr">
        <is>
          <t>{role:-1},{state:-60019}
{id:-1},{id:-1},{id:-1},{id:-1},{id:-1}
{id:40086},{id:40086},{id:40072},{id:40087},{id:40069}</t>
        </is>
      </c>
      <c r="I702" t="n">
        <v>75720</v>
      </c>
      <c r="J702" s="80" t="inlineStr">
        <is>
          <t>魔王威壓</t>
        </is>
      </c>
      <c r="K702" t="inlineStr">
        <is>
          <t>buff</t>
        </is>
      </c>
      <c r="L702" t="n">
        <v>9001</v>
      </c>
      <c r="M702" t="inlineStr">
        <is>
          <t>1,7,11</t>
        </is>
      </c>
      <c r="O702" t="n">
        <v>0.9</v>
      </c>
      <c r="P702" s="80" t="inlineStr">
        <is>
          <t>深淵絕望</t>
        </is>
      </c>
      <c r="Q702" t="inlineStr">
        <is>
          <t>debuff</t>
        </is>
      </c>
      <c r="R702" t="n">
        <v>9010</v>
      </c>
      <c r="S702" t="inlineStr">
        <is>
          <t>1,4,10</t>
        </is>
      </c>
      <c r="U702" t="n">
        <v>1</v>
      </c>
      <c r="V702" t="n">
        <v>70001</v>
      </c>
      <c r="W702" t="n">
        <v>3</v>
      </c>
      <c r="X702" t="n">
        <v>1</v>
      </c>
      <c r="Y702" t="n">
        <v>70002</v>
      </c>
      <c r="Z702" t="n">
        <v>3</v>
      </c>
      <c r="AA702" t="n">
        <v>1</v>
      </c>
      <c r="AB702" t="n">
        <v>1001</v>
      </c>
      <c r="AC702" t="n">
        <v>50</v>
      </c>
      <c r="AD702" t="n">
        <v>1</v>
      </c>
      <c r="AE702" t="n">
        <v>8000</v>
      </c>
      <c r="AF702" t="n">
        <v>2670</v>
      </c>
      <c r="AG702" t="n">
        <v>1</v>
      </c>
    </row>
    <row r="703" ht="38.25" customHeight="1" s="142">
      <c r="A703" t="n">
        <v>1597</v>
      </c>
      <c r="B703" t="inlineStr">
        <is>
          <t>main</t>
        </is>
      </c>
      <c r="C703" t="n">
        <v>15</v>
      </c>
      <c r="D703" t="inlineStr">
        <is>
          <t>15-48</t>
        </is>
      </c>
      <c r="E703" t="n">
        <v>150</v>
      </c>
      <c r="G703" s="90" t="inlineStr">
        <is>
          <t>{role:-1},{state:-60019}
{id:-1},{id:-1},{id:-1},{id:-1},{id:-1}
{id:40072},{id:40069},{id:40063},{id:40069},{id:40086}</t>
        </is>
      </c>
      <c r="I703" t="n">
        <v>75845</v>
      </c>
      <c r="J703" s="80" t="inlineStr">
        <is>
          <t>魔王威壓</t>
        </is>
      </c>
      <c r="K703" t="inlineStr">
        <is>
          <t>buff</t>
        </is>
      </c>
      <c r="L703" t="n">
        <v>9002</v>
      </c>
      <c r="M703" t="n">
        <v>12</v>
      </c>
      <c r="O703" t="n">
        <v>0.9</v>
      </c>
      <c r="P703" s="80" t="inlineStr">
        <is>
          <t>深淵絕望</t>
        </is>
      </c>
      <c r="Q703" t="inlineStr">
        <is>
          <t>debuff</t>
        </is>
      </c>
      <c r="R703" t="n">
        <v>9007</v>
      </c>
      <c r="S703" t="inlineStr">
        <is>
          <t>4,9,10</t>
        </is>
      </c>
      <c r="U703" t="n">
        <v>0.3</v>
      </c>
      <c r="V703" t="n">
        <v>70001</v>
      </c>
      <c r="W703" t="n">
        <v>3</v>
      </c>
      <c r="X703" t="n">
        <v>1</v>
      </c>
      <c r="Y703" t="n">
        <v>70002</v>
      </c>
      <c r="Z703" t="n">
        <v>3</v>
      </c>
      <c r="AA703" t="n">
        <v>1</v>
      </c>
      <c r="AB703" t="n">
        <v>1001</v>
      </c>
      <c r="AC703" t="n">
        <v>50</v>
      </c>
      <c r="AD703" t="n">
        <v>1</v>
      </c>
      <c r="AE703" t="n">
        <v>8000</v>
      </c>
      <c r="AF703" t="n">
        <v>2670</v>
      </c>
      <c r="AG703" t="n">
        <v>1</v>
      </c>
    </row>
    <row r="704" ht="38.25" customHeight="1" s="142">
      <c r="A704" t="n">
        <v>1598</v>
      </c>
      <c r="B704" t="inlineStr">
        <is>
          <t>main</t>
        </is>
      </c>
      <c r="C704" t="n">
        <v>15</v>
      </c>
      <c r="D704" t="inlineStr">
        <is>
          <t>15-49</t>
        </is>
      </c>
      <c r="E704" t="n">
        <v>150</v>
      </c>
      <c r="G704" s="90" t="inlineStr">
        <is>
          <t>{role:-1},{state:-60019}
{id:-1},{id:-1},{id:-1},{id:-1},{id:-1}
{id:40069},{id:40069},{id:40069},{id:40063},{id:40087}</t>
        </is>
      </c>
      <c r="I704" t="n">
        <v>75970</v>
      </c>
      <c r="J704" s="80" t="inlineStr">
        <is>
          <t>魔王威壓</t>
        </is>
      </c>
      <c r="K704" t="inlineStr">
        <is>
          <t>buff</t>
        </is>
      </c>
      <c r="L704" t="n">
        <v>9001</v>
      </c>
      <c r="M704" t="inlineStr">
        <is>
          <t>1,3,10</t>
        </is>
      </c>
      <c r="O704" t="n">
        <v>0.3</v>
      </c>
      <c r="P704" s="80" t="inlineStr">
        <is>
          <t>深淵絕望</t>
        </is>
      </c>
      <c r="Q704" t="inlineStr">
        <is>
          <t>debuff</t>
        </is>
      </c>
      <c r="R704" t="n">
        <v>9010</v>
      </c>
      <c r="S704" t="inlineStr">
        <is>
          <t>10,13</t>
        </is>
      </c>
      <c r="U704" t="n">
        <v>0.8</v>
      </c>
      <c r="V704" t="n">
        <v>70001</v>
      </c>
      <c r="W704" t="n">
        <v>3</v>
      </c>
      <c r="X704" t="n">
        <v>1</v>
      </c>
      <c r="Y704" t="n">
        <v>70002</v>
      </c>
      <c r="Z704" t="n">
        <v>3</v>
      </c>
      <c r="AA704" t="n">
        <v>1</v>
      </c>
      <c r="AB704" t="n">
        <v>1001</v>
      </c>
      <c r="AC704" t="n">
        <v>50</v>
      </c>
      <c r="AD704" t="n">
        <v>1</v>
      </c>
      <c r="AE704" t="n">
        <v>8000</v>
      </c>
      <c r="AF704" t="n">
        <v>2680</v>
      </c>
      <c r="AG704" t="n">
        <v>1</v>
      </c>
    </row>
    <row r="705" ht="38.25" customHeight="1" s="142">
      <c r="A705" t="n">
        <v>1599</v>
      </c>
      <c r="B705" t="inlineStr">
        <is>
          <t>main</t>
        </is>
      </c>
      <c r="C705" t="n">
        <v>15</v>
      </c>
      <c r="D705" t="inlineStr">
        <is>
          <t>15-50</t>
        </is>
      </c>
      <c r="E705" t="n">
        <v>150</v>
      </c>
      <c r="G705" s="90" t="inlineStr">
        <is>
          <t>{role:-1},{state:-60020}
{id:-1},{id:-1},{id:-1},{id:-1},{id:-1}
{id:50000},{id:40063},{id:40072},{id:40086},{id:40069}</t>
        </is>
      </c>
      <c r="I705" t="n">
        <v>76095</v>
      </c>
      <c r="J705" s="80" t="inlineStr">
        <is>
          <t>魔王威壓</t>
        </is>
      </c>
      <c r="K705" t="inlineStr">
        <is>
          <t>buff</t>
        </is>
      </c>
      <c r="L705" t="n">
        <v>9012</v>
      </c>
      <c r="M705" t="n">
        <v>10</v>
      </c>
      <c r="O705" t="n">
        <v>0.2</v>
      </c>
      <c r="P705" s="80" t="inlineStr">
        <is>
          <t>深淵絕望</t>
        </is>
      </c>
      <c r="Q705" t="inlineStr">
        <is>
          <t>debuff</t>
        </is>
      </c>
      <c r="R705" t="n">
        <v>9004</v>
      </c>
      <c r="S705" t="inlineStr">
        <is>
          <t>1,5</t>
        </is>
      </c>
      <c r="U705" t="n">
        <v>0.4</v>
      </c>
      <c r="V705" t="n">
        <v>70001</v>
      </c>
      <c r="W705" t="n">
        <v>3</v>
      </c>
      <c r="X705" t="n">
        <v>1</v>
      </c>
      <c r="Y705" t="n">
        <v>70002</v>
      </c>
      <c r="Z705" t="n">
        <v>3</v>
      </c>
      <c r="AA705" t="n">
        <v>1</v>
      </c>
      <c r="AB705" t="n">
        <v>1001</v>
      </c>
      <c r="AC705" t="n">
        <v>50</v>
      </c>
      <c r="AD705" t="n">
        <v>1</v>
      </c>
      <c r="AE705" t="n">
        <v>8000</v>
      </c>
      <c r="AF705" t="n">
        <v>2680</v>
      </c>
      <c r="AG705" t="n">
        <v>1</v>
      </c>
    </row>
    <row r="707">
      <c r="A707" t="inlineStr">
        <is>
          <t>mapid</t>
        </is>
      </c>
      <c r="B707" t="inlineStr">
        <is>
          <t>type</t>
        </is>
      </c>
      <c r="C707" t="inlineStr">
        <is>
          <t>chapter</t>
        </is>
      </c>
      <c r="D707" t="inlineStr">
        <is>
          <t>hint</t>
        </is>
      </c>
      <c r="E707" t="inlineStr">
        <is>
          <t>level</t>
        </is>
      </c>
      <c r="F707" t="inlineStr">
        <is>
          <t>tag_limit</t>
        </is>
      </c>
      <c r="G707" t="inlineStr">
        <is>
          <t>quest</t>
        </is>
      </c>
      <c r="H707" t="inlineStr">
        <is>
          <t>arrangement</t>
        </is>
      </c>
      <c r="I707" t="inlineStr">
        <is>
          <t>Capability</t>
        </is>
      </c>
      <c r="J707" t="inlineStr">
        <is>
          <t>event1_name</t>
        </is>
      </c>
      <c r="K707" t="inlineStr">
        <is>
          <t>event1_type</t>
        </is>
      </c>
      <c r="L707" t="inlineStr">
        <is>
          <t>event1_buff</t>
        </is>
      </c>
      <c r="M707" t="inlineStr">
        <is>
          <t>event1_time</t>
        </is>
      </c>
      <c r="N707" t="inlineStr">
        <is>
          <t>event1_target</t>
        </is>
      </c>
      <c r="O707" t="inlineStr">
        <is>
          <t>event1_rate</t>
        </is>
      </c>
      <c r="P707" t="inlineStr">
        <is>
          <t>event2_name</t>
        </is>
      </c>
      <c r="Q707" t="inlineStr">
        <is>
          <t>event2_type</t>
        </is>
      </c>
      <c r="R707" t="inlineStr">
        <is>
          <t>event2_buff</t>
        </is>
      </c>
      <c r="S707" t="inlineStr">
        <is>
          <t>event2_time</t>
        </is>
      </c>
      <c r="T707" t="inlineStr">
        <is>
          <t>event2_target</t>
        </is>
      </c>
      <c r="U707" t="inlineStr">
        <is>
          <t>event2_rate</t>
        </is>
      </c>
      <c r="V707" t="inlineStr">
        <is>
          <t>loot1_id</t>
        </is>
      </c>
      <c r="W707" t="inlineStr">
        <is>
          <t>loot1_amount</t>
        </is>
      </c>
      <c r="X707" t="inlineStr">
        <is>
          <t>loot1_rate</t>
        </is>
      </c>
      <c r="Y707" t="inlineStr">
        <is>
          <t>loot2_id</t>
        </is>
      </c>
      <c r="Z707" t="inlineStr">
        <is>
          <t>loot2_amount</t>
        </is>
      </c>
      <c r="AA707" t="inlineStr">
        <is>
          <t>loot2_rate</t>
        </is>
      </c>
    </row>
    <row r="708" ht="38.25" customHeight="1" s="142">
      <c r="A708" t="n">
        <v>600</v>
      </c>
      <c r="B708" t="inlineStr">
        <is>
          <t>godcharacter</t>
        </is>
      </c>
      <c r="D708" s="80" t="inlineStr">
        <is>
          <t>普通・限定「野獸」</t>
        </is>
      </c>
      <c r="E708" t="n">
        <v>20</v>
      </c>
      <c r="F708" t="n">
        <v>62</v>
      </c>
      <c r="G708" s="90" t="inlineStr">
        <is>
          <t>{role:-1},
{id:-1},{id:-1},{id:-1},{id:-1},{id:-1}, {id:40001},{id:40002},{id:40004},{id:40006},{id:40008}</t>
        </is>
      </c>
      <c r="H708" t="n">
        <v>1</v>
      </c>
      <c r="V708" t="n">
        <v>8000</v>
      </c>
      <c r="W708" t="n">
        <v>1000</v>
      </c>
      <c r="Y708" t="n">
        <v>8003</v>
      </c>
      <c r="Z708" t="n">
        <v>1</v>
      </c>
      <c r="AA708" t="n">
        <v>0.05</v>
      </c>
      <c r="AB708" t="n">
        <v>2008</v>
      </c>
      <c r="AC708" t="n">
        <v>15</v>
      </c>
      <c r="AD708" t="n">
        <v>1</v>
      </c>
    </row>
    <row r="709" ht="38.25" customHeight="1" s="142">
      <c r="A709" t="n">
        <v>600</v>
      </c>
      <c r="B709" t="inlineStr">
        <is>
          <t>godcharacter</t>
        </is>
      </c>
      <c r="D709" s="80" t="inlineStr">
        <is>
          <t>普通・限定「史萊姆」</t>
        </is>
      </c>
      <c r="E709" t="n">
        <v>20</v>
      </c>
      <c r="F709" t="n">
        <v>63</v>
      </c>
      <c r="G709" s="90" t="inlineStr">
        <is>
          <t>{role:-1},
{id:-1},{id:-1},{id:-1},{id:-1},{id:-1}, {id:40011},{id:40012},{id:40013},{id:40014},{id:40015}</t>
        </is>
      </c>
      <c r="H709" t="n">
        <v>1</v>
      </c>
      <c r="V709" t="n">
        <v>8000</v>
      </c>
      <c r="W709" t="n">
        <v>1000</v>
      </c>
      <c r="Y709" t="n">
        <v>8003</v>
      </c>
      <c r="Z709" t="n">
        <v>1</v>
      </c>
      <c r="AA709" t="n">
        <v>0.05</v>
      </c>
      <c r="AB709" t="n">
        <v>2008</v>
      </c>
      <c r="AC709" t="n">
        <v>15</v>
      </c>
      <c r="AD709" t="n">
        <v>1</v>
      </c>
    </row>
    <row r="710" ht="38.25" customHeight="1" s="142">
      <c r="A710" t="n">
        <v>600</v>
      </c>
      <c r="B710" t="inlineStr">
        <is>
          <t>godcharacter</t>
        </is>
      </c>
      <c r="D710" s="80" t="inlineStr">
        <is>
          <t>普通・限定「精靈元素」</t>
        </is>
      </c>
      <c r="E710" t="n">
        <v>20</v>
      </c>
      <c r="F710" t="n">
        <v>64</v>
      </c>
      <c r="G710" s="90" t="inlineStr">
        <is>
          <t>{role:-1},
{id:-1},{id:-1},{id:-1},{id:-1},{id:-1}, {id:40005},{id:40009},{id:40010},{id:40028},{id:40029}</t>
        </is>
      </c>
      <c r="H710" t="n">
        <v>1</v>
      </c>
      <c r="V710" t="n">
        <v>8000</v>
      </c>
      <c r="W710" t="n">
        <v>1000</v>
      </c>
      <c r="Y710" t="n">
        <v>8003</v>
      </c>
      <c r="Z710" t="n">
        <v>1</v>
      </c>
      <c r="AA710" t="n">
        <v>0.05</v>
      </c>
      <c r="AB710" t="n">
        <v>2008</v>
      </c>
      <c r="AC710" t="n">
        <v>15</v>
      </c>
      <c r="AD710" t="n">
        <v>1</v>
      </c>
    </row>
    <row r="711" ht="38.25" customHeight="1" s="142">
      <c r="A711" t="n">
        <v>600</v>
      </c>
      <c r="B711" t="inlineStr">
        <is>
          <t>godcharacter</t>
        </is>
      </c>
      <c r="D711" s="80" t="inlineStr">
        <is>
          <t>普通・限定「不死亡靈」</t>
        </is>
      </c>
      <c r="E711" t="n">
        <v>20</v>
      </c>
      <c r="F711" t="n">
        <v>65</v>
      </c>
      <c r="G711" s="90" t="inlineStr">
        <is>
          <t>{role:-1},
{id:-1},{id:-1},{id:-1},{id:-1},{id:-1}, {id:40023},{id:40043},{id:40050},{id:40054},{id:40055}</t>
        </is>
      </c>
      <c r="H711" t="n">
        <v>1</v>
      </c>
      <c r="V711" t="n">
        <v>8000</v>
      </c>
      <c r="W711" t="n">
        <v>1000</v>
      </c>
      <c r="Y711" t="n">
        <v>8003</v>
      </c>
      <c r="Z711" t="n">
        <v>1</v>
      </c>
      <c r="AA711" t="n">
        <v>0.05</v>
      </c>
      <c r="AB711" t="n">
        <v>2008</v>
      </c>
      <c r="AC711" t="n">
        <v>15</v>
      </c>
      <c r="AD711" t="n">
        <v>1</v>
      </c>
    </row>
    <row r="712" ht="38.25" customHeight="1" s="142">
      <c r="A712" t="n">
        <v>600</v>
      </c>
      <c r="B712" t="inlineStr">
        <is>
          <t>godcharacter</t>
        </is>
      </c>
      <c r="D712" s="80" t="inlineStr">
        <is>
          <t>普通・限定「魔族深淵」</t>
        </is>
      </c>
      <c r="E712" t="n">
        <v>20</v>
      </c>
      <c r="F712" t="n">
        <v>66</v>
      </c>
      <c r="G712" s="90" t="inlineStr">
        <is>
          <t>{role:-1},
{id:-1},{id:-1},{id:-1},{id:-1},{id:-1}, {id:40020},{id:40035},{id:40044},{id:40063},{id:40068}</t>
        </is>
      </c>
      <c r="H712" t="n">
        <v>1</v>
      </c>
      <c r="V712" t="n">
        <v>8000</v>
      </c>
      <c r="W712" t="n">
        <v>1000</v>
      </c>
      <c r="Y712" t="n">
        <v>8003</v>
      </c>
      <c r="Z712" t="n">
        <v>1</v>
      </c>
      <c r="AA712" t="n">
        <v>0.05</v>
      </c>
      <c r="AB712" t="n">
        <v>2008</v>
      </c>
      <c r="AC712" t="n">
        <v>15</v>
      </c>
      <c r="AD712" t="n">
        <v>1</v>
      </c>
    </row>
    <row r="713" ht="38.25" customHeight="1" s="142">
      <c r="A713" t="n">
        <v>600</v>
      </c>
      <c r="B713" t="inlineStr">
        <is>
          <t>godcharacter</t>
        </is>
      </c>
      <c r="D713" s="80" t="inlineStr">
        <is>
          <t>普通・限定「構裝傀儡」</t>
        </is>
      </c>
      <c r="E713" t="n">
        <v>20</v>
      </c>
      <c r="F713" t="n">
        <v>67</v>
      </c>
      <c r="G713" s="90" t="inlineStr">
        <is>
          <t>{role:-1},
{id:-1},{id:-1},{id:-1},{id:-1},{id:-1}, {id:40003},{id:40007},{id:40017},{id:40018},{id:40019}</t>
        </is>
      </c>
      <c r="H713" t="n">
        <v>1</v>
      </c>
      <c r="V713" t="n">
        <v>8000</v>
      </c>
      <c r="W713" t="n">
        <v>1000</v>
      </c>
      <c r="Y713" t="n">
        <v>8003</v>
      </c>
      <c r="Z713" t="n">
        <v>1</v>
      </c>
      <c r="AA713" t="n">
        <v>0.05</v>
      </c>
      <c r="AB713" t="n">
        <v>2008</v>
      </c>
      <c r="AC713" t="n">
        <v>15</v>
      </c>
      <c r="AD713" t="n">
        <v>1</v>
      </c>
    </row>
    <row r="714" ht="38.25" customHeight="1" s="142">
      <c r="A714" t="n">
        <v>600</v>
      </c>
      <c r="B714" t="inlineStr">
        <is>
          <t>godcharacter</t>
        </is>
      </c>
      <c r="D714" s="80" t="inlineStr">
        <is>
          <t>普通・限定「盜賊術士」</t>
        </is>
      </c>
      <c r="E714" t="n">
        <v>20</v>
      </c>
      <c r="F714" t="n">
        <v>68</v>
      </c>
      <c r="G714" s="90" t="inlineStr">
        <is>
          <t>{role:-1},
{id:-1},{id:-1},{id:-1},{id:-1},{id:-1}, {id:40022},{id:40025},{id:40027},{id:40032},{id:40037}</t>
        </is>
      </c>
      <c r="H714" t="n">
        <v>1</v>
      </c>
      <c r="V714" t="n">
        <v>8000</v>
      </c>
      <c r="W714" t="n">
        <v>1000</v>
      </c>
      <c r="Y714" t="n">
        <v>8003</v>
      </c>
      <c r="Z714" t="n">
        <v>1</v>
      </c>
      <c r="AA714" t="n">
        <v>0.05</v>
      </c>
      <c r="AB714" t="n">
        <v>2008</v>
      </c>
      <c r="AC714" t="n">
        <v>15</v>
      </c>
      <c r="AD714" t="n">
        <v>1</v>
      </c>
    </row>
    <row r="715" ht="38.25" customHeight="1" s="142">
      <c r="A715" t="n">
        <v>600</v>
      </c>
      <c r="B715" t="inlineStr">
        <is>
          <t>godcharacter</t>
        </is>
      </c>
      <c r="D715" s="80" t="inlineStr">
        <is>
          <t>普通・限定「騎士聖光」</t>
        </is>
      </c>
      <c r="E715" t="n">
        <v>20</v>
      </c>
      <c r="F715" t="n">
        <v>69</v>
      </c>
      <c r="G715" s="90" t="inlineStr">
        <is>
          <t>{role:-1},
{id:-1},{id:-1},{id:-1},{id:-1},{id:-1}, {id:40047},{id:40048},{id:40049},{id:40077},{id:50009}</t>
        </is>
      </c>
      <c r="H715" t="n">
        <v>1</v>
      </c>
      <c r="V715" t="n">
        <v>8000</v>
      </c>
      <c r="W715" t="n">
        <v>1000</v>
      </c>
      <c r="Y715" t="n">
        <v>8003</v>
      </c>
      <c r="Z715" t="n">
        <v>1</v>
      </c>
      <c r="AA715" t="n">
        <v>0.05</v>
      </c>
      <c r="AB715" t="n">
        <v>2008</v>
      </c>
      <c r="AC715" t="n">
        <v>15</v>
      </c>
      <c r="AD715" t="n">
        <v>1</v>
      </c>
    </row>
    <row r="716" ht="38.25" customHeight="1" s="142">
      <c r="A716" t="n">
        <v>601</v>
      </c>
      <c r="B716" t="inlineStr">
        <is>
          <t>godcharacter</t>
        </is>
      </c>
      <c r="D716" s="80" t="inlineStr">
        <is>
          <t>中等・限定「野獸」</t>
        </is>
      </c>
      <c r="E716" t="n">
        <v>50</v>
      </c>
      <c r="F716" t="n">
        <v>62</v>
      </c>
      <c r="G716" s="90" t="inlineStr">
        <is>
          <t>{role:-1},
{id:-1},{id:-1},{id:-1},{id:-1},{id:-1}, {id:40001},{id:40002},{id:40004},{id:40006},{id:40008}</t>
        </is>
      </c>
      <c r="H716" t="n">
        <v>1</v>
      </c>
      <c r="V716" t="n">
        <v>8000</v>
      </c>
      <c r="W716" t="n">
        <v>1000</v>
      </c>
      <c r="Y716" t="n">
        <v>8003</v>
      </c>
      <c r="Z716" t="n">
        <v>1</v>
      </c>
      <c r="AA716" t="n">
        <v>0.05</v>
      </c>
      <c r="AB716" t="n">
        <v>2008</v>
      </c>
      <c r="AC716" t="n">
        <v>23</v>
      </c>
      <c r="AD716" t="n">
        <v>1</v>
      </c>
    </row>
    <row r="717" ht="38.25" customHeight="1" s="142">
      <c r="A717" t="n">
        <v>601</v>
      </c>
      <c r="B717" t="inlineStr">
        <is>
          <t>godcharacter</t>
        </is>
      </c>
      <c r="D717" s="80" t="inlineStr">
        <is>
          <t>中等・限定「史萊姆」</t>
        </is>
      </c>
      <c r="E717" t="n">
        <v>50</v>
      </c>
      <c r="F717" t="n">
        <v>63</v>
      </c>
      <c r="G717" s="90" t="inlineStr">
        <is>
          <t>{role:-1},
{id:-1},{id:-1},{id:-1},{id:-1},{id:-1}, {id:40011},{id:40012},{id:40013},{id:40014},{id:40015}</t>
        </is>
      </c>
      <c r="H717" t="n">
        <v>1</v>
      </c>
      <c r="V717" t="n">
        <v>8000</v>
      </c>
      <c r="W717" t="n">
        <v>1000</v>
      </c>
      <c r="Y717" t="n">
        <v>8003</v>
      </c>
      <c r="Z717" t="n">
        <v>1</v>
      </c>
      <c r="AA717" t="n">
        <v>0.05</v>
      </c>
      <c r="AB717" t="n">
        <v>2008</v>
      </c>
      <c r="AC717" t="n">
        <v>23</v>
      </c>
      <c r="AD717" t="n">
        <v>1</v>
      </c>
    </row>
    <row r="718" ht="38.25" customHeight="1" s="142">
      <c r="A718" t="n">
        <v>601</v>
      </c>
      <c r="B718" t="inlineStr">
        <is>
          <t>godcharacter</t>
        </is>
      </c>
      <c r="D718" s="80" t="inlineStr">
        <is>
          <t>中等・限定「精靈元素」</t>
        </is>
      </c>
      <c r="E718" t="n">
        <v>50</v>
      </c>
      <c r="F718" t="n">
        <v>64</v>
      </c>
      <c r="G718" s="90" t="inlineStr">
        <is>
          <t>{role:-1},
{id:-1},{id:-1},{id:-1},{id:-1},{id:-1}, {id:40005},{id:40009},{id:40010},{id:40028},{id:40029}</t>
        </is>
      </c>
      <c r="H718" t="n">
        <v>1</v>
      </c>
      <c r="V718" t="n">
        <v>8000</v>
      </c>
      <c r="W718" t="n">
        <v>1000</v>
      </c>
      <c r="Y718" t="n">
        <v>8003</v>
      </c>
      <c r="Z718" t="n">
        <v>1</v>
      </c>
      <c r="AA718" t="n">
        <v>0.05</v>
      </c>
      <c r="AB718" t="n">
        <v>2008</v>
      </c>
      <c r="AC718" t="n">
        <v>23</v>
      </c>
      <c r="AD718" t="n">
        <v>1</v>
      </c>
    </row>
    <row r="719" ht="38.25" customHeight="1" s="142">
      <c r="A719" t="n">
        <v>601</v>
      </c>
      <c r="B719" t="inlineStr">
        <is>
          <t>godcharacter</t>
        </is>
      </c>
      <c r="D719" s="80" t="inlineStr">
        <is>
          <t>中等・限定「不死亡靈」</t>
        </is>
      </c>
      <c r="E719" t="n">
        <v>50</v>
      </c>
      <c r="F719" t="n">
        <v>65</v>
      </c>
      <c r="G719" s="90" t="inlineStr">
        <is>
          <t>{role:-1},
{id:-1},{id:-1},{id:-1},{id:-1},{id:-1}, {id:40023},{id:40043},{id:40050},{id:40054},{id:40055}</t>
        </is>
      </c>
      <c r="H719" t="n">
        <v>1</v>
      </c>
      <c r="V719" t="n">
        <v>8000</v>
      </c>
      <c r="W719" t="n">
        <v>1000</v>
      </c>
      <c r="Y719" t="n">
        <v>8003</v>
      </c>
      <c r="Z719" t="n">
        <v>1</v>
      </c>
      <c r="AA719" t="n">
        <v>0.05</v>
      </c>
      <c r="AB719" t="n">
        <v>2008</v>
      </c>
      <c r="AC719" t="n">
        <v>23</v>
      </c>
      <c r="AD719" t="n">
        <v>1</v>
      </c>
    </row>
    <row r="720" ht="38.25" customHeight="1" s="142">
      <c r="A720" t="n">
        <v>601</v>
      </c>
      <c r="B720" t="inlineStr">
        <is>
          <t>godcharacter</t>
        </is>
      </c>
      <c r="D720" s="80" t="inlineStr">
        <is>
          <t>中等・限定「魔族深淵」</t>
        </is>
      </c>
      <c r="E720" t="n">
        <v>50</v>
      </c>
      <c r="F720" t="n">
        <v>66</v>
      </c>
      <c r="G720" s="90" t="inlineStr">
        <is>
          <t>{role:-1},
{id:-1},{id:-1},{id:-1},{id:-1},{id:-1}, {id:40020},{id:40035},{id:40044},{id:40063},{id:40068}</t>
        </is>
      </c>
      <c r="H720" t="n">
        <v>1</v>
      </c>
      <c r="V720" t="n">
        <v>8000</v>
      </c>
      <c r="W720" t="n">
        <v>1000</v>
      </c>
      <c r="Y720" t="n">
        <v>8003</v>
      </c>
      <c r="Z720" t="n">
        <v>1</v>
      </c>
      <c r="AA720" t="n">
        <v>0.05</v>
      </c>
      <c r="AB720" t="n">
        <v>2008</v>
      </c>
      <c r="AC720" t="n">
        <v>23</v>
      </c>
      <c r="AD720" t="n">
        <v>1</v>
      </c>
    </row>
    <row r="721" ht="38.25" customHeight="1" s="142">
      <c r="A721" t="n">
        <v>601</v>
      </c>
      <c r="B721" t="inlineStr">
        <is>
          <t>godcharacter</t>
        </is>
      </c>
      <c r="D721" s="80" t="inlineStr">
        <is>
          <t>中等・限定「構裝傀儡」</t>
        </is>
      </c>
      <c r="E721" t="n">
        <v>50</v>
      </c>
      <c r="F721" t="n">
        <v>67</v>
      </c>
      <c r="G721" s="90" t="inlineStr">
        <is>
          <t>{role:-1},
{id:-1},{id:-1},{id:-1},{id:-1},{id:-1}, {id:40003},{id:40007},{id:40017},{id:40018},{id:40019}</t>
        </is>
      </c>
      <c r="H721" t="n">
        <v>1</v>
      </c>
      <c r="V721" t="n">
        <v>8000</v>
      </c>
      <c r="W721" t="n">
        <v>1000</v>
      </c>
      <c r="Y721" t="n">
        <v>8003</v>
      </c>
      <c r="Z721" t="n">
        <v>1</v>
      </c>
      <c r="AA721" t="n">
        <v>0.05</v>
      </c>
      <c r="AB721" t="n">
        <v>2008</v>
      </c>
      <c r="AC721" t="n">
        <v>23</v>
      </c>
      <c r="AD721" t="n">
        <v>1</v>
      </c>
    </row>
    <row r="722" ht="38.25" customHeight="1" s="142">
      <c r="A722" t="n">
        <v>601</v>
      </c>
      <c r="B722" t="inlineStr">
        <is>
          <t>godcharacter</t>
        </is>
      </c>
      <c r="D722" s="80" t="inlineStr">
        <is>
          <t>中等・限定「盜賊術士」</t>
        </is>
      </c>
      <c r="E722" t="n">
        <v>50</v>
      </c>
      <c r="F722" t="n">
        <v>68</v>
      </c>
      <c r="G722" s="90" t="inlineStr">
        <is>
          <t>{role:-1},
{id:-1},{id:-1},{id:-1},{id:-1},{id:-1}, {id:40022},{id:40025},{id:40027},{id:40032},{id:40037}</t>
        </is>
      </c>
      <c r="H722" t="n">
        <v>1</v>
      </c>
      <c r="V722" t="n">
        <v>8000</v>
      </c>
      <c r="W722" t="n">
        <v>1000</v>
      </c>
      <c r="Y722" t="n">
        <v>8003</v>
      </c>
      <c r="Z722" t="n">
        <v>1</v>
      </c>
      <c r="AA722" t="n">
        <v>0.05</v>
      </c>
      <c r="AB722" t="n">
        <v>2008</v>
      </c>
      <c r="AC722" t="n">
        <v>23</v>
      </c>
      <c r="AD722" t="n">
        <v>1</v>
      </c>
    </row>
    <row r="723" ht="38.25" customHeight="1" s="142">
      <c r="A723" t="n">
        <v>601</v>
      </c>
      <c r="B723" t="inlineStr">
        <is>
          <t>godcharacter</t>
        </is>
      </c>
      <c r="D723" s="80" t="inlineStr">
        <is>
          <t>中等・限定「騎士聖光」</t>
        </is>
      </c>
      <c r="E723" t="n">
        <v>50</v>
      </c>
      <c r="F723" t="n">
        <v>69</v>
      </c>
      <c r="G723" s="90" t="inlineStr">
        <is>
          <t>{role:-1},
{id:-1},{id:-1},{id:-1},{id:-1},{id:-1}, {id:40047},{id:40048},{id:40049},{id:40077},{id:50009}</t>
        </is>
      </c>
      <c r="H723" t="n">
        <v>1</v>
      </c>
      <c r="V723" t="n">
        <v>8000</v>
      </c>
      <c r="W723" t="n">
        <v>1000</v>
      </c>
      <c r="Y723" t="n">
        <v>8003</v>
      </c>
      <c r="Z723" t="n">
        <v>1</v>
      </c>
      <c r="AA723" t="n">
        <v>0.05</v>
      </c>
      <c r="AB723" t="n">
        <v>2008</v>
      </c>
      <c r="AC723" t="n">
        <v>23</v>
      </c>
      <c r="AD723" t="n">
        <v>1</v>
      </c>
    </row>
    <row r="724" ht="38.25" customHeight="1" s="142">
      <c r="A724" t="n">
        <v>602</v>
      </c>
      <c r="B724" t="inlineStr">
        <is>
          <t>godcharacter</t>
        </is>
      </c>
      <c r="D724" s="80" t="inlineStr">
        <is>
          <t>高級・限定「野獸」</t>
        </is>
      </c>
      <c r="E724" t="n">
        <v>75</v>
      </c>
      <c r="F724" t="n">
        <v>62</v>
      </c>
      <c r="G724" s="90" t="inlineStr">
        <is>
          <t>{role:-1},
{id:-1},{id:-1},{id:-1},{id:-1},{id:-1}, {id:40001},{id:40002},{id:40004},{id:40006},{id:40008}</t>
        </is>
      </c>
      <c r="H724" t="n">
        <v>1</v>
      </c>
      <c r="V724" t="n">
        <v>8000</v>
      </c>
      <c r="W724" t="n">
        <v>1000</v>
      </c>
      <c r="Y724" t="n">
        <v>8003</v>
      </c>
      <c r="Z724" t="n">
        <v>1</v>
      </c>
      <c r="AA724" t="n">
        <v>0.05</v>
      </c>
      <c r="AB724" t="n">
        <v>2008</v>
      </c>
      <c r="AC724" t="n">
        <v>31</v>
      </c>
      <c r="AD724" t="n">
        <v>1</v>
      </c>
    </row>
    <row r="725" ht="38.25" customHeight="1" s="142">
      <c r="A725" t="n">
        <v>602</v>
      </c>
      <c r="B725" t="inlineStr">
        <is>
          <t>godcharacter</t>
        </is>
      </c>
      <c r="D725" s="80" t="inlineStr">
        <is>
          <t>高級・限定「史萊姆」</t>
        </is>
      </c>
      <c r="E725" t="n">
        <v>75</v>
      </c>
      <c r="F725" t="n">
        <v>63</v>
      </c>
      <c r="G725" s="90" t="inlineStr">
        <is>
          <t>{role:-1},
{id:-1},{id:-1},{id:-1},{id:-1},{id:-1}, {id:40011},{id:40012},{id:40013},{id:40014},{id:40015}</t>
        </is>
      </c>
      <c r="H725" t="n">
        <v>1</v>
      </c>
      <c r="V725" t="n">
        <v>8000</v>
      </c>
      <c r="W725" t="n">
        <v>1000</v>
      </c>
      <c r="Y725" t="n">
        <v>8003</v>
      </c>
      <c r="Z725" t="n">
        <v>1</v>
      </c>
      <c r="AA725" t="n">
        <v>0.05</v>
      </c>
      <c r="AB725" t="n">
        <v>2008</v>
      </c>
      <c r="AC725" t="n">
        <v>31</v>
      </c>
      <c r="AD725" t="n">
        <v>1</v>
      </c>
    </row>
    <row r="726" ht="38.25" customHeight="1" s="142">
      <c r="A726" t="n">
        <v>602</v>
      </c>
      <c r="B726" t="inlineStr">
        <is>
          <t>godcharacter</t>
        </is>
      </c>
      <c r="D726" s="80" t="inlineStr">
        <is>
          <t>高級・限定「精靈元素」</t>
        </is>
      </c>
      <c r="E726" t="n">
        <v>75</v>
      </c>
      <c r="F726" t="n">
        <v>64</v>
      </c>
      <c r="G726" s="90" t="inlineStr">
        <is>
          <t>{role:-1},
{id:-1},{id:-1},{id:-1},{id:-1},{id:-1}, {id:40005},{id:40009},{id:40010},{id:40028},{id:40029}</t>
        </is>
      </c>
      <c r="H726" t="n">
        <v>1</v>
      </c>
      <c r="V726" t="n">
        <v>8000</v>
      </c>
      <c r="W726" t="n">
        <v>1000</v>
      </c>
      <c r="Y726" t="n">
        <v>8003</v>
      </c>
      <c r="Z726" t="n">
        <v>1</v>
      </c>
      <c r="AA726" t="n">
        <v>0.05</v>
      </c>
      <c r="AB726" t="n">
        <v>2008</v>
      </c>
      <c r="AC726" t="n">
        <v>31</v>
      </c>
      <c r="AD726" t="n">
        <v>1</v>
      </c>
    </row>
    <row r="727" ht="38.25" customHeight="1" s="142">
      <c r="A727" t="n">
        <v>602</v>
      </c>
      <c r="B727" t="inlineStr">
        <is>
          <t>godcharacter</t>
        </is>
      </c>
      <c r="D727" s="80" t="inlineStr">
        <is>
          <t>高級・限定「不死亡靈」</t>
        </is>
      </c>
      <c r="E727" t="n">
        <v>75</v>
      </c>
      <c r="F727" t="n">
        <v>65</v>
      </c>
      <c r="G727" s="90" t="inlineStr">
        <is>
          <t>{role:-1},
{id:-1},{id:-1},{id:-1},{id:-1},{id:-1}, {id:40023},{id:40043},{id:40050},{id:40054},{id:40055}</t>
        </is>
      </c>
      <c r="H727" t="n">
        <v>1</v>
      </c>
      <c r="V727" t="n">
        <v>8000</v>
      </c>
      <c r="W727" t="n">
        <v>1000</v>
      </c>
      <c r="Y727" t="n">
        <v>8003</v>
      </c>
      <c r="Z727" t="n">
        <v>1</v>
      </c>
      <c r="AA727" t="n">
        <v>0.05</v>
      </c>
      <c r="AB727" t="n">
        <v>2008</v>
      </c>
      <c r="AC727" t="n">
        <v>31</v>
      </c>
      <c r="AD727" t="n">
        <v>1</v>
      </c>
    </row>
    <row r="728" ht="38.25" customHeight="1" s="142">
      <c r="A728" t="n">
        <v>602</v>
      </c>
      <c r="B728" t="inlineStr">
        <is>
          <t>godcharacter</t>
        </is>
      </c>
      <c r="D728" s="80" t="inlineStr">
        <is>
          <t>高級・限定「魔族深淵」</t>
        </is>
      </c>
      <c r="E728" t="n">
        <v>75</v>
      </c>
      <c r="F728" t="n">
        <v>66</v>
      </c>
      <c r="G728" s="90" t="inlineStr">
        <is>
          <t>{role:-1},
{id:-1},{id:-1},{id:-1},{id:-1},{id:-1}, {id:40020},{id:40035},{id:40044},{id:40063},{id:40068}</t>
        </is>
      </c>
      <c r="H728" t="n">
        <v>1</v>
      </c>
      <c r="V728" t="n">
        <v>8000</v>
      </c>
      <c r="W728" t="n">
        <v>1000</v>
      </c>
      <c r="Y728" t="n">
        <v>8003</v>
      </c>
      <c r="Z728" t="n">
        <v>1</v>
      </c>
      <c r="AA728" t="n">
        <v>0.05</v>
      </c>
      <c r="AB728" t="n">
        <v>2008</v>
      </c>
      <c r="AC728" t="n">
        <v>31</v>
      </c>
      <c r="AD728" t="n">
        <v>1</v>
      </c>
    </row>
    <row r="729" ht="38.25" customHeight="1" s="142">
      <c r="A729" t="n">
        <v>602</v>
      </c>
      <c r="B729" t="inlineStr">
        <is>
          <t>godcharacter</t>
        </is>
      </c>
      <c r="D729" s="80" t="inlineStr">
        <is>
          <t>高級・限定「構裝傀儡」</t>
        </is>
      </c>
      <c r="E729" t="n">
        <v>75</v>
      </c>
      <c r="F729" t="n">
        <v>67</v>
      </c>
      <c r="G729" s="90" t="inlineStr">
        <is>
          <t>{role:-1},
{id:-1},{id:-1},{id:-1},{id:-1},{id:-1}, {id:40003},{id:40007},{id:40017},{id:40018},{id:40019}</t>
        </is>
      </c>
      <c r="H729" t="n">
        <v>1</v>
      </c>
      <c r="V729" t="n">
        <v>8000</v>
      </c>
      <c r="W729" t="n">
        <v>1000</v>
      </c>
      <c r="Y729" t="n">
        <v>8003</v>
      </c>
      <c r="Z729" t="n">
        <v>1</v>
      </c>
      <c r="AA729" t="n">
        <v>0.05</v>
      </c>
      <c r="AB729" t="n">
        <v>2008</v>
      </c>
      <c r="AC729" t="n">
        <v>31</v>
      </c>
      <c r="AD729" t="n">
        <v>1</v>
      </c>
    </row>
    <row r="730" ht="38.25" customHeight="1" s="142">
      <c r="A730" t="n">
        <v>602</v>
      </c>
      <c r="B730" t="inlineStr">
        <is>
          <t>godcharacter</t>
        </is>
      </c>
      <c r="D730" s="80" t="inlineStr">
        <is>
          <t>高級・限定「盜賊術士」</t>
        </is>
      </c>
      <c r="E730" t="n">
        <v>75</v>
      </c>
      <c r="F730" t="n">
        <v>68</v>
      </c>
      <c r="G730" s="90" t="inlineStr">
        <is>
          <t>{role:-1},
{id:-1},{id:-1},{id:-1},{id:-1},{id:-1}, {id:40022},{id:40025},{id:40027},{id:40032},{id:40037}</t>
        </is>
      </c>
      <c r="H730" t="n">
        <v>1</v>
      </c>
      <c r="V730" t="n">
        <v>8000</v>
      </c>
      <c r="W730" t="n">
        <v>1000</v>
      </c>
      <c r="Y730" t="n">
        <v>8003</v>
      </c>
      <c r="Z730" t="n">
        <v>1</v>
      </c>
      <c r="AA730" t="n">
        <v>0.05</v>
      </c>
      <c r="AB730" t="n">
        <v>2008</v>
      </c>
      <c r="AC730" t="n">
        <v>31</v>
      </c>
      <c r="AD730" t="n">
        <v>1</v>
      </c>
    </row>
    <row r="731" ht="38.25" customHeight="1" s="142">
      <c r="A731" t="n">
        <v>602</v>
      </c>
      <c r="B731" t="inlineStr">
        <is>
          <t>godcharacter</t>
        </is>
      </c>
      <c r="D731" s="80" t="inlineStr">
        <is>
          <t>高級・限定「騎士聖光」</t>
        </is>
      </c>
      <c r="E731" t="n">
        <v>75</v>
      </c>
      <c r="F731" t="n">
        <v>69</v>
      </c>
      <c r="G731" s="90" t="inlineStr">
        <is>
          <t>{role:-1},
{id:-1},{id:-1},{id:-1},{id:-1},{id:-1}, {id:40047},{id:40048},{id:40049},{id:40077},{id:50009}</t>
        </is>
      </c>
      <c r="H731" t="n">
        <v>1</v>
      </c>
      <c r="V731" t="n">
        <v>8000</v>
      </c>
      <c r="W731" t="n">
        <v>1000</v>
      </c>
      <c r="Y731" t="n">
        <v>8003</v>
      </c>
      <c r="Z731" t="n">
        <v>1</v>
      </c>
      <c r="AA731" t="n">
        <v>0.05</v>
      </c>
      <c r="AB731" t="n">
        <v>2008</v>
      </c>
      <c r="AC731" t="n">
        <v>31</v>
      </c>
      <c r="AD731" t="n">
        <v>1</v>
      </c>
    </row>
    <row r="732" ht="38.25" customHeight="1" s="142">
      <c r="A732" t="n">
        <v>603</v>
      </c>
      <c r="B732" t="inlineStr">
        <is>
          <t>godcharacter</t>
        </is>
      </c>
      <c r="D732" s="80" t="inlineStr">
        <is>
          <t>惡夢・限定「野獸」</t>
        </is>
      </c>
      <c r="E732" t="n">
        <v>100</v>
      </c>
      <c r="F732" t="n">
        <v>62</v>
      </c>
      <c r="G732" s="90" t="inlineStr">
        <is>
          <t>{role:-1},
{id:-1},{id:-1},{id:-1},{id:-1},{id:-1}, {id:40001},{id:40002},{id:40004},{id:40006},{id:40008}</t>
        </is>
      </c>
      <c r="H732" t="n">
        <v>1</v>
      </c>
      <c r="V732" t="n">
        <v>8000</v>
      </c>
      <c r="W732" t="n">
        <v>1000</v>
      </c>
      <c r="Y732" t="n">
        <v>8003</v>
      </c>
      <c r="Z732" t="n">
        <v>1</v>
      </c>
      <c r="AA732" t="n">
        <v>0.05</v>
      </c>
      <c r="AB732" t="n">
        <v>2008</v>
      </c>
      <c r="AC732" t="n">
        <v>40</v>
      </c>
      <c r="AD732" t="n">
        <v>1</v>
      </c>
    </row>
    <row r="733" ht="38.25" customHeight="1" s="142">
      <c r="A733" t="n">
        <v>603</v>
      </c>
      <c r="B733" t="inlineStr">
        <is>
          <t>godcharacter</t>
        </is>
      </c>
      <c r="D733" s="80" t="inlineStr">
        <is>
          <t>惡夢・限定「史萊姆」</t>
        </is>
      </c>
      <c r="E733" t="n">
        <v>100</v>
      </c>
      <c r="F733" t="n">
        <v>63</v>
      </c>
      <c r="G733" s="90" t="inlineStr">
        <is>
          <t>{role:-1},
{id:-1},{id:-1},{id:-1},{id:-1},{id:-1}, {id:40011},{id:40012},{id:40013},{id:40014},{id:40015}</t>
        </is>
      </c>
      <c r="H733" t="n">
        <v>1</v>
      </c>
      <c r="V733" t="n">
        <v>8000</v>
      </c>
      <c r="W733" t="n">
        <v>1000</v>
      </c>
      <c r="Y733" t="n">
        <v>8003</v>
      </c>
      <c r="Z733" t="n">
        <v>1</v>
      </c>
      <c r="AA733" t="n">
        <v>0.05</v>
      </c>
      <c r="AB733" t="n">
        <v>2008</v>
      </c>
      <c r="AC733" t="n">
        <v>40</v>
      </c>
      <c r="AD733" t="n">
        <v>1</v>
      </c>
    </row>
    <row r="734" ht="38.25" customHeight="1" s="142">
      <c r="A734" t="n">
        <v>603</v>
      </c>
      <c r="B734" t="inlineStr">
        <is>
          <t>godcharacter</t>
        </is>
      </c>
      <c r="D734" s="80" t="inlineStr">
        <is>
          <t>惡夢・限定「精靈元素」</t>
        </is>
      </c>
      <c r="E734" t="n">
        <v>100</v>
      </c>
      <c r="F734" t="n">
        <v>64</v>
      </c>
      <c r="G734" s="90" t="inlineStr">
        <is>
          <t>{role:-1},
{id:-1},{id:-1},{id:-1},{id:-1},{id:-1}, {id:40005},{id:40009},{id:40010},{id:40028},{id:40029}</t>
        </is>
      </c>
      <c r="H734" t="n">
        <v>1</v>
      </c>
      <c r="V734" t="n">
        <v>8000</v>
      </c>
      <c r="W734" t="n">
        <v>1000</v>
      </c>
      <c r="Y734" t="n">
        <v>8003</v>
      </c>
      <c r="Z734" t="n">
        <v>1</v>
      </c>
      <c r="AA734" t="n">
        <v>0.05</v>
      </c>
      <c r="AB734" t="n">
        <v>2008</v>
      </c>
      <c r="AC734" t="n">
        <v>40</v>
      </c>
      <c r="AD734" t="n">
        <v>1</v>
      </c>
    </row>
    <row r="735" ht="38.25" customHeight="1" s="142">
      <c r="A735" t="n">
        <v>603</v>
      </c>
      <c r="B735" t="inlineStr">
        <is>
          <t>godcharacter</t>
        </is>
      </c>
      <c r="D735" s="80" t="inlineStr">
        <is>
          <t>惡夢・限定「不死亡靈」</t>
        </is>
      </c>
      <c r="E735" t="n">
        <v>100</v>
      </c>
      <c r="F735" t="n">
        <v>65</v>
      </c>
      <c r="G735" s="90" t="inlineStr">
        <is>
          <t>{role:-1},
{id:-1},{id:-1},{id:-1},{id:-1},{id:-1}, {id:40023},{id:40043},{id:40050},{id:40054},{id:40055}</t>
        </is>
      </c>
      <c r="H735" t="n">
        <v>1</v>
      </c>
      <c r="V735" t="n">
        <v>8000</v>
      </c>
      <c r="W735" t="n">
        <v>1000</v>
      </c>
      <c r="Y735" t="n">
        <v>8003</v>
      </c>
      <c r="Z735" t="n">
        <v>1</v>
      </c>
      <c r="AA735" t="n">
        <v>0.05</v>
      </c>
      <c r="AB735" t="n">
        <v>2008</v>
      </c>
      <c r="AC735" t="n">
        <v>40</v>
      </c>
      <c r="AD735" t="n">
        <v>1</v>
      </c>
    </row>
    <row r="736" ht="38.25" customHeight="1" s="142">
      <c r="A736" t="n">
        <v>603</v>
      </c>
      <c r="B736" t="inlineStr">
        <is>
          <t>godcharacter</t>
        </is>
      </c>
      <c r="D736" s="80" t="inlineStr">
        <is>
          <t>惡夢・限定「魔族深淵」</t>
        </is>
      </c>
      <c r="E736" t="n">
        <v>100</v>
      </c>
      <c r="F736" t="n">
        <v>66</v>
      </c>
      <c r="G736" s="90" t="inlineStr">
        <is>
          <t>{role:-1},
{id:-1},{id:-1},{id:-1},{id:-1},{id:-1}, {id:40020},{id:40035},{id:40044},{id:40063},{id:40068}</t>
        </is>
      </c>
      <c r="H736" t="n">
        <v>1</v>
      </c>
      <c r="V736" t="n">
        <v>8000</v>
      </c>
      <c r="W736" t="n">
        <v>1000</v>
      </c>
      <c r="Y736" t="n">
        <v>8003</v>
      </c>
      <c r="Z736" t="n">
        <v>1</v>
      </c>
      <c r="AA736" t="n">
        <v>0.05</v>
      </c>
      <c r="AB736" t="n">
        <v>2008</v>
      </c>
      <c r="AC736" t="n">
        <v>40</v>
      </c>
      <c r="AD736" t="n">
        <v>1</v>
      </c>
    </row>
    <row r="737" ht="38.25" customHeight="1" s="142">
      <c r="A737" t="n">
        <v>603</v>
      </c>
      <c r="B737" t="inlineStr">
        <is>
          <t>godcharacter</t>
        </is>
      </c>
      <c r="D737" s="80" t="inlineStr">
        <is>
          <t>惡夢・限定「構裝傀儡」</t>
        </is>
      </c>
      <c r="E737" t="n">
        <v>100</v>
      </c>
      <c r="F737" t="n">
        <v>67</v>
      </c>
      <c r="G737" s="90" t="inlineStr">
        <is>
          <t>{role:-1},
{id:-1},{id:-1},{id:-1},{id:-1},{id:-1}, {id:40003},{id:40007},{id:40017},{id:40018},{id:40019}</t>
        </is>
      </c>
      <c r="H737" t="n">
        <v>1</v>
      </c>
      <c r="V737" t="n">
        <v>8000</v>
      </c>
      <c r="W737" t="n">
        <v>1000</v>
      </c>
      <c r="Y737" t="n">
        <v>8003</v>
      </c>
      <c r="Z737" t="n">
        <v>1</v>
      </c>
      <c r="AA737" t="n">
        <v>0.05</v>
      </c>
      <c r="AB737" t="n">
        <v>2008</v>
      </c>
      <c r="AC737" t="n">
        <v>40</v>
      </c>
      <c r="AD737" t="n">
        <v>1</v>
      </c>
    </row>
    <row r="738" ht="38.25" customHeight="1" s="142">
      <c r="A738" t="n">
        <v>603</v>
      </c>
      <c r="B738" t="inlineStr">
        <is>
          <t>godcharacter</t>
        </is>
      </c>
      <c r="D738" s="80" t="inlineStr">
        <is>
          <t>惡夢・限定「盜賊術士」</t>
        </is>
      </c>
      <c r="E738" t="n">
        <v>100</v>
      </c>
      <c r="F738" t="n">
        <v>68</v>
      </c>
      <c r="G738" s="90" t="inlineStr">
        <is>
          <t>{role:-1},
{id:-1},{id:-1},{id:-1},{id:-1},{id:-1}, {id:40022},{id:40025},{id:40027},{id:40032},{id:40037}</t>
        </is>
      </c>
      <c r="H738" t="n">
        <v>1</v>
      </c>
      <c r="V738" t="n">
        <v>8000</v>
      </c>
      <c r="W738" t="n">
        <v>1000</v>
      </c>
      <c r="Y738" t="n">
        <v>8003</v>
      </c>
      <c r="Z738" t="n">
        <v>1</v>
      </c>
      <c r="AA738" t="n">
        <v>0.05</v>
      </c>
      <c r="AB738" t="n">
        <v>2008</v>
      </c>
      <c r="AC738" t="n">
        <v>40</v>
      </c>
      <c r="AD738" t="n">
        <v>1</v>
      </c>
    </row>
    <row r="739" ht="38.25" customHeight="1" s="142">
      <c r="A739" t="n">
        <v>603</v>
      </c>
      <c r="B739" t="inlineStr">
        <is>
          <t>godcharacter</t>
        </is>
      </c>
      <c r="D739" s="80" t="inlineStr">
        <is>
          <t>惡夢・限定「騎士聖光」</t>
        </is>
      </c>
      <c r="E739" t="n">
        <v>100</v>
      </c>
      <c r="F739" t="n">
        <v>69</v>
      </c>
      <c r="G739" s="90" t="inlineStr">
        <is>
          <t>{role:-1},
{id:-1},{id:-1},{id:-1},{id:-1},{id:-1}, {id:40047},{id:40048},{id:40049},{id:40077},{id:50009}</t>
        </is>
      </c>
      <c r="H739" t="n">
        <v>1</v>
      </c>
      <c r="V739" t="n">
        <v>8000</v>
      </c>
      <c r="W739" t="n">
        <v>1000</v>
      </c>
      <c r="Y739" t="n">
        <v>8003</v>
      </c>
      <c r="Z739" t="n">
        <v>1</v>
      </c>
      <c r="AA739" t="n">
        <v>0.05</v>
      </c>
      <c r="AB739" t="n">
        <v>2008</v>
      </c>
      <c r="AC739" t="n">
        <v>40</v>
      </c>
      <c r="AD739" t="n">
        <v>1</v>
      </c>
    </row>
    <row r="741">
      <c r="A741" t="inlineStr">
        <is>
          <t>mapid</t>
        </is>
      </c>
      <c r="B741" t="inlineStr">
        <is>
          <t>type</t>
        </is>
      </c>
      <c r="C741" t="inlineStr">
        <is>
          <t>chapter</t>
        </is>
      </c>
      <c r="D741" t="inlineStr">
        <is>
          <t>hint</t>
        </is>
      </c>
      <c r="E741" t="inlineStr">
        <is>
          <t>level</t>
        </is>
      </c>
      <c r="F741" t="inlineStr">
        <is>
          <t>tag_limit</t>
        </is>
      </c>
      <c r="G741" t="inlineStr">
        <is>
          <t>quest</t>
        </is>
      </c>
      <c r="H741" t="inlineStr">
        <is>
          <t>arrangement</t>
        </is>
      </c>
      <c r="I741" t="inlineStr">
        <is>
          <t>Capability</t>
        </is>
      </c>
      <c r="J741" t="inlineStr">
        <is>
          <t>event1_name</t>
        </is>
      </c>
      <c r="K741" t="inlineStr">
        <is>
          <t>event1_type</t>
        </is>
      </c>
      <c r="L741" t="inlineStr">
        <is>
          <t>event1_buff</t>
        </is>
      </c>
      <c r="M741" t="inlineStr">
        <is>
          <t>event1_time</t>
        </is>
      </c>
      <c r="N741" t="inlineStr">
        <is>
          <t>event1_target</t>
        </is>
      </c>
      <c r="O741" t="inlineStr">
        <is>
          <t>event1_rate</t>
        </is>
      </c>
      <c r="P741" t="inlineStr">
        <is>
          <t>event2_name</t>
        </is>
      </c>
      <c r="Q741" t="inlineStr">
        <is>
          <t>event2_type</t>
        </is>
      </c>
      <c r="R741" t="inlineStr">
        <is>
          <t>event2_buff</t>
        </is>
      </c>
      <c r="S741" t="inlineStr">
        <is>
          <t>event2_time</t>
        </is>
      </c>
      <c r="T741" t="inlineStr">
        <is>
          <t>event2_target</t>
        </is>
      </c>
      <c r="U741" t="inlineStr">
        <is>
          <t>event2_rate</t>
        </is>
      </c>
      <c r="V741" t="inlineStr">
        <is>
          <t>loot1_id</t>
        </is>
      </c>
      <c r="W741" t="inlineStr">
        <is>
          <t>loot1_amount</t>
        </is>
      </c>
      <c r="X741" t="inlineStr">
        <is>
          <t>loot1_rate</t>
        </is>
      </c>
      <c r="Y741" t="inlineStr">
        <is>
          <t>loot2_id</t>
        </is>
      </c>
      <c r="Z741" t="inlineStr">
        <is>
          <t>loot2_amount</t>
        </is>
      </c>
      <c r="AA741" t="inlineStr">
        <is>
          <t>loot2_rate</t>
        </is>
      </c>
    </row>
    <row r="742" ht="102" customHeight="1" s="142">
      <c r="A742" t="n">
        <v>700</v>
      </c>
      <c r="B742" t="inlineStr">
        <is>
          <t>annihilation</t>
        </is>
      </c>
      <c r="D742" s="80" t="inlineStr">
        <is>
          <t>連續3wave</t>
        </is>
      </c>
      <c r="G742" s="90" t="inlineStr">
        <is>
      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      </is>
      </c>
      <c r="I742" t="n">
        <v>1000</v>
      </c>
      <c r="J742" s="80" t="inlineStr">
        <is>
          <t>突發狀況</t>
        </is>
      </c>
      <c r="K742" t="inlineStr">
        <is>
          <t>buff</t>
        </is>
      </c>
      <c r="L742" t="n">
        <v>9009</v>
      </c>
      <c r="M742" t="inlineStr">
        <is>
          <t>1,4</t>
        </is>
      </c>
      <c r="N742" t="n">
        <v>0</v>
      </c>
      <c r="O742" t="n">
        <v>0.35</v>
      </c>
      <c r="P742" s="80" t="inlineStr">
        <is>
          <t>場地變化</t>
        </is>
      </c>
      <c r="Q742" t="inlineStr">
        <is>
          <t>debuff</t>
        </is>
      </c>
      <c r="R742" t="n">
        <v>9010</v>
      </c>
      <c r="S742" t="inlineStr">
        <is>
          <t>2,7,9</t>
        </is>
      </c>
      <c r="T742" t="n">
        <v>0</v>
      </c>
      <c r="U742" t="n">
        <v>0.7</v>
      </c>
      <c r="V742" t="n">
        <v>70001</v>
      </c>
      <c r="W742" t="n">
        <v>1</v>
      </c>
      <c r="X742" t="n">
        <v>1</v>
      </c>
      <c r="Y742" t="n">
        <v>70002</v>
      </c>
      <c r="Z742" t="n">
        <v>1</v>
      </c>
      <c r="AA742" t="n">
        <v>1</v>
      </c>
      <c r="AB742" t="n">
        <v>2000</v>
      </c>
      <c r="AC742" t="n">
        <v>2</v>
      </c>
      <c r="AD742" t="n">
        <v>1</v>
      </c>
      <c r="AE742" t="inlineStr">
        <is>
          <t>2003,2004</t>
        </is>
      </c>
      <c r="AF742" t="n">
        <v>1</v>
      </c>
      <c r="AG742" t="n">
        <v>0.5</v>
      </c>
    </row>
    <row r="743" ht="153" customHeight="1" s="142">
      <c r="A743" t="n">
        <v>701</v>
      </c>
      <c r="B743" t="inlineStr">
        <is>
          <t>annihilation</t>
        </is>
      </c>
      <c r="D743" s="80" t="inlineStr">
        <is>
          <t>連續5wave</t>
        </is>
      </c>
      <c r="G743" s="90" t="inlineStr">
        <is>
      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      </is>
      </c>
      <c r="I743" t="n">
        <v>2000</v>
      </c>
      <c r="J743" s="80" t="inlineStr">
        <is>
          <t>突發狀況</t>
        </is>
      </c>
      <c r="K743" t="inlineStr">
        <is>
          <t>buff</t>
        </is>
      </c>
      <c r="L743" t="n">
        <v>9009</v>
      </c>
      <c r="M743" t="inlineStr">
        <is>
          <t>1,4</t>
        </is>
      </c>
      <c r="N743" t="n">
        <v>0</v>
      </c>
      <c r="O743" t="n">
        <v>0.4</v>
      </c>
      <c r="P743" s="80" t="inlineStr">
        <is>
          <t>場地變化</t>
        </is>
      </c>
      <c r="Q743" t="inlineStr">
        <is>
          <t>debuff</t>
        </is>
      </c>
      <c r="R743" t="n">
        <v>9010</v>
      </c>
      <c r="S743" t="inlineStr">
        <is>
          <t>2,7,9</t>
        </is>
      </c>
      <c r="T743" t="n">
        <v>0</v>
      </c>
      <c r="U743" t="n">
        <v>0.7</v>
      </c>
      <c r="V743" t="n">
        <v>70001</v>
      </c>
      <c r="W743" t="n">
        <v>2</v>
      </c>
      <c r="X743" t="n">
        <v>1</v>
      </c>
      <c r="Y743" t="n">
        <v>70002</v>
      </c>
      <c r="Z743" t="n">
        <v>2</v>
      </c>
      <c r="AA743" t="n">
        <v>1</v>
      </c>
      <c r="AB743" t="n">
        <v>2000</v>
      </c>
      <c r="AC743" t="n">
        <v>4</v>
      </c>
      <c r="AD743" t="n">
        <v>1</v>
      </c>
      <c r="AE743" t="inlineStr">
        <is>
          <t>2003,2004</t>
        </is>
      </c>
      <c r="AF743" t="n">
        <v>2</v>
      </c>
      <c r="AG743" t="n">
        <v>0.5</v>
      </c>
    </row>
    <row r="744" ht="204" customHeight="1" s="142">
      <c r="A744" t="n">
        <v>702</v>
      </c>
      <c r="B744" t="inlineStr">
        <is>
          <t>annihilation</t>
        </is>
      </c>
      <c r="D744" s="80" t="inlineStr">
        <is>
          <t>連續7wave</t>
        </is>
      </c>
      <c r="G744" s="90" t="inlineStr">
        <is>
      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      </is>
      </c>
      <c r="I744" t="n">
        <v>3000</v>
      </c>
      <c r="J744" s="80" t="inlineStr">
        <is>
          <t>突發狀況</t>
        </is>
      </c>
      <c r="K744" t="inlineStr">
        <is>
          <t>buff</t>
        </is>
      </c>
      <c r="L744" t="n">
        <v>9009</v>
      </c>
      <c r="M744" t="inlineStr">
        <is>
          <t>1,4</t>
        </is>
      </c>
      <c r="N744" t="n">
        <v>0</v>
      </c>
      <c r="O744" t="n">
        <v>0.45</v>
      </c>
      <c r="P744" s="80" t="inlineStr">
        <is>
          <t>場地變化</t>
        </is>
      </c>
      <c r="Q744" t="inlineStr">
        <is>
          <t>debuff</t>
        </is>
      </c>
      <c r="R744" t="n">
        <v>9010</v>
      </c>
      <c r="S744" t="inlineStr">
        <is>
          <t>2,7,9</t>
        </is>
      </c>
      <c r="T744" t="n">
        <v>0</v>
      </c>
      <c r="U744" t="n">
        <v>0.7</v>
      </c>
      <c r="V744" t="n">
        <v>70001</v>
      </c>
      <c r="W744" t="n">
        <v>3</v>
      </c>
      <c r="X744" t="n">
        <v>1</v>
      </c>
      <c r="Y744" t="n">
        <v>70002</v>
      </c>
      <c r="Z744" t="n">
        <v>3</v>
      </c>
      <c r="AA744" t="n">
        <v>1</v>
      </c>
      <c r="AB744" t="n">
        <v>2000</v>
      </c>
      <c r="AC744" t="n">
        <v>6</v>
      </c>
      <c r="AD744" t="n">
        <v>1</v>
      </c>
      <c r="AE744" t="inlineStr">
        <is>
          <t>2003,2004</t>
        </is>
      </c>
      <c r="AF744" t="n">
        <v>3</v>
      </c>
      <c r="AG744" t="n">
        <v>0.5</v>
      </c>
    </row>
    <row r="745" ht="255" customHeight="1" s="142">
      <c r="A745" t="n">
        <v>703</v>
      </c>
      <c r="B745" t="inlineStr">
        <is>
          <t>annihilation</t>
        </is>
      </c>
      <c r="D745" s="80" t="inlineStr">
        <is>
          <t>連續9wave</t>
        </is>
      </c>
      <c r="G745" s="90" t="inlineStr">
        <is>
      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      </is>
      </c>
      <c r="I745" t="n">
        <v>4000</v>
      </c>
      <c r="J745" s="80" t="inlineStr">
        <is>
          <t>突發狀況</t>
        </is>
      </c>
      <c r="K745" t="inlineStr">
        <is>
          <t>buff</t>
        </is>
      </c>
      <c r="L745" t="n">
        <v>9009</v>
      </c>
      <c r="M745" t="inlineStr">
        <is>
          <t>1,4</t>
        </is>
      </c>
      <c r="N745" t="n">
        <v>0</v>
      </c>
      <c r="O745" t="n">
        <v>0.5</v>
      </c>
      <c r="P745" s="80" t="inlineStr">
        <is>
          <t>場地變化</t>
        </is>
      </c>
      <c r="Q745" t="inlineStr">
        <is>
          <t>debuff</t>
        </is>
      </c>
      <c r="R745" t="n">
        <v>9010</v>
      </c>
      <c r="S745" t="inlineStr">
        <is>
          <t>2,7,9</t>
        </is>
      </c>
      <c r="T745" t="n">
        <v>0</v>
      </c>
      <c r="U745" t="n">
        <v>0.7</v>
      </c>
      <c r="V745" t="n">
        <v>70001</v>
      </c>
      <c r="W745" t="n">
        <v>4</v>
      </c>
      <c r="X745" t="n">
        <v>1</v>
      </c>
      <c r="Y745" t="n">
        <v>70002</v>
      </c>
      <c r="Z745" t="n">
        <v>4</v>
      </c>
      <c r="AA745" t="n">
        <v>1</v>
      </c>
      <c r="AB745" t="n">
        <v>2000</v>
      </c>
      <c r="AC745" t="n">
        <v>8</v>
      </c>
      <c r="AD745" t="n">
        <v>1</v>
      </c>
      <c r="AE745" t="inlineStr">
        <is>
          <t>2003,2004</t>
        </is>
      </c>
      <c r="AF745" t="n">
        <v>4</v>
      </c>
      <c r="AG745" t="n">
        <v>0.5</v>
      </c>
    </row>
    <row r="746" ht="306" customHeight="1" s="142">
      <c r="A746" t="n">
        <v>704</v>
      </c>
      <c r="B746" t="inlineStr">
        <is>
          <t>annihilation</t>
        </is>
      </c>
      <c r="D746" s="80" t="inlineStr">
        <is>
          <t>連續11wave</t>
        </is>
      </c>
      <c r="G746" s="90" t="inlineStr">
        <is>
      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      </is>
      </c>
      <c r="I746" t="n">
        <v>5000</v>
      </c>
      <c r="J746" s="80" t="inlineStr">
        <is>
          <t>突發狀況</t>
        </is>
      </c>
      <c r="K746" t="inlineStr">
        <is>
          <t>buff</t>
        </is>
      </c>
      <c r="L746" t="n">
        <v>9009</v>
      </c>
      <c r="M746" t="inlineStr">
        <is>
          <t>1,4</t>
        </is>
      </c>
      <c r="N746" t="n">
        <v>0</v>
      </c>
      <c r="O746" t="n">
        <v>0.55</v>
      </c>
      <c r="P746" s="80" t="inlineStr">
        <is>
          <t>場地變化</t>
        </is>
      </c>
      <c r="Q746" t="inlineStr">
        <is>
          <t>debuff</t>
        </is>
      </c>
      <c r="R746" t="n">
        <v>9010</v>
      </c>
      <c r="S746" t="inlineStr">
        <is>
          <t>2,7,9</t>
        </is>
      </c>
      <c r="T746" t="n">
        <v>0</v>
      </c>
      <c r="U746" t="n">
        <v>0.7</v>
      </c>
      <c r="V746" t="n">
        <v>70001</v>
      </c>
      <c r="W746" t="n">
        <v>5</v>
      </c>
      <c r="X746" t="n">
        <v>1</v>
      </c>
      <c r="Y746" t="n">
        <v>70002</v>
      </c>
      <c r="Z746" t="n">
        <v>5</v>
      </c>
      <c r="AA746" t="n">
        <v>1</v>
      </c>
      <c r="AB746" t="n">
        <v>2000</v>
      </c>
      <c r="AC746" t="n">
        <v>10</v>
      </c>
      <c r="AD746" t="n">
        <v>1</v>
      </c>
      <c r="AE746" t="inlineStr">
        <is>
          <t>2003,2004</t>
        </is>
      </c>
      <c r="AF746" t="n">
        <v>5</v>
      </c>
      <c r="AG746" t="n">
        <v>0.5</v>
      </c>
    </row>
    <row r="747" ht="357" customHeight="1" s="142">
      <c r="A747" t="n">
        <v>705</v>
      </c>
      <c r="B747" t="inlineStr">
        <is>
          <t>annihilation</t>
        </is>
      </c>
      <c r="D747" s="80" t="inlineStr">
        <is>
          <t>連續13wave</t>
        </is>
      </c>
      <c r="G747" s="90" t="inlineStr">
        <is>
      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      </is>
      </c>
      <c r="I747" t="n">
        <v>6000</v>
      </c>
      <c r="J747" s="80" t="inlineStr">
        <is>
          <t>突發狀況</t>
        </is>
      </c>
      <c r="K747" t="inlineStr">
        <is>
          <t>buff</t>
        </is>
      </c>
      <c r="L747" t="n">
        <v>9009</v>
      </c>
      <c r="M747" t="inlineStr">
        <is>
          <t>1,4</t>
        </is>
      </c>
      <c r="N747" t="n">
        <v>0</v>
      </c>
      <c r="O747" t="n">
        <v>0.6</v>
      </c>
      <c r="P747" s="80" t="inlineStr">
        <is>
          <t>場地變化</t>
        </is>
      </c>
      <c r="Q747" t="inlineStr">
        <is>
          <t>debuff</t>
        </is>
      </c>
      <c r="R747" t="n">
        <v>9010</v>
      </c>
      <c r="S747" t="inlineStr">
        <is>
          <t>2,7,9</t>
        </is>
      </c>
      <c r="T747" t="n">
        <v>0</v>
      </c>
      <c r="U747" t="n">
        <v>0.7</v>
      </c>
      <c r="V747" t="n">
        <v>70001</v>
      </c>
      <c r="W747" t="n">
        <v>6</v>
      </c>
      <c r="X747" t="n">
        <v>1</v>
      </c>
      <c r="Y747" t="n">
        <v>70002</v>
      </c>
      <c r="Z747" t="n">
        <v>6</v>
      </c>
      <c r="AA747" t="n">
        <v>1</v>
      </c>
      <c r="AB747" t="n">
        <v>2000</v>
      </c>
      <c r="AC747" t="n">
        <v>12</v>
      </c>
      <c r="AD747" t="n">
        <v>1</v>
      </c>
      <c r="AE747" t="inlineStr">
        <is>
          <t>2003,2004</t>
        </is>
      </c>
      <c r="AF747" t="n">
        <v>6</v>
      </c>
      <c r="AG747" t="n">
        <v>0.5</v>
      </c>
    </row>
    <row r="748" ht="408" customHeight="1" s="142">
      <c r="A748" t="n">
        <v>706</v>
      </c>
      <c r="B748" t="inlineStr">
        <is>
          <t>annihilation</t>
        </is>
      </c>
      <c r="D748" s="80" t="inlineStr">
        <is>
          <t>連續15wave</t>
        </is>
      </c>
      <c r="G748" s="90" t="inlineStr">
        <is>
      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      </is>
      </c>
      <c r="I748" t="n">
        <v>7000</v>
      </c>
      <c r="J748" s="80" t="inlineStr">
        <is>
          <t>突發狀況</t>
        </is>
      </c>
      <c r="K748" t="inlineStr">
        <is>
          <t>buff</t>
        </is>
      </c>
      <c r="L748" t="n">
        <v>9009</v>
      </c>
      <c r="M748" t="inlineStr">
        <is>
          <t>1,4</t>
        </is>
      </c>
      <c r="N748" t="n">
        <v>0</v>
      </c>
      <c r="O748" t="n">
        <v>0.65</v>
      </c>
      <c r="P748" s="80" t="inlineStr">
        <is>
          <t>場地變化</t>
        </is>
      </c>
      <c r="Q748" t="inlineStr">
        <is>
          <t>debuff</t>
        </is>
      </c>
      <c r="R748" t="n">
        <v>9010</v>
      </c>
      <c r="S748" t="inlineStr">
        <is>
          <t>2,7,9</t>
        </is>
      </c>
      <c r="T748" t="n">
        <v>0</v>
      </c>
      <c r="U748" t="n">
        <v>0.7</v>
      </c>
      <c r="V748" t="n">
        <v>70001</v>
      </c>
      <c r="W748" t="n">
        <v>7</v>
      </c>
      <c r="X748" t="n">
        <v>1</v>
      </c>
      <c r="Y748" t="n">
        <v>70002</v>
      </c>
      <c r="Z748" t="n">
        <v>7</v>
      </c>
      <c r="AA748" t="n">
        <v>1</v>
      </c>
      <c r="AB748" t="n">
        <v>2000</v>
      </c>
      <c r="AC748" t="n">
        <v>14</v>
      </c>
      <c r="AD748" t="n">
        <v>1</v>
      </c>
      <c r="AE748" t="inlineStr">
        <is>
          <t>2003,2004</t>
        </is>
      </c>
      <c r="AF748" t="n">
        <v>7</v>
      </c>
      <c r="AG748" t="n">
        <v>0.5</v>
      </c>
    </row>
    <row r="749" ht="409.5" customHeight="1" s="142">
      <c r="A749" t="n">
        <v>707</v>
      </c>
      <c r="B749" t="inlineStr">
        <is>
          <t>annihilation</t>
        </is>
      </c>
      <c r="D749" s="80" t="inlineStr">
        <is>
          <t>連續17wave</t>
        </is>
      </c>
      <c r="G749" s="90" t="inlineStr">
        <is>
      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      </is>
      </c>
      <c r="I749" t="n">
        <v>8000</v>
      </c>
      <c r="J749" s="80" t="inlineStr">
        <is>
          <t>突發狀況</t>
        </is>
      </c>
      <c r="K749" t="inlineStr">
        <is>
          <t>buff</t>
        </is>
      </c>
      <c r="L749" t="n">
        <v>9009</v>
      </c>
      <c r="M749" t="inlineStr">
        <is>
          <t>1,4</t>
        </is>
      </c>
      <c r="N749" t="n">
        <v>0</v>
      </c>
      <c r="O749" t="n">
        <v>0.7</v>
      </c>
      <c r="P749" s="80" t="inlineStr">
        <is>
          <t>場地變化</t>
        </is>
      </c>
      <c r="Q749" t="inlineStr">
        <is>
          <t>debuff</t>
        </is>
      </c>
      <c r="R749" t="n">
        <v>9010</v>
      </c>
      <c r="S749" t="inlineStr">
        <is>
          <t>2,7,9</t>
        </is>
      </c>
      <c r="T749" t="n">
        <v>0</v>
      </c>
      <c r="U749" t="n">
        <v>0.7</v>
      </c>
      <c r="V749" t="n">
        <v>70001</v>
      </c>
      <c r="W749" t="n">
        <v>8</v>
      </c>
      <c r="X749" t="n">
        <v>1</v>
      </c>
      <c r="Y749" t="n">
        <v>70002</v>
      </c>
      <c r="Z749" t="n">
        <v>8</v>
      </c>
      <c r="AA749" t="n">
        <v>1</v>
      </c>
      <c r="AB749" t="n">
        <v>2000</v>
      </c>
      <c r="AC749" t="n">
        <v>16</v>
      </c>
      <c r="AD749" t="n">
        <v>1</v>
      </c>
      <c r="AE749" t="inlineStr">
        <is>
          <t>2003,2004</t>
        </is>
      </c>
      <c r="AF749" t="n">
        <v>8</v>
      </c>
      <c r="AG749" t="n">
        <v>0.5</v>
      </c>
    </row>
    <row r="750" ht="409.5" customHeight="1" s="142">
      <c r="A750" t="n">
        <v>708</v>
      </c>
      <c r="B750" t="inlineStr">
        <is>
          <t>annihilation</t>
        </is>
      </c>
      <c r="D750" s="80" t="inlineStr">
        <is>
          <t>連續19wave</t>
        </is>
      </c>
      <c r="G750" s="90" t="inlineStr">
        <is>
      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      </is>
      </c>
      <c r="I750" t="n">
        <v>9000</v>
      </c>
      <c r="J750" s="80" t="inlineStr">
        <is>
          <t>突發狀況</t>
        </is>
      </c>
      <c r="K750" t="inlineStr">
        <is>
          <t>buff</t>
        </is>
      </c>
      <c r="L750" t="n">
        <v>9009</v>
      </c>
      <c r="M750" t="inlineStr">
        <is>
          <t>1,4</t>
        </is>
      </c>
      <c r="N750" t="n">
        <v>0</v>
      </c>
      <c r="O750" t="n">
        <v>0.75</v>
      </c>
      <c r="P750" s="80" t="inlineStr">
        <is>
          <t>場地變化</t>
        </is>
      </c>
      <c r="Q750" t="inlineStr">
        <is>
          <t>debuff</t>
        </is>
      </c>
      <c r="R750" t="n">
        <v>9010</v>
      </c>
      <c r="S750" t="inlineStr">
        <is>
          <t>2,7,9</t>
        </is>
      </c>
      <c r="T750" t="n">
        <v>0</v>
      </c>
      <c r="U750" t="n">
        <v>0.7</v>
      </c>
      <c r="V750" t="n">
        <v>70001</v>
      </c>
      <c r="W750" t="n">
        <v>9</v>
      </c>
      <c r="X750" t="n">
        <v>1</v>
      </c>
      <c r="Y750" t="n">
        <v>70002</v>
      </c>
      <c r="Z750" t="n">
        <v>9</v>
      </c>
      <c r="AA750" t="n">
        <v>1</v>
      </c>
      <c r="AB750" t="n">
        <v>2000</v>
      </c>
      <c r="AC750" t="n">
        <v>18</v>
      </c>
      <c r="AD750" t="n">
        <v>1</v>
      </c>
      <c r="AE750" t="inlineStr">
        <is>
          <t>2003,2004</t>
        </is>
      </c>
      <c r="AF750" t="n">
        <v>9</v>
      </c>
      <c r="AG750" t="n">
        <v>0.5</v>
      </c>
    </row>
    <row r="751" ht="409.5" customHeight="1" s="142">
      <c r="A751" t="n">
        <v>709</v>
      </c>
      <c r="B751" t="inlineStr">
        <is>
          <t>annihilation</t>
        </is>
      </c>
      <c r="D751" s="80" t="inlineStr">
        <is>
          <t>連續21wave</t>
        </is>
      </c>
      <c r="G751" s="90" t="inlineStr">
        <is>
      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      </is>
      </c>
      <c r="I751" t="n">
        <v>10000</v>
      </c>
      <c r="J751" s="80" t="inlineStr">
        <is>
          <t>突發狀況</t>
        </is>
      </c>
      <c r="K751" t="inlineStr">
        <is>
          <t>buff</t>
        </is>
      </c>
      <c r="L751" t="n">
        <v>9009</v>
      </c>
      <c r="M751" t="inlineStr">
        <is>
          <t>1,4</t>
        </is>
      </c>
      <c r="N751" t="n">
        <v>0</v>
      </c>
      <c r="O751" t="n">
        <v>0.8</v>
      </c>
      <c r="P751" s="80" t="inlineStr">
        <is>
          <t>場地變化</t>
        </is>
      </c>
      <c r="Q751" t="inlineStr">
        <is>
          <t>debuff</t>
        </is>
      </c>
      <c r="R751" t="n">
        <v>9010</v>
      </c>
      <c r="S751" t="inlineStr">
        <is>
          <t>2,7,9</t>
        </is>
      </c>
      <c r="T751" t="n">
        <v>0</v>
      </c>
      <c r="U751" t="n">
        <v>0.7</v>
      </c>
      <c r="V751" t="n">
        <v>70001</v>
      </c>
      <c r="W751" t="n">
        <v>10</v>
      </c>
      <c r="X751" t="n">
        <v>1</v>
      </c>
      <c r="Y751" t="n">
        <v>70002</v>
      </c>
      <c r="Z751" t="n">
        <v>10</v>
      </c>
      <c r="AA751" t="n">
        <v>1</v>
      </c>
      <c r="AB751" t="n">
        <v>2000</v>
      </c>
      <c r="AC751" t="n">
        <v>20</v>
      </c>
      <c r="AD751" t="n">
        <v>1</v>
      </c>
      <c r="AE751" t="inlineStr">
        <is>
          <t>2003,2004</t>
        </is>
      </c>
      <c r="AF751" t="n">
        <v>10</v>
      </c>
      <c r="AG751" t="n">
        <v>0.5</v>
      </c>
    </row>
    <row r="752" ht="409.5" customHeight="1" s="142">
      <c r="A752" t="n">
        <v>710</v>
      </c>
      <c r="B752" t="inlineStr">
        <is>
          <t>annihilation</t>
        </is>
      </c>
      <c r="D752" s="80" t="inlineStr">
        <is>
          <t>連續23wave</t>
        </is>
      </c>
      <c r="G752" s="90" t="inlineStr">
        <is>
      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      </is>
      </c>
      <c r="I752" t="n">
        <v>11000</v>
      </c>
      <c r="J752" s="80" t="inlineStr">
        <is>
          <t>突發狀況</t>
        </is>
      </c>
      <c r="K752" t="inlineStr">
        <is>
          <t>buff</t>
        </is>
      </c>
      <c r="L752" t="n">
        <v>9009</v>
      </c>
      <c r="M752" t="inlineStr">
        <is>
          <t>1,4</t>
        </is>
      </c>
      <c r="N752" t="n">
        <v>0</v>
      </c>
      <c r="O752" t="n">
        <v>0.85</v>
      </c>
      <c r="P752" s="80" t="inlineStr">
        <is>
          <t>場地變化</t>
        </is>
      </c>
      <c r="Q752" t="inlineStr">
        <is>
          <t>debuff</t>
        </is>
      </c>
      <c r="R752" t="n">
        <v>9010</v>
      </c>
      <c r="S752" t="inlineStr">
        <is>
          <t>2,7,9</t>
        </is>
      </c>
      <c r="T752" t="n">
        <v>0</v>
      </c>
      <c r="U752" t="n">
        <v>0.7</v>
      </c>
      <c r="V752" t="n">
        <v>70001</v>
      </c>
      <c r="W752" t="n">
        <v>11</v>
      </c>
      <c r="X752" t="n">
        <v>1</v>
      </c>
      <c r="Y752" t="n">
        <v>70002</v>
      </c>
      <c r="Z752" t="n">
        <v>11</v>
      </c>
      <c r="AA752" t="n">
        <v>1</v>
      </c>
      <c r="AB752" t="n">
        <v>2000</v>
      </c>
      <c r="AC752" t="n">
        <v>22</v>
      </c>
      <c r="AD752" t="n">
        <v>1</v>
      </c>
      <c r="AE752" t="inlineStr">
        <is>
          <t>2003,2004</t>
        </is>
      </c>
      <c r="AF752" t="n">
        <v>11</v>
      </c>
      <c r="AG752" t="n">
        <v>0.5</v>
      </c>
    </row>
    <row r="753" ht="409.5" customHeight="1" s="142">
      <c r="A753" t="n">
        <v>711</v>
      </c>
      <c r="B753" t="inlineStr">
        <is>
          <t>annihilation</t>
        </is>
      </c>
      <c r="D753" s="80" t="inlineStr">
        <is>
          <t>連續25wave</t>
        </is>
      </c>
      <c r="G753" s="90" t="inlineStr">
        <is>
      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      </is>
      </c>
      <c r="I753" t="n">
        <v>12000</v>
      </c>
      <c r="J753" s="80" t="inlineStr">
        <is>
          <t>突發狀況</t>
        </is>
      </c>
      <c r="K753" t="inlineStr">
        <is>
          <t>buff</t>
        </is>
      </c>
      <c r="L753" t="n">
        <v>9009</v>
      </c>
      <c r="M753" t="inlineStr">
        <is>
          <t>1,4</t>
        </is>
      </c>
      <c r="N753" t="n">
        <v>0</v>
      </c>
      <c r="O753" t="n">
        <v>0.9</v>
      </c>
      <c r="P753" s="80" t="inlineStr">
        <is>
          <t>場地變化</t>
        </is>
      </c>
      <c r="Q753" t="inlineStr">
        <is>
          <t>debuff</t>
        </is>
      </c>
      <c r="R753" t="n">
        <v>9010</v>
      </c>
      <c r="S753" t="inlineStr">
        <is>
          <t>2,7,9</t>
        </is>
      </c>
      <c r="T753" t="n">
        <v>0</v>
      </c>
      <c r="U753" t="n">
        <v>0.7</v>
      </c>
      <c r="V753" t="n">
        <v>70001</v>
      </c>
      <c r="W753" t="n">
        <v>12</v>
      </c>
      <c r="X753" t="n">
        <v>1</v>
      </c>
      <c r="Y753" t="n">
        <v>70002</v>
      </c>
      <c r="Z753" t="n">
        <v>12</v>
      </c>
      <c r="AA753" t="n">
        <v>1</v>
      </c>
      <c r="AB753" t="n">
        <v>2000</v>
      </c>
      <c r="AC753" t="n">
        <v>24</v>
      </c>
      <c r="AD753" t="n">
        <v>1</v>
      </c>
      <c r="AE753" t="inlineStr">
        <is>
          <t>2003,2004</t>
        </is>
      </c>
      <c r="AF753" t="n">
        <v>12</v>
      </c>
      <c r="AG753" t="n">
        <v>0.5</v>
      </c>
    </row>
    <row r="754" ht="409.5" customHeight="1" s="142">
      <c r="A754" t="n">
        <v>712</v>
      </c>
      <c r="B754" t="inlineStr">
        <is>
          <t>annihilation</t>
        </is>
      </c>
      <c r="D754" s="80" t="inlineStr">
        <is>
          <t>連續27wave</t>
        </is>
      </c>
      <c r="G754" s="90" t="inlineStr">
        <is>
      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      </is>
      </c>
      <c r="I754" t="n">
        <v>13000</v>
      </c>
      <c r="J754" s="80" t="inlineStr">
        <is>
          <t>突發狀況</t>
        </is>
      </c>
      <c r="K754" t="inlineStr">
        <is>
          <t>buff</t>
        </is>
      </c>
      <c r="L754" t="n">
        <v>9009</v>
      </c>
      <c r="M754" t="inlineStr">
        <is>
          <t>1,4</t>
        </is>
      </c>
      <c r="N754" t="n">
        <v>0</v>
      </c>
      <c r="O754" t="n">
        <v>0.95</v>
      </c>
      <c r="P754" s="80" t="inlineStr">
        <is>
          <t>場地變化</t>
        </is>
      </c>
      <c r="Q754" t="inlineStr">
        <is>
          <t>debuff</t>
        </is>
      </c>
      <c r="R754" t="n">
        <v>9010</v>
      </c>
      <c r="S754" t="inlineStr">
        <is>
          <t>2,7,9</t>
        </is>
      </c>
      <c r="T754" t="n">
        <v>0</v>
      </c>
      <c r="U754" t="n">
        <v>0.7</v>
      </c>
      <c r="V754" t="n">
        <v>70001</v>
      </c>
      <c r="W754" t="n">
        <v>13</v>
      </c>
      <c r="X754" t="n">
        <v>1</v>
      </c>
      <c r="Y754" t="n">
        <v>70002</v>
      </c>
      <c r="Z754" t="n">
        <v>13</v>
      </c>
      <c r="AA754" t="n">
        <v>1</v>
      </c>
      <c r="AB754" t="n">
        <v>2000</v>
      </c>
      <c r="AC754" t="n">
        <v>26</v>
      </c>
      <c r="AD754" t="n">
        <v>1</v>
      </c>
      <c r="AE754" t="inlineStr">
        <is>
          <t>2003,2004</t>
        </is>
      </c>
      <c r="AF754" t="n">
        <v>13</v>
      </c>
      <c r="AG754" t="n">
        <v>0.5</v>
      </c>
    </row>
    <row r="755" ht="409.5" customHeight="1" s="142">
      <c r="A755" t="n">
        <v>713</v>
      </c>
      <c r="B755" t="inlineStr">
        <is>
          <t>annihilation</t>
        </is>
      </c>
      <c r="D755" s="80" t="inlineStr">
        <is>
          <t>連續29wave</t>
        </is>
      </c>
      <c r="G755" s="90" t="inlineStr">
        <is>
      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      </is>
      </c>
      <c r="I755" t="n">
        <v>14000</v>
      </c>
      <c r="J755" s="80" t="inlineStr">
        <is>
          <t>突發狀況</t>
        </is>
      </c>
      <c r="K755" t="inlineStr">
        <is>
          <t>buff</t>
        </is>
      </c>
      <c r="L755" t="n">
        <v>9009</v>
      </c>
      <c r="M755" t="inlineStr">
        <is>
          <t>1,4</t>
        </is>
      </c>
      <c r="N755" t="n">
        <v>0</v>
      </c>
      <c r="O755" t="n">
        <v>1</v>
      </c>
      <c r="P755" s="80" t="inlineStr">
        <is>
          <t>場地變化</t>
        </is>
      </c>
      <c r="Q755" t="inlineStr">
        <is>
          <t>debuff</t>
        </is>
      </c>
      <c r="R755" t="n">
        <v>9010</v>
      </c>
      <c r="S755" t="inlineStr">
        <is>
          <t>2,7,9</t>
        </is>
      </c>
      <c r="T755" t="n">
        <v>0</v>
      </c>
      <c r="U755" t="n">
        <v>0.7</v>
      </c>
      <c r="V755" t="n">
        <v>70001</v>
      </c>
      <c r="W755" t="n">
        <v>14</v>
      </c>
      <c r="X755" t="n">
        <v>1</v>
      </c>
      <c r="Y755" t="n">
        <v>70002</v>
      </c>
      <c r="Z755" t="n">
        <v>14</v>
      </c>
      <c r="AA755" t="n">
        <v>1</v>
      </c>
      <c r="AB755" t="n">
        <v>2000</v>
      </c>
      <c r="AC755" t="n">
        <v>28</v>
      </c>
      <c r="AD755" t="n">
        <v>1</v>
      </c>
      <c r="AE755" t="inlineStr">
        <is>
          <t>2003,2004</t>
        </is>
      </c>
      <c r="AF755" t="n">
        <v>14</v>
      </c>
      <c r="AG755" t="n">
        <v>0.5</v>
      </c>
    </row>
    <row r="756" ht="409.5" customHeight="1" s="142">
      <c r="A756" t="n">
        <v>714</v>
      </c>
      <c r="B756" t="inlineStr">
        <is>
          <t>annihilation</t>
        </is>
      </c>
      <c r="D756" s="80" t="inlineStr">
        <is>
          <t>連續30wave</t>
        </is>
      </c>
      <c r="G756" s="90" t="inlineStr">
        <is>
      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      </is>
      </c>
      <c r="I756" t="n">
        <v>15000</v>
      </c>
      <c r="J756" s="80" t="inlineStr">
        <is>
          <t>突發狀況</t>
        </is>
      </c>
      <c r="K756" t="inlineStr">
        <is>
          <t>buff</t>
        </is>
      </c>
      <c r="L756" t="n">
        <v>9009</v>
      </c>
      <c r="M756" t="inlineStr">
        <is>
          <t>1,4</t>
        </is>
      </c>
      <c r="N756" t="n">
        <v>0</v>
      </c>
      <c r="O756" t="n">
        <v>1</v>
      </c>
      <c r="P756" s="80" t="inlineStr">
        <is>
          <t>場地變化</t>
        </is>
      </c>
      <c r="Q756" t="inlineStr">
        <is>
          <t>debuff</t>
        </is>
      </c>
      <c r="R756" t="n">
        <v>9010</v>
      </c>
      <c r="S756" t="inlineStr">
        <is>
          <t>2,7,9</t>
        </is>
      </c>
      <c r="T756" t="n">
        <v>0</v>
      </c>
      <c r="U756" t="n">
        <v>0.7</v>
      </c>
      <c r="V756" t="n">
        <v>70001</v>
      </c>
      <c r="W756" t="n">
        <v>15</v>
      </c>
      <c r="X756" t="n">
        <v>1</v>
      </c>
      <c r="Y756" t="n">
        <v>70002</v>
      </c>
      <c r="Z756" t="n">
        <v>15</v>
      </c>
      <c r="AA756" t="n">
        <v>1</v>
      </c>
      <c r="AB756" t="n">
        <v>2000</v>
      </c>
      <c r="AC756" t="n">
        <v>30</v>
      </c>
      <c r="AD756" t="n">
        <v>1</v>
      </c>
      <c r="AE756" t="inlineStr">
        <is>
          <t>2003,2004</t>
        </is>
      </c>
      <c r="AF756" t="n">
        <v>15</v>
      </c>
      <c r="AG756" t="n">
        <v>0.5</v>
      </c>
    </row>
    <row r="758">
      <c r="A758" t="inlineStr">
        <is>
          <t>mapid</t>
        </is>
      </c>
      <c r="B758" t="inlineStr">
        <is>
          <t>type</t>
        </is>
      </c>
      <c r="C758" t="inlineStr">
        <is>
          <t>chapter</t>
        </is>
      </c>
      <c r="D758" t="inlineStr">
        <is>
          <t>hint</t>
        </is>
      </c>
      <c r="E758" t="inlineStr">
        <is>
          <t>level</t>
        </is>
      </c>
      <c r="F758" t="inlineStr">
        <is>
          <t>tag_limit</t>
        </is>
      </c>
      <c r="G758" t="inlineStr">
        <is>
          <t>quest</t>
        </is>
      </c>
      <c r="H758" t="inlineStr">
        <is>
          <t>arrangement</t>
        </is>
      </c>
      <c r="I758" t="inlineStr">
        <is>
          <t>Capability</t>
        </is>
      </c>
      <c r="J758" t="inlineStr">
        <is>
          <t>event1_name</t>
        </is>
      </c>
      <c r="K758" t="inlineStr">
        <is>
          <t>event1_type</t>
        </is>
      </c>
      <c r="L758" t="inlineStr">
        <is>
          <t>event1_buff</t>
        </is>
      </c>
      <c r="M758" t="inlineStr">
        <is>
          <t>event1_time</t>
        </is>
      </c>
      <c r="N758" t="inlineStr">
        <is>
          <t>event1_target</t>
        </is>
      </c>
      <c r="O758" t="inlineStr">
        <is>
          <t>event1_rate</t>
        </is>
      </c>
      <c r="P758" t="inlineStr">
        <is>
          <t>event2_name</t>
        </is>
      </c>
      <c r="Q758" t="inlineStr">
        <is>
          <t>event2_type</t>
        </is>
      </c>
      <c r="R758" t="inlineStr">
        <is>
          <t>event2_buff</t>
        </is>
      </c>
      <c r="S758" t="inlineStr">
        <is>
          <t>event2_time</t>
        </is>
      </c>
      <c r="T758" t="inlineStr">
        <is>
          <t>event2_target</t>
        </is>
      </c>
      <c r="U758" t="inlineStr">
        <is>
          <t>event2_rate</t>
        </is>
      </c>
      <c r="V758" t="inlineStr">
        <is>
          <t>loot1_id</t>
        </is>
      </c>
      <c r="W758" t="inlineStr">
        <is>
          <t>loot1_amount</t>
        </is>
      </c>
      <c r="X758" t="inlineStr">
        <is>
          <t>loot1_rate</t>
        </is>
      </c>
      <c r="Y758" t="inlineStr">
        <is>
          <t>loot2_id</t>
        </is>
      </c>
      <c r="Z758" t="inlineStr">
        <is>
          <t>loot2_amount</t>
        </is>
      </c>
      <c r="AA758" t="inlineStr">
        <is>
          <t>loot2_rate</t>
        </is>
      </c>
    </row>
    <row r="759" ht="38.25" customHeight="1" s="142">
      <c r="A759" t="n">
        <v>801</v>
      </c>
      <c r="B759" t="inlineStr">
        <is>
          <t>map_red</t>
        </is>
      </c>
      <c r="C759" t="n">
        <v>3</v>
      </c>
      <c r="D759" s="80" t="inlineStr">
        <is>
          <t>紅色大門1</t>
        </is>
      </c>
      <c r="G759" s="90" t="inlineStr">
        <is>
          <t>{role:-1},
{id:-1}{id:-1},{id:-1},{id:-1},{id:-1} {id:40008},{id:40007},{id:50003},{id:40010},{id:40009}</t>
        </is>
      </c>
      <c r="V759" t="n">
        <v>8000</v>
      </c>
      <c r="W759" t="n">
        <v>1000</v>
      </c>
      <c r="AB759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59" t="n">
        <v>1</v>
      </c>
      <c r="AD759" t="n">
        <v>0.2</v>
      </c>
      <c r="AE759" t="n">
        <v>2002</v>
      </c>
      <c r="AF759" t="n">
        <v>3</v>
      </c>
      <c r="AG759" t="n">
        <v>1</v>
      </c>
    </row>
    <row r="760" ht="38.25" customHeight="1" s="142">
      <c r="A760" t="n">
        <v>802</v>
      </c>
      <c r="B760" t="inlineStr">
        <is>
          <t>map_red</t>
        </is>
      </c>
      <c r="C760" t="n">
        <v>3</v>
      </c>
      <c r="D760" s="80" t="inlineStr">
        <is>
          <t>紅色大門2</t>
        </is>
      </c>
      <c r="G760" s="90" t="inlineStr">
        <is>
          <t>{role:-1},
{id:-1}{id:-1},{id:-1},{id:-1},{id:-1}, {id:40012},{id:40011},{id:50002},{id:40013},{id:40015}</t>
        </is>
      </c>
      <c r="V760" t="n">
        <v>8000</v>
      </c>
      <c r="W760" t="n">
        <v>1000</v>
      </c>
      <c r="AB760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0" t="n">
        <v>1</v>
      </c>
      <c r="AD760" t="n">
        <v>0.2</v>
      </c>
      <c r="AE760" t="n">
        <v>2002</v>
      </c>
      <c r="AF760" t="n">
        <v>3</v>
      </c>
      <c r="AG760" t="n">
        <v>1</v>
      </c>
    </row>
    <row r="761" ht="38.25" customHeight="1" s="142">
      <c r="A761" t="n">
        <v>803</v>
      </c>
      <c r="B761" t="inlineStr">
        <is>
          <t>map_red</t>
        </is>
      </c>
      <c r="C761" t="n">
        <v>3</v>
      </c>
      <c r="D761" s="80" t="inlineStr">
        <is>
          <t>紅色大門3</t>
        </is>
      </c>
      <c r="G761" s="90" t="inlineStr">
        <is>
          <t>{role:-1},
{id:-1},{id:-1},{id:-1},{id:-1},{id:-1}, {id:40005},{id:40003},{id:50001},{id:40001},{id:40004}</t>
        </is>
      </c>
      <c r="V761" t="n">
        <v>8000</v>
      </c>
      <c r="W761" t="n">
        <v>1000</v>
      </c>
      <c r="AB761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1" t="n">
        <v>1</v>
      </c>
      <c r="AD761" t="n">
        <v>0.2</v>
      </c>
      <c r="AE761" t="n">
        <v>2002</v>
      </c>
      <c r="AF761" t="n">
        <v>3</v>
      </c>
      <c r="AG761" t="n">
        <v>1</v>
      </c>
    </row>
    <row r="762" ht="38.25" customHeight="1" s="142">
      <c r="A762" t="n">
        <v>804</v>
      </c>
      <c r="B762" t="inlineStr">
        <is>
          <t>map_red</t>
        </is>
      </c>
      <c r="C762" t="n">
        <v>3</v>
      </c>
      <c r="D762" s="80" t="inlineStr">
        <is>
          <t>紅色大門4</t>
        </is>
      </c>
      <c r="G762" s="90" t="inlineStr">
        <is>
          <t>{role:-1},
{id:-1}{id:-1},{id:-1},{id:-1},{id:-1} {id:40008},{id:40007},{id:50003},{id:40010},{id:40009}</t>
        </is>
      </c>
      <c r="V762" t="n">
        <v>8000</v>
      </c>
      <c r="W762" t="n">
        <v>1000</v>
      </c>
      <c r="AB762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2" t="n">
        <v>1</v>
      </c>
      <c r="AD762" t="n">
        <v>0.2</v>
      </c>
      <c r="AE762" t="n">
        <v>2002</v>
      </c>
      <c r="AF762" t="n">
        <v>3</v>
      </c>
      <c r="AG762" t="n">
        <v>1</v>
      </c>
    </row>
    <row r="763" ht="38.25" customHeight="1" s="142">
      <c r="A763" t="n">
        <v>805</v>
      </c>
      <c r="B763" t="inlineStr">
        <is>
          <t>map_blue</t>
        </is>
      </c>
      <c r="C763" t="n">
        <v>3</v>
      </c>
      <c r="D763" s="80" t="inlineStr">
        <is>
          <t>藍色大門1</t>
        </is>
      </c>
      <c r="G763" s="90" t="inlineStr">
        <is>
          <t>{role:-1},
{id:-1}{id:-1},{id:-1},{id:-1},{id:-1} {id:40008},{id:40007},{id:50003},{id:40010},{id:40009}</t>
        </is>
      </c>
      <c r="V763" t="n">
        <v>8000</v>
      </c>
      <c r="W763" t="n">
        <v>1000</v>
      </c>
      <c r="AB763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3" t="n">
        <v>1</v>
      </c>
      <c r="AD763" t="n">
        <v>0.2</v>
      </c>
      <c r="AE763" t="n">
        <v>2002</v>
      </c>
      <c r="AF763" t="n">
        <v>3</v>
      </c>
      <c r="AG763" t="n">
        <v>1</v>
      </c>
    </row>
    <row r="764" ht="38.25" customHeight="1" s="142">
      <c r="A764" t="n">
        <v>806</v>
      </c>
      <c r="B764" t="inlineStr">
        <is>
          <t>map_blue</t>
        </is>
      </c>
      <c r="C764" t="n">
        <v>3</v>
      </c>
      <c r="D764" s="80" t="inlineStr">
        <is>
          <t>藍色大門2</t>
        </is>
      </c>
      <c r="G764" s="90" t="inlineStr">
        <is>
          <t>{role:-1},
{id:-1}{id:-1},{id:-1},{id:-1},{id:-1}, {id:40012},{id:40011},{id:50002},{id:40013},{id:40015}</t>
        </is>
      </c>
      <c r="V764" t="n">
        <v>8000</v>
      </c>
      <c r="W764" t="n">
        <v>1000</v>
      </c>
      <c r="AB764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4" t="n">
        <v>1</v>
      </c>
      <c r="AD764" t="n">
        <v>0.2</v>
      </c>
      <c r="AE764" t="n">
        <v>2002</v>
      </c>
      <c r="AF764" t="n">
        <v>3</v>
      </c>
      <c r="AG764" t="n">
        <v>1</v>
      </c>
    </row>
    <row r="765" ht="38.25" customHeight="1" s="142">
      <c r="A765" t="n">
        <v>807</v>
      </c>
      <c r="B765" t="inlineStr">
        <is>
          <t>map_blue</t>
        </is>
      </c>
      <c r="C765" t="n">
        <v>3</v>
      </c>
      <c r="D765" s="80" t="inlineStr">
        <is>
          <t>藍色大門3</t>
        </is>
      </c>
      <c r="G765" s="90" t="inlineStr">
        <is>
          <t>{role:-1},
{id:-1},{id:-1},{id:-1},{id:-1},{id:-1}, {id:40005},{id:40003},{id:50001},{id:40001},{id:40004}</t>
        </is>
      </c>
      <c r="V765" t="n">
        <v>8000</v>
      </c>
      <c r="W765" t="n">
        <v>1000</v>
      </c>
      <c r="AB765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5" t="n">
        <v>1</v>
      </c>
      <c r="AD765" t="n">
        <v>0.2</v>
      </c>
      <c r="AE765" t="n">
        <v>2002</v>
      </c>
      <c r="AF765" t="n">
        <v>3</v>
      </c>
      <c r="AG765" t="n">
        <v>1</v>
      </c>
    </row>
    <row r="766" ht="38.25" customHeight="1" s="142">
      <c r="A766" t="n">
        <v>808</v>
      </c>
      <c r="B766" t="inlineStr">
        <is>
          <t>map_blue</t>
        </is>
      </c>
      <c r="C766" t="n">
        <v>3</v>
      </c>
      <c r="D766" s="80" t="inlineStr">
        <is>
          <t>藍色大門4</t>
        </is>
      </c>
      <c r="G766" s="90" t="inlineStr">
        <is>
          <t>{role:-1},
{id:-1}{id:-1},{id:-1},{id:-1},{id:-1} {id:40008},{id:40007},{id:50003},{id:40010},{id:40009}</t>
        </is>
      </c>
      <c r="V766" t="n">
        <v>8000</v>
      </c>
      <c r="W766" t="n">
        <v>1000</v>
      </c>
      <c r="AB766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6" t="n">
        <v>1</v>
      </c>
      <c r="AD766" t="n">
        <v>0.2</v>
      </c>
      <c r="AE766" t="n">
        <v>2002</v>
      </c>
      <c r="AF766" t="n">
        <v>3</v>
      </c>
      <c r="AG766" t="n">
        <v>1</v>
      </c>
    </row>
    <row r="767" ht="38.25" customHeight="1" s="142">
      <c r="A767" t="n">
        <v>809</v>
      </c>
      <c r="B767" t="inlineStr">
        <is>
          <t>map_purple</t>
        </is>
      </c>
      <c r="C767" t="n">
        <v>3</v>
      </c>
      <c r="D767" s="80" t="inlineStr">
        <is>
          <t>紫色大門1</t>
        </is>
      </c>
      <c r="G767" s="90" t="inlineStr">
        <is>
          <t>{role:-1},
{id:-1}{id:-1},{id:-1},{id:-1},{id:-1} {id:40008},{id:40007},{id:50003},{id:40010},{id:40009}</t>
        </is>
      </c>
      <c r="V767" t="n">
        <v>8000</v>
      </c>
      <c r="W767" t="n">
        <v>1000</v>
      </c>
      <c r="AB767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7" t="n">
        <v>1</v>
      </c>
      <c r="AD767" t="n">
        <v>0.2</v>
      </c>
      <c r="AE767" t="n">
        <v>2002</v>
      </c>
      <c r="AF767" t="n">
        <v>3</v>
      </c>
      <c r="AG767" t="n">
        <v>1</v>
      </c>
    </row>
    <row r="768" ht="38.25" customHeight="1" s="142">
      <c r="A768" t="n">
        <v>810</v>
      </c>
      <c r="B768" t="inlineStr">
        <is>
          <t>map_purple</t>
        </is>
      </c>
      <c r="C768" t="n">
        <v>3</v>
      </c>
      <c r="D768" s="80" t="inlineStr">
        <is>
          <t>紫色大門2</t>
        </is>
      </c>
      <c r="G768" s="90" t="inlineStr">
        <is>
          <t>{role:-1},
{id:-1}{id:-1},{id:-1},{id:-1},{id:-1}, {id:40012},{id:40011},{id:50002},{id:40013},{id:40015}</t>
        </is>
      </c>
      <c r="V768" t="n">
        <v>8000</v>
      </c>
      <c r="W768" t="n">
        <v>1000</v>
      </c>
      <c r="AB768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8" t="n">
        <v>1</v>
      </c>
      <c r="AD768" t="n">
        <v>0.2</v>
      </c>
      <c r="AE768" t="n">
        <v>2002</v>
      </c>
      <c r="AF768" t="n">
        <v>3</v>
      </c>
      <c r="AG768" t="n">
        <v>1</v>
      </c>
    </row>
    <row r="769" ht="38.25" customHeight="1" s="142">
      <c r="A769" t="n">
        <v>811</v>
      </c>
      <c r="B769" t="inlineStr">
        <is>
          <t>map_purple</t>
        </is>
      </c>
      <c r="C769" t="n">
        <v>3</v>
      </c>
      <c r="D769" s="80" t="inlineStr">
        <is>
          <t>紫色大門3</t>
        </is>
      </c>
      <c r="G769" s="90" t="inlineStr">
        <is>
          <t>{role:-1},
{id:-1},{id:-1},{id:-1},{id:-1},{id:-1}, {id:40005},{id:40003},{id:50001},{id:40001},{id:40004}</t>
        </is>
      </c>
      <c r="V769" t="n">
        <v>8000</v>
      </c>
      <c r="W769" t="n">
        <v>1000</v>
      </c>
      <c r="AB769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9" t="n">
        <v>1</v>
      </c>
      <c r="AD769" t="n">
        <v>0.2</v>
      </c>
      <c r="AE769" t="n">
        <v>2002</v>
      </c>
      <c r="AF769" t="n">
        <v>3</v>
      </c>
      <c r="AG769" t="n">
        <v>1</v>
      </c>
    </row>
    <row r="770" ht="38.25" customHeight="1" s="142">
      <c r="A770" t="n">
        <v>812</v>
      </c>
      <c r="B770" t="inlineStr">
        <is>
          <t>map_purple</t>
        </is>
      </c>
      <c r="C770" t="n">
        <v>3</v>
      </c>
      <c r="D770" s="80" t="inlineStr">
        <is>
          <t>紫色大門4</t>
        </is>
      </c>
      <c r="G770" s="90" t="inlineStr">
        <is>
          <t>{role:-1},
{id:-1}{id:-1},{id:-1},{id:-1},{id:-1} {id:40008},{id:40007},{id:50003},{id:40010},{id:40009}</t>
        </is>
      </c>
      <c r="V770" t="n">
        <v>8000</v>
      </c>
      <c r="W770" t="n">
        <v>1000</v>
      </c>
      <c r="AB770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70" t="n">
        <v>1</v>
      </c>
      <c r="AD770" t="n">
        <v>0.2</v>
      </c>
      <c r="AE770" t="n">
        <v>2002</v>
      </c>
      <c r="AF770" t="n">
        <v>3</v>
      </c>
      <c r="AG770" t="n">
        <v>1</v>
      </c>
    </row>
    <row r="771">
      <c r="A771" t="n">
        <v>813</v>
      </c>
      <c r="B771" t="inlineStr">
        <is>
          <t>map_yellow</t>
        </is>
      </c>
      <c r="C771" t="n">
        <v>3</v>
      </c>
      <c r="D771" s="80" t="inlineStr">
        <is>
          <t>增益大門1</t>
        </is>
      </c>
      <c r="J771" s="80" t="inlineStr">
        <is>
          <t>增益選擇</t>
        </is>
      </c>
      <c r="K771" t="inlineStr">
        <is>
          <t>select_self</t>
        </is>
      </c>
      <c r="L771" t="n">
        <v>1001</v>
      </c>
      <c r="M771" t="inlineStr">
        <is>
          <t>1,2,3,4,5,6,7,8,9,10,11,12,13,14,15,16,17,18,19,20</t>
        </is>
      </c>
      <c r="V771" t="n">
        <v>8000</v>
      </c>
      <c r="W771" t="n">
        <v>1000</v>
      </c>
    </row>
    <row r="772">
      <c r="A772" t="n">
        <v>814</v>
      </c>
      <c r="B772" t="inlineStr">
        <is>
          <t>map_yellow</t>
        </is>
      </c>
      <c r="C772" t="n">
        <v>3</v>
      </c>
      <c r="D772" s="80" t="inlineStr">
        <is>
          <t>增益大門2</t>
        </is>
      </c>
      <c r="J772" s="80" t="inlineStr">
        <is>
          <t>增益選擇</t>
        </is>
      </c>
      <c r="K772" t="inlineStr">
        <is>
          <t>select_self</t>
        </is>
      </c>
      <c r="L772" t="n">
        <v>1002</v>
      </c>
      <c r="M772" t="inlineStr">
        <is>
          <t>1,2,3,4,5,6,7,8,9,10,11,12,13,14,15,16,17,18,19,20</t>
        </is>
      </c>
      <c r="V772" t="n">
        <v>8000</v>
      </c>
      <c r="W772" t="n">
        <v>1000</v>
      </c>
    </row>
    <row r="773">
      <c r="A773" t="n">
        <v>815</v>
      </c>
      <c r="B773" t="inlineStr">
        <is>
          <t>map_yellow</t>
        </is>
      </c>
      <c r="C773" t="n">
        <v>3</v>
      </c>
      <c r="D773" s="80" t="inlineStr">
        <is>
          <t>增益大門3</t>
        </is>
      </c>
      <c r="J773" s="80" t="inlineStr">
        <is>
          <t>增益選擇</t>
        </is>
      </c>
      <c r="K773" t="inlineStr">
        <is>
          <t>select_self</t>
        </is>
      </c>
      <c r="L773" t="n">
        <v>1003</v>
      </c>
      <c r="M773" t="inlineStr">
        <is>
          <t>1,2,3,4,5,6,7,8,9,10,11,12,13,14,15,16,17,18,19,20</t>
        </is>
      </c>
      <c r="V773" t="n">
        <v>8000</v>
      </c>
      <c r="W773" t="n">
        <v>1000</v>
      </c>
    </row>
    <row r="774">
      <c r="A774" t="n">
        <v>816</v>
      </c>
      <c r="B774" t="inlineStr">
        <is>
          <t>map_yellow</t>
        </is>
      </c>
      <c r="C774" t="n">
        <v>3</v>
      </c>
      <c r="D774" s="80" t="inlineStr">
        <is>
          <t>增益大門4</t>
        </is>
      </c>
      <c r="J774" s="80" t="inlineStr">
        <is>
          <t>增益選擇</t>
        </is>
      </c>
      <c r="K774" t="inlineStr">
        <is>
          <t>select_self</t>
        </is>
      </c>
      <c r="L774" t="n">
        <v>1004</v>
      </c>
      <c r="M774" t="inlineStr">
        <is>
          <t>1,2,3,4,5,6,7,8,9,10,11,12,13,14,15,16,17,18,19,20</t>
        </is>
      </c>
      <c r="V774" t="n">
        <v>8000</v>
      </c>
      <c r="W774" t="n">
        <v>1000</v>
      </c>
    </row>
  </sheetData>
  <dataValidations count="2">
    <dataValidation sqref="B3:B16 B19:B79 B82:B113 B123:B124 B130:B145" showDropDown="0" showInputMessage="0" showErrorMessage="1" allowBlank="1" type="list">
      <formula1>"dungeon,main,map_red,map_yellow,map_purple,map_blue,annihilation,tower,godcharacter"</formula1>
      <formula2>0</formula2>
    </dataValidation>
    <dataValidation sqref="K3:K16 K19:K79 K82:K113 K123:K124 K130:K145 Q3:Q16 Q19:Q79 Q82:Q113 Q123:Q124 Q130:Q145" showDropDown="0" showInputMessage="0" showErrorMessage="1" allowBlank="1" type="list">
      <formula1>"select_self,select_enemy,debuff,buff"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Normal="100" workbookViewId="0">
      <selection activeCell="A1" sqref="A1"/>
    </sheetView>
  </sheetViews>
  <sheetFormatPr baseColWidth="8" defaultColWidth="12.5703125" defaultRowHeight="12.75"/>
  <cols>
    <col width="38.42578125" customWidth="1" style="142" min="2" max="2"/>
  </cols>
  <sheetData>
    <row r="1" ht="14.25" customHeight="1" s="142">
      <c r="A1" s="23" t="inlineStr">
        <is>
          <t>prefeb_map</t>
        </is>
      </c>
      <c r="B1" s="23" t="inlineStr">
        <is>
          <t>list</t>
        </is>
      </c>
      <c r="C1" s="23" t="inlineStr">
        <is>
          <t>power</t>
        </is>
      </c>
      <c r="D1" s="23" t="inlineStr">
        <is>
          <t>is_end</t>
        </is>
      </c>
      <c r="E1" s="7" t="n"/>
      <c r="F1" s="7" t="n"/>
    </row>
    <row r="2" ht="14.25" customHeight="1" s="142">
      <c r="A2" s="141" t="inlineStr">
        <is>
          <t>gate4</t>
        </is>
      </c>
      <c r="B2" s="141">
        <f>"{map_red},{map_blue},{map_purple},{map_yellow}"</f>
        <v/>
      </c>
      <c r="C2" s="141" t="n">
        <v>600</v>
      </c>
      <c r="D2" s="141" t="n"/>
    </row>
    <row r="3" ht="14.25" customHeight="1" s="142">
      <c r="A3" s="141" t="inlineStr">
        <is>
          <t>gate4_2</t>
        </is>
      </c>
      <c r="B3" s="141">
        <f>"{map_blue},{map_purple},{map_red},{map_yellow}"</f>
        <v/>
      </c>
      <c r="C3" s="7" t="n">
        <v>600</v>
      </c>
      <c r="D3" s="141" t="n"/>
    </row>
    <row r="4" ht="14.25" customHeight="1" s="142">
      <c r="A4" s="141" t="inlineStr">
        <is>
          <t>gate3_3</t>
        </is>
      </c>
      <c r="B4" s="141">
        <f>"{map_red},{map_blue},{map_purple},{0}"</f>
        <v/>
      </c>
      <c r="C4" s="141" t="n">
        <v>1500</v>
      </c>
      <c r="D4" s="141" t="n"/>
    </row>
    <row r="5" ht="14.25" customHeight="1" s="142">
      <c r="A5" s="141" t="inlineStr">
        <is>
          <t>gate3_2</t>
        </is>
      </c>
      <c r="B5" s="141">
        <f>"{map_red},{0},{map_purple},{map_yellow}"</f>
        <v/>
      </c>
      <c r="C5" s="141" t="n">
        <v>2000</v>
      </c>
      <c r="D5" s="141" t="n"/>
    </row>
    <row r="6" ht="14.25" customHeight="1" s="142">
      <c r="A6" s="141" t="inlineStr">
        <is>
          <t>gate3</t>
        </is>
      </c>
      <c r="B6" s="141">
        <f>"{map_red},{map_blue},{0},{map_yellow}"</f>
        <v/>
      </c>
      <c r="C6" s="141" t="n">
        <v>2000</v>
      </c>
      <c r="D6" s="141" t="n"/>
    </row>
    <row r="7" ht="14.25" customHeight="1" s="142">
      <c r="A7" s="141" t="inlineStr">
        <is>
          <t>gate2_3</t>
        </is>
      </c>
      <c r="B7" s="141">
        <f>"{map_yellow},{0},{map_blue},{0}"</f>
        <v/>
      </c>
      <c r="C7" s="141" t="n">
        <v>1500</v>
      </c>
      <c r="D7" s="141" t="n"/>
    </row>
    <row r="8" ht="14.25" customHeight="1" s="142">
      <c r="A8" s="141" t="inlineStr">
        <is>
          <t>gate2_2</t>
        </is>
      </c>
      <c r="B8" s="141">
        <f>"{map_red},{0},{map_purple},{0}"</f>
        <v/>
      </c>
      <c r="C8" s="141" t="n">
        <v>1000</v>
      </c>
      <c r="D8" s="141" t="n"/>
    </row>
    <row r="9" ht="14.25" customHeight="1" s="142">
      <c r="A9" s="141" t="inlineStr">
        <is>
          <t>gate2</t>
        </is>
      </c>
      <c r="B9" s="141">
        <f>"{0},{0},{map_purple},{map_yellow}"</f>
        <v/>
      </c>
      <c r="C9" s="141" t="n">
        <v>800</v>
      </c>
      <c r="D9" s="141" t="n"/>
    </row>
    <row r="10" ht="14.25" customHeight="1" s="142">
      <c r="A10" s="141" t="inlineStr">
        <is>
          <t>gate1_2</t>
        </is>
      </c>
      <c r="B10" s="141">
        <f>"{0},{0},{map_blue},{0}"</f>
        <v/>
      </c>
      <c r="C10" s="141" t="n"/>
      <c r="D10" s="141" t="n">
        <v>1</v>
      </c>
    </row>
    <row r="11" ht="14.25" customHeight="1" s="142">
      <c r="A11" s="141" t="inlineStr">
        <is>
          <t>gate1</t>
        </is>
      </c>
      <c r="B11" s="141">
        <f>"{0},{0},{map_red},{0}"</f>
        <v/>
      </c>
      <c r="C11" s="141" t="n"/>
      <c r="D11" s="141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2"/>
  <sheetViews>
    <sheetView topLeftCell="A15" zoomScaleNormal="100" workbookViewId="0">
      <selection activeCell="D9" sqref="D9"/>
    </sheetView>
  </sheetViews>
  <sheetFormatPr baseColWidth="8" defaultColWidth="12.5703125" defaultRowHeight="12.75"/>
  <cols>
    <col width="51.28515625" customWidth="1" style="142" min="4" max="4"/>
    <col width="60.5703125" customWidth="1" style="142" min="5" max="5"/>
  </cols>
  <sheetData>
    <row r="1" ht="14.25" customHeight="1" s="142">
      <c r="A1" s="47" t="inlineStr">
        <is>
          <t>mapid</t>
        </is>
      </c>
      <c r="B1" s="47" t="inlineStr">
        <is>
          <t>type</t>
        </is>
      </c>
      <c r="C1" s="47" t="inlineStr">
        <is>
          <t>timing</t>
        </is>
      </c>
      <c r="D1" s="7" t="inlineStr">
        <is>
          <t>info</t>
        </is>
      </c>
      <c r="E1" s="138" t="inlineStr">
        <is>
          <t>操作備註</t>
        </is>
      </c>
    </row>
    <row r="2" ht="42.75" customHeight="1" s="142">
      <c r="A2" s="47" t="n"/>
      <c r="B2" s="47" t="inlineStr">
        <is>
          <t>guide</t>
        </is>
      </c>
      <c r="C2" s="47" t="n"/>
      <c r="D2" s="7" t="inlineStr">
        <is>
          <t>{start_gift}</t>
        </is>
      </c>
      <c r="E2" s="106" t="inlineStr">
        <is>
          <t>遊戲一開始就獲得這給的道具；並且不顯示起始禮包領取的頁面
隱藏提供，直接進入劇情</t>
        </is>
      </c>
    </row>
    <row r="3" ht="57" customHeight="1" s="142">
      <c r="A3" s="47" t="n">
        <v>100</v>
      </c>
      <c r="B3" s="47" t="inlineStr">
        <is>
          <t>story</t>
        </is>
      </c>
      <c r="C3" s="47" t="inlineStr">
        <is>
          <t>before</t>
        </is>
      </c>
      <c r="D3" s="107" t="inlineStr">
        <is>
          <t>夜色籠罩整片魔王領域。
遠方的天空已經被黑紅色的雲層完全覆蓋。
終焉神殿懸浮在破碎的大地之上。</t>
        </is>
      </c>
      <c r="E3" s="108" t="inlineStr">
        <is>
      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      </is>
      </c>
    </row>
    <row r="4" ht="85.5" customHeight="1" s="142">
      <c r="A4" s="47" t="n"/>
      <c r="B4" s="47" t="inlineStr">
        <is>
          <t>guide</t>
        </is>
      </c>
      <c r="C4" s="47" t="n"/>
      <c r="D4" s="7" t="inlineStr">
        <is>
          <t>{battle}</t>
        </is>
      </c>
      <c r="E4" s="107" t="inlineStr">
        <is>
      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      </is>
      </c>
    </row>
    <row r="5" ht="128.25" customHeight="1" s="142">
      <c r="A5" s="47" t="n">
        <v>100</v>
      </c>
      <c r="B5" s="47" t="inlineStr">
        <is>
          <t>story</t>
        </is>
      </c>
      <c r="C5" s="47" t="inlineStr">
        <is>
          <t>after</t>
        </is>
      </c>
      <c r="D5" s="107" t="inlineStr">
        <is>
      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      </is>
      </c>
      <c r="E5" s="109" t="inlineStr">
        <is>
    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      </is>
      </c>
    </row>
    <row r="6" ht="180" customHeight="1" s="142">
      <c r="A6" s="47" t="n">
        <v>100</v>
      </c>
      <c r="B6" s="47" t="inlineStr">
        <is>
          <t>story</t>
        </is>
      </c>
      <c r="C6" s="47" t="inlineStr">
        <is>
          <t>after</t>
        </is>
      </c>
      <c r="D6" s="130" t="inlineStr">
        <is>
      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      </is>
      </c>
      <c r="E6" s="110" t="inlineStr">
        <is>
          <t>$換上中央地帶的背景</t>
        </is>
      </c>
    </row>
    <row r="7" ht="42.75" customHeight="1" s="142">
      <c r="A7" s="47" t="n"/>
      <c r="B7" s="47" t="inlineStr">
        <is>
          <t>guide</t>
        </is>
      </c>
      <c r="C7" s="47" t="n"/>
      <c r="D7" s="131" t="inlineStr">
        <is>
          <t>{name}</t>
        </is>
      </c>
      <c r="E7" s="107" t="inlineStr">
        <is>
          <t>玩家可以透過輸入法輸入自己的名稱(開啟網頁的輸入法；讓玩家可以打字)
$取名功能的後方依然要用全黑的遮罩(僅剩取名用的視窗)</t>
        </is>
      </c>
    </row>
    <row r="8" ht="15" customHeight="1" s="142">
      <c r="A8" s="47" t="n">
        <v>100</v>
      </c>
      <c r="B8" s="47" t="inlineStr">
        <is>
          <t>story</t>
        </is>
      </c>
      <c r="C8" s="47" t="inlineStr">
        <is>
          <t>after</t>
        </is>
      </c>
      <c r="E8" s="111" t="inlineStr">
        <is>
          <t>$接下來開始；劇情文本中出現的&lt;name&gt;都是玩家自己取的ID名字 要自己帶入</t>
        </is>
      </c>
    </row>
    <row r="9" ht="285.75" customHeight="1" s="142">
      <c r="A9" s="47" t="n"/>
      <c r="B9" s="47" t="inlineStr">
        <is>
          <t>guide</t>
        </is>
      </c>
      <c r="C9" s="47" t="n"/>
      <c r="D9" s="130" t="inlineStr">
        <is>
      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      </is>
      </c>
      <c r="E9" s="107" t="inlineStr">
        <is>
      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      </is>
      </c>
    </row>
    <row r="10" ht="228" customHeight="1" s="142">
      <c r="A10" s="47" t="n"/>
      <c r="B10" s="47" t="inlineStr">
        <is>
          <t>guide</t>
        </is>
      </c>
      <c r="C10" s="47" t="n"/>
      <c r="D10" s="107" t="inlineStr">
        <is>
      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      </is>
      </c>
      <c r="E10" s="82" t="inlineStr">
        <is>
          <t>*解鎖召喚頁面(看到一個鎖頭解開)
轉跳到召喚頁面開始對話
引導點選召喚武器
*召喚結果的彈窗如果玩家沒有點選關閉，就不繼續下一步；點了才跳入佈陣的引導</t>
        </is>
      </c>
    </row>
    <row r="11" ht="42.75" customHeight="1" s="142">
      <c r="A11" s="47" t="n"/>
      <c r="B11" s="47" t="inlineStr">
        <is>
          <t>guide</t>
        </is>
      </c>
      <c r="C11" s="47" t="n"/>
      <c r="D11" s="7" t="inlineStr">
        <is>
          <t>{arrangement}</t>
        </is>
      </c>
      <c r="E11" s="107" t="inlineStr">
        <is>
          <t>引導至佈陣畫面，讓玩家點選自動佈陣
*畫面切回主介面，點選挑戰開始進入第一關
*解鎖主線頁面(看到一個鎖頭解開)</t>
        </is>
      </c>
    </row>
    <row r="12" ht="99.75" customHeight="1" s="142">
      <c r="A12" s="47" t="n">
        <v>200</v>
      </c>
      <c r="B12" s="47" t="inlineStr">
        <is>
          <t>story</t>
        </is>
      </c>
      <c r="C12" s="47" t="inlineStr">
        <is>
          <t>before</t>
        </is>
      </c>
      <c r="D12" s="107" t="inlineStr">
        <is>
      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      </is>
      </c>
    </row>
    <row r="13" ht="142.5" customHeight="1" s="142">
      <c r="A13" s="47" t="n">
        <v>209</v>
      </c>
      <c r="B13" s="47" t="inlineStr">
        <is>
          <t>story</t>
        </is>
      </c>
      <c r="C13" s="47" t="inlineStr">
        <is>
          <t>after</t>
        </is>
      </c>
      <c r="D13" s="107" t="inlineStr">
        <is>
      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      </is>
      </c>
    </row>
    <row r="14" ht="128.25" customHeight="1" s="142">
      <c r="A14" s="47" t="n"/>
      <c r="B14" s="7" t="inlineStr">
        <is>
          <t>story</t>
        </is>
      </c>
      <c r="C14" s="7" t="inlineStr">
        <is>
          <t>after</t>
        </is>
      </c>
      <c r="D14" s="107" t="inlineStr">
        <is>
      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      </is>
      </c>
    </row>
    <row r="15" ht="142.5" customHeight="1" s="142">
      <c r="B15" s="7" t="inlineStr">
        <is>
          <t>story</t>
        </is>
      </c>
      <c r="C15" s="7" t="inlineStr">
        <is>
          <t>before</t>
        </is>
      </c>
      <c r="D15" s="107" t="inlineStr">
        <is>
      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      </is>
      </c>
    </row>
    <row r="16" ht="128.25" customHeight="1" s="142">
      <c r="A16" s="47" t="n"/>
      <c r="B16" s="7" t="inlineStr">
        <is>
          <t>story</t>
        </is>
      </c>
      <c r="C16" s="7" t="inlineStr">
        <is>
          <t>after</t>
        </is>
      </c>
      <c r="D16" s="107" t="inlineStr">
        <is>
      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      </is>
      </c>
    </row>
    <row r="17" ht="114" customHeight="1" s="142">
      <c r="A17" s="47" t="n"/>
      <c r="B17" s="7" t="inlineStr">
        <is>
          <t>story</t>
        </is>
      </c>
      <c r="C17" s="7" t="inlineStr">
        <is>
          <t>after</t>
        </is>
      </c>
      <c r="D17" s="107" t="inlineStr">
        <is>
      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      </is>
      </c>
    </row>
    <row r="18" ht="85.5" customHeight="1" s="142">
      <c r="A18" s="83" t="inlineStr">
        <is>
          <t>第二章</t>
        </is>
      </c>
      <c r="B18" s="7" t="inlineStr">
        <is>
          <t>story</t>
        </is>
      </c>
      <c r="C18" s="7" t="inlineStr">
        <is>
          <t>after</t>
        </is>
      </c>
      <c r="D18" s="107" t="inlineStr">
        <is>
          <t>『古老石門與風雨平原的徽記完全吻合。』
 露娜：這裡至少封了幾百年。
 &lt;name&gt;：我卻覺得自己見過。
 露娜：你確定？
 &lt;name&gt;：不。
 &lt;name&gt;：只是很像一場做過很多次的夢。</t>
        </is>
      </c>
    </row>
    <row r="19" ht="128.25" customHeight="1" s="142">
      <c r="A19" s="47" t="n"/>
      <c r="B19" s="7" t="inlineStr">
        <is>
          <t>story</t>
        </is>
      </c>
      <c r="C19" s="7" t="inlineStr">
        <is>
          <t>after</t>
        </is>
      </c>
      <c r="D19" s="107" t="inlineStr">
        <is>
      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      </is>
      </c>
    </row>
    <row r="20" ht="114" customHeight="1" s="142">
      <c r="A20" s="47" t="n"/>
      <c r="B20" s="7" t="inlineStr">
        <is>
          <t>story</t>
        </is>
      </c>
      <c r="C20" s="7" t="inlineStr">
        <is>
          <t>after</t>
        </is>
      </c>
      <c r="D20" s="107" t="inlineStr">
        <is>
      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      </is>
      </c>
    </row>
    <row r="21" ht="128.25" customHeight="1" s="142">
      <c r="A21" s="47" t="n"/>
      <c r="B21" s="7" t="inlineStr">
        <is>
          <t>story</t>
        </is>
      </c>
      <c r="C21" s="7" t="inlineStr">
        <is>
          <t>before</t>
        </is>
      </c>
      <c r="D21" s="107" t="inlineStr">
        <is>
      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      </is>
      </c>
    </row>
    <row r="22" ht="85.5" customHeight="1" s="142">
      <c r="A22" s="47" t="n"/>
      <c r="B22" s="7" t="inlineStr">
        <is>
          <t>story</t>
        </is>
      </c>
      <c r="C22" s="7" t="inlineStr">
        <is>
          <t>after</t>
        </is>
      </c>
      <c r="D22" s="107" t="inlineStr">
        <is>
      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      </is>
      </c>
    </row>
    <row r="23" ht="85.5" customHeight="1" s="142">
      <c r="A23" s="47" t="n"/>
      <c r="B23" s="7" t="inlineStr">
        <is>
          <t>story</t>
        </is>
      </c>
      <c r="C23" s="7" t="inlineStr">
        <is>
          <t>after</t>
        </is>
      </c>
      <c r="D23" s="107" t="inlineStr">
        <is>
          <t>露娜：你現在知道自己從哪裡來了。
 &lt;name&gt;：知道一點。
 露娜：還是不知道為什麼要打魔王。
 &lt;name&gt;：對。
 露娜：那就繼續找。
 &lt;name&gt;：嗯。</t>
        </is>
      </c>
    </row>
    <row r="24" ht="99.75" customHeight="1" s="142">
      <c r="A24" s="83" t="inlineStr">
        <is>
          <t>第三章</t>
        </is>
      </c>
      <c r="B24" s="7" t="inlineStr">
        <is>
          <t>story</t>
        </is>
      </c>
      <c r="C24" s="7" t="inlineStr">
        <is>
          <t>before</t>
        </is>
      </c>
      <c r="D24" s="107" t="inlineStr">
        <is>
          <t>艾德蒙：把徽章給我看看。
 &lt;name&gt;：它屬於誰？
 艾德蒙：屬於過去的勇者。
 &lt;name&gt;：也就是我？
 艾德蒙：很可能。
 露娜：那就查清楚。
 艾德蒙：研究院會把資料給你們。</t>
        </is>
      </c>
    </row>
    <row r="25" ht="114" customHeight="1" s="142">
      <c r="A25" s="47" t="n"/>
      <c r="B25" s="7" t="inlineStr">
        <is>
          <t>story</t>
        </is>
      </c>
      <c r="C25" s="7" t="inlineStr">
        <is>
          <t>after</t>
        </is>
      </c>
      <c r="D25" s="107" t="inlineStr">
        <is>
      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      </is>
      </c>
    </row>
    <row r="26" ht="114" customHeight="1" s="142">
      <c r="A26" s="47" t="n"/>
      <c r="B26" s="7" t="inlineStr">
        <is>
          <t>story</t>
        </is>
      </c>
      <c r="C26" s="7" t="inlineStr">
        <is>
          <t>after</t>
        </is>
      </c>
      <c r="D26" s="107" t="inlineStr">
        <is>
      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      </is>
      </c>
    </row>
    <row r="27" ht="114" customHeight="1" s="142">
      <c r="A27" s="47" t="n"/>
      <c r="B27" s="7" t="inlineStr">
        <is>
          <t>story</t>
        </is>
      </c>
      <c r="C27" s="7" t="inlineStr">
        <is>
          <t>after</t>
        </is>
      </c>
      <c r="D27" s="107" t="inlineStr">
        <is>
      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      </is>
      </c>
    </row>
    <row r="28" ht="114" customHeight="1" s="142">
      <c r="A28" s="47" t="n"/>
      <c r="B28" s="7" t="inlineStr">
        <is>
          <t>story</t>
        </is>
      </c>
      <c r="C28" s="7" t="inlineStr">
        <is>
          <t>after</t>
        </is>
      </c>
      <c r="D28" s="107" t="inlineStr">
        <is>
      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      </is>
      </c>
    </row>
    <row r="29" ht="57" customHeight="1" s="142">
      <c r="A29" s="47" t="n"/>
      <c r="B29" s="7" t="inlineStr">
        <is>
          <t>story</t>
        </is>
      </c>
      <c r="C29" s="7" t="inlineStr">
        <is>
          <t>after</t>
        </is>
      </c>
      <c r="D29" s="107" t="inlineStr">
        <is>
          <t>艾德蒙：卷宗提到中央自由地帶。
 &lt;name&gt;：去那裡做什麼？
 艾德蒙：找一份你親手接過的委託。
 &lt;name&gt;：也許那就是我開始真正冒險的地方。</t>
        </is>
      </c>
    </row>
    <row r="30" ht="85.5" customHeight="1" s="142">
      <c r="A30" s="83" t="inlineStr">
        <is>
          <t>第四章</t>
        </is>
      </c>
      <c r="B30" s="7" t="inlineStr">
        <is>
          <t>story</t>
        </is>
      </c>
      <c r="C30" s="7" t="inlineStr">
        <is>
          <t>after</t>
        </is>
      </c>
      <c r="D30" s="107" t="inlineStr">
        <is>
          <t>『新的區域映入眼前。』
 露娜：這裡就是中央自由地帶。
 &lt;name&gt;：我有種說不出的熟悉感。
 露娜：有記憶嗎？
 &lt;name&gt;：還不到可以稱為記憶。
 露娜：那就先記住現在看到的。</t>
        </is>
      </c>
    </row>
    <row r="31" ht="156.75" customHeight="1" s="142">
      <c r="A31" s="47" t="n"/>
      <c r="B31" s="7" t="inlineStr">
        <is>
          <t>story</t>
        </is>
      </c>
      <c r="C31" s="7" t="inlineStr">
        <is>
          <t>after</t>
        </is>
      </c>
      <c r="D31" s="107" t="inlineStr">
        <is>
      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      </is>
      </c>
    </row>
    <row r="32" ht="156.75" customHeight="1" s="142">
      <c r="A32" s="47" t="n"/>
      <c r="B32" s="7" t="inlineStr">
        <is>
          <t>story</t>
        </is>
      </c>
      <c r="C32" s="7" t="inlineStr">
        <is>
          <t>after</t>
        </is>
      </c>
      <c r="D32" s="107" t="inlineStr">
        <is>
      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      </is>
      </c>
    </row>
    <row r="33" ht="156.75" customHeight="1" s="142">
      <c r="A33" s="47" t="n"/>
      <c r="B33" s="7" t="inlineStr">
        <is>
          <t>story</t>
        </is>
      </c>
      <c r="C33" s="7" t="inlineStr">
        <is>
          <t>after</t>
        </is>
      </c>
      <c r="D33" s="107" t="inlineStr">
        <is>
      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      </is>
      </c>
    </row>
    <row r="34" ht="114" customHeight="1" s="142">
      <c r="A34" s="47" t="n"/>
      <c r="B34" s="7" t="inlineStr">
        <is>
          <t>story</t>
        </is>
      </c>
      <c r="C34" s="7" t="inlineStr">
        <is>
          <t>after</t>
        </is>
      </c>
      <c r="D34" s="107" t="inlineStr">
        <is>
      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      </is>
      </c>
    </row>
    <row r="35" ht="99.75" customHeight="1" s="142">
      <c r="A35" s="47" t="n"/>
      <c r="B35" s="7" t="inlineStr">
        <is>
          <t>story</t>
        </is>
      </c>
      <c r="C35" s="7" t="inlineStr">
        <is>
          <t>after</t>
        </is>
      </c>
      <c r="D35" s="107" t="inlineStr">
        <is>
          <t>露娜：又想起什麼了嗎？
 &lt;name&gt;：一些零散畫面。
 露娜：足夠讓你繼續了嗎？
 &lt;name&gt;：足夠。
 露娜：那就走吧。
 &lt;name&gt;：嗯。
 『下一段道路在前方展開。』</t>
        </is>
      </c>
    </row>
    <row r="36" ht="85.5" customHeight="1" s="142">
      <c r="A36" s="83" t="inlineStr">
        <is>
          <t>第五章</t>
        </is>
      </c>
      <c r="B36" s="7" t="inlineStr">
        <is>
          <t>story</t>
        </is>
      </c>
      <c r="C36" s="7" t="inlineStr">
        <is>
          <t>before</t>
        </is>
      </c>
      <c r="D36" s="107" t="inlineStr">
        <is>
          <t>『新的區域映入眼前。』
 露娜：這裡就是翠影森林。
 &lt;name&gt;：我有種說不出的熟悉感。
 露娜：有記憶嗎？
 &lt;name&gt;：還不到可以稱為記憶。
 露娜：那就先記住現在看到的。</t>
        </is>
      </c>
    </row>
    <row r="37" ht="156.75" customHeight="1" s="142">
      <c r="A37" s="47" t="n"/>
      <c r="B37" s="7" t="inlineStr">
        <is>
          <t>story</t>
        </is>
      </c>
      <c r="C37" s="7" t="inlineStr">
        <is>
          <t>after</t>
        </is>
      </c>
      <c r="D37" s="107" t="inlineStr">
        <is>
      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      </is>
      </c>
    </row>
    <row r="38" ht="156.75" customHeight="1" s="142">
      <c r="A38" s="47" t="n"/>
      <c r="B38" s="7" t="inlineStr">
        <is>
          <t>story</t>
        </is>
      </c>
      <c r="C38" s="7" t="inlineStr">
        <is>
          <t>after</t>
        </is>
      </c>
      <c r="D38" s="107" t="inlineStr">
        <is>
      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      </is>
      </c>
    </row>
    <row r="39" ht="156.75" customHeight="1" s="142">
      <c r="A39" s="47" t="n"/>
      <c r="B39" s="7" t="inlineStr">
        <is>
          <t>story</t>
        </is>
      </c>
      <c r="C39" s="7" t="inlineStr">
        <is>
          <t>after</t>
        </is>
      </c>
      <c r="D39" s="107" t="inlineStr">
        <is>
      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      </is>
      </c>
    </row>
    <row r="40" ht="128.25" customHeight="1" s="142">
      <c r="A40" s="47" t="n"/>
      <c r="B40" s="7" t="inlineStr">
        <is>
          <t>story</t>
        </is>
      </c>
      <c r="C40" s="7" t="inlineStr">
        <is>
          <t>after</t>
        </is>
      </c>
      <c r="D40" s="107" t="inlineStr">
        <is>
      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      </is>
      </c>
    </row>
    <row r="41" ht="99.75" customHeight="1" s="142">
      <c r="A41" s="47" t="n"/>
      <c r="B41" s="7" t="inlineStr">
        <is>
          <t>story</t>
        </is>
      </c>
      <c r="C41" s="7" t="inlineStr">
        <is>
          <t>after</t>
        </is>
      </c>
      <c r="D41" s="107" t="inlineStr">
        <is>
          <t>露娜：又想起什麼了嗎？
 &lt;name&gt;：一段影片。
 露娜：足夠讓你繼續了嗎？
 &lt;name&gt;：足夠。
 露娜：那就走吧。
 &lt;name&gt;：嗯。
 『下一段道路在前方展開。』</t>
        </is>
      </c>
    </row>
    <row r="42" ht="85.5" customHeight="1" s="142">
      <c r="A42" s="83" t="inlineStr">
        <is>
          <t>第六章</t>
        </is>
      </c>
      <c r="B42" s="7" t="inlineStr">
        <is>
          <t>story</t>
        </is>
      </c>
      <c r="C42" s="7" t="inlineStr">
        <is>
          <t>after</t>
        </is>
      </c>
      <c r="D42" s="107" t="inlineStr">
        <is>
          <t>『新的區域映入眼前。』
 露娜：這裡就是賢者之都。
 &lt;name&gt;：我有種說不出的熟悉感。
 露娜：有記憶嗎？
 &lt;name&gt;：還不到可以稱為記憶。
 露娜：那就先記住現在看到的。</t>
        </is>
      </c>
    </row>
    <row r="43" ht="156.75" customHeight="1" s="142">
      <c r="A43" s="47" t="n"/>
      <c r="B43" s="7" t="inlineStr">
        <is>
          <t>story</t>
        </is>
      </c>
      <c r="C43" s="7" t="inlineStr">
        <is>
          <t>after</t>
        </is>
      </c>
      <c r="D43" s="107" t="inlineStr">
        <is>
      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      </is>
      </c>
    </row>
    <row r="44" ht="156.75" customHeight="1" s="142">
      <c r="A44" s="47" t="n"/>
      <c r="B44" s="7" t="inlineStr">
        <is>
          <t>story</t>
        </is>
      </c>
      <c r="C44" s="7" t="inlineStr">
        <is>
          <t>after</t>
        </is>
      </c>
      <c r="D44" s="107" t="inlineStr">
        <is>
      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      </is>
      </c>
    </row>
    <row r="45" ht="156.75" customHeight="1" s="142">
      <c r="A45" s="47" t="n"/>
      <c r="B45" s="7" t="inlineStr">
        <is>
          <t>story</t>
        </is>
      </c>
      <c r="C45" s="7" t="inlineStr">
        <is>
          <t>after</t>
        </is>
      </c>
      <c r="D45" s="107" t="inlineStr">
        <is>
      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      </is>
      </c>
    </row>
    <row r="46" ht="128.25" customHeight="1" s="142">
      <c r="A46" s="47" t="n"/>
      <c r="B46" s="7" t="inlineStr">
        <is>
          <t>story</t>
        </is>
      </c>
      <c r="C46" s="7" t="inlineStr">
        <is>
          <t>after</t>
        </is>
      </c>
      <c r="D46" s="107" t="inlineStr">
        <is>
      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      </is>
      </c>
    </row>
    <row r="47" ht="99.75" customHeight="1" s="142">
      <c r="A47" s="47" t="n"/>
      <c r="B47" s="7" t="inlineStr">
        <is>
          <t>story</t>
        </is>
      </c>
      <c r="C47" s="7" t="inlineStr">
        <is>
          <t>after</t>
        </is>
      </c>
      <c r="D47" s="107" t="inlineStr">
        <is>
          <t>露娜：又想起什麼了嗎？
 &lt;name&gt;：一些零散畫面。
 露娜：足夠讓你繼續了嗎？
 &lt;name&gt;：足夠。
 露娜：那就走吧。
 &lt;name&gt;：嗯。
 『下一段道路在前方展開。』</t>
        </is>
      </c>
    </row>
    <row r="48" ht="76.5" customHeight="1" s="142">
      <c r="A48" s="80" t="inlineStr">
        <is>
          <t>第七章</t>
        </is>
      </c>
      <c r="B48" t="inlineStr">
        <is>
          <t>story</t>
        </is>
      </c>
      <c r="C48" t="inlineStr">
        <is>
          <t>before</t>
        </is>
      </c>
      <c r="D48" s="112" t="inlineStr">
        <is>
          <t>『新的區域映入眼前。』
露娜：這裡就是魔導塔群。
&lt;name&gt;：我有種說不出的熟悉感。
露娜：有記憶嗎？
&lt;name&gt;：還不到可以稱為記憶。
露娜：那就先記住現在看到的。</t>
        </is>
      </c>
    </row>
    <row r="49" ht="140.25" customHeight="1" s="142">
      <c r="B49" t="inlineStr">
        <is>
          <t>story</t>
        </is>
      </c>
      <c r="C49" t="inlineStr">
        <is>
          <t>after</t>
        </is>
      </c>
      <c r="D49" s="112" t="inlineStr">
        <is>
      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      </is>
      </c>
    </row>
    <row r="50" ht="140.25" customHeight="1" s="142">
      <c r="B50" t="inlineStr">
        <is>
          <t>story</t>
        </is>
      </c>
      <c r="C50" t="inlineStr">
        <is>
          <t>after</t>
        </is>
      </c>
      <c r="D50" s="112" t="inlineStr">
        <is>
      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      </is>
      </c>
    </row>
    <row r="51" ht="140.25" customHeight="1" s="142">
      <c r="B51" t="inlineStr">
        <is>
          <t>story</t>
        </is>
      </c>
      <c r="C51" t="inlineStr">
        <is>
          <t>after</t>
        </is>
      </c>
      <c r="D51" s="112" t="inlineStr">
        <is>
      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      </is>
      </c>
    </row>
    <row r="52" ht="114.75" customHeight="1" s="142">
      <c r="B52" t="inlineStr">
        <is>
          <t>story</t>
        </is>
      </c>
      <c r="C52" t="inlineStr">
        <is>
          <t>after</t>
        </is>
      </c>
      <c r="D52" s="112" t="inlineStr">
        <is>
      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      </is>
      </c>
    </row>
    <row r="53" ht="89.25" customHeight="1" s="142">
      <c r="B53" t="inlineStr">
        <is>
          <t>story</t>
        </is>
      </c>
      <c r="C53" t="inlineStr">
        <is>
          <t>after</t>
        </is>
      </c>
      <c r="D53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54" ht="76.5" customHeight="1" s="142">
      <c r="A54" s="80" t="inlineStr">
        <is>
          <t>第八章</t>
        </is>
      </c>
      <c r="B54" t="inlineStr">
        <is>
          <t>story</t>
        </is>
      </c>
      <c r="C54" t="inlineStr">
        <is>
          <t>before</t>
        </is>
      </c>
      <c r="D54" s="112" t="inlineStr">
        <is>
          <t>『新的區域映入眼前。』
露娜：這裡就是光輝平原。
&lt;name&gt;：我有種說不出的熟悉感。
露娜：有記憶嗎？
&lt;name&gt;：還不到可以稱為記憶。
露娜：那就先記住現在看到的。</t>
        </is>
      </c>
    </row>
    <row r="55" ht="140.25" customHeight="1" s="142">
      <c r="B55" t="inlineStr">
        <is>
          <t>story</t>
        </is>
      </c>
      <c r="C55" t="inlineStr">
        <is>
          <t>after</t>
        </is>
      </c>
      <c r="D55" s="112" t="inlineStr">
        <is>
      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      </is>
      </c>
    </row>
    <row r="56" ht="140.25" customHeight="1" s="142">
      <c r="B56" t="inlineStr">
        <is>
          <t>story</t>
        </is>
      </c>
      <c r="C56" t="inlineStr">
        <is>
          <t>after</t>
        </is>
      </c>
      <c r="D56" s="112" t="inlineStr">
        <is>
      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      </is>
      </c>
    </row>
    <row r="57" ht="140.25" customHeight="1" s="142">
      <c r="B57" t="inlineStr">
        <is>
          <t>story</t>
        </is>
      </c>
      <c r="C57" t="inlineStr">
        <is>
          <t>after</t>
        </is>
      </c>
      <c r="D57" s="112" t="inlineStr">
        <is>
      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      </is>
      </c>
    </row>
    <row r="58" ht="114.75" customHeight="1" s="142">
      <c r="B58" t="inlineStr">
        <is>
          <t>story</t>
        </is>
      </c>
      <c r="C58" t="inlineStr">
        <is>
          <t>after</t>
        </is>
      </c>
      <c r="D58" s="112" t="inlineStr">
        <is>
      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      </is>
      </c>
    </row>
    <row r="59" ht="89.25" customHeight="1" s="142">
      <c r="B59" t="inlineStr">
        <is>
          <t>story</t>
        </is>
      </c>
      <c r="C59" t="inlineStr">
        <is>
          <t>after</t>
        </is>
      </c>
      <c r="D59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60" ht="76.5" customHeight="1" s="142">
      <c r="A60" s="80" t="inlineStr">
        <is>
          <t>第九章</t>
        </is>
      </c>
      <c r="B60" t="inlineStr">
        <is>
          <t>story</t>
        </is>
      </c>
      <c r="C60" t="inlineStr">
        <is>
          <t>before</t>
        </is>
      </c>
      <c r="D60" s="112" t="inlineStr">
        <is>
          <t>『新的區域映入眼前。』
露娜：這裡就是聖者之塔。
&lt;name&gt;：我有種說不出的熟悉感。
露娜：有記憶嗎？
&lt;name&gt;：還不到可以稱為記憶。
露娜：那就先記住現在看到的。</t>
        </is>
      </c>
    </row>
    <row r="61" ht="140.25" customHeight="1" s="142">
      <c r="B61" t="inlineStr">
        <is>
          <t>story</t>
        </is>
      </c>
      <c r="C61" t="inlineStr">
        <is>
          <t>after</t>
        </is>
      </c>
      <c r="D61" s="112" t="inlineStr">
        <is>
      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      </is>
      </c>
    </row>
    <row r="62" ht="140.25" customHeight="1" s="142">
      <c r="B62" t="inlineStr">
        <is>
          <t>story</t>
        </is>
      </c>
      <c r="C62" t="inlineStr">
        <is>
          <t>after</t>
        </is>
      </c>
      <c r="D62" s="112" t="inlineStr">
        <is>
      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      </is>
      </c>
    </row>
    <row r="63" ht="140.25" customHeight="1" s="142">
      <c r="B63" t="inlineStr">
        <is>
          <t>story</t>
        </is>
      </c>
      <c r="C63" t="inlineStr">
        <is>
          <t>after</t>
        </is>
      </c>
      <c r="D63" s="112" t="inlineStr">
        <is>
      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      </is>
      </c>
    </row>
    <row r="64" ht="114.75" customHeight="1" s="142">
      <c r="B64" t="inlineStr">
        <is>
          <t>story</t>
        </is>
      </c>
      <c r="C64" t="inlineStr">
        <is>
          <t>after</t>
        </is>
      </c>
      <c r="D64" s="112" t="inlineStr">
        <is>
      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      </is>
      </c>
    </row>
    <row r="65" ht="89.25" customHeight="1" s="142">
      <c r="B65" t="inlineStr">
        <is>
          <t>story</t>
        </is>
      </c>
      <c r="C65" t="inlineStr">
        <is>
          <t>after</t>
        </is>
      </c>
      <c r="D65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66" ht="76.5" customHeight="1" s="142">
      <c r="A66" s="80" t="inlineStr">
        <is>
          <t>第十章</t>
        </is>
      </c>
      <c r="B66" t="inlineStr">
        <is>
          <t>story</t>
        </is>
      </c>
      <c r="C66" t="inlineStr">
        <is>
          <t>before</t>
        </is>
      </c>
      <c r="D66" s="112" t="inlineStr">
        <is>
          <t>『新的區域映入眼前。』
露娜：這裡就是聖槍神殿。
&lt;name&gt;：我有種說不出的熟悉感。
露娜：有記憶嗎？
&lt;name&gt;：還不到可以稱為記憶。
露娜：那就先記住現在看到的。</t>
        </is>
      </c>
    </row>
    <row r="67" ht="140.25" customHeight="1" s="142">
      <c r="B67" t="inlineStr">
        <is>
          <t>story</t>
        </is>
      </c>
      <c r="C67" t="inlineStr">
        <is>
          <t>after</t>
        </is>
      </c>
      <c r="D67" s="112" t="inlineStr">
        <is>
      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      </is>
      </c>
    </row>
    <row r="68" ht="140.25" customHeight="1" s="142">
      <c r="B68" t="inlineStr">
        <is>
          <t>story</t>
        </is>
      </c>
      <c r="C68" t="inlineStr">
        <is>
          <t>after</t>
        </is>
      </c>
      <c r="D68" s="112" t="inlineStr">
        <is>
      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      </is>
      </c>
    </row>
    <row r="69" ht="140.25" customHeight="1" s="142">
      <c r="B69" t="inlineStr">
        <is>
          <t>story</t>
        </is>
      </c>
      <c r="C69" t="inlineStr">
        <is>
          <t>after</t>
        </is>
      </c>
      <c r="D69" s="112" t="inlineStr">
        <is>
      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      </is>
      </c>
    </row>
    <row r="70" ht="114.75" customHeight="1" s="142">
      <c r="B70" t="inlineStr">
        <is>
          <t>story</t>
        </is>
      </c>
      <c r="C70" t="inlineStr">
        <is>
          <t>after</t>
        </is>
      </c>
      <c r="D70" s="112" t="inlineStr">
        <is>
      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      </is>
      </c>
    </row>
    <row r="71" ht="89.25" customHeight="1" s="142">
      <c r="B71" t="inlineStr">
        <is>
          <t>story</t>
        </is>
      </c>
      <c r="C71" t="inlineStr">
        <is>
          <t>after</t>
        </is>
      </c>
      <c r="D71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72" ht="76.5" customHeight="1" s="142">
      <c r="A72" s="80" t="inlineStr">
        <is>
          <t>第十一章</t>
        </is>
      </c>
      <c r="B72" t="inlineStr">
        <is>
          <t>story</t>
        </is>
      </c>
      <c r="C72" t="inlineStr">
        <is>
          <t>before</t>
        </is>
      </c>
      <c r="D72" s="112" t="inlineStr">
        <is>
          <t>『新的區域映入眼前。』
露娜：這裡就是皇都・天照城。
&lt;name&gt;：我有種說不出的熟悉感。
露娜：有記憶嗎？
&lt;name&gt;：還不到可以稱為記憶。
露娜：那就先記住現在看到的。</t>
        </is>
      </c>
    </row>
    <row r="73" ht="140.25" customHeight="1" s="142">
      <c r="B73" t="inlineStr">
        <is>
          <t>story</t>
        </is>
      </c>
      <c r="C73" t="inlineStr">
        <is>
          <t>after</t>
        </is>
      </c>
      <c r="D73" s="112" t="inlineStr">
        <is>
      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      </is>
      </c>
    </row>
    <row r="74" ht="140.25" customHeight="1" s="142">
      <c r="B74" t="inlineStr">
        <is>
          <t>story</t>
        </is>
      </c>
      <c r="C74" t="inlineStr">
        <is>
          <t>after</t>
        </is>
      </c>
      <c r="D74" s="112" t="inlineStr">
        <is>
      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      </is>
      </c>
    </row>
    <row r="75" ht="140.25" customHeight="1" s="142">
      <c r="B75" t="inlineStr">
        <is>
          <t>story</t>
        </is>
      </c>
      <c r="C75" t="inlineStr">
        <is>
          <t>after</t>
        </is>
      </c>
      <c r="D75" s="112" t="inlineStr">
        <is>
      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      </is>
      </c>
    </row>
    <row r="76" ht="140.25" customHeight="1" s="142">
      <c r="B76" t="inlineStr">
        <is>
          <t>story</t>
        </is>
      </c>
      <c r="C76" t="inlineStr">
        <is>
          <t>after</t>
        </is>
      </c>
      <c r="D76" s="112" t="inlineStr">
        <is>
      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      </is>
      </c>
    </row>
    <row r="77" ht="114.75" customHeight="1" s="142">
      <c r="B77" t="inlineStr">
        <is>
          <t>story</t>
        </is>
      </c>
      <c r="C77" t="inlineStr">
        <is>
          <t>after</t>
        </is>
      </c>
      <c r="D77" s="112" t="inlineStr">
        <is>
      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      </is>
      </c>
    </row>
    <row r="78" ht="89.25" customHeight="1" s="142">
      <c r="B78" t="inlineStr">
        <is>
          <t>story</t>
        </is>
      </c>
      <c r="C78" t="inlineStr">
        <is>
          <t>after</t>
        </is>
      </c>
      <c r="D78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79" ht="76.5" customHeight="1" s="142">
      <c r="A79" s="80" t="inlineStr">
        <is>
          <t>第十二章</t>
        </is>
      </c>
      <c r="B79" t="inlineStr">
        <is>
          <t>story</t>
        </is>
      </c>
      <c r="C79" t="inlineStr">
        <is>
          <t>before</t>
        </is>
      </c>
      <c r="D79" s="112" t="inlineStr">
        <is>
          <t>『新的區域映入眼前。』
露娜：這裡就是火神山。
&lt;name&gt;：我有種說不出的熟悉感。
露娜：有記憶嗎？
&lt;name&gt;：還不到可以稱為記憶。
露娜：那就先記住現在看到的。</t>
        </is>
      </c>
    </row>
    <row r="80" ht="140.25" customHeight="1" s="142">
      <c r="B80" t="inlineStr">
        <is>
          <t>story</t>
        </is>
      </c>
      <c r="C80" t="inlineStr">
        <is>
          <t>after</t>
        </is>
      </c>
      <c r="D80" s="112" t="inlineStr">
        <is>
      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      </is>
      </c>
    </row>
    <row r="81" ht="140.25" customHeight="1" s="142">
      <c r="B81" t="inlineStr">
        <is>
          <t>story</t>
        </is>
      </c>
      <c r="C81" t="inlineStr">
        <is>
          <t>after</t>
        </is>
      </c>
      <c r="D81" s="112" t="inlineStr">
        <is>
      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      </is>
      </c>
    </row>
    <row r="82" ht="140.25" customHeight="1" s="142">
      <c r="B82" t="inlineStr">
        <is>
          <t>story</t>
        </is>
      </c>
      <c r="C82" t="inlineStr">
        <is>
          <t>after</t>
        </is>
      </c>
      <c r="D82" s="112" t="inlineStr">
        <is>
      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      </is>
      </c>
    </row>
    <row r="83" ht="140.25" customHeight="1" s="142">
      <c r="B83" t="inlineStr">
        <is>
          <t>story</t>
        </is>
      </c>
      <c r="C83" t="inlineStr">
        <is>
          <t>after</t>
        </is>
      </c>
      <c r="D83" s="112" t="inlineStr">
        <is>
      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      </is>
      </c>
    </row>
    <row r="84" ht="114.75" customHeight="1" s="142">
      <c r="B84" t="inlineStr">
        <is>
          <t>story</t>
        </is>
      </c>
      <c r="C84" t="inlineStr">
        <is>
          <t>after</t>
        </is>
      </c>
      <c r="D84" s="112" t="inlineStr">
        <is>
      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      </is>
      </c>
    </row>
    <row r="85" ht="89.25" customHeight="1" s="142">
      <c r="B85" t="inlineStr">
        <is>
          <t>story</t>
        </is>
      </c>
      <c r="C85" t="inlineStr">
        <is>
          <t>after</t>
        </is>
      </c>
      <c r="D85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86" ht="76.5" customHeight="1" s="142">
      <c r="A86" s="80" t="inlineStr">
        <is>
          <t>第十三章</t>
        </is>
      </c>
      <c r="B86" t="inlineStr">
        <is>
          <t>story</t>
        </is>
      </c>
      <c r="C86" t="inlineStr">
        <is>
          <t>before</t>
        </is>
      </c>
      <c r="D86" s="112" t="inlineStr">
        <is>
          <t>『新的區域映入眼前。』
露娜：這裡就是凜冬要塞。
&lt;name&gt;：我有種說不出的熟悉感。
露娜：有記憶嗎？
&lt;name&gt;：還不到可以稱為記憶。
露娜：那就先記住現在看到的。</t>
        </is>
      </c>
    </row>
    <row r="87" ht="140.25" customHeight="1" s="142">
      <c r="B87" t="inlineStr">
        <is>
          <t>story</t>
        </is>
      </c>
      <c r="C87" t="inlineStr">
        <is>
          <t>after</t>
        </is>
      </c>
      <c r="D87" s="112" t="inlineStr">
        <is>
      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      </is>
      </c>
    </row>
    <row r="88" ht="140.25" customHeight="1" s="142">
      <c r="B88" t="inlineStr">
        <is>
          <t>story</t>
        </is>
      </c>
      <c r="C88" t="inlineStr">
        <is>
          <t>after</t>
        </is>
      </c>
      <c r="D88" s="112" t="inlineStr">
        <is>
      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      </is>
      </c>
    </row>
    <row r="89" ht="140.25" customHeight="1" s="142">
      <c r="B89" t="inlineStr">
        <is>
          <t>story</t>
        </is>
      </c>
      <c r="C89" t="inlineStr">
        <is>
          <t>after</t>
        </is>
      </c>
      <c r="D89" s="112" t="inlineStr">
        <is>
      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      </is>
      </c>
    </row>
    <row r="90" ht="140.25" customHeight="1" s="142">
      <c r="B90" t="inlineStr">
        <is>
          <t>story</t>
        </is>
      </c>
      <c r="C90" t="inlineStr">
        <is>
          <t>after</t>
        </is>
      </c>
      <c r="D90" s="112" t="inlineStr">
        <is>
      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      </is>
      </c>
    </row>
    <row r="91" ht="114.75" customHeight="1" s="142">
      <c r="B91" t="inlineStr">
        <is>
          <t>story</t>
        </is>
      </c>
      <c r="C91" t="inlineStr">
        <is>
          <t>after</t>
        </is>
      </c>
      <c r="D91" s="112" t="inlineStr">
        <is>
      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      </is>
      </c>
    </row>
    <row r="92" ht="89.25" customHeight="1" s="142">
      <c r="B92" t="inlineStr">
        <is>
          <t>story</t>
        </is>
      </c>
      <c r="C92" t="inlineStr">
        <is>
          <t>after</t>
        </is>
      </c>
      <c r="D92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93" ht="76.5" customHeight="1" s="142">
      <c r="A93" s="80" t="inlineStr">
        <is>
          <t>第十四章</t>
        </is>
      </c>
      <c r="B93" t="inlineStr">
        <is>
          <t>story</t>
        </is>
      </c>
      <c r="C93" t="inlineStr">
        <is>
          <t>before</t>
        </is>
      </c>
      <c r="D93" s="112" t="inlineStr">
        <is>
          <t>『新的區域映入眼前。』
露娜：這裡就是黑王城。
&lt;name&gt;：我有種說不出的熟悉感。
露娜：有記憶嗎？
&lt;name&gt;：還不到可以稱為記憶。
露娜：那就先記住現在看到的。</t>
        </is>
      </c>
    </row>
    <row r="94" ht="140.25" customHeight="1" s="142">
      <c r="B94" t="inlineStr">
        <is>
          <t>story</t>
        </is>
      </c>
      <c r="C94" t="inlineStr">
        <is>
          <t>after</t>
        </is>
      </c>
      <c r="D94" s="112" t="inlineStr">
        <is>
      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      </is>
      </c>
    </row>
    <row r="95" ht="140.25" customHeight="1" s="142">
      <c r="B95" t="inlineStr">
        <is>
          <t>story</t>
        </is>
      </c>
      <c r="C95" t="inlineStr">
        <is>
          <t>after</t>
        </is>
      </c>
      <c r="D95" s="112" t="inlineStr">
        <is>
      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      </is>
      </c>
    </row>
    <row r="96" ht="140.25" customHeight="1" s="142">
      <c r="B96" t="inlineStr">
        <is>
          <t>story</t>
        </is>
      </c>
      <c r="C96" t="inlineStr">
        <is>
          <t>after</t>
        </is>
      </c>
      <c r="D96" s="112" t="inlineStr">
        <is>
      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      </is>
      </c>
    </row>
    <row r="97" ht="140.25" customHeight="1" s="142">
      <c r="B97" t="inlineStr">
        <is>
          <t>story</t>
        </is>
      </c>
      <c r="C97" t="inlineStr">
        <is>
          <t>after</t>
        </is>
      </c>
      <c r="D97" s="112" t="inlineStr">
        <is>
      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      </is>
      </c>
    </row>
    <row r="98" ht="114.75" customHeight="1" s="142">
      <c r="B98" t="inlineStr">
        <is>
          <t>story</t>
        </is>
      </c>
      <c r="C98" t="inlineStr">
        <is>
          <t>after</t>
        </is>
      </c>
      <c r="D98" s="112" t="inlineStr">
        <is>
      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      </is>
      </c>
    </row>
    <row r="99" ht="89.25" customHeight="1" s="142">
      <c r="B99" t="inlineStr">
        <is>
          <t>story</t>
        </is>
      </c>
      <c r="C99" t="inlineStr">
        <is>
          <t>after</t>
        </is>
      </c>
      <c r="D99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100" ht="76.5" customHeight="1" s="142">
      <c r="A100" s="80" t="inlineStr">
        <is>
          <t>第十五章</t>
        </is>
      </c>
      <c r="B100" t="inlineStr">
        <is>
          <t>story</t>
        </is>
      </c>
      <c r="C100" t="inlineStr">
        <is>
          <t>before</t>
        </is>
      </c>
      <c r="D100" s="112" t="inlineStr">
        <is>
          <t>『新的區域映入眼前。』
露娜：這裡就是魔王領域。
&lt;name&gt;：我有種說不出的熟悉感。
露娜：有記憶嗎？
&lt;name&gt;：還不到可以稱為記憶。
露娜：那就先記住現在看到的。</t>
        </is>
      </c>
    </row>
    <row r="101" ht="140.25" customHeight="1" s="142">
      <c r="B101" t="inlineStr">
        <is>
          <t>story</t>
        </is>
      </c>
      <c r="C101" t="inlineStr">
        <is>
          <t>after</t>
        </is>
      </c>
      <c r="D101" s="112" t="inlineStr">
        <is>
      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      </is>
      </c>
    </row>
    <row r="102" ht="140.25" customHeight="1" s="142">
      <c r="B102" t="inlineStr">
        <is>
          <t>story</t>
        </is>
      </c>
      <c r="C102" t="inlineStr">
        <is>
          <t>after</t>
        </is>
      </c>
      <c r="D102" s="112" t="inlineStr">
        <is>
      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      </is>
      </c>
    </row>
    <row r="103" ht="140.25" customHeight="1" s="142">
      <c r="B103" t="inlineStr">
        <is>
          <t>story</t>
        </is>
      </c>
      <c r="C103" t="inlineStr">
        <is>
          <t>after</t>
        </is>
      </c>
      <c r="D103" s="112" t="inlineStr">
        <is>
      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      </is>
      </c>
    </row>
    <row r="104" ht="140.25" customHeight="1" s="142">
      <c r="B104" t="inlineStr">
        <is>
          <t>story</t>
        </is>
      </c>
      <c r="C104" t="inlineStr">
        <is>
          <t>after</t>
        </is>
      </c>
      <c r="D104" s="112" t="inlineStr">
        <is>
      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      </is>
      </c>
    </row>
    <row r="105" ht="140.25" customHeight="1" s="142">
      <c r="B105" t="inlineStr">
        <is>
          <t>story</t>
        </is>
      </c>
      <c r="C105" t="inlineStr">
        <is>
          <t>after</t>
        </is>
      </c>
      <c r="D105" s="112" t="inlineStr">
        <is>
      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      </is>
      </c>
    </row>
    <row r="106" ht="89.25" customHeight="1" s="142">
      <c r="B106" t="inlineStr">
        <is>
          <t>story</t>
        </is>
      </c>
      <c r="C106" t="inlineStr">
        <is>
          <t>after</t>
        </is>
      </c>
      <c r="D106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107">
      <c r="A107" t="n">
        <v>1002</v>
      </c>
      <c r="B107" t="inlineStr">
        <is>
          <t>guide</t>
        </is>
      </c>
      <c r="C107" t="inlineStr">
        <is>
          <t>idle_unlock</t>
        </is>
      </c>
      <c r="D107" t="inlineStr">
        <is>
          <t>掛機探索開放了！你的角色會持續在此關卡自動歷練，即使沒有開著遊戲畫面也會持續累積獎勵。已經幫你準備好一份獎勵，點擊「掛機」按鈕即可立即領取！</t>
        </is>
      </c>
      <c r="E107" t="inlineStr">
        <is>
          <t>批次3新增：系統開放檢查點引導(資料驅動，刪除此列即可關閉，功能解鎖不受影響)</t>
        </is>
      </c>
    </row>
    <row r="108">
      <c r="A108" t="n">
        <v>1004</v>
      </c>
      <c r="B108" t="inlineStr">
        <is>
          <t>guide</t>
        </is>
      </c>
      <c r="C108" t="inlineStr">
        <is>
          <t>talent_intro</t>
        </is>
      </c>
      <c r="D108" t="inlineStr">
        <is>
          <t>「天賦」分頁已開放！這裡可以消耗天賦點強化你的職業能力，點選下方導覽列的天賦分頁看看吧。</t>
        </is>
      </c>
      <c r="E108" t="inlineStr">
        <is>
          <t>批次3新增：系統開放檢查點引導(資料驅動，刪除此列即可關閉，功能解鎖不受影響)</t>
        </is>
      </c>
    </row>
    <row r="109">
      <c r="A109" t="n">
        <v>1014</v>
      </c>
      <c r="B109" t="inlineStr">
        <is>
          <t>guide</t>
        </is>
      </c>
      <c r="C109" t="inlineStr">
        <is>
          <t>weapon_levelup</t>
        </is>
      </c>
      <c r="D109" t="inlineStr">
        <is>
          <t>武器升級開放了！消耗「武器經驗」即可提升武器等級、強化戰鬥數值。已經送你一批武器經驗，快去武器分頁試試看升10級吧！</t>
        </is>
      </c>
      <c r="E109" t="inlineStr">
        <is>
          <t>批次3新增：系統開放檢查點引導(資料驅動，刪除此列即可關閉，功能解鎖不受影響)</t>
        </is>
      </c>
    </row>
    <row r="110">
      <c r="A110" t="n">
        <v>1019</v>
      </c>
      <c r="B110" t="inlineStr">
        <is>
          <t>guide</t>
        </is>
      </c>
      <c r="C110" t="inlineStr">
        <is>
          <t>auto_next</t>
        </is>
      </c>
      <c r="D110" t="inlineStr">
        <is>
          <t>現在起，戰鬥結算畫面會出現「自動下一關」開關，開啟後戰勝就會倒數3秒自動接續下一關，讓你不用每次手動點擊挑戰。</t>
        </is>
      </c>
      <c r="E110" t="inlineStr">
        <is>
          <t>批次3新增：系統開放檢查點引導(資料驅動，刪除此列即可關閉，功能解鎖不受影響)</t>
        </is>
      </c>
    </row>
    <row r="111">
      <c r="A111" t="n">
        <v>1029</v>
      </c>
      <c r="B111" t="inlineStr">
        <is>
          <t>guide</t>
        </is>
      </c>
      <c r="C111" t="inlineStr">
        <is>
          <t>weapon_starup</t>
        </is>
      </c>
      <c r="D111" t="inlineStr">
        <is>
          <t>武器升星開放了！升星能大幅提升武器的戰鬥力，已經送你一把新武器和升星材料，快去試試看吧！</t>
        </is>
      </c>
      <c r="E111" t="inlineStr">
        <is>
          <t>批次3新增：系統開放檢查點引導(資料驅動，刪除此列即可關閉，功能解鎖不受影響)</t>
        </is>
      </c>
    </row>
    <row r="112">
      <c r="A112" t="n">
        <v>1044</v>
      </c>
      <c r="B112" t="inlineStr">
        <is>
          <t>guide</t>
        </is>
      </c>
      <c r="C112" t="inlineStr">
        <is>
          <t>dark_contract</t>
        </is>
      </c>
      <c r="D112" t="inlineStr">
        <is>
          <t>「黑暗契約」開放了！戰鬥中消耗一張契約卷，就有機會捕捉敵方魔物成為你的夥伴。已經送你10張契約卷，並幫你完成了第一次契約，快去佈陣看看你的新夥伴吧！</t>
        </is>
      </c>
      <c r="E112" t="inlineStr">
        <is>
          <t>批次3新增：系統開放檢查點引導(資料驅動，刪除此列即可關閉，功能解鎖不受影響)</t>
        </is>
      </c>
    </row>
    <row r="113">
      <c r="A113" t="n">
        <v>1049</v>
      </c>
      <c r="B113" t="inlineStr">
        <is>
          <t>guide</t>
        </is>
      </c>
      <c r="C113" t="inlineStr">
        <is>
          <t>speed2x</t>
        </is>
      </c>
      <c r="D113" t="inlineStr">
        <is>
          <t>戰鬥中的自動戰鬥按鈕現在可以切換到2倍速了，戰鬥演出與延遲都會加快，讓你更有效率地推進關卡。</t>
        </is>
      </c>
      <c r="E113" t="inlineStr">
        <is>
          <t>批次3新增：系統開放檢查點引導(資料驅動，刪除此列即可關閉，功能解鎖不受影響)</t>
        </is>
      </c>
    </row>
    <row r="114">
      <c r="A114" t="n">
        <v>1059</v>
      </c>
      <c r="B114" t="inlineStr">
        <is>
          <t>guide</t>
        </is>
      </c>
      <c r="C114" t="inlineStr">
        <is>
          <t>tower</t>
        </is>
      </c>
      <c r="D114" t="inlineStr">
        <is>
          <t>副本系統開放了！「試煉之塔」正式開放挑戰，從第一層開始層層突破，每層都有豐厚的鑽石獎勵。</t>
        </is>
      </c>
      <c r="E114" t="inlineStr">
        <is>
          <t>批次3新增：系統開放檢查點引導(資料驅動，刪除此列即可關閉，功能解鎖不受影響)</t>
        </is>
      </c>
    </row>
    <row r="115">
      <c r="A115" t="n">
        <v>1069</v>
      </c>
      <c r="B115" t="inlineStr">
        <is>
          <t>guide</t>
        </is>
      </c>
      <c r="C115" t="inlineStr">
        <is>
          <t>god_stat</t>
        </is>
      </c>
      <c r="D115" t="inlineStr">
        <is>
          <t>「神格」系統開放了！你可以透過神格點數為角色加點，強化六圍屬性，點選職業分頁的「神格」子分頁查看。</t>
        </is>
      </c>
      <c r="E115" t="inlineStr">
        <is>
          <t>批次3新增：系統開放檢查點引導(資料驅動，刪除此列即可關閉，功能解鎖不受影響)</t>
        </is>
      </c>
    </row>
    <row r="116">
      <c r="A116" t="n">
        <v>1069</v>
      </c>
      <c r="B116" t="inlineStr">
        <is>
          <t>guide</t>
        </is>
      </c>
      <c r="C116" t="inlineStr">
        <is>
          <t>god_trial</t>
        </is>
      </c>
      <c r="D116" t="inlineStr">
        <is>
          <t>「神格試煉」開放了！挑戰試煉能取得神格點與轉職推薦書碎片，已經送你一張試煉券，快去挑戰看看吧！</t>
        </is>
      </c>
      <c r="E116" t="inlineStr">
        <is>
          <t>批次3新增：系統開放檢查點引導(資料驅動，刪除此列即可關閉，功能解鎖不受影響)</t>
        </is>
      </c>
    </row>
    <row r="117">
      <c r="A117" t="n">
        <v>1079</v>
      </c>
      <c r="B117" t="inlineStr">
        <is>
          <t>guide</t>
        </is>
      </c>
      <c r="C117" t="inlineStr">
        <is>
          <t>infinite_dungeon_50</t>
        </is>
      </c>
      <c r="D117" t="inlineStr">
        <is>
          <t>「無限地城」開放了！挑戰LV.10~50的地城，逐層突破取得裝備與洗鍊石獎勵，通關整座地城才會一次發放獎勵。</t>
        </is>
      </c>
      <c r="E117" t="inlineStr">
        <is>
          <t>批次3新增：系統開放檢查點引導(資料驅動，刪除此列即可關閉，功能解鎖不受影響)</t>
        </is>
      </c>
    </row>
    <row r="118">
      <c r="A118" t="n">
        <v>1079</v>
      </c>
      <c r="B118" t="inlineStr">
        <is>
          <t>guide</t>
        </is>
      </c>
      <c r="C118" t="inlineStr">
        <is>
          <t>class_equip</t>
        </is>
      </c>
      <c r="D118" t="inlineStr">
        <is>
          <t>「職業裝備」開放了！為你的職業穿上專屬裝備，強化戰鬥數值，點選「裝備」分頁內的「職業裝備」查看。</t>
        </is>
      </c>
      <c r="E118" t="inlineStr">
        <is>
          <t>批次3新增：系統開放檢查點引導(資料驅動，刪除此列即可關閉，功能解鎖不受影響)</t>
        </is>
      </c>
    </row>
    <row r="119">
      <c r="A119" t="n">
        <v>1089</v>
      </c>
      <c r="B119" t="inlineStr">
        <is>
          <t>guide</t>
        </is>
      </c>
      <c r="C119" t="inlineStr">
        <is>
          <t>class_change</t>
        </is>
      </c>
      <c r="D119" t="inlineStr">
        <is>
          <t>「轉職」開放了！只要天賦點數配置足夠，就能將職業轉換為更強大的二轉職業，快去職業分頁看看有哪些新選擇！</t>
        </is>
      </c>
      <c r="E119" t="inlineStr">
        <is>
          <t>批次3新增：系統開放檢查點引導(資料驅動，刪除此列即可關閉，功能解鎖不受影響)</t>
        </is>
      </c>
    </row>
    <row r="120">
      <c r="A120" t="n">
        <v>1119</v>
      </c>
      <c r="B120" t="inlineStr">
        <is>
          <t>guide</t>
        </is>
      </c>
      <c r="C120" t="inlineStr">
        <is>
          <t>annihilation</t>
        </is>
      </c>
      <c r="D120" t="inlineStr">
        <is>
          <t>「殲滅任務」開放了！挑戰殲滅任務可以取得魔法石與強化石，是提升裝備的重要來源。</t>
        </is>
      </c>
      <c r="E120" t="inlineStr">
        <is>
          <t>批次3新增：系統開放檢查點引導(資料驅動，刪除此列即可關閉，功能解鎖不受影響)</t>
        </is>
      </c>
    </row>
    <row r="121">
      <c r="A121" t="n">
        <v>1149</v>
      </c>
      <c r="B121" t="inlineStr">
        <is>
          <t>guide</t>
        </is>
      </c>
      <c r="C121" t="inlineStr">
        <is>
          <t>infinite_dungeon_100</t>
        </is>
      </c>
      <c r="D121" t="inlineStr">
        <is>
          <t>無限地城的可選等級上限提升到LV.100了！更高等級的地城將帶來更豐厚的獎勵，敢挑戰嗎？</t>
        </is>
      </c>
      <c r="E121" t="inlineStr">
        <is>
          <t>批次3新增：系統開放檢查點引導(資料驅動，刪除此列即可關閉，功能解鎖不受影響)</t>
        </is>
      </c>
    </row>
    <row r="122">
      <c r="A122" t="n">
        <v>1179</v>
      </c>
      <c r="B122" t="inlineStr">
        <is>
          <t>guide</t>
        </is>
      </c>
      <c r="C122" t="inlineStr">
        <is>
          <t>infinite_dungeon_130</t>
        </is>
      </c>
      <c r="D122" t="inlineStr">
        <is>
          <t>無限地城的可選等級上限提升到LV.130了！這是目前最高難度的地城等級，準備好你最強的陣容再挑戰吧！</t>
        </is>
      </c>
      <c r="E122" t="inlineStr">
        <is>
          <t>批次3新增：系統開放檢查點引導(資料驅動，刪除此列即可關閉，功能解鎖不受影響)</t>
        </is>
      </c>
    </row>
  </sheetData>
  <dataValidations count="2">
    <dataValidation sqref="B2:B47" showDropDown="0" showInputMessage="0" showErrorMessage="1" allowBlank="1" type="list">
      <formula1>"story,guide"</formula1>
      <formula2>0</formula2>
    </dataValidation>
    <dataValidation sqref="C2:C47" showDropDown="0" showInputMessage="0" showErrorMessage="1" allowBlank="1" type="list">
      <formula1>"before,battle,after"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2.75"/>
  <sheetData>
    <row r="1" ht="14.25" customHeight="1" s="142">
      <c r="A1" s="7" t="inlineStr">
        <is>
          <t>level</t>
        </is>
      </c>
      <c r="B1" s="7" t="inlineStr">
        <is>
          <t>rate_add</t>
        </is>
      </c>
      <c r="C1" s="7" t="inlineStr">
        <is>
          <t>guarant_min</t>
        </is>
      </c>
      <c r="D1" s="7" t="inlineStr">
        <is>
          <t>guarant_max</t>
        </is>
      </c>
      <c r="E1" s="7" t="inlineStr">
        <is>
          <t>buff_max</t>
        </is>
      </c>
    </row>
    <row r="2" ht="14.25" customHeight="1" s="142">
      <c r="A2" s="7" t="n">
        <v>10</v>
      </c>
      <c r="B2" s="113">
        <f>(0.4-A2*0.001)/7</f>
        <v/>
      </c>
      <c r="C2" s="7">
        <f>D2-4</f>
        <v/>
      </c>
      <c r="D2" s="7">
        <f>11+ROUND(A2*0.04,0)</f>
        <v/>
      </c>
      <c r="E2" s="7">
        <f>ROUND(C2/3,0)</f>
        <v/>
      </c>
    </row>
    <row r="3" ht="14.25" customHeight="1" s="142">
      <c r="A3" s="7" t="n">
        <v>11</v>
      </c>
      <c r="B3" s="113">
        <f>(0.4-A3*0.001)/7</f>
        <v/>
      </c>
      <c r="C3" s="7">
        <f>D3-4</f>
        <v/>
      </c>
      <c r="D3" s="7">
        <f>11+ROUND(A3*0.04,0)</f>
        <v/>
      </c>
      <c r="E3" s="7">
        <f>ROUND(C3/3,0)</f>
        <v/>
      </c>
    </row>
    <row r="4" ht="14.25" customHeight="1" s="142">
      <c r="A4" s="7" t="n">
        <v>12</v>
      </c>
      <c r="B4" s="113">
        <f>(0.4-A4*0.001)/7</f>
        <v/>
      </c>
      <c r="C4" s="7">
        <f>D4-4</f>
        <v/>
      </c>
      <c r="D4" s="7">
        <f>11+ROUND(A4*0.04,0)</f>
        <v/>
      </c>
      <c r="E4" s="7">
        <f>ROUND(C4/3,0)</f>
        <v/>
      </c>
    </row>
    <row r="5" ht="14.25" customHeight="1" s="142">
      <c r="A5" s="7" t="n">
        <v>13</v>
      </c>
      <c r="B5" s="113">
        <f>(0.4-A5*0.001)/7</f>
        <v/>
      </c>
      <c r="C5" s="7">
        <f>D5-4</f>
        <v/>
      </c>
      <c r="D5" s="7">
        <f>11+ROUND(A5*0.04,0)</f>
        <v/>
      </c>
      <c r="E5" s="7">
        <f>ROUND(C5/3,0)</f>
        <v/>
      </c>
    </row>
    <row r="6" ht="14.25" customHeight="1" s="142">
      <c r="A6" s="7" t="n">
        <v>14</v>
      </c>
      <c r="B6" s="113">
        <f>(0.4-A6*0.001)/7</f>
        <v/>
      </c>
      <c r="C6" s="7">
        <f>D6-4</f>
        <v/>
      </c>
      <c r="D6" s="7">
        <f>11+ROUND(A6*0.04,0)</f>
        <v/>
      </c>
      <c r="E6" s="7">
        <f>ROUND(C6/3,0)</f>
        <v/>
      </c>
    </row>
    <row r="7" ht="14.25" customHeight="1" s="142">
      <c r="A7" s="7" t="n">
        <v>15</v>
      </c>
      <c r="B7" s="113">
        <f>(0.4-A7*0.001)/7</f>
        <v/>
      </c>
      <c r="C7" s="7">
        <f>D7-4</f>
        <v/>
      </c>
      <c r="D7" s="7">
        <f>11+ROUND(A7*0.04,0)</f>
        <v/>
      </c>
      <c r="E7" s="7">
        <f>ROUND(C7/3,0)</f>
        <v/>
      </c>
    </row>
    <row r="8" ht="14.25" customHeight="1" s="142">
      <c r="A8" s="7" t="n">
        <v>16</v>
      </c>
      <c r="B8" s="113">
        <f>(0.4-A8*0.001)/7</f>
        <v/>
      </c>
      <c r="C8" s="7">
        <f>D8-4</f>
        <v/>
      </c>
      <c r="D8" s="7">
        <f>11+ROUND(A8*0.04,0)</f>
        <v/>
      </c>
      <c r="E8" s="7">
        <f>ROUND(C8/3,0)</f>
        <v/>
      </c>
    </row>
    <row r="9" ht="14.25" customHeight="1" s="142">
      <c r="A9" s="7" t="n">
        <v>17</v>
      </c>
      <c r="B9" s="113">
        <f>(0.4-A9*0.001)/7</f>
        <v/>
      </c>
      <c r="C9" s="7">
        <f>D9-4</f>
        <v/>
      </c>
      <c r="D9" s="7">
        <f>11+ROUND(A9*0.04,0)</f>
        <v/>
      </c>
      <c r="E9" s="7">
        <f>ROUND(C9/3,0)</f>
        <v/>
      </c>
    </row>
    <row r="10" ht="14.25" customHeight="1" s="142">
      <c r="A10" s="7" t="n">
        <v>18</v>
      </c>
      <c r="B10" s="113">
        <f>(0.4-A10*0.001)/7</f>
        <v/>
      </c>
      <c r="C10" s="7">
        <f>D10-4</f>
        <v/>
      </c>
      <c r="D10" s="7">
        <f>11+ROUND(A10*0.04,0)</f>
        <v/>
      </c>
      <c r="E10" s="7">
        <f>ROUND(C10/3,0)</f>
        <v/>
      </c>
    </row>
    <row r="11" ht="14.25" customHeight="1" s="142">
      <c r="A11" s="7" t="n">
        <v>19</v>
      </c>
      <c r="B11" s="113">
        <f>(0.4-A11*0.001)/7</f>
        <v/>
      </c>
      <c r="C11" s="7">
        <f>D11-4</f>
        <v/>
      </c>
      <c r="D11" s="7">
        <f>11+ROUND(A11*0.04,0)</f>
        <v/>
      </c>
      <c r="E11" s="7">
        <f>ROUND(C11/3,0)</f>
        <v/>
      </c>
    </row>
    <row r="12" ht="14.25" customHeight="1" s="142">
      <c r="A12" s="7" t="n">
        <v>20</v>
      </c>
      <c r="B12" s="113">
        <f>(0.4-A12*0.001)/7</f>
        <v/>
      </c>
      <c r="C12" s="7">
        <f>D12-4</f>
        <v/>
      </c>
      <c r="D12" s="7">
        <f>11+ROUND(A12*0.04,0)</f>
        <v/>
      </c>
      <c r="E12" s="7">
        <f>ROUND(C12/3,0)</f>
        <v/>
      </c>
    </row>
    <row r="13" ht="14.25" customHeight="1" s="142">
      <c r="A13" s="7" t="n">
        <v>21</v>
      </c>
      <c r="B13" s="113">
        <f>(0.4-A13*0.001)/7</f>
        <v/>
      </c>
      <c r="C13" s="7">
        <f>D13-4</f>
        <v/>
      </c>
      <c r="D13" s="7">
        <f>11+ROUND(A13*0.04,0)</f>
        <v/>
      </c>
      <c r="E13" s="7">
        <f>ROUND(C13/3,0)</f>
        <v/>
      </c>
    </row>
    <row r="14" ht="14.25" customHeight="1" s="142">
      <c r="A14" s="7" t="n">
        <v>22</v>
      </c>
      <c r="B14" s="113">
        <f>(0.4-A14*0.001)/7</f>
        <v/>
      </c>
      <c r="C14" s="7">
        <f>D14-4</f>
        <v/>
      </c>
      <c r="D14" s="7">
        <f>11+ROUND(A14*0.04,0)</f>
        <v/>
      </c>
      <c r="E14" s="7">
        <f>ROUND(C14/3,0)</f>
        <v/>
      </c>
    </row>
    <row r="15" ht="14.25" customHeight="1" s="142">
      <c r="A15" s="7" t="n">
        <v>23</v>
      </c>
      <c r="B15" s="113">
        <f>(0.4-A15*0.001)/7</f>
        <v/>
      </c>
      <c r="C15" s="7">
        <f>D15-4</f>
        <v/>
      </c>
      <c r="D15" s="7">
        <f>11+ROUND(A15*0.04,0)</f>
        <v/>
      </c>
      <c r="E15" s="7">
        <f>ROUND(C15/3,0)</f>
        <v/>
      </c>
    </row>
    <row r="16" ht="14.25" customHeight="1" s="142">
      <c r="A16" s="7" t="n">
        <v>24</v>
      </c>
      <c r="B16" s="113">
        <f>(0.4-A16*0.001)/7</f>
        <v/>
      </c>
      <c r="C16" s="7">
        <f>D16-4</f>
        <v/>
      </c>
      <c r="D16" s="7">
        <f>11+ROUND(A16*0.04,0)</f>
        <v/>
      </c>
      <c r="E16" s="7">
        <f>ROUND(C16/3,0)</f>
        <v/>
      </c>
    </row>
    <row r="17" ht="14.25" customHeight="1" s="142">
      <c r="A17" s="7" t="n">
        <v>25</v>
      </c>
      <c r="B17" s="113">
        <f>(0.4-A17*0.001)/7</f>
        <v/>
      </c>
      <c r="C17" s="7">
        <f>D17-4</f>
        <v/>
      </c>
      <c r="D17" s="7">
        <f>11+ROUND(A17*0.04,0)</f>
        <v/>
      </c>
      <c r="E17" s="7">
        <f>ROUND(C17/3,0)</f>
        <v/>
      </c>
    </row>
    <row r="18" ht="14.25" customHeight="1" s="142">
      <c r="A18" s="7" t="n">
        <v>26</v>
      </c>
      <c r="B18" s="113">
        <f>(0.4-A18*0.001)/7</f>
        <v/>
      </c>
      <c r="C18" s="7">
        <f>D18-4</f>
        <v/>
      </c>
      <c r="D18" s="7">
        <f>11+ROUND(A18*0.04,0)</f>
        <v/>
      </c>
      <c r="E18" s="7">
        <f>ROUND(C18/3,0)</f>
        <v/>
      </c>
    </row>
    <row r="19" ht="14.25" customHeight="1" s="142">
      <c r="A19" s="7" t="n">
        <v>27</v>
      </c>
      <c r="B19" s="113">
        <f>(0.4-A19*0.001)/7</f>
        <v/>
      </c>
      <c r="C19" s="7">
        <f>D19-4</f>
        <v/>
      </c>
      <c r="D19" s="7">
        <f>11+ROUND(A19*0.04,0)</f>
        <v/>
      </c>
      <c r="E19" s="7">
        <f>ROUND(C19/3,0)</f>
        <v/>
      </c>
    </row>
    <row r="20" ht="14.25" customHeight="1" s="142">
      <c r="A20" s="7" t="n">
        <v>28</v>
      </c>
      <c r="B20" s="113">
        <f>(0.4-A20*0.001)/7</f>
        <v/>
      </c>
      <c r="C20" s="7">
        <f>D20-4</f>
        <v/>
      </c>
      <c r="D20" s="7">
        <f>11+ROUND(A20*0.04,0)</f>
        <v/>
      </c>
      <c r="E20" s="7">
        <f>ROUND(C20/3,0)</f>
        <v/>
      </c>
    </row>
    <row r="21" ht="14.25" customHeight="1" s="142">
      <c r="A21" s="7" t="n">
        <v>29</v>
      </c>
      <c r="B21" s="113">
        <f>(0.4-A21*0.001)/7</f>
        <v/>
      </c>
      <c r="C21" s="7">
        <f>D21-4</f>
        <v/>
      </c>
      <c r="D21" s="7">
        <f>11+ROUND(A21*0.04,0)</f>
        <v/>
      </c>
      <c r="E21" s="7">
        <f>ROUND(C21/3,0)</f>
        <v/>
      </c>
    </row>
    <row r="22" ht="14.25" customHeight="1" s="142">
      <c r="A22" s="7" t="n">
        <v>30</v>
      </c>
      <c r="B22" s="113">
        <f>(0.4-A22*0.001)/7</f>
        <v/>
      </c>
      <c r="C22" s="7">
        <f>D22-4</f>
        <v/>
      </c>
      <c r="D22" s="7">
        <f>11+ROUND(A22*0.04,0)</f>
        <v/>
      </c>
      <c r="E22" s="7">
        <f>ROUND(C22/3,0)</f>
        <v/>
      </c>
    </row>
    <row r="23" ht="14.25" customHeight="1" s="142">
      <c r="A23" s="7" t="n">
        <v>31</v>
      </c>
      <c r="B23" s="113">
        <f>(0.4-A23*0.001)/7</f>
        <v/>
      </c>
      <c r="C23" s="7">
        <f>D23-4</f>
        <v/>
      </c>
      <c r="D23" s="7">
        <f>11+ROUND(A23*0.04,0)</f>
        <v/>
      </c>
      <c r="E23" s="7">
        <f>ROUND(C23/3,0)</f>
        <v/>
      </c>
    </row>
    <row r="24" ht="14.25" customHeight="1" s="142">
      <c r="A24" s="7" t="n">
        <v>32</v>
      </c>
      <c r="B24" s="113">
        <f>(0.4-A24*0.001)/7</f>
        <v/>
      </c>
      <c r="C24" s="7">
        <f>D24-4</f>
        <v/>
      </c>
      <c r="D24" s="7">
        <f>11+ROUND(A24*0.04,0)</f>
        <v/>
      </c>
      <c r="E24" s="7">
        <f>ROUND(C24/3,0)</f>
        <v/>
      </c>
    </row>
    <row r="25" ht="14.25" customHeight="1" s="142">
      <c r="A25" s="7" t="n">
        <v>33</v>
      </c>
      <c r="B25" s="113">
        <f>(0.4-A25*0.001)/7</f>
        <v/>
      </c>
      <c r="C25" s="7">
        <f>D25-4</f>
        <v/>
      </c>
      <c r="D25" s="7">
        <f>11+ROUND(A25*0.04,0)</f>
        <v/>
      </c>
      <c r="E25" s="7">
        <f>ROUND(C25/3,0)</f>
        <v/>
      </c>
    </row>
    <row r="26" ht="14.25" customHeight="1" s="142">
      <c r="A26" s="7" t="n">
        <v>34</v>
      </c>
      <c r="B26" s="113">
        <f>(0.4-A26*0.001)/7</f>
        <v/>
      </c>
      <c r="C26" s="7">
        <f>D26-4</f>
        <v/>
      </c>
      <c r="D26" s="7">
        <f>11+ROUND(A26*0.04,0)</f>
        <v/>
      </c>
      <c r="E26" s="7">
        <f>ROUND(C26/3,0)</f>
        <v/>
      </c>
    </row>
    <row r="27" ht="14.25" customHeight="1" s="142">
      <c r="A27" s="7" t="n">
        <v>35</v>
      </c>
      <c r="B27" s="113">
        <f>(0.4-A27*0.001)/7</f>
        <v/>
      </c>
      <c r="C27" s="7">
        <f>D27-4</f>
        <v/>
      </c>
      <c r="D27" s="7">
        <f>11+ROUND(A27*0.04,0)</f>
        <v/>
      </c>
      <c r="E27" s="7">
        <f>ROUND(C27/3,0)</f>
        <v/>
      </c>
    </row>
    <row r="28" ht="14.25" customHeight="1" s="142">
      <c r="A28" s="7" t="n">
        <v>36</v>
      </c>
      <c r="B28" s="113">
        <f>(0.4-A28*0.001)/7</f>
        <v/>
      </c>
      <c r="C28" s="7">
        <f>D28-4</f>
        <v/>
      </c>
      <c r="D28" s="7">
        <f>11+ROUND(A28*0.04,0)</f>
        <v/>
      </c>
      <c r="E28" s="7">
        <f>ROUND(C28/3,0)</f>
        <v/>
      </c>
    </row>
    <row r="29" ht="14.25" customHeight="1" s="142">
      <c r="A29" s="7" t="n">
        <v>37</v>
      </c>
      <c r="B29" s="113">
        <f>(0.4-A29*0.001)/7</f>
        <v/>
      </c>
      <c r="C29" s="7">
        <f>D29-4</f>
        <v/>
      </c>
      <c r="D29" s="7">
        <f>11+ROUND(A29*0.04,0)</f>
        <v/>
      </c>
      <c r="E29" s="7">
        <f>ROUND(C29/3,0)</f>
        <v/>
      </c>
    </row>
    <row r="30" ht="14.25" customHeight="1" s="142">
      <c r="A30" s="7" t="n">
        <v>38</v>
      </c>
      <c r="B30" s="113">
        <f>(0.4-A30*0.001)/7</f>
        <v/>
      </c>
      <c r="C30" s="7">
        <f>D30-4</f>
        <v/>
      </c>
      <c r="D30" s="7">
        <f>11+ROUND(A30*0.04,0)</f>
        <v/>
      </c>
      <c r="E30" s="7">
        <f>ROUND(C30/3,0)</f>
        <v/>
      </c>
    </row>
    <row r="31" ht="14.25" customHeight="1" s="142">
      <c r="A31" s="7" t="n">
        <v>39</v>
      </c>
      <c r="B31" s="113">
        <f>(0.4-A31*0.001)/7</f>
        <v/>
      </c>
      <c r="C31" s="7">
        <f>D31-4</f>
        <v/>
      </c>
      <c r="D31" s="7">
        <f>11+ROUND(A31*0.04,0)</f>
        <v/>
      </c>
      <c r="E31" s="7">
        <f>ROUND(C31/3,0)</f>
        <v/>
      </c>
    </row>
    <row r="32" ht="14.25" customHeight="1" s="142">
      <c r="A32" s="7" t="n">
        <v>40</v>
      </c>
      <c r="B32" s="113">
        <f>(0.4-A32*0.001)/7</f>
        <v/>
      </c>
      <c r="C32" s="7">
        <f>D32-4</f>
        <v/>
      </c>
      <c r="D32" s="7">
        <f>11+ROUND(A32*0.04,0)</f>
        <v/>
      </c>
      <c r="E32" s="7">
        <f>ROUND(C32/3,0)</f>
        <v/>
      </c>
    </row>
    <row r="33" ht="14.25" customHeight="1" s="142">
      <c r="A33" s="7" t="n">
        <v>41</v>
      </c>
      <c r="B33" s="113">
        <f>(0.4-A33*0.001)/7</f>
        <v/>
      </c>
      <c r="C33" s="7">
        <f>D33-4</f>
        <v/>
      </c>
      <c r="D33" s="7">
        <f>11+ROUND(A33*0.04,0)</f>
        <v/>
      </c>
      <c r="E33" s="7">
        <f>ROUND(C33/3,0)</f>
        <v/>
      </c>
    </row>
    <row r="34" ht="14.25" customHeight="1" s="142">
      <c r="A34" s="7" t="n">
        <v>42</v>
      </c>
      <c r="B34" s="113">
        <f>(0.4-A34*0.001)/7</f>
        <v/>
      </c>
      <c r="C34" s="7">
        <f>D34-4</f>
        <v/>
      </c>
      <c r="D34" s="7">
        <f>11+ROUND(A34*0.04,0)</f>
        <v/>
      </c>
      <c r="E34" s="7">
        <f>ROUND(C34/3,0)</f>
        <v/>
      </c>
    </row>
    <row r="35" ht="14.25" customHeight="1" s="142">
      <c r="A35" s="7" t="n">
        <v>43</v>
      </c>
      <c r="B35" s="113">
        <f>(0.4-A35*0.001)/7</f>
        <v/>
      </c>
      <c r="C35" s="7">
        <f>D35-4</f>
        <v/>
      </c>
      <c r="D35" s="7">
        <f>11+ROUND(A35*0.04,0)</f>
        <v/>
      </c>
      <c r="E35" s="7">
        <f>ROUND(C35/3,0)</f>
        <v/>
      </c>
    </row>
    <row r="36" ht="14.25" customHeight="1" s="142">
      <c r="A36" s="7" t="n">
        <v>44</v>
      </c>
      <c r="B36" s="113">
        <f>(0.4-A36*0.001)/7</f>
        <v/>
      </c>
      <c r="C36" s="7">
        <f>D36-4</f>
        <v/>
      </c>
      <c r="D36" s="7">
        <f>11+ROUND(A36*0.04,0)</f>
        <v/>
      </c>
      <c r="E36" s="7">
        <f>ROUND(C36/3,0)</f>
        <v/>
      </c>
    </row>
    <row r="37" ht="14.25" customHeight="1" s="142">
      <c r="A37" s="7" t="n">
        <v>45</v>
      </c>
      <c r="B37" s="113">
        <f>(0.4-A37*0.001)/7</f>
        <v/>
      </c>
      <c r="C37" s="7">
        <f>D37-4</f>
        <v/>
      </c>
      <c r="D37" s="7">
        <f>11+ROUND(A37*0.04,0)</f>
        <v/>
      </c>
      <c r="E37" s="7">
        <f>ROUND(C37/3,0)</f>
        <v/>
      </c>
    </row>
    <row r="38" ht="14.25" customHeight="1" s="142">
      <c r="A38" s="7" t="n">
        <v>46</v>
      </c>
      <c r="B38" s="113">
        <f>(0.4-A38*0.001)/7</f>
        <v/>
      </c>
      <c r="C38" s="7">
        <f>D38-4</f>
        <v/>
      </c>
      <c r="D38" s="7">
        <f>11+ROUND(A38*0.04,0)</f>
        <v/>
      </c>
      <c r="E38" s="7">
        <f>ROUND(C38/3,0)</f>
        <v/>
      </c>
    </row>
    <row r="39" ht="14.25" customHeight="1" s="142">
      <c r="A39" s="7" t="n">
        <v>47</v>
      </c>
      <c r="B39" s="113">
        <f>(0.4-A39*0.001)/7</f>
        <v/>
      </c>
      <c r="C39" s="7">
        <f>D39-4</f>
        <v/>
      </c>
      <c r="D39" s="7">
        <f>11+ROUND(A39*0.04,0)</f>
        <v/>
      </c>
      <c r="E39" s="7">
        <f>ROUND(C39/3,0)</f>
        <v/>
      </c>
    </row>
    <row r="40" ht="14.25" customHeight="1" s="142">
      <c r="A40" s="7" t="n">
        <v>48</v>
      </c>
      <c r="B40" s="113">
        <f>(0.4-A40*0.001)/7</f>
        <v/>
      </c>
      <c r="C40" s="7">
        <f>D40-4</f>
        <v/>
      </c>
      <c r="D40" s="7">
        <f>11+ROUND(A40*0.04,0)</f>
        <v/>
      </c>
      <c r="E40" s="7">
        <f>ROUND(C40/3,0)</f>
        <v/>
      </c>
    </row>
    <row r="41" ht="14.25" customHeight="1" s="142">
      <c r="A41" s="7" t="n">
        <v>49</v>
      </c>
      <c r="B41" s="113">
        <f>(0.4-A41*0.001)/7</f>
        <v/>
      </c>
      <c r="C41" s="7">
        <f>D41-4</f>
        <v/>
      </c>
      <c r="D41" s="7">
        <f>11+ROUND(A41*0.04,0)</f>
        <v/>
      </c>
      <c r="E41" s="7">
        <f>ROUND(C41/3,0)</f>
        <v/>
      </c>
    </row>
    <row r="42" ht="14.25" customHeight="1" s="142">
      <c r="A42" s="7" t="n">
        <v>50</v>
      </c>
      <c r="B42" s="113">
        <f>(0.4-A42*0.001)/7</f>
        <v/>
      </c>
      <c r="C42" s="7">
        <f>D42-4</f>
        <v/>
      </c>
      <c r="D42" s="7">
        <f>11+ROUND(A42*0.04,0)</f>
        <v/>
      </c>
      <c r="E42" s="7">
        <f>ROUND(C42/3,0)</f>
        <v/>
      </c>
    </row>
    <row r="43" ht="14.25" customHeight="1" s="142">
      <c r="A43" s="7" t="n">
        <v>51</v>
      </c>
      <c r="B43" s="113">
        <f>(0.4-A43*0.001)/7</f>
        <v/>
      </c>
      <c r="C43" s="7">
        <f>D43-4</f>
        <v/>
      </c>
      <c r="D43" s="7">
        <f>11+ROUND(A43*0.04,0)</f>
        <v/>
      </c>
      <c r="E43" s="7">
        <f>ROUND(C43/3,0)</f>
        <v/>
      </c>
    </row>
    <row r="44" ht="14.25" customHeight="1" s="142">
      <c r="A44" s="7" t="n">
        <v>52</v>
      </c>
      <c r="B44" s="113">
        <f>(0.4-A44*0.001)/7</f>
        <v/>
      </c>
      <c r="C44" s="7">
        <f>D44-4</f>
        <v/>
      </c>
      <c r="D44" s="7">
        <f>11+ROUND(A44*0.04,0)</f>
        <v/>
      </c>
      <c r="E44" s="7">
        <f>ROUND(C44/3,0)</f>
        <v/>
      </c>
    </row>
    <row r="45" ht="14.25" customHeight="1" s="142">
      <c r="A45" s="7" t="n">
        <v>53</v>
      </c>
      <c r="B45" s="113">
        <f>(0.4-A45*0.001)/7</f>
        <v/>
      </c>
      <c r="C45" s="7">
        <f>D45-4</f>
        <v/>
      </c>
      <c r="D45" s="7">
        <f>11+ROUND(A45*0.04,0)</f>
        <v/>
      </c>
      <c r="E45" s="7">
        <f>ROUND(C45/3,0)</f>
        <v/>
      </c>
    </row>
    <row r="46" ht="14.25" customHeight="1" s="142">
      <c r="A46" s="7" t="n">
        <v>54</v>
      </c>
      <c r="B46" s="113">
        <f>(0.4-A46*0.001)/7</f>
        <v/>
      </c>
      <c r="C46" s="7">
        <f>D46-4</f>
        <v/>
      </c>
      <c r="D46" s="7">
        <f>11+ROUND(A46*0.04,0)</f>
        <v/>
      </c>
      <c r="E46" s="7">
        <f>ROUND(C46/3,0)</f>
        <v/>
      </c>
    </row>
    <row r="47" ht="14.25" customHeight="1" s="142">
      <c r="A47" s="7" t="n">
        <v>55</v>
      </c>
      <c r="B47" s="113">
        <f>(0.4-A47*0.001)/7</f>
        <v/>
      </c>
      <c r="C47" s="7">
        <f>D47-4</f>
        <v/>
      </c>
      <c r="D47" s="7">
        <f>11+ROUND(A47*0.04,0)</f>
        <v/>
      </c>
      <c r="E47" s="7">
        <f>ROUND(C47/3,0)</f>
        <v/>
      </c>
    </row>
    <row r="48" ht="14.25" customHeight="1" s="142">
      <c r="A48" s="7" t="n">
        <v>56</v>
      </c>
      <c r="B48" s="113">
        <f>(0.4-A48*0.001)/7</f>
        <v/>
      </c>
      <c r="C48" s="7">
        <f>D48-4</f>
        <v/>
      </c>
      <c r="D48" s="7">
        <f>11+ROUND(A48*0.04,0)</f>
        <v/>
      </c>
      <c r="E48" s="7">
        <f>ROUND(C48/3,0)</f>
        <v/>
      </c>
    </row>
    <row r="49" ht="14.25" customHeight="1" s="142">
      <c r="A49" s="7" t="n">
        <v>57</v>
      </c>
      <c r="B49" s="113">
        <f>(0.4-A49*0.001)/7</f>
        <v/>
      </c>
      <c r="C49" s="7">
        <f>D49-4</f>
        <v/>
      </c>
      <c r="D49" s="7">
        <f>11+ROUND(A49*0.04,0)</f>
        <v/>
      </c>
      <c r="E49" s="7">
        <f>ROUND(C49/3,0)</f>
        <v/>
      </c>
    </row>
    <row r="50" ht="14.25" customHeight="1" s="142">
      <c r="A50" s="7" t="n">
        <v>58</v>
      </c>
      <c r="B50" s="113">
        <f>(0.4-A50*0.001)/7</f>
        <v/>
      </c>
      <c r="C50" s="7">
        <f>D50-4</f>
        <v/>
      </c>
      <c r="D50" s="7">
        <f>11+ROUND(A50*0.04,0)</f>
        <v/>
      </c>
      <c r="E50" s="7">
        <f>ROUND(C50/3,0)</f>
        <v/>
      </c>
    </row>
    <row r="51" ht="14.25" customHeight="1" s="142">
      <c r="A51" s="7" t="n">
        <v>59</v>
      </c>
      <c r="B51" s="113">
        <f>(0.4-A51*0.001)/7</f>
        <v/>
      </c>
      <c r="C51" s="7">
        <f>D51-4</f>
        <v/>
      </c>
      <c r="D51" s="7">
        <f>11+ROUND(A51*0.04,0)</f>
        <v/>
      </c>
      <c r="E51" s="7">
        <f>ROUND(C51/3,0)</f>
        <v/>
      </c>
    </row>
    <row r="52" ht="14.25" customHeight="1" s="142">
      <c r="A52" s="7" t="n">
        <v>60</v>
      </c>
      <c r="B52" s="113">
        <f>(0.4-A52*0.001)/7</f>
        <v/>
      </c>
      <c r="C52" s="7">
        <f>D52-4</f>
        <v/>
      </c>
      <c r="D52" s="7">
        <f>11+ROUND(A52*0.04,0)</f>
        <v/>
      </c>
      <c r="E52" s="7">
        <f>ROUND(C52/3,0)</f>
        <v/>
      </c>
    </row>
    <row r="53" ht="14.25" customHeight="1" s="142">
      <c r="A53" s="7" t="n">
        <v>61</v>
      </c>
      <c r="B53" s="113">
        <f>(0.4-A53*0.001)/7</f>
        <v/>
      </c>
      <c r="C53" s="7">
        <f>D53-4</f>
        <v/>
      </c>
      <c r="D53" s="7">
        <f>11+ROUND(A53*0.04,0)</f>
        <v/>
      </c>
      <c r="E53" s="7">
        <f>ROUND(C53/3,0)</f>
        <v/>
      </c>
    </row>
    <row r="54" ht="14.25" customHeight="1" s="142">
      <c r="A54" s="7" t="n">
        <v>62</v>
      </c>
      <c r="B54" s="113">
        <f>(0.4-A54*0.001)/7</f>
        <v/>
      </c>
      <c r="C54" s="7">
        <f>D54-4</f>
        <v/>
      </c>
      <c r="D54" s="7">
        <f>11+ROUND(A54*0.04,0)</f>
        <v/>
      </c>
      <c r="E54" s="7">
        <f>ROUND(C54/3,0)</f>
        <v/>
      </c>
    </row>
    <row r="55" ht="14.25" customHeight="1" s="142">
      <c r="A55" s="7" t="n">
        <v>63</v>
      </c>
      <c r="B55" s="113">
        <f>(0.4-A55*0.001)/7</f>
        <v/>
      </c>
      <c r="C55" s="7">
        <f>D55-4</f>
        <v/>
      </c>
      <c r="D55" s="7">
        <f>11+ROUND(A55*0.04,0)</f>
        <v/>
      </c>
      <c r="E55" s="7">
        <f>ROUND(C55/3,0)</f>
        <v/>
      </c>
    </row>
    <row r="56" ht="14.25" customHeight="1" s="142">
      <c r="A56" s="7" t="n">
        <v>64</v>
      </c>
      <c r="B56" s="113">
        <f>(0.4-A56*0.001)/7</f>
        <v/>
      </c>
      <c r="C56" s="7">
        <f>D56-4</f>
        <v/>
      </c>
      <c r="D56" s="7">
        <f>11+ROUND(A56*0.04,0)</f>
        <v/>
      </c>
      <c r="E56" s="7">
        <f>ROUND(C56/3,0)</f>
        <v/>
      </c>
    </row>
    <row r="57" ht="14.25" customHeight="1" s="142">
      <c r="A57" s="7" t="n">
        <v>65</v>
      </c>
      <c r="B57" s="113">
        <f>(0.4-A57*0.001)/7</f>
        <v/>
      </c>
      <c r="C57" s="7">
        <f>D57-4</f>
        <v/>
      </c>
      <c r="D57" s="7">
        <f>11+ROUND(A57*0.04,0)</f>
        <v/>
      </c>
      <c r="E57" s="7">
        <f>ROUND(C57/3,0)</f>
        <v/>
      </c>
    </row>
    <row r="58" ht="14.25" customHeight="1" s="142">
      <c r="A58" s="7" t="n">
        <v>66</v>
      </c>
      <c r="B58" s="113">
        <f>(0.4-A58*0.001)/7</f>
        <v/>
      </c>
      <c r="C58" s="7">
        <f>D58-4</f>
        <v/>
      </c>
      <c r="D58" s="7">
        <f>11+ROUND(A58*0.04,0)</f>
        <v/>
      </c>
      <c r="E58" s="7">
        <f>ROUND(C58/3,0)</f>
        <v/>
      </c>
    </row>
    <row r="59" ht="14.25" customHeight="1" s="142">
      <c r="A59" s="7" t="n">
        <v>67</v>
      </c>
      <c r="B59" s="113">
        <f>(0.4-A59*0.001)/7</f>
        <v/>
      </c>
      <c r="C59" s="7">
        <f>D59-4</f>
        <v/>
      </c>
      <c r="D59" s="7">
        <f>11+ROUND(A59*0.04,0)</f>
        <v/>
      </c>
      <c r="E59" s="7">
        <f>ROUND(C59/3,0)</f>
        <v/>
      </c>
    </row>
    <row r="60" ht="14.25" customHeight="1" s="142">
      <c r="A60" s="7" t="n">
        <v>68</v>
      </c>
      <c r="B60" s="113">
        <f>(0.4-A60*0.001)/7</f>
        <v/>
      </c>
      <c r="C60" s="7">
        <f>D60-4</f>
        <v/>
      </c>
      <c r="D60" s="7">
        <f>11+ROUND(A60*0.04,0)</f>
        <v/>
      </c>
      <c r="E60" s="7">
        <f>ROUND(C60/3,0)</f>
        <v/>
      </c>
    </row>
    <row r="61" ht="14.25" customHeight="1" s="142">
      <c r="A61" s="7" t="n">
        <v>69</v>
      </c>
      <c r="B61" s="113">
        <f>(0.4-A61*0.001)/7</f>
        <v/>
      </c>
      <c r="C61" s="7">
        <f>D61-4</f>
        <v/>
      </c>
      <c r="D61" s="7">
        <f>11+ROUND(A61*0.04,0)</f>
        <v/>
      </c>
      <c r="E61" s="7">
        <f>ROUND(C61/3,0)</f>
        <v/>
      </c>
    </row>
    <row r="62" ht="14.25" customHeight="1" s="142">
      <c r="A62" s="7" t="n">
        <v>70</v>
      </c>
      <c r="B62" s="113">
        <f>(0.4-A62*0.001)/7</f>
        <v/>
      </c>
      <c r="C62" s="7">
        <f>D62-4</f>
        <v/>
      </c>
      <c r="D62" s="7">
        <f>11+ROUND(A62*0.04,0)</f>
        <v/>
      </c>
      <c r="E62" s="7">
        <f>ROUND(C62/3,0)</f>
        <v/>
      </c>
    </row>
    <row r="63" ht="14.25" customHeight="1" s="142">
      <c r="A63" s="7" t="n">
        <v>71</v>
      </c>
      <c r="B63" s="113">
        <f>(0.4-A63*0.001)/7</f>
        <v/>
      </c>
      <c r="C63" s="7">
        <f>D63-4</f>
        <v/>
      </c>
      <c r="D63" s="7">
        <f>11+ROUND(A63*0.04,0)</f>
        <v/>
      </c>
      <c r="E63" s="7">
        <f>ROUND(C63/3,0)</f>
        <v/>
      </c>
    </row>
    <row r="64" ht="14.25" customHeight="1" s="142">
      <c r="A64" s="7" t="n">
        <v>72</v>
      </c>
      <c r="B64" s="113">
        <f>(0.4-A64*0.001)/7</f>
        <v/>
      </c>
      <c r="C64" s="7">
        <f>D64-4</f>
        <v/>
      </c>
      <c r="D64" s="7">
        <f>11+ROUND(A64*0.04,0)</f>
        <v/>
      </c>
      <c r="E64" s="7">
        <f>ROUND(C64/3,0)</f>
        <v/>
      </c>
    </row>
    <row r="65" ht="14.25" customHeight="1" s="142">
      <c r="A65" s="7" t="n">
        <v>73</v>
      </c>
      <c r="B65" s="113">
        <f>(0.4-A65*0.001)/7</f>
        <v/>
      </c>
      <c r="C65" s="7">
        <f>D65-4</f>
        <v/>
      </c>
      <c r="D65" s="7">
        <f>11+ROUND(A65*0.04,0)</f>
        <v/>
      </c>
      <c r="E65" s="7">
        <f>ROUND(C65/3,0)</f>
        <v/>
      </c>
    </row>
    <row r="66" ht="14.25" customHeight="1" s="142">
      <c r="A66" s="7" t="n">
        <v>74</v>
      </c>
      <c r="B66" s="113">
        <f>(0.4-A66*0.001)/7</f>
        <v/>
      </c>
      <c r="C66" s="7">
        <f>D66-4</f>
        <v/>
      </c>
      <c r="D66" s="7">
        <f>11+ROUND(A66*0.04,0)</f>
        <v/>
      </c>
      <c r="E66" s="7">
        <f>ROUND(C66/3,0)</f>
        <v/>
      </c>
    </row>
    <row r="67" ht="14.25" customHeight="1" s="142">
      <c r="A67" s="7" t="n">
        <v>75</v>
      </c>
      <c r="B67" s="113">
        <f>(0.4-A67*0.001)/7</f>
        <v/>
      </c>
      <c r="C67" s="7">
        <f>D67-4</f>
        <v/>
      </c>
      <c r="D67" s="7">
        <f>11+ROUND(A67*0.04,0)</f>
        <v/>
      </c>
      <c r="E67" s="7">
        <f>ROUND(C67/3,0)</f>
        <v/>
      </c>
    </row>
    <row r="68" ht="14.25" customHeight="1" s="142">
      <c r="A68" s="7" t="n">
        <v>76</v>
      </c>
      <c r="B68" s="113">
        <f>(0.4-A68*0.001)/7</f>
        <v/>
      </c>
      <c r="C68" s="7">
        <f>D68-4</f>
        <v/>
      </c>
      <c r="D68" s="7">
        <f>11+ROUND(A68*0.04,0)</f>
        <v/>
      </c>
      <c r="E68" s="7">
        <f>ROUND(C68/3,0)</f>
        <v/>
      </c>
    </row>
    <row r="69" ht="14.25" customHeight="1" s="142">
      <c r="A69" s="7" t="n">
        <v>77</v>
      </c>
      <c r="B69" s="113">
        <f>(0.4-A69*0.001)/7</f>
        <v/>
      </c>
      <c r="C69" s="7">
        <f>D69-4</f>
        <v/>
      </c>
      <c r="D69" s="7">
        <f>11+ROUND(A69*0.04,0)</f>
        <v/>
      </c>
      <c r="E69" s="7">
        <f>ROUND(C69/3,0)</f>
        <v/>
      </c>
    </row>
    <row r="70" ht="14.25" customHeight="1" s="142">
      <c r="A70" s="7" t="n">
        <v>78</v>
      </c>
      <c r="B70" s="113">
        <f>(0.4-A70*0.001)/7</f>
        <v/>
      </c>
      <c r="C70" s="7">
        <f>D70-4</f>
        <v/>
      </c>
      <c r="D70" s="7">
        <f>11+ROUND(A70*0.04,0)</f>
        <v/>
      </c>
      <c r="E70" s="7">
        <f>ROUND(C70/3,0)</f>
        <v/>
      </c>
    </row>
    <row r="71" ht="14.25" customHeight="1" s="142">
      <c r="A71" s="7" t="n">
        <v>79</v>
      </c>
      <c r="B71" s="113">
        <f>(0.4-A71*0.001)/7</f>
        <v/>
      </c>
      <c r="C71" s="7">
        <f>D71-4</f>
        <v/>
      </c>
      <c r="D71" s="7">
        <f>11+ROUND(A71*0.04,0)</f>
        <v/>
      </c>
      <c r="E71" s="7">
        <f>ROUND(C71/3,0)</f>
        <v/>
      </c>
    </row>
    <row r="72" ht="14.25" customHeight="1" s="142">
      <c r="A72" s="7" t="n">
        <v>80</v>
      </c>
      <c r="B72" s="113">
        <f>(0.4-A72*0.001)/7</f>
        <v/>
      </c>
      <c r="C72" s="7">
        <f>D72-4</f>
        <v/>
      </c>
      <c r="D72" s="7">
        <f>11+ROUND(A72*0.04,0)</f>
        <v/>
      </c>
      <c r="E72" s="7">
        <f>ROUND(C72/3,0)</f>
        <v/>
      </c>
    </row>
    <row r="73" ht="14.25" customHeight="1" s="142">
      <c r="A73" s="7" t="n">
        <v>81</v>
      </c>
      <c r="B73" s="113">
        <f>(0.4-A73*0.001)/7</f>
        <v/>
      </c>
      <c r="C73" s="7">
        <f>D73-4</f>
        <v/>
      </c>
      <c r="D73" s="7">
        <f>11+ROUND(A73*0.04,0)</f>
        <v/>
      </c>
      <c r="E73" s="7">
        <f>ROUND(C73/3,0)</f>
        <v/>
      </c>
    </row>
    <row r="74" ht="14.25" customHeight="1" s="142">
      <c r="A74" s="7" t="n">
        <v>82</v>
      </c>
      <c r="B74" s="113">
        <f>(0.4-A74*0.001)/7</f>
        <v/>
      </c>
      <c r="C74" s="7">
        <f>D74-4</f>
        <v/>
      </c>
      <c r="D74" s="7">
        <f>11+ROUND(A74*0.04,0)</f>
        <v/>
      </c>
      <c r="E74" s="7">
        <f>ROUND(C74/3,0)</f>
        <v/>
      </c>
    </row>
    <row r="75" ht="14.25" customHeight="1" s="142">
      <c r="A75" s="7" t="n">
        <v>83</v>
      </c>
      <c r="B75" s="113">
        <f>(0.4-A75*0.001)/7</f>
        <v/>
      </c>
      <c r="C75" s="7">
        <f>D75-4</f>
        <v/>
      </c>
      <c r="D75" s="7">
        <f>11+ROUND(A75*0.04,0)</f>
        <v/>
      </c>
      <c r="E75" s="7">
        <f>ROUND(C75/3,0)</f>
        <v/>
      </c>
    </row>
    <row r="76" ht="14.25" customHeight="1" s="142">
      <c r="A76" s="7" t="n">
        <v>84</v>
      </c>
      <c r="B76" s="113">
        <f>(0.4-A76*0.001)/7</f>
        <v/>
      </c>
      <c r="C76" s="7">
        <f>D76-4</f>
        <v/>
      </c>
      <c r="D76" s="7">
        <f>11+ROUND(A76*0.04,0)</f>
        <v/>
      </c>
      <c r="E76" s="7">
        <f>ROUND(C76/3,0)</f>
        <v/>
      </c>
    </row>
    <row r="77" ht="14.25" customHeight="1" s="142">
      <c r="A77" s="7" t="n">
        <v>85</v>
      </c>
      <c r="B77" s="113">
        <f>(0.4-A77*0.001)/7</f>
        <v/>
      </c>
      <c r="C77" s="7">
        <f>D77-4</f>
        <v/>
      </c>
      <c r="D77" s="7">
        <f>11+ROUND(A77*0.04,0)</f>
        <v/>
      </c>
      <c r="E77" s="7">
        <f>ROUND(C77/3,0)</f>
        <v/>
      </c>
    </row>
    <row r="78" ht="14.25" customHeight="1" s="142">
      <c r="A78" s="7" t="n">
        <v>86</v>
      </c>
      <c r="B78" s="113">
        <f>(0.4-A78*0.001)/7</f>
        <v/>
      </c>
      <c r="C78" s="7">
        <f>D78-4</f>
        <v/>
      </c>
      <c r="D78" s="7">
        <f>11+ROUND(A78*0.04,0)</f>
        <v/>
      </c>
      <c r="E78" s="7">
        <f>ROUND(C78/3,0)</f>
        <v/>
      </c>
    </row>
    <row r="79" ht="14.25" customHeight="1" s="142">
      <c r="A79" s="7" t="n">
        <v>87</v>
      </c>
      <c r="B79" s="113">
        <f>(0.4-A79*0.001)/7</f>
        <v/>
      </c>
      <c r="C79" s="7">
        <f>D79-4</f>
        <v/>
      </c>
      <c r="D79" s="7">
        <f>11+ROUND(A79*0.04,0)</f>
        <v/>
      </c>
      <c r="E79" s="7">
        <f>ROUND(C79/3,0)</f>
        <v/>
      </c>
    </row>
    <row r="80" ht="14.25" customHeight="1" s="142">
      <c r="A80" s="7" t="n">
        <v>88</v>
      </c>
      <c r="B80" s="113">
        <f>(0.4-A80*0.001)/7</f>
        <v/>
      </c>
      <c r="C80" s="7">
        <f>D80-4</f>
        <v/>
      </c>
      <c r="D80" s="7">
        <f>11+ROUND(A80*0.04,0)</f>
        <v/>
      </c>
      <c r="E80" s="7">
        <f>ROUND(C80/3,0)</f>
        <v/>
      </c>
    </row>
    <row r="81" ht="14.25" customHeight="1" s="142">
      <c r="A81" s="7" t="n">
        <v>89</v>
      </c>
      <c r="B81" s="113">
        <f>(0.4-A81*0.001)/7</f>
        <v/>
      </c>
      <c r="C81" s="7">
        <f>D81-4</f>
        <v/>
      </c>
      <c r="D81" s="7">
        <f>11+ROUND(A81*0.04,0)</f>
        <v/>
      </c>
      <c r="E81" s="7">
        <f>ROUND(C81/3,0)</f>
        <v/>
      </c>
    </row>
    <row r="82" ht="14.25" customHeight="1" s="142">
      <c r="A82" s="7" t="n">
        <v>90</v>
      </c>
      <c r="B82" s="113">
        <f>(0.4-A82*0.001)/7</f>
        <v/>
      </c>
      <c r="C82" s="7">
        <f>D82-4</f>
        <v/>
      </c>
      <c r="D82" s="7">
        <f>11+ROUND(A82*0.04,0)</f>
        <v/>
      </c>
      <c r="E82" s="7">
        <f>ROUND(C82/3,0)</f>
        <v/>
      </c>
    </row>
    <row r="83" ht="14.25" customHeight="1" s="142">
      <c r="A83" s="7" t="n">
        <v>91</v>
      </c>
      <c r="B83" s="113">
        <f>(0.4-A83*0.001)/7</f>
        <v/>
      </c>
      <c r="C83" s="7">
        <f>D83-4</f>
        <v/>
      </c>
      <c r="D83" s="7">
        <f>11+ROUND(A83*0.04,0)</f>
        <v/>
      </c>
      <c r="E83" s="7">
        <f>ROUND(C83/3,0)</f>
        <v/>
      </c>
    </row>
    <row r="84" ht="14.25" customHeight="1" s="142">
      <c r="A84" s="7" t="n">
        <v>92</v>
      </c>
      <c r="B84" s="113">
        <f>(0.4-A84*0.001)/7</f>
        <v/>
      </c>
      <c r="C84" s="7">
        <f>D84-4</f>
        <v/>
      </c>
      <c r="D84" s="7">
        <f>11+ROUND(A84*0.04,0)</f>
        <v/>
      </c>
      <c r="E84" s="7">
        <f>ROUND(C84/3,0)</f>
        <v/>
      </c>
    </row>
    <row r="85" ht="14.25" customHeight="1" s="142">
      <c r="A85" s="7" t="n">
        <v>93</v>
      </c>
      <c r="B85" s="113">
        <f>(0.4-A85*0.001)/7</f>
        <v/>
      </c>
      <c r="C85" s="7">
        <f>D85-4</f>
        <v/>
      </c>
      <c r="D85" s="7">
        <f>11+ROUND(A85*0.04,0)</f>
        <v/>
      </c>
      <c r="E85" s="7">
        <f>ROUND(C85/3,0)</f>
        <v/>
      </c>
    </row>
    <row r="86" ht="14.25" customHeight="1" s="142">
      <c r="A86" s="7" t="n">
        <v>94</v>
      </c>
      <c r="B86" s="113">
        <f>(0.4-A86*0.001)/7</f>
        <v/>
      </c>
      <c r="C86" s="7">
        <f>D86-4</f>
        <v/>
      </c>
      <c r="D86" s="7">
        <f>11+ROUND(A86*0.04,0)</f>
        <v/>
      </c>
      <c r="E86" s="7">
        <f>ROUND(C86/3,0)</f>
        <v/>
      </c>
    </row>
    <row r="87" ht="14.25" customHeight="1" s="142">
      <c r="A87" s="7" t="n">
        <v>95</v>
      </c>
      <c r="B87" s="113">
        <f>(0.4-A87*0.001)/7</f>
        <v/>
      </c>
      <c r="C87" s="7">
        <f>D87-4</f>
        <v/>
      </c>
      <c r="D87" s="7">
        <f>11+ROUND(A87*0.04,0)</f>
        <v/>
      </c>
      <c r="E87" s="7">
        <f>ROUND(C87/3,0)</f>
        <v/>
      </c>
    </row>
    <row r="88" ht="14.25" customHeight="1" s="142">
      <c r="A88" s="7" t="n">
        <v>96</v>
      </c>
      <c r="B88" s="113">
        <f>(0.4-A88*0.001)/7</f>
        <v/>
      </c>
      <c r="C88" s="7">
        <f>D88-4</f>
        <v/>
      </c>
      <c r="D88" s="7">
        <f>11+ROUND(A88*0.04,0)</f>
        <v/>
      </c>
      <c r="E88" s="7">
        <f>ROUND(C88/3,0)</f>
        <v/>
      </c>
    </row>
    <row r="89" ht="14.25" customHeight="1" s="142">
      <c r="A89" s="7" t="n">
        <v>97</v>
      </c>
      <c r="B89" s="113">
        <f>(0.4-A89*0.001)/7</f>
        <v/>
      </c>
      <c r="C89" s="7">
        <f>D89-4</f>
        <v/>
      </c>
      <c r="D89" s="7">
        <f>11+ROUND(A89*0.04,0)</f>
        <v/>
      </c>
      <c r="E89" s="7">
        <f>ROUND(C89/3,0)</f>
        <v/>
      </c>
    </row>
    <row r="90" ht="14.25" customHeight="1" s="142">
      <c r="A90" s="7" t="n">
        <v>98</v>
      </c>
      <c r="B90" s="113">
        <f>(0.4-A90*0.001)/7</f>
        <v/>
      </c>
      <c r="C90" s="7">
        <f>D90-4</f>
        <v/>
      </c>
      <c r="D90" s="7">
        <f>11+ROUND(A90*0.04,0)</f>
        <v/>
      </c>
      <c r="E90" s="7">
        <f>ROUND(C90/3,0)</f>
        <v/>
      </c>
    </row>
    <row r="91" ht="14.25" customHeight="1" s="142">
      <c r="A91" s="7" t="n">
        <v>99</v>
      </c>
      <c r="B91" s="113">
        <f>(0.4-A91*0.001)/7</f>
        <v/>
      </c>
      <c r="C91" s="7">
        <f>D91-4</f>
        <v/>
      </c>
      <c r="D91" s="7">
        <f>11+ROUND(A91*0.04,0)</f>
        <v/>
      </c>
      <c r="E91" s="7">
        <f>ROUND(C91/3,0)</f>
        <v/>
      </c>
    </row>
    <row r="92" ht="14.25" customHeight="1" s="142">
      <c r="A92" s="7" t="n">
        <v>100</v>
      </c>
      <c r="B92" s="113">
        <f>(0.4-A92*0.001)/7</f>
        <v/>
      </c>
      <c r="C92" s="7">
        <f>D92-4</f>
        <v/>
      </c>
      <c r="D92" s="7">
        <f>11+ROUND(A92*0.04,0)</f>
        <v/>
      </c>
      <c r="E92" s="7">
        <f>ROUND(C92/3,0)</f>
        <v/>
      </c>
    </row>
    <row r="93" ht="14.25" customHeight="1" s="142">
      <c r="A93" s="7" t="n">
        <v>101</v>
      </c>
      <c r="B93" s="113">
        <f>(0.4-A93*0.001)/7</f>
        <v/>
      </c>
      <c r="C93" s="7">
        <f>D93-4</f>
        <v/>
      </c>
      <c r="D93" s="7">
        <f>11+ROUND(A93*0.04,0)</f>
        <v/>
      </c>
      <c r="E93" s="7">
        <f>ROUND(C93/3,0)</f>
        <v/>
      </c>
    </row>
    <row r="94" ht="14.25" customHeight="1" s="142">
      <c r="A94" s="7" t="n">
        <v>102</v>
      </c>
      <c r="B94" s="113">
        <f>(0.4-A94*0.001)/7</f>
        <v/>
      </c>
      <c r="C94" s="7">
        <f>D94-4</f>
        <v/>
      </c>
      <c r="D94" s="7">
        <f>11+ROUND(A94*0.04,0)</f>
        <v/>
      </c>
      <c r="E94" s="7">
        <f>ROUND(C94/3,0)</f>
        <v/>
      </c>
    </row>
    <row r="95" ht="14.25" customHeight="1" s="142">
      <c r="A95" s="7" t="n">
        <v>103</v>
      </c>
      <c r="B95" s="113">
        <f>(0.4-A95*0.001)/7</f>
        <v/>
      </c>
      <c r="C95" s="7">
        <f>D95-4</f>
        <v/>
      </c>
      <c r="D95" s="7">
        <f>11+ROUND(A95*0.04,0)</f>
        <v/>
      </c>
      <c r="E95" s="7">
        <f>ROUND(C95/3,0)</f>
        <v/>
      </c>
    </row>
    <row r="96" ht="14.25" customHeight="1" s="142">
      <c r="A96" s="7" t="n">
        <v>104</v>
      </c>
      <c r="B96" s="113">
        <f>(0.4-A96*0.001)/7</f>
        <v/>
      </c>
      <c r="C96" s="7">
        <f>D96-4</f>
        <v/>
      </c>
      <c r="D96" s="7">
        <f>11+ROUND(A96*0.04,0)</f>
        <v/>
      </c>
      <c r="E96" s="7">
        <f>ROUND(C96/3,0)</f>
        <v/>
      </c>
    </row>
    <row r="97" ht="14.25" customHeight="1" s="142">
      <c r="A97" s="7" t="n">
        <v>105</v>
      </c>
      <c r="B97" s="113">
        <f>(0.4-A97*0.001)/7</f>
        <v/>
      </c>
      <c r="C97" s="7">
        <f>D97-4</f>
        <v/>
      </c>
      <c r="D97" s="7">
        <f>11+ROUND(A97*0.04,0)</f>
        <v/>
      </c>
      <c r="E97" s="7">
        <f>ROUND(C97/3,0)</f>
        <v/>
      </c>
    </row>
    <row r="98" ht="14.25" customHeight="1" s="142">
      <c r="A98" s="7" t="n">
        <v>106</v>
      </c>
      <c r="B98" s="113">
        <f>(0.4-A98*0.001)/7</f>
        <v/>
      </c>
      <c r="C98" s="7">
        <f>D98-4</f>
        <v/>
      </c>
      <c r="D98" s="7">
        <f>11+ROUND(A98*0.04,0)</f>
        <v/>
      </c>
      <c r="E98" s="7">
        <f>ROUND(C98/3,0)</f>
        <v/>
      </c>
    </row>
    <row r="99" ht="14.25" customHeight="1" s="142">
      <c r="A99" s="7" t="n">
        <v>107</v>
      </c>
      <c r="B99" s="113">
        <f>(0.4-A99*0.001)/7</f>
        <v/>
      </c>
      <c r="C99" s="7">
        <f>D99-4</f>
        <v/>
      </c>
      <c r="D99" s="7">
        <f>11+ROUND(A99*0.04,0)</f>
        <v/>
      </c>
      <c r="E99" s="7">
        <f>ROUND(C99/3,0)</f>
        <v/>
      </c>
    </row>
    <row r="100" ht="14.25" customHeight="1" s="142">
      <c r="A100" s="7" t="n">
        <v>108</v>
      </c>
      <c r="B100" s="113">
        <f>(0.4-A100*0.001)/7</f>
        <v/>
      </c>
      <c r="C100" s="7">
        <f>D100-4</f>
        <v/>
      </c>
      <c r="D100" s="7">
        <f>11+ROUND(A100*0.04,0)</f>
        <v/>
      </c>
      <c r="E100" s="7">
        <f>ROUND(C100/3,0)</f>
        <v/>
      </c>
    </row>
    <row r="101" ht="14.25" customHeight="1" s="142">
      <c r="A101" s="7" t="n">
        <v>109</v>
      </c>
      <c r="B101" s="113">
        <f>(0.4-A101*0.001)/7</f>
        <v/>
      </c>
      <c r="C101" s="7">
        <f>D101-4</f>
        <v/>
      </c>
      <c r="D101" s="7">
        <f>11+ROUND(A101*0.04,0)</f>
        <v/>
      </c>
      <c r="E101" s="7">
        <f>ROUND(C101/3,0)</f>
        <v/>
      </c>
    </row>
    <row r="102" ht="14.25" customHeight="1" s="142">
      <c r="A102" s="7" t="n">
        <v>110</v>
      </c>
      <c r="B102" s="113">
        <f>(0.4-A102*0.001)/7</f>
        <v/>
      </c>
      <c r="C102" s="7">
        <f>D102-4</f>
        <v/>
      </c>
      <c r="D102" s="7">
        <f>11+ROUND(A102*0.04,0)</f>
        <v/>
      </c>
      <c r="E102" s="7">
        <f>ROUND(C102/3,0)</f>
        <v/>
      </c>
    </row>
    <row r="103" ht="14.25" customHeight="1" s="142">
      <c r="A103" s="7" t="n">
        <v>111</v>
      </c>
      <c r="B103" s="113">
        <f>(0.4-A103*0.001)/7</f>
        <v/>
      </c>
      <c r="C103" s="7">
        <f>D103-4</f>
        <v/>
      </c>
      <c r="D103" s="7">
        <f>11+ROUND(A103*0.04,0)</f>
        <v/>
      </c>
      <c r="E103" s="7">
        <f>ROUND(C103/3,0)</f>
        <v/>
      </c>
    </row>
    <row r="104" ht="14.25" customHeight="1" s="142">
      <c r="A104" s="7" t="n">
        <v>112</v>
      </c>
      <c r="B104" s="113">
        <f>(0.4-A104*0.001)/7</f>
        <v/>
      </c>
      <c r="C104" s="7">
        <f>D104-4</f>
        <v/>
      </c>
      <c r="D104" s="7">
        <f>11+ROUND(A104*0.04,0)</f>
        <v/>
      </c>
      <c r="E104" s="7">
        <f>ROUND(C104/3,0)</f>
        <v/>
      </c>
    </row>
    <row r="105" ht="14.25" customHeight="1" s="142">
      <c r="A105" s="7" t="n">
        <v>113</v>
      </c>
      <c r="B105" s="113">
        <f>(0.4-A105*0.001)/7</f>
        <v/>
      </c>
      <c r="C105" s="7">
        <f>D105-4</f>
        <v/>
      </c>
      <c r="D105" s="7">
        <f>11+ROUND(A105*0.04,0)</f>
        <v/>
      </c>
      <c r="E105" s="7">
        <f>ROUND(C105/3,0)</f>
        <v/>
      </c>
    </row>
    <row r="106" ht="14.25" customHeight="1" s="142">
      <c r="A106" s="7" t="n">
        <v>114</v>
      </c>
      <c r="B106" s="113">
        <f>(0.4-A106*0.001)/7</f>
        <v/>
      </c>
      <c r="C106" s="7">
        <f>D106-4</f>
        <v/>
      </c>
      <c r="D106" s="7">
        <f>11+ROUND(A106*0.04,0)</f>
        <v/>
      </c>
      <c r="E106" s="7">
        <f>ROUND(C106/3,0)</f>
        <v/>
      </c>
    </row>
    <row r="107" ht="14.25" customHeight="1" s="142">
      <c r="A107" s="7" t="n">
        <v>115</v>
      </c>
      <c r="B107" s="113">
        <f>(0.4-A107*0.001)/7</f>
        <v/>
      </c>
      <c r="C107" s="7">
        <f>D107-4</f>
        <v/>
      </c>
      <c r="D107" s="7">
        <f>11+ROUND(A107*0.04,0)</f>
        <v/>
      </c>
      <c r="E107" s="7">
        <f>ROUND(C107/3,0)</f>
        <v/>
      </c>
    </row>
    <row r="108" ht="14.25" customHeight="1" s="142">
      <c r="A108" s="7" t="n">
        <v>116</v>
      </c>
      <c r="B108" s="113">
        <f>(0.4-A108*0.001)/7</f>
        <v/>
      </c>
      <c r="C108" s="7">
        <f>D108-4</f>
        <v/>
      </c>
      <c r="D108" s="7">
        <f>11+ROUND(A108*0.04,0)</f>
        <v/>
      </c>
      <c r="E108" s="7">
        <f>ROUND(C108/3,0)</f>
        <v/>
      </c>
    </row>
    <row r="109" ht="14.25" customHeight="1" s="142">
      <c r="A109" s="7" t="n">
        <v>117</v>
      </c>
      <c r="B109" s="113">
        <f>(0.4-A109*0.001)/7</f>
        <v/>
      </c>
      <c r="C109" s="7">
        <f>D109-4</f>
        <v/>
      </c>
      <c r="D109" s="7">
        <f>11+ROUND(A109*0.04,0)</f>
        <v/>
      </c>
      <c r="E109" s="7">
        <f>ROUND(C109/3,0)</f>
        <v/>
      </c>
    </row>
    <row r="110" ht="14.25" customHeight="1" s="142">
      <c r="A110" s="7" t="n">
        <v>118</v>
      </c>
      <c r="B110" s="113">
        <f>(0.4-A110*0.001)/7</f>
        <v/>
      </c>
      <c r="C110" s="7">
        <f>D110-4</f>
        <v/>
      </c>
      <c r="D110" s="7">
        <f>11+ROUND(A110*0.04,0)</f>
        <v/>
      </c>
      <c r="E110" s="7">
        <f>ROUND(C110/3,0)</f>
        <v/>
      </c>
    </row>
    <row r="111" ht="14.25" customHeight="1" s="142">
      <c r="A111" s="7" t="n">
        <v>119</v>
      </c>
      <c r="B111" s="113">
        <f>(0.4-A111*0.001)/7</f>
        <v/>
      </c>
      <c r="C111" s="7">
        <f>D111-4</f>
        <v/>
      </c>
      <c r="D111" s="7">
        <f>11+ROUND(A111*0.04,0)</f>
        <v/>
      </c>
      <c r="E111" s="7">
        <f>ROUND(C111/3,0)</f>
        <v/>
      </c>
    </row>
    <row r="112" ht="14.25" customHeight="1" s="142">
      <c r="A112" s="7" t="n">
        <v>120</v>
      </c>
      <c r="B112" s="113">
        <f>(0.4-A112*0.001)/7</f>
        <v/>
      </c>
      <c r="C112" s="7">
        <f>D112-4</f>
        <v/>
      </c>
      <c r="D112" s="7">
        <f>11+ROUND(A112*0.04,0)</f>
        <v/>
      </c>
      <c r="E112" s="7">
        <f>ROUND(C112/3,0)</f>
        <v/>
      </c>
    </row>
    <row r="113" ht="14.25" customHeight="1" s="142">
      <c r="A113" s="7" t="n">
        <v>121</v>
      </c>
      <c r="B113" s="113">
        <f>(0.4-A113*0.001)/7</f>
        <v/>
      </c>
      <c r="C113" s="7">
        <f>D113-4</f>
        <v/>
      </c>
      <c r="D113" s="7">
        <f>11+ROUND(A113*0.04,0)</f>
        <v/>
      </c>
      <c r="E113" s="7">
        <f>ROUND(C113/3,0)</f>
        <v/>
      </c>
    </row>
    <row r="114" ht="14.25" customHeight="1" s="142">
      <c r="A114" s="7" t="n">
        <v>122</v>
      </c>
      <c r="B114" s="113">
        <f>(0.4-A114*0.001)/7</f>
        <v/>
      </c>
      <c r="C114" s="7">
        <f>D114-4</f>
        <v/>
      </c>
      <c r="D114" s="7">
        <f>11+ROUND(A114*0.04,0)</f>
        <v/>
      </c>
      <c r="E114" s="7">
        <f>ROUND(C114/3,0)</f>
        <v/>
      </c>
    </row>
    <row r="115" ht="14.25" customHeight="1" s="142">
      <c r="A115" s="7" t="n">
        <v>123</v>
      </c>
      <c r="B115" s="113">
        <f>(0.4-A115*0.001)/7</f>
        <v/>
      </c>
      <c r="C115" s="7">
        <f>D115-4</f>
        <v/>
      </c>
      <c r="D115" s="7">
        <f>11+ROUND(A115*0.04,0)</f>
        <v/>
      </c>
      <c r="E115" s="7">
        <f>ROUND(C115/3,0)</f>
        <v/>
      </c>
    </row>
    <row r="116" ht="14.25" customHeight="1" s="142">
      <c r="A116" s="7" t="n">
        <v>124</v>
      </c>
      <c r="B116" s="113">
        <f>(0.4-A116*0.001)/7</f>
        <v/>
      </c>
      <c r="C116" s="7">
        <f>D116-4</f>
        <v/>
      </c>
      <c r="D116" s="7">
        <f>11+ROUND(A116*0.04,0)</f>
        <v/>
      </c>
      <c r="E116" s="7">
        <f>ROUND(C116/3,0)</f>
        <v/>
      </c>
    </row>
    <row r="117" ht="14.25" customHeight="1" s="142">
      <c r="A117" s="7" t="n">
        <v>125</v>
      </c>
      <c r="B117" s="113">
        <f>(0.4-A117*0.001)/7</f>
        <v/>
      </c>
      <c r="C117" s="7">
        <f>D117-4</f>
        <v/>
      </c>
      <c r="D117" s="7">
        <f>11+ROUND(A117*0.04,0)</f>
        <v/>
      </c>
      <c r="E117" s="7">
        <f>ROUND(C117/3,0)</f>
        <v/>
      </c>
    </row>
    <row r="118" ht="14.25" customHeight="1" s="142">
      <c r="A118" s="7" t="n">
        <v>126</v>
      </c>
      <c r="B118" s="113">
        <f>(0.4-A118*0.001)/7</f>
        <v/>
      </c>
      <c r="C118" s="7">
        <f>D118-4</f>
        <v/>
      </c>
      <c r="D118" s="7">
        <f>11+ROUND(A118*0.04,0)</f>
        <v/>
      </c>
      <c r="E118" s="7">
        <f>ROUND(C118/3,0)</f>
        <v/>
      </c>
    </row>
    <row r="119" ht="14.25" customHeight="1" s="142">
      <c r="A119" s="7" t="n">
        <v>127</v>
      </c>
      <c r="B119" s="113">
        <f>(0.4-A119*0.001)/7</f>
        <v/>
      </c>
      <c r="C119" s="7">
        <f>D119-4</f>
        <v/>
      </c>
      <c r="D119" s="7">
        <f>11+ROUND(A119*0.04,0)</f>
        <v/>
      </c>
      <c r="E119" s="7">
        <f>ROUND(C119/3,0)</f>
        <v/>
      </c>
    </row>
    <row r="120" ht="14.25" customHeight="1" s="142">
      <c r="A120" s="7" t="n">
        <v>128</v>
      </c>
      <c r="B120" s="113">
        <f>(0.4-A120*0.001)/7</f>
        <v/>
      </c>
      <c r="C120" s="7">
        <f>D120-4</f>
        <v/>
      </c>
      <c r="D120" s="7">
        <f>11+ROUND(A120*0.04,0)</f>
        <v/>
      </c>
      <c r="E120" s="7">
        <f>ROUND(C120/3,0)</f>
        <v/>
      </c>
    </row>
    <row r="121" ht="14.25" customHeight="1" s="142">
      <c r="A121" s="7" t="n">
        <v>129</v>
      </c>
      <c r="B121" s="113">
        <f>(0.4-A121*0.001)/7</f>
        <v/>
      </c>
      <c r="C121" s="7">
        <f>D121-4</f>
        <v/>
      </c>
      <c r="D121" s="7">
        <f>11+ROUND(A121*0.04,0)</f>
        <v/>
      </c>
      <c r="E121" s="7">
        <f>ROUND(C121/3,0)</f>
        <v/>
      </c>
    </row>
    <row r="122" ht="14.25" customHeight="1" s="142">
      <c r="A122" s="7" t="n">
        <v>130</v>
      </c>
      <c r="B122" s="113">
        <f>(0.4-A122*0.001)/7</f>
        <v/>
      </c>
      <c r="C122" s="7">
        <f>D122-4</f>
        <v/>
      </c>
      <c r="D122" s="7">
        <f>11+ROUND(A122*0.04,0)</f>
        <v/>
      </c>
      <c r="E122" s="7">
        <f>ROUND(C122/3,0)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051"/>
  <sheetViews>
    <sheetView zoomScaleNormal="100"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2.75"/>
  <cols>
    <col hidden="1" width="12.5703125" customWidth="1" style="142" min="7" max="12"/>
    <col hidden="1" width="20.85546875" customWidth="1" style="142" min="13" max="13"/>
    <col width="23.85546875" customWidth="1" style="142" min="15" max="15"/>
    <col width="18.7109375" customWidth="1" style="142" min="18" max="18"/>
  </cols>
  <sheetData>
    <row r="1" ht="14.25" customHeight="1" s="142">
      <c r="D1" s="45" t="n"/>
    </row>
    <row r="2" ht="14.25" customHeight="1" s="142">
      <c r="A2" s="40" t="inlineStr">
        <is>
          <t>id</t>
        </is>
      </c>
      <c r="B2" s="40" t="inlineStr">
        <is>
          <t>type</t>
        </is>
      </c>
      <c r="C2" s="40" t="inlineStr">
        <is>
          <t>info</t>
        </is>
      </c>
      <c r="D2" s="40" t="inlineStr">
        <is>
          <t>rare</t>
        </is>
      </c>
      <c r="E2" s="40" t="inlineStr">
        <is>
          <t>tag</t>
        </is>
      </c>
      <c r="F2" s="40" t="inlineStr">
        <is>
          <t>HP</t>
        </is>
      </c>
      <c r="G2" s="40" t="inlineStr">
        <is>
          <t>ATK</t>
        </is>
      </c>
      <c r="H2" s="40" t="inlineStr">
        <is>
          <t>MATK</t>
        </is>
      </c>
      <c r="I2" s="40" t="inlineStr">
        <is>
          <t>DEF</t>
        </is>
      </c>
      <c r="J2" s="40" t="inlineStr">
        <is>
          <t>MDEF</t>
        </is>
      </c>
      <c r="K2" s="40" t="inlineStr">
        <is>
          <t>MP</t>
        </is>
      </c>
      <c r="L2" s="40" t="inlineStr">
        <is>
          <t>AGI</t>
        </is>
      </c>
      <c r="M2" s="40" t="inlineStr">
        <is>
          <t>recipe</t>
        </is>
      </c>
      <c r="N2" s="40" t="inlineStr">
        <is>
          <t>recipe_rate</t>
        </is>
      </c>
      <c r="O2" s="40" t="inlineStr">
        <is>
          <t>buff_pasive</t>
        </is>
      </c>
      <c r="P2" s="50" t="inlineStr">
        <is>
          <t>refine_id</t>
        </is>
      </c>
      <c r="Q2" s="50" t="inlineStr">
        <is>
          <t>cost_id</t>
        </is>
      </c>
      <c r="R2" s="50" t="inlineStr">
        <is>
          <t>build</t>
        </is>
      </c>
    </row>
    <row r="3" ht="14.25" customHeight="1" s="142">
      <c r="A3" s="141" t="n"/>
      <c r="B3" s="135" t="n"/>
      <c r="C3" s="135" t="n"/>
      <c r="D3" s="135" t="n"/>
      <c r="E3" s="141" t="n"/>
      <c r="F3" s="141" t="n"/>
      <c r="G3" s="135" t="n"/>
      <c r="H3" s="141" t="n"/>
      <c r="I3" s="141" t="n"/>
      <c r="J3" s="141" t="n"/>
      <c r="K3" s="141" t="n"/>
      <c r="L3" s="141" t="n"/>
      <c r="M3" s="141" t="n"/>
      <c r="N3" s="135" t="n"/>
      <c r="O3" s="135" t="n"/>
      <c r="P3" s="52" t="n"/>
      <c r="Q3" s="52" t="n"/>
      <c r="R3" s="52" t="n"/>
    </row>
    <row r="4" ht="14.25" customHeight="1" s="142">
      <c r="A4" s="141" t="n">
        <v>70001</v>
      </c>
      <c r="B4" s="135" t="inlineStr">
        <is>
          <t>gem</t>
        </is>
      </c>
      <c r="C4" s="8" t="inlineStr">
        <is>
          <t>火焰寶石LV.1</t>
        </is>
      </c>
      <c r="D4" s="135" t="inlineStr">
        <is>
          <t>R</t>
        </is>
      </c>
      <c r="E4" s="141" t="n"/>
      <c r="F4" s="141" t="n"/>
      <c r="G4" s="135" t="n">
        <v>5</v>
      </c>
      <c r="H4" s="141" t="n"/>
      <c r="I4" s="141" t="n"/>
      <c r="J4" s="141" t="n"/>
      <c r="K4" s="141" t="n"/>
      <c r="L4" s="141" t="n"/>
      <c r="M4" s="141" t="n"/>
      <c r="N4" s="135" t="n"/>
      <c r="O4" s="135" t="n">
        <v>7001</v>
      </c>
      <c r="P4" s="52" t="n">
        <v>700</v>
      </c>
      <c r="Q4" s="52" t="n">
        <v>700</v>
      </c>
      <c r="R4" s="52" t="n"/>
    </row>
    <row r="5" ht="14.25" customHeight="1" s="142">
      <c r="A5" s="141" t="n">
        <v>70002</v>
      </c>
      <c r="B5" s="135" t="inlineStr">
        <is>
          <t>gem</t>
        </is>
      </c>
      <c r="C5" s="8" t="inlineStr">
        <is>
          <t>火焰寶石LV.2</t>
        </is>
      </c>
      <c r="D5" s="135" t="inlineStr">
        <is>
          <t>R</t>
        </is>
      </c>
      <c r="E5" s="141" t="n"/>
      <c r="F5" s="141" t="n"/>
      <c r="G5" s="135">
        <f>G4+10</f>
        <v/>
      </c>
      <c r="H5" s="141" t="n"/>
      <c r="I5" s="141" t="n"/>
      <c r="J5" s="141" t="n"/>
      <c r="K5" s="141" t="n"/>
      <c r="L5" s="141" t="n"/>
      <c r="M5" s="141">
        <f>A4&amp;","&amp;A4&amp;","&amp;A4&amp;","&amp;A4</f>
        <v/>
      </c>
      <c r="N5" s="135" t="n">
        <v>0.9</v>
      </c>
      <c r="O5" s="135" t="n">
        <v>7002</v>
      </c>
      <c r="P5" s="52" t="n">
        <v>700</v>
      </c>
      <c r="Q5" s="52" t="n">
        <v>700</v>
      </c>
      <c r="R5" s="52" t="n"/>
    </row>
    <row r="6" ht="14.25" customHeight="1" s="142">
      <c r="A6" s="141" t="n">
        <v>70003</v>
      </c>
      <c r="B6" s="135" t="inlineStr">
        <is>
          <t>gem</t>
        </is>
      </c>
      <c r="C6" s="8" t="inlineStr">
        <is>
          <t>火焰寶石LV.3</t>
        </is>
      </c>
      <c r="D6" s="135" t="inlineStr">
        <is>
          <t>R</t>
        </is>
      </c>
      <c r="E6" s="141" t="n"/>
      <c r="F6" s="141" t="n"/>
      <c r="G6" s="135">
        <f>G5+10</f>
        <v/>
      </c>
      <c r="H6" s="141" t="n"/>
      <c r="I6" s="141" t="n"/>
      <c r="J6" s="141" t="n"/>
      <c r="K6" s="141" t="n"/>
      <c r="L6" s="141" t="n"/>
      <c r="M6" s="141">
        <f>A5&amp;","&amp;A5&amp;","&amp;A5&amp;","&amp;A5</f>
        <v/>
      </c>
      <c r="N6" s="135" t="n">
        <v>0.8</v>
      </c>
      <c r="O6" s="135" t="n">
        <v>7003</v>
      </c>
      <c r="P6" s="52" t="n">
        <v>700</v>
      </c>
      <c r="Q6" s="52" t="n">
        <v>700</v>
      </c>
      <c r="R6" s="52" t="n"/>
    </row>
    <row r="7" ht="14.25" customHeight="1" s="142">
      <c r="A7" s="141" t="n">
        <v>70004</v>
      </c>
      <c r="B7" s="135" t="inlineStr">
        <is>
          <t>gem</t>
        </is>
      </c>
      <c r="C7" s="8" t="inlineStr">
        <is>
          <t>火焰寶石LV.4</t>
        </is>
      </c>
      <c r="D7" s="135" t="inlineStr">
        <is>
          <t>SR</t>
        </is>
      </c>
      <c r="E7" s="141" t="n"/>
      <c r="F7" s="141" t="n"/>
      <c r="G7" s="135">
        <f>G6+10</f>
        <v/>
      </c>
      <c r="H7" s="141" t="n"/>
      <c r="I7" s="141" t="n"/>
      <c r="J7" s="141" t="n"/>
      <c r="K7" s="141" t="n"/>
      <c r="L7" s="141" t="n"/>
      <c r="M7" s="141">
        <f>A6&amp;","&amp;A6&amp;","&amp;A6&amp;","&amp;A6</f>
        <v/>
      </c>
      <c r="N7" s="135">
        <f>N6-0.2</f>
        <v/>
      </c>
      <c r="O7" s="135" t="n">
        <v>7004</v>
      </c>
      <c r="P7" s="52" t="n">
        <v>700</v>
      </c>
      <c r="Q7" s="52" t="n">
        <v>700</v>
      </c>
      <c r="R7" s="52" t="n"/>
    </row>
    <row r="8" ht="14.25" customHeight="1" s="142">
      <c r="A8" s="141" t="n">
        <v>70005</v>
      </c>
      <c r="B8" s="135" t="inlineStr">
        <is>
          <t>gem</t>
        </is>
      </c>
      <c r="C8" s="8" t="inlineStr">
        <is>
          <t>火焰寶石LV.5</t>
        </is>
      </c>
      <c r="D8" s="135" t="inlineStr">
        <is>
          <t>SR</t>
        </is>
      </c>
      <c r="E8" s="141" t="n"/>
      <c r="F8" s="141" t="n"/>
      <c r="G8" s="135">
        <f>G7+20</f>
        <v/>
      </c>
      <c r="H8" s="141" t="n"/>
      <c r="I8" s="141" t="n"/>
      <c r="J8" s="141" t="n"/>
      <c r="K8" s="141" t="n"/>
      <c r="L8" s="141" t="n"/>
      <c r="M8" s="141">
        <f>A7&amp;","&amp;A7&amp;","&amp;A7&amp;","&amp;A7</f>
        <v/>
      </c>
      <c r="N8" s="135">
        <f>N7-0.2</f>
        <v/>
      </c>
      <c r="O8" s="135" t="n">
        <v>7005</v>
      </c>
      <c r="P8" s="52" t="n">
        <v>700</v>
      </c>
      <c r="Q8" s="52" t="n">
        <v>700</v>
      </c>
      <c r="R8" s="52" t="n"/>
    </row>
    <row r="9" ht="14.25" customHeight="1" s="142">
      <c r="A9" s="141" t="n">
        <v>70006</v>
      </c>
      <c r="B9" s="135" t="inlineStr">
        <is>
          <t>gem</t>
        </is>
      </c>
      <c r="C9" s="8" t="inlineStr">
        <is>
          <t>火焰寶石LV.6</t>
        </is>
      </c>
      <c r="D9" s="135" t="inlineStr">
        <is>
          <t>SR</t>
        </is>
      </c>
      <c r="E9" s="141" t="n"/>
      <c r="F9" s="141" t="n"/>
      <c r="G9" s="135">
        <f>G8+20</f>
        <v/>
      </c>
      <c r="H9" s="141" t="n"/>
      <c r="I9" s="141" t="n"/>
      <c r="J9" s="141" t="n"/>
      <c r="K9" s="141" t="n"/>
      <c r="L9" s="141" t="n"/>
      <c r="M9" s="141">
        <f>A8&amp;","&amp;A8&amp;","&amp;A8&amp;","&amp;A8</f>
        <v/>
      </c>
      <c r="N9" s="135">
        <f>N8-0.2</f>
        <v/>
      </c>
      <c r="O9" s="135" t="n">
        <v>7006</v>
      </c>
      <c r="P9" s="52" t="n">
        <v>700</v>
      </c>
      <c r="Q9" s="52" t="n">
        <v>700</v>
      </c>
      <c r="R9" s="52" t="n"/>
    </row>
    <row r="10" ht="14.25" customHeight="1" s="142">
      <c r="A10" s="141" t="n">
        <v>70007</v>
      </c>
      <c r="B10" s="135" t="inlineStr">
        <is>
          <t>gem</t>
        </is>
      </c>
      <c r="C10" s="8" t="inlineStr">
        <is>
          <t>火焰寶石LV.7</t>
        </is>
      </c>
      <c r="D10" s="135" t="inlineStr">
        <is>
          <t>SR</t>
        </is>
      </c>
      <c r="E10" s="141" t="n"/>
      <c r="F10" s="141" t="n"/>
      <c r="G10" s="135">
        <f>G9+20</f>
        <v/>
      </c>
      <c r="H10" s="141" t="n"/>
      <c r="I10" s="141" t="n"/>
      <c r="J10" s="141" t="n"/>
      <c r="K10" s="141" t="n"/>
      <c r="L10" s="141" t="n"/>
      <c r="M10" s="141">
        <f>A9&amp;","&amp;A9&amp;","&amp;A9&amp;","&amp;A9</f>
        <v/>
      </c>
      <c r="N10" s="135" t="n">
        <v>0.2</v>
      </c>
      <c r="O10" s="135" t="n">
        <v>7007</v>
      </c>
      <c r="P10" s="52" t="n">
        <v>700</v>
      </c>
      <c r="Q10" s="52" t="n">
        <v>700</v>
      </c>
      <c r="R10" s="52" t="n"/>
    </row>
    <row r="11" ht="14.25" customHeight="1" s="142">
      <c r="A11" s="141" t="n">
        <v>70008</v>
      </c>
      <c r="B11" s="135" t="inlineStr">
        <is>
          <t>gem</t>
        </is>
      </c>
      <c r="C11" s="8" t="inlineStr">
        <is>
          <t>火焰寶石LV.8</t>
        </is>
      </c>
      <c r="D11" s="135" t="inlineStr">
        <is>
          <t>SSR</t>
        </is>
      </c>
      <c r="E11" s="141" t="n"/>
      <c r="F11" s="141" t="n"/>
      <c r="G11" s="135">
        <f>G10+45</f>
        <v/>
      </c>
      <c r="H11" s="141" t="n"/>
      <c r="I11" s="141" t="n"/>
      <c r="J11" s="141" t="n"/>
      <c r="K11" s="141" t="n"/>
      <c r="L11" s="141" t="n"/>
      <c r="M11" s="141">
        <f>A10&amp;","&amp;A10&amp;","&amp;A10&amp;","&amp;A10</f>
        <v/>
      </c>
      <c r="N11" s="135" t="n">
        <v>0.2</v>
      </c>
      <c r="O11" s="135" t="n">
        <v>7008</v>
      </c>
      <c r="P11" s="52" t="n">
        <v>700</v>
      </c>
      <c r="Q11" s="52" t="n">
        <v>700</v>
      </c>
      <c r="R11" s="52" t="n"/>
    </row>
    <row r="12" ht="14.25" customHeight="1" s="142">
      <c r="A12" s="141" t="n">
        <v>70009</v>
      </c>
      <c r="B12" s="135" t="inlineStr">
        <is>
          <t>gem</t>
        </is>
      </c>
      <c r="C12" s="8" t="inlineStr">
        <is>
          <t>火焰寶石LV.9</t>
        </is>
      </c>
      <c r="D12" s="135" t="inlineStr">
        <is>
          <t>SSR</t>
        </is>
      </c>
      <c r="E12" s="141" t="n"/>
      <c r="F12" s="141" t="n"/>
      <c r="G12" s="135">
        <f>G11+45</f>
        <v/>
      </c>
      <c r="H12" s="141" t="n"/>
      <c r="I12" s="141" t="n"/>
      <c r="J12" s="141" t="n"/>
      <c r="K12" s="141" t="n"/>
      <c r="L12" s="141" t="n"/>
      <c r="M12" s="141">
        <f>A11&amp;","&amp;A11&amp;","&amp;A11&amp;","&amp;A11</f>
        <v/>
      </c>
      <c r="N12" s="135" t="n">
        <v>0.2</v>
      </c>
      <c r="O12" s="135" t="n">
        <v>7009</v>
      </c>
      <c r="P12" s="52" t="n">
        <v>700</v>
      </c>
      <c r="Q12" s="52" t="n">
        <v>700</v>
      </c>
      <c r="R12" s="52" t="n"/>
    </row>
    <row r="13" ht="14.25" customHeight="1" s="142">
      <c r="A13" s="141" t="n">
        <v>70010</v>
      </c>
      <c r="B13" s="135" t="inlineStr">
        <is>
          <t>gem</t>
        </is>
      </c>
      <c r="C13" s="8" t="inlineStr">
        <is>
          <t>火焰寶石LV.10</t>
        </is>
      </c>
      <c r="D13" s="135" t="inlineStr">
        <is>
          <t>SSR</t>
        </is>
      </c>
      <c r="E13" s="141" t="n"/>
      <c r="F13" s="141" t="n"/>
      <c r="G13" s="135">
        <f>G12+45</f>
        <v/>
      </c>
      <c r="H13" s="141" t="n"/>
      <c r="I13" s="141" t="n"/>
      <c r="J13" s="141" t="n"/>
      <c r="K13" s="141" t="n"/>
      <c r="L13" s="141" t="n"/>
      <c r="M13" s="141">
        <f>A12&amp;","&amp;A12&amp;","&amp;A12&amp;","&amp;A12</f>
        <v/>
      </c>
      <c r="N13" s="135" t="n">
        <v>0.2</v>
      </c>
      <c r="O13" s="135" t="n">
        <v>7010</v>
      </c>
      <c r="P13" s="52" t="n">
        <v>700</v>
      </c>
      <c r="Q13" s="52" t="n">
        <v>700</v>
      </c>
      <c r="R13" s="52" t="n"/>
    </row>
    <row r="14" ht="14.25" customHeight="1" s="142">
      <c r="A14" s="141" t="n">
        <v>70011</v>
      </c>
      <c r="B14" s="135" t="inlineStr">
        <is>
          <t>gem</t>
        </is>
      </c>
      <c r="C14" s="8" t="inlineStr">
        <is>
          <t>綠光寶石LV.1</t>
        </is>
      </c>
      <c r="D14" s="135" t="inlineStr">
        <is>
          <t>R</t>
        </is>
      </c>
      <c r="E14" s="141" t="n"/>
      <c r="F14" s="141" t="n"/>
      <c r="G14" s="141" t="n"/>
      <c r="H14" s="135" t="n">
        <v>8</v>
      </c>
      <c r="I14" s="141" t="n"/>
      <c r="J14" s="141" t="n"/>
      <c r="K14" s="141" t="n"/>
      <c r="L14" s="141" t="n"/>
      <c r="M14" s="141" t="n"/>
      <c r="N14" s="135" t="n"/>
      <c r="O14" s="135" t="n">
        <v>7011</v>
      </c>
      <c r="P14" s="52" t="n">
        <v>700</v>
      </c>
      <c r="Q14" s="52" t="n">
        <v>700</v>
      </c>
      <c r="R14" s="52" t="n"/>
    </row>
    <row r="15" ht="14.25" customHeight="1" s="142">
      <c r="A15" s="141" t="n">
        <v>70012</v>
      </c>
      <c r="B15" s="135" t="inlineStr">
        <is>
          <t>gem</t>
        </is>
      </c>
      <c r="C15" s="8" t="inlineStr">
        <is>
          <t>綠光寶石LV.2</t>
        </is>
      </c>
      <c r="D15" s="135" t="inlineStr">
        <is>
          <t>R</t>
        </is>
      </c>
      <c r="E15" s="141" t="n"/>
      <c r="F15" s="141" t="n"/>
      <c r="G15" s="141" t="n"/>
      <c r="H15" s="135">
        <f>H14+11</f>
        <v/>
      </c>
      <c r="I15" s="141" t="n"/>
      <c r="J15" s="141" t="n"/>
      <c r="K15" s="141" t="n"/>
      <c r="L15" s="141" t="n"/>
      <c r="M15" s="141">
        <f>A14&amp;","&amp;A14&amp;","&amp;A14&amp;","&amp;A14</f>
        <v/>
      </c>
      <c r="N15" s="135" t="n">
        <v>0.9</v>
      </c>
      <c r="O15" s="135" t="n">
        <v>7012</v>
      </c>
      <c r="P15" s="52" t="n">
        <v>700</v>
      </c>
      <c r="Q15" s="52" t="n">
        <v>700</v>
      </c>
      <c r="R15" s="52" t="n"/>
    </row>
    <row r="16" ht="14.25" customHeight="1" s="142">
      <c r="A16" s="141" t="n">
        <v>70013</v>
      </c>
      <c r="B16" s="135" t="inlineStr">
        <is>
          <t>gem</t>
        </is>
      </c>
      <c r="C16" s="8" t="inlineStr">
        <is>
          <t>綠光寶石LV.3</t>
        </is>
      </c>
      <c r="D16" s="135" t="inlineStr">
        <is>
          <t>R</t>
        </is>
      </c>
      <c r="E16" s="141" t="n"/>
      <c r="F16" s="141" t="n"/>
      <c r="G16" s="141" t="n"/>
      <c r="H16" s="135">
        <f>H15+11</f>
        <v/>
      </c>
      <c r="I16" s="141" t="n"/>
      <c r="J16" s="141" t="n"/>
      <c r="K16" s="141" t="n"/>
      <c r="L16" s="141" t="n"/>
      <c r="M16" s="141">
        <f>A15&amp;","&amp;A15&amp;","&amp;A15&amp;","&amp;A15</f>
        <v/>
      </c>
      <c r="N16" s="135" t="n">
        <v>0.8</v>
      </c>
      <c r="O16" s="135" t="n">
        <v>7013</v>
      </c>
      <c r="P16" s="52" t="n">
        <v>700</v>
      </c>
      <c r="Q16" s="52" t="n">
        <v>700</v>
      </c>
      <c r="R16" s="52" t="n"/>
    </row>
    <row r="17" ht="14.25" customHeight="1" s="142">
      <c r="A17" s="141" t="n">
        <v>70014</v>
      </c>
      <c r="B17" s="135" t="inlineStr">
        <is>
          <t>gem</t>
        </is>
      </c>
      <c r="C17" s="8" t="inlineStr">
        <is>
          <t>綠光寶石LV.4</t>
        </is>
      </c>
      <c r="D17" s="135" t="inlineStr">
        <is>
          <t>SR</t>
        </is>
      </c>
      <c r="E17" s="141" t="n"/>
      <c r="F17" s="141" t="n"/>
      <c r="G17" s="141" t="n"/>
      <c r="H17" s="135">
        <f>H16+11</f>
        <v/>
      </c>
      <c r="I17" s="141" t="n"/>
      <c r="J17" s="141" t="n"/>
      <c r="K17" s="141" t="n"/>
      <c r="L17" s="141" t="n"/>
      <c r="M17" s="141">
        <f>A16&amp;","&amp;A16&amp;","&amp;A16&amp;","&amp;A16</f>
        <v/>
      </c>
      <c r="N17" s="135">
        <f>N16-0.2</f>
        <v/>
      </c>
      <c r="O17" s="135" t="n">
        <v>7014</v>
      </c>
      <c r="P17" s="52" t="n">
        <v>700</v>
      </c>
      <c r="Q17" s="52" t="n">
        <v>700</v>
      </c>
      <c r="R17" s="52" t="n"/>
    </row>
    <row r="18" ht="14.25" customHeight="1" s="142">
      <c r="A18" s="141" t="n">
        <v>70015</v>
      </c>
      <c r="B18" s="135" t="inlineStr">
        <is>
          <t>gem</t>
        </is>
      </c>
      <c r="C18" s="8" t="inlineStr">
        <is>
          <t>綠光寶石LV.5</t>
        </is>
      </c>
      <c r="D18" s="135" t="inlineStr">
        <is>
          <t>SR</t>
        </is>
      </c>
      <c r="E18" s="141" t="n"/>
      <c r="F18" s="141" t="n"/>
      <c r="G18" s="141" t="n"/>
      <c r="H18" s="135">
        <f>H17+23</f>
        <v/>
      </c>
      <c r="I18" s="141" t="n"/>
      <c r="J18" s="141" t="n"/>
      <c r="K18" s="141" t="n"/>
      <c r="L18" s="141" t="n"/>
      <c r="M18" s="141">
        <f>A17&amp;","&amp;A17&amp;","&amp;A17&amp;","&amp;A17</f>
        <v/>
      </c>
      <c r="N18" s="135">
        <f>N17-0.2</f>
        <v/>
      </c>
      <c r="O18" s="135" t="n">
        <v>7015</v>
      </c>
      <c r="P18" s="52" t="n">
        <v>700</v>
      </c>
      <c r="Q18" s="52" t="n">
        <v>700</v>
      </c>
      <c r="R18" s="52" t="n"/>
    </row>
    <row r="19" ht="14.25" customHeight="1" s="142">
      <c r="A19" s="141" t="n">
        <v>70016</v>
      </c>
      <c r="B19" s="135" t="inlineStr">
        <is>
          <t>gem</t>
        </is>
      </c>
      <c r="C19" s="8" t="inlineStr">
        <is>
          <t>綠光寶石LV.6</t>
        </is>
      </c>
      <c r="D19" s="135" t="inlineStr">
        <is>
          <t>SR</t>
        </is>
      </c>
      <c r="E19" s="141" t="n"/>
      <c r="F19" s="141" t="n"/>
      <c r="G19" s="141" t="n"/>
      <c r="H19" s="135">
        <f>H18+23</f>
        <v/>
      </c>
      <c r="I19" s="141" t="n"/>
      <c r="J19" s="141" t="n"/>
      <c r="K19" s="141" t="n"/>
      <c r="L19" s="141" t="n"/>
      <c r="M19" s="141">
        <f>A18&amp;","&amp;A18&amp;","&amp;A18&amp;","&amp;A18</f>
        <v/>
      </c>
      <c r="N19" s="135">
        <f>N18-0.2</f>
        <v/>
      </c>
      <c r="O19" s="135" t="n">
        <v>7016</v>
      </c>
      <c r="P19" s="52" t="n">
        <v>700</v>
      </c>
      <c r="Q19" s="52" t="n">
        <v>700</v>
      </c>
      <c r="R19" s="52" t="n"/>
    </row>
    <row r="20" ht="14.25" customHeight="1" s="142">
      <c r="A20" s="141" t="n">
        <v>70017</v>
      </c>
      <c r="B20" s="135" t="inlineStr">
        <is>
          <t>gem</t>
        </is>
      </c>
      <c r="C20" s="8" t="inlineStr">
        <is>
          <t>綠光寶石LV.7</t>
        </is>
      </c>
      <c r="D20" s="135" t="inlineStr">
        <is>
          <t>SR</t>
        </is>
      </c>
      <c r="E20" s="141" t="n"/>
      <c r="F20" s="141" t="n"/>
      <c r="G20" s="141" t="n"/>
      <c r="H20" s="135">
        <f>H19+23</f>
        <v/>
      </c>
      <c r="I20" s="141" t="n"/>
      <c r="J20" s="141" t="n"/>
      <c r="K20" s="141" t="n"/>
      <c r="L20" s="141" t="n"/>
      <c r="M20" s="141">
        <f>A19&amp;","&amp;A19&amp;","&amp;A19&amp;","&amp;A19</f>
        <v/>
      </c>
      <c r="N20" s="135" t="n">
        <v>0.2</v>
      </c>
      <c r="O20" s="135" t="n">
        <v>7017</v>
      </c>
      <c r="P20" s="52" t="n">
        <v>700</v>
      </c>
      <c r="Q20" s="52" t="n">
        <v>700</v>
      </c>
      <c r="R20" s="52" t="n"/>
    </row>
    <row r="21" ht="14.25" customHeight="1" s="142">
      <c r="A21" s="141" t="n">
        <v>70018</v>
      </c>
      <c r="B21" s="135" t="inlineStr">
        <is>
          <t>gem</t>
        </is>
      </c>
      <c r="C21" s="8" t="inlineStr">
        <is>
          <t>綠光寶石LV.8</t>
        </is>
      </c>
      <c r="D21" s="135" t="inlineStr">
        <is>
          <t>SSR</t>
        </is>
      </c>
      <c r="E21" s="141" t="n"/>
      <c r="F21" s="141" t="n"/>
      <c r="G21" s="141" t="n"/>
      <c r="H21" s="135">
        <f>H20+48</f>
        <v/>
      </c>
      <c r="I21" s="141" t="n"/>
      <c r="J21" s="141" t="n"/>
      <c r="K21" s="141" t="n"/>
      <c r="L21" s="141" t="n"/>
      <c r="M21" s="141">
        <f>A20&amp;","&amp;A20&amp;","&amp;A20&amp;","&amp;A20</f>
        <v/>
      </c>
      <c r="N21" s="135" t="n">
        <v>0.2</v>
      </c>
      <c r="O21" s="135" t="n">
        <v>7018</v>
      </c>
      <c r="P21" s="52" t="n">
        <v>700</v>
      </c>
      <c r="Q21" s="52" t="n">
        <v>700</v>
      </c>
      <c r="R21" s="52" t="n"/>
    </row>
    <row r="22" ht="14.25" customHeight="1" s="142">
      <c r="A22" s="141" t="n">
        <v>70019</v>
      </c>
      <c r="B22" s="135" t="inlineStr">
        <is>
          <t>gem</t>
        </is>
      </c>
      <c r="C22" s="8" t="inlineStr">
        <is>
          <t>綠光寶石LV.9</t>
        </is>
      </c>
      <c r="D22" s="135" t="inlineStr">
        <is>
          <t>SSR</t>
        </is>
      </c>
      <c r="E22" s="141" t="n"/>
      <c r="F22" s="141" t="n"/>
      <c r="G22" s="141" t="n"/>
      <c r="H22" s="135">
        <f>H21+48</f>
        <v/>
      </c>
      <c r="I22" s="141" t="n"/>
      <c r="J22" s="141" t="n"/>
      <c r="K22" s="141" t="n"/>
      <c r="L22" s="141" t="n"/>
      <c r="M22" s="141">
        <f>A21&amp;","&amp;A21&amp;","&amp;A21&amp;","&amp;A21</f>
        <v/>
      </c>
      <c r="N22" s="135" t="n">
        <v>0.2</v>
      </c>
      <c r="O22" s="135" t="n">
        <v>7019</v>
      </c>
      <c r="P22" s="52" t="n">
        <v>700</v>
      </c>
      <c r="Q22" s="52" t="n">
        <v>700</v>
      </c>
      <c r="R22" s="52" t="n"/>
    </row>
    <row r="23" ht="14.25" customHeight="1" s="142">
      <c r="A23" s="141" t="n">
        <v>70020</v>
      </c>
      <c r="B23" s="135" t="inlineStr">
        <is>
          <t>gem</t>
        </is>
      </c>
      <c r="C23" s="8" t="inlineStr">
        <is>
          <t>綠光寶石LV.10</t>
        </is>
      </c>
      <c r="D23" s="135" t="inlineStr">
        <is>
          <t>SSR</t>
        </is>
      </c>
      <c r="E23" s="141" t="n"/>
      <c r="F23" s="141" t="n"/>
      <c r="G23" s="141" t="n"/>
      <c r="H23" s="135" t="n">
        <v>255</v>
      </c>
      <c r="I23" s="141" t="n"/>
      <c r="J23" s="141" t="n"/>
      <c r="K23" s="141" t="n"/>
      <c r="L23" s="141" t="n"/>
      <c r="M23" s="141">
        <f>A22&amp;","&amp;A22&amp;","&amp;A22&amp;","&amp;A22</f>
        <v/>
      </c>
      <c r="N23" s="135" t="n">
        <v>0.2</v>
      </c>
      <c r="O23" s="135" t="n">
        <v>7020</v>
      </c>
      <c r="P23" s="52" t="n">
        <v>700</v>
      </c>
      <c r="Q23" s="52" t="n">
        <v>700</v>
      </c>
      <c r="R23" s="52" t="n"/>
    </row>
    <row r="24" ht="14.25" customHeight="1" s="142">
      <c r="A24" s="141" t="n">
        <v>70021</v>
      </c>
      <c r="B24" s="135" t="inlineStr">
        <is>
          <t>gem</t>
        </is>
      </c>
      <c r="C24" s="8" t="inlineStr">
        <is>
          <t>琉璃寶石LV.1</t>
        </is>
      </c>
      <c r="D24" s="135" t="inlineStr">
        <is>
          <t>R</t>
        </is>
      </c>
      <c r="E24" s="141" t="n"/>
      <c r="F24" s="141" t="n"/>
      <c r="G24" s="141" t="n"/>
      <c r="H24" s="141" t="n"/>
      <c r="I24" s="141" t="n"/>
      <c r="J24" s="135" t="n">
        <v>16</v>
      </c>
      <c r="K24" s="141" t="n"/>
      <c r="L24" s="141" t="n"/>
      <c r="M24" s="141" t="n"/>
      <c r="N24" s="135" t="n"/>
      <c r="O24" s="135" t="n">
        <v>7021</v>
      </c>
      <c r="P24" s="52" t="n">
        <v>700</v>
      </c>
      <c r="Q24" s="52" t="n">
        <v>700</v>
      </c>
      <c r="R24" s="52" t="n"/>
    </row>
    <row r="25" ht="14.25" customHeight="1" s="142">
      <c r="A25" s="141" t="n">
        <v>70022</v>
      </c>
      <c r="B25" s="135" t="inlineStr">
        <is>
          <t>gem</t>
        </is>
      </c>
      <c r="C25" s="8" t="inlineStr">
        <is>
          <t>琉璃寶石LV.2</t>
        </is>
      </c>
      <c r="D25" s="135" t="inlineStr">
        <is>
          <t>R</t>
        </is>
      </c>
      <c r="E25" s="141" t="n"/>
      <c r="F25" s="141" t="n"/>
      <c r="G25" s="141" t="n"/>
      <c r="H25" s="141" t="n"/>
      <c r="I25" s="141" t="n"/>
      <c r="J25" s="135">
        <f>J24+11</f>
        <v/>
      </c>
      <c r="K25" s="141" t="n"/>
      <c r="L25" s="141" t="n"/>
      <c r="M25" s="141">
        <f>A24&amp;","&amp;A24&amp;","&amp;A24&amp;","&amp;A24</f>
        <v/>
      </c>
      <c r="N25" s="135" t="n">
        <v>0.9</v>
      </c>
      <c r="O25" s="135">
        <f>O24+1</f>
        <v/>
      </c>
      <c r="P25" s="52" t="n">
        <v>700</v>
      </c>
      <c r="Q25" s="52" t="n">
        <v>700</v>
      </c>
      <c r="R25" s="52" t="n"/>
    </row>
    <row r="26" ht="14.25" customHeight="1" s="142">
      <c r="A26" s="141" t="n">
        <v>70023</v>
      </c>
      <c r="B26" s="135" t="inlineStr">
        <is>
          <t>gem</t>
        </is>
      </c>
      <c r="C26" s="8" t="inlineStr">
        <is>
          <t>琉璃寶石LV.3</t>
        </is>
      </c>
      <c r="D26" s="135" t="inlineStr">
        <is>
          <t>R</t>
        </is>
      </c>
      <c r="E26" s="141" t="n"/>
      <c r="F26" s="141" t="n"/>
      <c r="G26" s="141" t="n"/>
      <c r="H26" s="141" t="n"/>
      <c r="I26" s="141" t="n"/>
      <c r="J26" s="135">
        <f>J25+11</f>
        <v/>
      </c>
      <c r="K26" s="141" t="n"/>
      <c r="L26" s="141" t="n"/>
      <c r="M26" s="141">
        <f>A25&amp;","&amp;A25&amp;","&amp;A25&amp;","&amp;A25</f>
        <v/>
      </c>
      <c r="N26" s="135" t="n">
        <v>0.8</v>
      </c>
      <c r="O26" s="135">
        <f>O25+1</f>
        <v/>
      </c>
      <c r="P26" s="52" t="n">
        <v>700</v>
      </c>
      <c r="Q26" s="52" t="n">
        <v>700</v>
      </c>
      <c r="R26" s="52" t="n"/>
    </row>
    <row r="27" ht="14.25" customHeight="1" s="142">
      <c r="A27" s="141" t="n">
        <v>70024</v>
      </c>
      <c r="B27" s="135" t="inlineStr">
        <is>
          <t>gem</t>
        </is>
      </c>
      <c r="C27" s="8" t="inlineStr">
        <is>
          <t>琉璃寶石LV.4</t>
        </is>
      </c>
      <c r="D27" s="135" t="inlineStr">
        <is>
          <t>SR</t>
        </is>
      </c>
      <c r="E27" s="141" t="n"/>
      <c r="F27" s="141" t="n"/>
      <c r="G27" s="141" t="n"/>
      <c r="H27" s="141" t="n"/>
      <c r="I27" s="141" t="n"/>
      <c r="J27" s="135">
        <f>J26+11</f>
        <v/>
      </c>
      <c r="K27" s="141" t="n"/>
      <c r="L27" s="141" t="n"/>
      <c r="M27" s="141">
        <f>A26&amp;","&amp;A26&amp;","&amp;A26&amp;","&amp;A26</f>
        <v/>
      </c>
      <c r="N27" s="135">
        <f>N26-0.2</f>
        <v/>
      </c>
      <c r="O27" s="135">
        <f>O26+1</f>
        <v/>
      </c>
      <c r="P27" s="52" t="n">
        <v>700</v>
      </c>
      <c r="Q27" s="52" t="n">
        <v>700</v>
      </c>
      <c r="R27" s="52" t="n"/>
    </row>
    <row r="28" ht="14.25" customHeight="1" s="142">
      <c r="A28" s="141" t="n">
        <v>70025</v>
      </c>
      <c r="B28" s="135" t="inlineStr">
        <is>
          <t>gem</t>
        </is>
      </c>
      <c r="C28" s="8" t="inlineStr">
        <is>
          <t>琉璃寶石LV.5</t>
        </is>
      </c>
      <c r="D28" s="135" t="inlineStr">
        <is>
          <t>SR</t>
        </is>
      </c>
      <c r="E28" s="141" t="n"/>
      <c r="F28" s="141" t="n"/>
      <c r="G28" s="141" t="n"/>
      <c r="H28" s="141" t="n"/>
      <c r="I28" s="141" t="n"/>
      <c r="J28" s="135">
        <f>J27+23</f>
        <v/>
      </c>
      <c r="K28" s="141" t="n"/>
      <c r="L28" s="141" t="n"/>
      <c r="M28" s="141">
        <f>A27&amp;","&amp;A27&amp;","&amp;A27&amp;","&amp;A27</f>
        <v/>
      </c>
      <c r="N28" s="135">
        <f>N27-0.2</f>
        <v/>
      </c>
      <c r="O28" s="135">
        <f>O27+1</f>
        <v/>
      </c>
      <c r="P28" s="52" t="n">
        <v>700</v>
      </c>
      <c r="Q28" s="52" t="n">
        <v>700</v>
      </c>
      <c r="R28" s="52" t="n"/>
    </row>
    <row r="29" ht="14.25" customHeight="1" s="142">
      <c r="A29" s="141" t="n">
        <v>70026</v>
      </c>
      <c r="B29" s="135" t="inlineStr">
        <is>
          <t>gem</t>
        </is>
      </c>
      <c r="C29" s="8" t="inlineStr">
        <is>
          <t>琉璃寶石LV.6</t>
        </is>
      </c>
      <c r="D29" s="135" t="inlineStr">
        <is>
          <t>SR</t>
        </is>
      </c>
      <c r="E29" s="141" t="n"/>
      <c r="F29" s="141" t="n"/>
      <c r="G29" s="141" t="n"/>
      <c r="H29" s="141" t="n"/>
      <c r="I29" s="141" t="n"/>
      <c r="J29" s="135">
        <f>J28+23</f>
        <v/>
      </c>
      <c r="K29" s="141" t="n"/>
      <c r="L29" s="141" t="n"/>
      <c r="M29" s="141">
        <f>A28&amp;","&amp;A28&amp;","&amp;A28&amp;","&amp;A28</f>
        <v/>
      </c>
      <c r="N29" s="135">
        <f>N28-0.2</f>
        <v/>
      </c>
      <c r="O29" s="135">
        <f>O28+1</f>
        <v/>
      </c>
      <c r="P29" s="52" t="n">
        <v>700</v>
      </c>
      <c r="Q29" s="52" t="n">
        <v>700</v>
      </c>
      <c r="R29" s="52" t="n"/>
    </row>
    <row r="30" ht="14.25" customHeight="1" s="142">
      <c r="A30" s="141" t="n">
        <v>70027</v>
      </c>
      <c r="B30" s="135" t="inlineStr">
        <is>
          <t>gem</t>
        </is>
      </c>
      <c r="C30" s="8" t="inlineStr">
        <is>
          <t>琉璃寶石LV.7</t>
        </is>
      </c>
      <c r="D30" s="135" t="inlineStr">
        <is>
          <t>SR</t>
        </is>
      </c>
      <c r="E30" s="141" t="n"/>
      <c r="F30" s="141" t="n"/>
      <c r="G30" s="141" t="n"/>
      <c r="H30" s="141" t="n"/>
      <c r="I30" s="141" t="n"/>
      <c r="J30" s="135">
        <f>J29+23</f>
        <v/>
      </c>
      <c r="K30" s="141" t="n"/>
      <c r="L30" s="141" t="n"/>
      <c r="M30" s="141">
        <f>A29&amp;","&amp;A29&amp;","&amp;A29&amp;","&amp;A29</f>
        <v/>
      </c>
      <c r="N30" s="135" t="n">
        <v>0.2</v>
      </c>
      <c r="O30" s="135">
        <f>O29+1</f>
        <v/>
      </c>
      <c r="P30" s="52" t="n">
        <v>700</v>
      </c>
      <c r="Q30" s="52" t="n">
        <v>700</v>
      </c>
      <c r="R30" s="52" t="n"/>
    </row>
    <row r="31" ht="14.25" customHeight="1" s="142">
      <c r="A31" s="141" t="n">
        <v>70028</v>
      </c>
      <c r="B31" s="135" t="inlineStr">
        <is>
          <t>gem</t>
        </is>
      </c>
      <c r="C31" s="8" t="inlineStr">
        <is>
          <t>琉璃寶石LV.8</t>
        </is>
      </c>
      <c r="D31" s="135" t="inlineStr">
        <is>
          <t>SSR</t>
        </is>
      </c>
      <c r="E31" s="141" t="n"/>
      <c r="F31" s="141" t="n"/>
      <c r="G31" s="141" t="n"/>
      <c r="H31" s="141" t="n"/>
      <c r="I31" s="141" t="n"/>
      <c r="J31" s="135">
        <f>J30+48</f>
        <v/>
      </c>
      <c r="K31" s="141" t="n"/>
      <c r="L31" s="141" t="n"/>
      <c r="M31" s="141">
        <f>A30&amp;","&amp;A30&amp;","&amp;A30&amp;","&amp;A30</f>
        <v/>
      </c>
      <c r="N31" s="135" t="n">
        <v>0.2</v>
      </c>
      <c r="O31" s="135">
        <f>O30+1</f>
        <v/>
      </c>
      <c r="P31" s="52" t="n">
        <v>700</v>
      </c>
      <c r="Q31" s="52" t="n">
        <v>700</v>
      </c>
      <c r="R31" s="52" t="n"/>
    </row>
    <row r="32" ht="14.25" customHeight="1" s="142">
      <c r="A32" s="141" t="n">
        <v>70029</v>
      </c>
      <c r="B32" s="135" t="inlineStr">
        <is>
          <t>gem</t>
        </is>
      </c>
      <c r="C32" s="8" t="inlineStr">
        <is>
          <t>琉璃寶石LV.9</t>
        </is>
      </c>
      <c r="D32" s="135" t="inlineStr">
        <is>
          <t>SSR</t>
        </is>
      </c>
      <c r="E32" s="141" t="n"/>
      <c r="F32" s="141" t="n"/>
      <c r="G32" s="141" t="n"/>
      <c r="H32" s="141" t="n"/>
      <c r="I32" s="141" t="n"/>
      <c r="J32" s="135">
        <f>J31+48</f>
        <v/>
      </c>
      <c r="K32" s="141" t="n"/>
      <c r="L32" s="141" t="n"/>
      <c r="M32" s="141">
        <f>A31&amp;","&amp;A31&amp;","&amp;A31&amp;","&amp;A31</f>
        <v/>
      </c>
      <c r="N32" s="135" t="n">
        <v>0.2</v>
      </c>
      <c r="O32" s="135">
        <f>O31+1</f>
        <v/>
      </c>
      <c r="P32" s="52" t="n">
        <v>700</v>
      </c>
      <c r="Q32" s="52" t="n">
        <v>700</v>
      </c>
      <c r="R32" s="52" t="n"/>
    </row>
    <row r="33" ht="14.25" customHeight="1" s="142">
      <c r="A33" s="141" t="n">
        <v>70030</v>
      </c>
      <c r="B33" s="135" t="inlineStr">
        <is>
          <t>gem</t>
        </is>
      </c>
      <c r="C33" s="8" t="inlineStr">
        <is>
          <t>琉璃寶石LV.10</t>
        </is>
      </c>
      <c r="D33" s="135" t="inlineStr">
        <is>
          <t>SSR</t>
        </is>
      </c>
      <c r="E33" s="141" t="n"/>
      <c r="F33" s="141" t="n"/>
      <c r="G33" s="141" t="n"/>
      <c r="H33" s="141" t="n"/>
      <c r="I33" s="141" t="n"/>
      <c r="J33" s="135" t="n">
        <v>265</v>
      </c>
      <c r="K33" s="141" t="n"/>
      <c r="L33" s="141" t="n"/>
      <c r="M33" s="141">
        <f>A32&amp;","&amp;A32&amp;","&amp;A32&amp;","&amp;A32</f>
        <v/>
      </c>
      <c r="N33" s="135" t="n">
        <v>0.2</v>
      </c>
      <c r="O33" s="135">
        <f>O32+1</f>
        <v/>
      </c>
      <c r="P33" s="52" t="n">
        <v>700</v>
      </c>
      <c r="Q33" s="52" t="n">
        <v>700</v>
      </c>
      <c r="R33" s="52" t="n"/>
    </row>
    <row r="34" ht="14.25" customHeight="1" s="142">
      <c r="A34" s="141" t="n">
        <v>70031</v>
      </c>
      <c r="B34" s="135" t="inlineStr">
        <is>
          <t>gem</t>
        </is>
      </c>
      <c r="C34" s="8" t="inlineStr">
        <is>
          <t>星空寶石LV.1</t>
        </is>
      </c>
      <c r="D34" s="135" t="inlineStr">
        <is>
          <t>R</t>
        </is>
      </c>
      <c r="E34" s="141" t="n"/>
      <c r="F34" s="141" t="n"/>
      <c r="G34" s="141" t="n"/>
      <c r="H34" s="141" t="n"/>
      <c r="I34" s="135" t="n">
        <v>10</v>
      </c>
      <c r="J34" s="141" t="n"/>
      <c r="K34" s="141" t="n"/>
      <c r="L34" s="141" t="n"/>
      <c r="M34" s="141" t="n"/>
      <c r="N34" s="135" t="n"/>
      <c r="O34" s="135">
        <f>O33+1</f>
        <v/>
      </c>
      <c r="P34" s="52" t="n">
        <v>700</v>
      </c>
      <c r="Q34" s="52" t="n">
        <v>700</v>
      </c>
      <c r="R34" s="52" t="n"/>
    </row>
    <row r="35" ht="14.25" customHeight="1" s="142">
      <c r="A35" s="141" t="n">
        <v>70032</v>
      </c>
      <c r="B35" s="135" t="inlineStr">
        <is>
          <t>gem</t>
        </is>
      </c>
      <c r="C35" s="8" t="inlineStr">
        <is>
          <t>星空寶石LV.2</t>
        </is>
      </c>
      <c r="D35" s="135" t="inlineStr">
        <is>
          <t>R</t>
        </is>
      </c>
      <c r="E35" s="141" t="n"/>
      <c r="F35" s="141" t="n"/>
      <c r="G35" s="141" t="n"/>
      <c r="H35" s="141" t="n"/>
      <c r="I35" s="135">
        <f>I34+10</f>
        <v/>
      </c>
      <c r="J35" s="141" t="n"/>
      <c r="K35" s="141" t="n"/>
      <c r="L35" s="141" t="n"/>
      <c r="M35" s="141">
        <f>A34&amp;","&amp;A34&amp;","&amp;A34&amp;","&amp;A34</f>
        <v/>
      </c>
      <c r="N35" s="135" t="n">
        <v>0.9</v>
      </c>
      <c r="O35" s="135">
        <f>O34+1</f>
        <v/>
      </c>
      <c r="P35" s="52" t="n">
        <v>700</v>
      </c>
      <c r="Q35" s="52" t="n">
        <v>700</v>
      </c>
      <c r="R35" s="52" t="n"/>
    </row>
    <row r="36" ht="14.25" customHeight="1" s="142">
      <c r="A36" s="141" t="n">
        <v>70033</v>
      </c>
      <c r="B36" s="135" t="inlineStr">
        <is>
          <t>gem</t>
        </is>
      </c>
      <c r="C36" s="8" t="inlineStr">
        <is>
          <t>星空寶石LV.3</t>
        </is>
      </c>
      <c r="D36" s="135" t="inlineStr">
        <is>
          <t>R</t>
        </is>
      </c>
      <c r="E36" s="141" t="n"/>
      <c r="F36" s="141" t="n"/>
      <c r="G36" s="141" t="n"/>
      <c r="H36" s="141" t="n"/>
      <c r="I36" s="135">
        <f>I35+10</f>
        <v/>
      </c>
      <c r="J36" s="141" t="n"/>
      <c r="K36" s="141" t="n"/>
      <c r="L36" s="141" t="n"/>
      <c r="M36" s="141">
        <f>A35&amp;","&amp;A35&amp;","&amp;A35&amp;","&amp;A35</f>
        <v/>
      </c>
      <c r="N36" s="135" t="n">
        <v>0.8</v>
      </c>
      <c r="O36" s="135">
        <f>O35+1</f>
        <v/>
      </c>
      <c r="P36" s="52" t="n">
        <v>700</v>
      </c>
      <c r="Q36" s="52" t="n">
        <v>700</v>
      </c>
      <c r="R36" s="52" t="n"/>
    </row>
    <row r="37" ht="14.25" customHeight="1" s="142">
      <c r="A37" s="141" t="n">
        <v>70034</v>
      </c>
      <c r="B37" s="135" t="inlineStr">
        <is>
          <t>gem</t>
        </is>
      </c>
      <c r="C37" s="8" t="inlineStr">
        <is>
          <t>星空寶石LV.4</t>
        </is>
      </c>
      <c r="D37" s="135" t="inlineStr">
        <is>
          <t>SR</t>
        </is>
      </c>
      <c r="E37" s="141" t="n"/>
      <c r="F37" s="141" t="n"/>
      <c r="G37" s="141" t="n"/>
      <c r="H37" s="141" t="n"/>
      <c r="I37" s="135">
        <f>I36+10</f>
        <v/>
      </c>
      <c r="J37" s="141" t="n"/>
      <c r="K37" s="141" t="n"/>
      <c r="L37" s="141" t="n"/>
      <c r="M37" s="141">
        <f>A36&amp;","&amp;A36&amp;","&amp;A36&amp;","&amp;A36</f>
        <v/>
      </c>
      <c r="N37" s="135">
        <f>N36-0.2</f>
        <v/>
      </c>
      <c r="O37" s="135">
        <f>O36+1</f>
        <v/>
      </c>
      <c r="P37" s="52" t="n">
        <v>700</v>
      </c>
      <c r="Q37" s="52" t="n">
        <v>700</v>
      </c>
      <c r="R37" s="52" t="n"/>
    </row>
    <row r="38" ht="14.25" customHeight="1" s="142">
      <c r="A38" s="141" t="n">
        <v>70035</v>
      </c>
      <c r="B38" s="135" t="inlineStr">
        <is>
          <t>gem</t>
        </is>
      </c>
      <c r="C38" s="8" t="inlineStr">
        <is>
          <t>星空寶石LV.5</t>
        </is>
      </c>
      <c r="D38" s="135" t="inlineStr">
        <is>
          <t>SR</t>
        </is>
      </c>
      <c r="E38" s="141" t="n"/>
      <c r="F38" s="141" t="n"/>
      <c r="G38" s="141" t="n"/>
      <c r="H38" s="141" t="n"/>
      <c r="I38" s="135">
        <f>I37+20</f>
        <v/>
      </c>
      <c r="J38" s="141" t="n"/>
      <c r="K38" s="141" t="n"/>
      <c r="L38" s="141" t="n"/>
      <c r="M38" s="141">
        <f>A37&amp;","&amp;A37&amp;","&amp;A37&amp;","&amp;A37</f>
        <v/>
      </c>
      <c r="N38" s="135">
        <f>N37-0.2</f>
        <v/>
      </c>
      <c r="O38" s="135">
        <f>O37+1</f>
        <v/>
      </c>
      <c r="P38" s="52" t="n">
        <v>700</v>
      </c>
      <c r="Q38" s="52" t="n">
        <v>700</v>
      </c>
      <c r="R38" s="52" t="n"/>
    </row>
    <row r="39" ht="14.25" customHeight="1" s="142">
      <c r="A39" s="141" t="n">
        <v>70036</v>
      </c>
      <c r="B39" s="135" t="inlineStr">
        <is>
          <t>gem</t>
        </is>
      </c>
      <c r="C39" s="8" t="inlineStr">
        <is>
          <t>星空寶石LV.6</t>
        </is>
      </c>
      <c r="D39" s="135" t="inlineStr">
        <is>
          <t>SR</t>
        </is>
      </c>
      <c r="E39" s="141" t="n"/>
      <c r="F39" s="141" t="n"/>
      <c r="G39" s="141" t="n"/>
      <c r="H39" s="141" t="n"/>
      <c r="I39" s="135">
        <f>I38+20</f>
        <v/>
      </c>
      <c r="J39" s="141" t="n"/>
      <c r="K39" s="141" t="n"/>
      <c r="L39" s="141" t="n"/>
      <c r="M39" s="141">
        <f>A38&amp;","&amp;A38&amp;","&amp;A38&amp;","&amp;A38</f>
        <v/>
      </c>
      <c r="N39" s="135">
        <f>N38-0.2</f>
        <v/>
      </c>
      <c r="O39" s="135">
        <f>O38+1</f>
        <v/>
      </c>
      <c r="P39" s="52" t="n">
        <v>700</v>
      </c>
      <c r="Q39" s="52" t="n">
        <v>700</v>
      </c>
      <c r="R39" s="52" t="n"/>
    </row>
    <row r="40" ht="14.25" customHeight="1" s="142">
      <c r="A40" s="141" t="n">
        <v>70037</v>
      </c>
      <c r="B40" s="135" t="inlineStr">
        <is>
          <t>gem</t>
        </is>
      </c>
      <c r="C40" s="8" t="inlineStr">
        <is>
          <t>星空寶石LV.7</t>
        </is>
      </c>
      <c r="D40" s="135" t="inlineStr">
        <is>
          <t>SR</t>
        </is>
      </c>
      <c r="E40" s="141" t="n"/>
      <c r="F40" s="141" t="n"/>
      <c r="G40" s="141" t="n"/>
      <c r="H40" s="141" t="n"/>
      <c r="I40" s="135">
        <f>I39+20</f>
        <v/>
      </c>
      <c r="J40" s="141" t="n"/>
      <c r="K40" s="141" t="n"/>
      <c r="L40" s="141" t="n"/>
      <c r="M40" s="141">
        <f>A39&amp;","&amp;A39&amp;","&amp;A39&amp;","&amp;A39</f>
        <v/>
      </c>
      <c r="N40" s="135" t="n">
        <v>0.2</v>
      </c>
      <c r="O40" s="135">
        <f>O39+1</f>
        <v/>
      </c>
      <c r="P40" s="52" t="n">
        <v>700</v>
      </c>
      <c r="Q40" s="52" t="n">
        <v>700</v>
      </c>
      <c r="R40" s="52" t="n"/>
    </row>
    <row r="41" ht="14.25" customHeight="1" s="142">
      <c r="A41" s="141" t="n">
        <v>70038</v>
      </c>
      <c r="B41" s="135" t="inlineStr">
        <is>
          <t>gem</t>
        </is>
      </c>
      <c r="C41" s="8" t="inlineStr">
        <is>
          <t>星空寶石LV.8</t>
        </is>
      </c>
      <c r="D41" s="135" t="inlineStr">
        <is>
          <t>SSR</t>
        </is>
      </c>
      <c r="E41" s="141" t="n"/>
      <c r="F41" s="141" t="n"/>
      <c r="G41" s="141" t="n"/>
      <c r="H41" s="141" t="n"/>
      <c r="I41" s="135">
        <f>I40+45</f>
        <v/>
      </c>
      <c r="J41" s="141" t="n"/>
      <c r="K41" s="141" t="n"/>
      <c r="L41" s="141" t="n"/>
      <c r="M41" s="141">
        <f>A40&amp;","&amp;A40&amp;","&amp;A40&amp;","&amp;A40</f>
        <v/>
      </c>
      <c r="N41" s="135" t="n">
        <v>0.2</v>
      </c>
      <c r="O41" s="135">
        <f>O40+1</f>
        <v/>
      </c>
      <c r="P41" s="52" t="n">
        <v>700</v>
      </c>
      <c r="Q41" s="52" t="n">
        <v>700</v>
      </c>
      <c r="R41" s="52" t="n"/>
    </row>
    <row r="42" ht="14.25" customHeight="1" s="142">
      <c r="A42" s="141" t="n">
        <v>70039</v>
      </c>
      <c r="B42" s="135" t="inlineStr">
        <is>
          <t>gem</t>
        </is>
      </c>
      <c r="C42" s="8" t="inlineStr">
        <is>
          <t>星空寶石LV.9</t>
        </is>
      </c>
      <c r="D42" s="135" t="inlineStr">
        <is>
          <t>SSR</t>
        </is>
      </c>
      <c r="E42" s="141" t="n"/>
      <c r="F42" s="141" t="n"/>
      <c r="G42" s="141" t="n"/>
      <c r="H42" s="141" t="n"/>
      <c r="I42" s="135">
        <f>I41+45</f>
        <v/>
      </c>
      <c r="J42" s="141" t="n"/>
      <c r="K42" s="141" t="n"/>
      <c r="L42" s="141" t="n"/>
      <c r="M42" s="141">
        <f>A41&amp;","&amp;A41&amp;","&amp;A41&amp;","&amp;A41</f>
        <v/>
      </c>
      <c r="N42" s="135" t="n">
        <v>0.2</v>
      </c>
      <c r="O42" s="135">
        <f>O41+1</f>
        <v/>
      </c>
      <c r="P42" s="52" t="n">
        <v>700</v>
      </c>
      <c r="Q42" s="52" t="n">
        <v>700</v>
      </c>
      <c r="R42" s="52" t="n"/>
    </row>
    <row r="43" ht="14.25" customHeight="1" s="142">
      <c r="A43" s="141" t="n">
        <v>70040</v>
      </c>
      <c r="B43" s="135" t="inlineStr">
        <is>
          <t>gem</t>
        </is>
      </c>
      <c r="C43" s="8" t="inlineStr">
        <is>
          <t>星空寶石LV.10</t>
        </is>
      </c>
      <c r="D43" s="135" t="inlineStr">
        <is>
          <t>SSR</t>
        </is>
      </c>
      <c r="E43" s="141" t="n"/>
      <c r="F43" s="141" t="n"/>
      <c r="G43" s="141" t="n"/>
      <c r="H43" s="141" t="n"/>
      <c r="I43" s="135">
        <f>I42+45</f>
        <v/>
      </c>
      <c r="J43" s="141" t="n"/>
      <c r="K43" s="141" t="n"/>
      <c r="L43" s="141" t="n"/>
      <c r="M43" s="141">
        <f>A42&amp;","&amp;A42&amp;","&amp;A42&amp;","&amp;A42</f>
        <v/>
      </c>
      <c r="N43" s="135" t="n">
        <v>0.2</v>
      </c>
      <c r="O43" s="135">
        <f>O42+1</f>
        <v/>
      </c>
      <c r="P43" s="52" t="n">
        <v>700</v>
      </c>
      <c r="Q43" s="52" t="n">
        <v>700</v>
      </c>
      <c r="R43" s="52" t="n"/>
    </row>
    <row r="44" ht="14.25" customHeight="1" s="142">
      <c r="A44" s="141" t="n">
        <v>70041</v>
      </c>
      <c r="B44" s="135" t="inlineStr">
        <is>
          <t>gem</t>
        </is>
      </c>
      <c r="C44" s="8" t="inlineStr">
        <is>
          <t>月影彩石LV.1</t>
        </is>
      </c>
      <c r="D44" s="135" t="inlineStr">
        <is>
          <t>R</t>
        </is>
      </c>
      <c r="E44" s="141" t="n"/>
      <c r="F44" s="141" t="n"/>
      <c r="G44" s="141" t="n"/>
      <c r="H44" s="141" t="n"/>
      <c r="I44" s="141" t="n"/>
      <c r="J44" s="141" t="n"/>
      <c r="K44" s="135" t="n">
        <v>30</v>
      </c>
      <c r="L44" s="141" t="n"/>
      <c r="M44" s="141" t="n"/>
      <c r="N44" s="135" t="n"/>
      <c r="O44" s="135">
        <f>O43+1</f>
        <v/>
      </c>
      <c r="P44" s="52" t="n">
        <v>701</v>
      </c>
      <c r="Q44" s="52" t="n">
        <v>701</v>
      </c>
      <c r="R44" s="52" t="n"/>
    </row>
    <row r="45" ht="14.25" customHeight="1" s="142">
      <c r="A45" s="141" t="n">
        <v>70042</v>
      </c>
      <c r="B45" s="135" t="inlineStr">
        <is>
          <t>gem</t>
        </is>
      </c>
      <c r="C45" s="8" t="inlineStr">
        <is>
          <t>月影彩石LV.2</t>
        </is>
      </c>
      <c r="D45" s="135" t="inlineStr">
        <is>
          <t>R</t>
        </is>
      </c>
      <c r="E45" s="141" t="n"/>
      <c r="F45" s="141" t="n"/>
      <c r="G45" s="141" t="n"/>
      <c r="H45" s="141" t="n"/>
      <c r="I45" s="141" t="n"/>
      <c r="J45" s="141" t="n"/>
      <c r="K45" s="135">
        <f>K44+31</f>
        <v/>
      </c>
      <c r="L45" s="141" t="n"/>
      <c r="M45" s="141">
        <f>A44&amp;","&amp;A44&amp;","&amp;A44&amp;","&amp;A44</f>
        <v/>
      </c>
      <c r="N45" s="135" t="n">
        <v>0.9</v>
      </c>
      <c r="O45" s="135">
        <f>O44+1</f>
        <v/>
      </c>
      <c r="P45" s="52" t="n">
        <v>701</v>
      </c>
      <c r="Q45" s="52" t="n">
        <v>701</v>
      </c>
      <c r="R45" s="52" t="n"/>
    </row>
    <row r="46" ht="14.25" customHeight="1" s="142">
      <c r="A46" s="141" t="n">
        <v>70043</v>
      </c>
      <c r="B46" s="135" t="inlineStr">
        <is>
          <t>gem</t>
        </is>
      </c>
      <c r="C46" s="8" t="inlineStr">
        <is>
          <t>月影彩石LV.3</t>
        </is>
      </c>
      <c r="D46" s="135" t="inlineStr">
        <is>
          <t>R</t>
        </is>
      </c>
      <c r="E46" s="141" t="n"/>
      <c r="F46" s="141" t="n"/>
      <c r="G46" s="141" t="n"/>
      <c r="H46" s="141" t="n"/>
      <c r="I46" s="141" t="n"/>
      <c r="J46" s="141" t="n"/>
      <c r="K46" s="135">
        <f>K45+31</f>
        <v/>
      </c>
      <c r="L46" s="141" t="n"/>
      <c r="M46" s="141">
        <f>A45&amp;","&amp;A45&amp;","&amp;A45&amp;","&amp;A45</f>
        <v/>
      </c>
      <c r="N46" s="135" t="n">
        <v>0.8</v>
      </c>
      <c r="O46" s="135">
        <f>O45+1</f>
        <v/>
      </c>
      <c r="P46" s="52" t="n">
        <v>701</v>
      </c>
      <c r="Q46" s="52" t="n">
        <v>701</v>
      </c>
      <c r="R46" s="52" t="n"/>
    </row>
    <row r="47" ht="14.25" customHeight="1" s="142">
      <c r="A47" s="141" t="n">
        <v>70044</v>
      </c>
      <c r="B47" s="135" t="inlineStr">
        <is>
          <t>gem</t>
        </is>
      </c>
      <c r="C47" s="8" t="inlineStr">
        <is>
          <t>月影彩石LV.4</t>
        </is>
      </c>
      <c r="D47" s="135" t="inlineStr">
        <is>
          <t>SR</t>
        </is>
      </c>
      <c r="E47" s="141" t="n"/>
      <c r="F47" s="141" t="n"/>
      <c r="G47" s="141" t="n"/>
      <c r="H47" s="141" t="n"/>
      <c r="I47" s="141" t="n"/>
      <c r="J47" s="141" t="n"/>
      <c r="K47" s="135">
        <f>K46+31</f>
        <v/>
      </c>
      <c r="L47" s="141" t="n"/>
      <c r="M47" s="141">
        <f>A46&amp;","&amp;A46&amp;","&amp;A46&amp;","&amp;A46</f>
        <v/>
      </c>
      <c r="N47" s="135">
        <f>N46-0.2</f>
        <v/>
      </c>
      <c r="O47" s="135">
        <f>O46+1</f>
        <v/>
      </c>
      <c r="P47" s="52" t="n">
        <v>701</v>
      </c>
      <c r="Q47" s="52" t="n">
        <v>701</v>
      </c>
      <c r="R47" s="52" t="n"/>
    </row>
    <row r="48" ht="14.25" customHeight="1" s="142">
      <c r="A48" s="141" t="n">
        <v>70045</v>
      </c>
      <c r="B48" s="135" t="inlineStr">
        <is>
          <t>gem</t>
        </is>
      </c>
      <c r="C48" s="8" t="inlineStr">
        <is>
          <t>月影彩石LV.5</t>
        </is>
      </c>
      <c r="D48" s="135" t="inlineStr">
        <is>
          <t>SR</t>
        </is>
      </c>
      <c r="E48" s="141" t="n"/>
      <c r="F48" s="141" t="n"/>
      <c r="G48" s="141" t="n"/>
      <c r="H48" s="141" t="n"/>
      <c r="I48" s="141" t="n"/>
      <c r="J48" s="141" t="n"/>
      <c r="K48" s="135">
        <f>K47+42</f>
        <v/>
      </c>
      <c r="L48" s="141" t="n"/>
      <c r="M48" s="141">
        <f>A47&amp;","&amp;A47&amp;","&amp;A47&amp;","&amp;A47</f>
        <v/>
      </c>
      <c r="N48" s="135">
        <f>N47-0.2</f>
        <v/>
      </c>
      <c r="O48" s="135">
        <f>O47+1</f>
        <v/>
      </c>
      <c r="P48" s="52" t="n">
        <v>701</v>
      </c>
      <c r="Q48" s="52" t="n">
        <v>701</v>
      </c>
      <c r="R48" s="52" t="n"/>
    </row>
    <row r="49" ht="14.25" customHeight="1" s="142">
      <c r="A49" s="141" t="n">
        <v>70046</v>
      </c>
      <c r="B49" s="135" t="inlineStr">
        <is>
          <t>gem</t>
        </is>
      </c>
      <c r="C49" s="8" t="inlineStr">
        <is>
          <t>月影彩石LV.6</t>
        </is>
      </c>
      <c r="D49" s="135" t="inlineStr">
        <is>
          <t>SR</t>
        </is>
      </c>
      <c r="E49" s="141" t="n"/>
      <c r="F49" s="141" t="n"/>
      <c r="G49" s="141" t="n"/>
      <c r="H49" s="141" t="n"/>
      <c r="I49" s="141" t="n"/>
      <c r="J49" s="141" t="n"/>
      <c r="K49" s="135">
        <f>K48+42</f>
        <v/>
      </c>
      <c r="L49" s="141" t="n"/>
      <c r="M49" s="141">
        <f>A48&amp;","&amp;A48&amp;","&amp;A48&amp;","&amp;A48</f>
        <v/>
      </c>
      <c r="N49" s="135">
        <f>N48-0.2</f>
        <v/>
      </c>
      <c r="O49" s="135">
        <f>O48+1</f>
        <v/>
      </c>
      <c r="P49" s="52" t="n">
        <v>701</v>
      </c>
      <c r="Q49" s="52" t="n">
        <v>701</v>
      </c>
      <c r="R49" s="52" t="n"/>
    </row>
    <row r="50" ht="14.25" customHeight="1" s="142">
      <c r="A50" s="141" t="n">
        <v>70047</v>
      </c>
      <c r="B50" s="135" t="inlineStr">
        <is>
          <t>gem</t>
        </is>
      </c>
      <c r="C50" s="8" t="inlineStr">
        <is>
          <t>月影彩石LV.7</t>
        </is>
      </c>
      <c r="D50" s="135" t="inlineStr">
        <is>
          <t>SR</t>
        </is>
      </c>
      <c r="E50" s="141" t="n"/>
      <c r="F50" s="141" t="n"/>
      <c r="G50" s="141" t="n"/>
      <c r="H50" s="141" t="n"/>
      <c r="I50" s="141" t="n"/>
      <c r="J50" s="141" t="n"/>
      <c r="K50" s="135" t="n">
        <v>250</v>
      </c>
      <c r="L50" s="141" t="n"/>
      <c r="M50" s="141">
        <f>A49&amp;","&amp;A49&amp;","&amp;A49&amp;","&amp;A49</f>
        <v/>
      </c>
      <c r="N50" s="135" t="n">
        <v>0.2</v>
      </c>
      <c r="O50" s="135">
        <f>O49+1</f>
        <v/>
      </c>
      <c r="P50" s="52" t="n">
        <v>701</v>
      </c>
      <c r="Q50" s="52" t="n">
        <v>701</v>
      </c>
      <c r="R50" s="52" t="n"/>
    </row>
    <row r="51" ht="14.25" customHeight="1" s="142">
      <c r="A51" s="141" t="n">
        <v>70048</v>
      </c>
      <c r="B51" s="135" t="inlineStr">
        <is>
          <t>gem</t>
        </is>
      </c>
      <c r="C51" s="8" t="inlineStr">
        <is>
          <t>月影彩石LV.8</t>
        </is>
      </c>
      <c r="D51" s="135" t="inlineStr">
        <is>
          <t>SSR</t>
        </is>
      </c>
      <c r="E51" s="141" t="n"/>
      <c r="F51" s="141" t="n"/>
      <c r="G51" s="141" t="n"/>
      <c r="H51" s="141" t="n"/>
      <c r="I51" s="141" t="n"/>
      <c r="J51" s="141" t="n"/>
      <c r="K51" s="135" t="n">
        <v>300</v>
      </c>
      <c r="L51" s="141" t="n"/>
      <c r="M51" s="141">
        <f>A50&amp;","&amp;A50&amp;","&amp;A50&amp;","&amp;A50</f>
        <v/>
      </c>
      <c r="N51" s="135" t="n">
        <v>0.2</v>
      </c>
      <c r="O51" s="135">
        <f>O50+1</f>
        <v/>
      </c>
      <c r="P51" s="52" t="n">
        <v>701</v>
      </c>
      <c r="Q51" s="52" t="n">
        <v>701</v>
      </c>
      <c r="R51" s="52" t="n"/>
    </row>
    <row r="52" ht="14.25" customHeight="1" s="142">
      <c r="A52" s="141" t="n">
        <v>70049</v>
      </c>
      <c r="B52" s="135" t="inlineStr">
        <is>
          <t>gem</t>
        </is>
      </c>
      <c r="C52" s="8" t="inlineStr">
        <is>
          <t>月影彩石LV.9</t>
        </is>
      </c>
      <c r="D52" s="135" t="inlineStr">
        <is>
          <t>SSR</t>
        </is>
      </c>
      <c r="E52" s="141" t="n"/>
      <c r="F52" s="141" t="n"/>
      <c r="G52" s="141" t="n"/>
      <c r="H52" s="141" t="n"/>
      <c r="I52" s="141" t="n"/>
      <c r="J52" s="141" t="n"/>
      <c r="K52" s="135" t="n">
        <v>350</v>
      </c>
      <c r="L52" s="141" t="n"/>
      <c r="M52" s="141">
        <f>A51&amp;","&amp;A51&amp;","&amp;A51&amp;","&amp;A51</f>
        <v/>
      </c>
      <c r="N52" s="135" t="n">
        <v>0.2</v>
      </c>
      <c r="O52" s="135">
        <f>O51+1</f>
        <v/>
      </c>
      <c r="P52" s="52" t="n">
        <v>701</v>
      </c>
      <c r="Q52" s="52" t="n">
        <v>701</v>
      </c>
      <c r="R52" s="52" t="n"/>
    </row>
    <row r="53" ht="14.25" customHeight="1" s="142">
      <c r="A53" s="141" t="n">
        <v>70050</v>
      </c>
      <c r="B53" s="135" t="inlineStr">
        <is>
          <t>gem</t>
        </is>
      </c>
      <c r="C53" s="8" t="inlineStr">
        <is>
          <t>月影彩石LV.10</t>
        </is>
      </c>
      <c r="D53" s="135" t="inlineStr">
        <is>
          <t>SSR</t>
        </is>
      </c>
      <c r="E53" s="141" t="n"/>
      <c r="F53" s="141" t="n"/>
      <c r="G53" s="141" t="n"/>
      <c r="H53" s="141" t="n"/>
      <c r="I53" s="141" t="n"/>
      <c r="J53" s="141" t="n"/>
      <c r="K53" s="135" t="n">
        <v>400</v>
      </c>
      <c r="L53" s="141" t="n"/>
      <c r="M53" s="141">
        <f>A52&amp;","&amp;A52&amp;","&amp;A52&amp;","&amp;A52</f>
        <v/>
      </c>
      <c r="N53" s="135" t="n">
        <v>0.2</v>
      </c>
      <c r="O53" s="135">
        <f>O52+1</f>
        <v/>
      </c>
      <c r="P53" s="52" t="n">
        <v>701</v>
      </c>
      <c r="Q53" s="52" t="n">
        <v>701</v>
      </c>
      <c r="R53" s="52" t="n"/>
    </row>
    <row r="54" ht="14.25" customHeight="1" s="142">
      <c r="A54" s="141" t="n">
        <v>70051</v>
      </c>
      <c r="B54" s="135" t="inlineStr">
        <is>
          <t>gem</t>
        </is>
      </c>
      <c r="C54" s="8" t="inlineStr">
        <is>
          <t>幻影彩石LV.1</t>
        </is>
      </c>
      <c r="D54" s="135" t="inlineStr">
        <is>
          <t>R</t>
        </is>
      </c>
      <c r="E54" s="141" t="n"/>
      <c r="F54" s="141">
        <f>ROUND(K44*2.2,0)</f>
        <v/>
      </c>
      <c r="G54" s="141" t="n"/>
      <c r="H54" s="141" t="n"/>
      <c r="I54" s="135" t="n"/>
      <c r="J54" s="135" t="n"/>
      <c r="K54" s="141" t="n"/>
      <c r="L54" s="141" t="n"/>
      <c r="M54" s="141" t="n"/>
      <c r="N54" s="135" t="n"/>
      <c r="O54" s="135">
        <f>O53+1</f>
        <v/>
      </c>
      <c r="P54" s="52" t="n">
        <v>701</v>
      </c>
      <c r="Q54" s="52" t="n">
        <v>701</v>
      </c>
      <c r="R54" s="52" t="n"/>
    </row>
    <row r="55" ht="14.25" customHeight="1" s="142">
      <c r="A55" s="141" t="n">
        <v>70052</v>
      </c>
      <c r="B55" s="135" t="inlineStr">
        <is>
          <t>gem</t>
        </is>
      </c>
      <c r="C55" s="8" t="inlineStr">
        <is>
          <t>幻影彩石LV.2</t>
        </is>
      </c>
      <c r="D55" s="135" t="inlineStr">
        <is>
          <t>R</t>
        </is>
      </c>
      <c r="E55" s="141" t="n"/>
      <c r="F55" s="141">
        <f>ROUND(K45*2.2,0)</f>
        <v/>
      </c>
      <c r="G55" s="141" t="n"/>
      <c r="H55" s="141" t="n"/>
      <c r="I55" s="135" t="n"/>
      <c r="J55" s="135" t="n"/>
      <c r="K55" s="141" t="n"/>
      <c r="L55" s="141" t="n"/>
      <c r="M55" s="141">
        <f>A54&amp;","&amp;A54&amp;","&amp;A54&amp;","&amp;A54</f>
        <v/>
      </c>
      <c r="N55" s="135" t="n">
        <v>0.9</v>
      </c>
      <c r="O55" s="135">
        <f>O54+1</f>
        <v/>
      </c>
      <c r="P55" s="52" t="n">
        <v>701</v>
      </c>
      <c r="Q55" s="52" t="n">
        <v>701</v>
      </c>
      <c r="R55" s="52" t="n"/>
    </row>
    <row r="56" ht="14.25" customHeight="1" s="142">
      <c r="A56" s="141" t="n">
        <v>70053</v>
      </c>
      <c r="B56" s="135" t="inlineStr">
        <is>
          <t>gem</t>
        </is>
      </c>
      <c r="C56" s="8" t="inlineStr">
        <is>
          <t>幻影彩石LV.3</t>
        </is>
      </c>
      <c r="D56" s="135" t="inlineStr">
        <is>
          <t>R</t>
        </is>
      </c>
      <c r="E56" s="141" t="n"/>
      <c r="F56" s="141">
        <f>ROUND(K46*2.2,0)</f>
        <v/>
      </c>
      <c r="G56" s="141" t="n"/>
      <c r="H56" s="141" t="n"/>
      <c r="I56" s="135" t="n"/>
      <c r="J56" s="135" t="n"/>
      <c r="K56" s="141" t="n"/>
      <c r="L56" s="141" t="n"/>
      <c r="M56" s="141">
        <f>A55&amp;","&amp;A55&amp;","&amp;A55&amp;","&amp;A55</f>
        <v/>
      </c>
      <c r="N56" s="135" t="n">
        <v>0.8</v>
      </c>
      <c r="O56" s="135">
        <f>O55+1</f>
        <v/>
      </c>
      <c r="P56" s="52" t="n">
        <v>701</v>
      </c>
      <c r="Q56" s="52" t="n">
        <v>701</v>
      </c>
      <c r="R56" s="52" t="n"/>
    </row>
    <row r="57" ht="14.25" customHeight="1" s="142">
      <c r="A57" s="141" t="n">
        <v>70054</v>
      </c>
      <c r="B57" s="135" t="inlineStr">
        <is>
          <t>gem</t>
        </is>
      </c>
      <c r="C57" s="8" t="inlineStr">
        <is>
          <t>幻影彩石LV.4</t>
        </is>
      </c>
      <c r="D57" s="135" t="inlineStr">
        <is>
          <t>SR</t>
        </is>
      </c>
      <c r="E57" s="141" t="n"/>
      <c r="F57" s="141">
        <f>ROUND(K47*2.2,0)</f>
        <v/>
      </c>
      <c r="G57" s="141" t="n"/>
      <c r="H57" s="141" t="n"/>
      <c r="I57" s="135" t="n"/>
      <c r="J57" s="135" t="n"/>
      <c r="K57" s="141" t="n"/>
      <c r="L57" s="141" t="n"/>
      <c r="M57" s="141">
        <f>A56&amp;","&amp;A56&amp;","&amp;A56&amp;","&amp;A56</f>
        <v/>
      </c>
      <c r="N57" s="135">
        <f>N56-0.2</f>
        <v/>
      </c>
      <c r="O57" s="135">
        <f>O56+1</f>
        <v/>
      </c>
      <c r="P57" s="52" t="n">
        <v>701</v>
      </c>
      <c r="Q57" s="52" t="n">
        <v>701</v>
      </c>
      <c r="R57" s="52" t="n"/>
    </row>
    <row r="58" ht="14.25" customHeight="1" s="142">
      <c r="A58" s="141" t="n">
        <v>70055</v>
      </c>
      <c r="B58" s="135" t="inlineStr">
        <is>
          <t>gem</t>
        </is>
      </c>
      <c r="C58" s="8" t="inlineStr">
        <is>
          <t>幻影彩石LV.5</t>
        </is>
      </c>
      <c r="D58" s="135" t="inlineStr">
        <is>
          <t>SR</t>
        </is>
      </c>
      <c r="E58" s="141" t="n"/>
      <c r="F58" s="141">
        <f>ROUND(K48*2.2,0)</f>
        <v/>
      </c>
      <c r="G58" s="141" t="n"/>
      <c r="H58" s="141" t="n"/>
      <c r="I58" s="135" t="n"/>
      <c r="J58" s="135" t="n"/>
      <c r="K58" s="141" t="n"/>
      <c r="L58" s="141" t="n"/>
      <c r="M58" s="141">
        <f>A57&amp;","&amp;A57&amp;","&amp;A57&amp;","&amp;A57</f>
        <v/>
      </c>
      <c r="N58" s="135">
        <f>N57-0.2</f>
        <v/>
      </c>
      <c r="O58" s="135">
        <f>O57+1</f>
        <v/>
      </c>
      <c r="P58" s="52" t="n">
        <v>701</v>
      </c>
      <c r="Q58" s="52" t="n">
        <v>701</v>
      </c>
      <c r="R58" s="52" t="n"/>
    </row>
    <row r="59" ht="14.25" customHeight="1" s="142">
      <c r="A59" s="141" t="n">
        <v>70056</v>
      </c>
      <c r="B59" s="135" t="inlineStr">
        <is>
          <t>gem</t>
        </is>
      </c>
      <c r="C59" s="8" t="inlineStr">
        <is>
          <t>幻影彩石LV.6</t>
        </is>
      </c>
      <c r="D59" s="135" t="inlineStr">
        <is>
          <t>SR</t>
        </is>
      </c>
      <c r="E59" s="141" t="n"/>
      <c r="F59" s="141">
        <f>ROUND(K49*2.2,0)</f>
        <v/>
      </c>
      <c r="G59" s="141" t="n"/>
      <c r="H59" s="141" t="n"/>
      <c r="I59" s="135" t="n"/>
      <c r="J59" s="135" t="n"/>
      <c r="K59" s="141" t="n"/>
      <c r="L59" s="141" t="n"/>
      <c r="M59" s="141">
        <f>A58&amp;","&amp;A58&amp;","&amp;A58&amp;","&amp;A58</f>
        <v/>
      </c>
      <c r="N59" s="135">
        <f>N58-0.2</f>
        <v/>
      </c>
      <c r="O59" s="135">
        <f>O58+1</f>
        <v/>
      </c>
      <c r="P59" s="52" t="n">
        <v>701</v>
      </c>
      <c r="Q59" s="52" t="n">
        <v>701</v>
      </c>
      <c r="R59" s="52" t="n"/>
    </row>
    <row r="60" ht="14.25" customHeight="1" s="142">
      <c r="A60" s="141" t="n">
        <v>70057</v>
      </c>
      <c r="B60" s="135" t="inlineStr">
        <is>
          <t>gem</t>
        </is>
      </c>
      <c r="C60" s="8" t="inlineStr">
        <is>
          <t>幻影彩石LV.7</t>
        </is>
      </c>
      <c r="D60" s="135" t="inlineStr">
        <is>
          <t>SR</t>
        </is>
      </c>
      <c r="E60" s="141" t="n"/>
      <c r="F60" s="141">
        <f>ROUND(K50*2.2,0)</f>
        <v/>
      </c>
      <c r="G60" s="141" t="n"/>
      <c r="H60" s="141" t="n"/>
      <c r="I60" s="135" t="n"/>
      <c r="J60" s="135" t="n"/>
      <c r="K60" s="141" t="n"/>
      <c r="L60" s="141" t="n"/>
      <c r="M60" s="141">
        <f>A59&amp;","&amp;A59&amp;","&amp;A59&amp;","&amp;A59</f>
        <v/>
      </c>
      <c r="N60" s="135" t="n">
        <v>0.2</v>
      </c>
      <c r="O60" s="135">
        <f>O59+1</f>
        <v/>
      </c>
      <c r="P60" s="52" t="n">
        <v>701</v>
      </c>
      <c r="Q60" s="52" t="n">
        <v>701</v>
      </c>
      <c r="R60" s="52" t="n"/>
    </row>
    <row r="61" ht="14.25" customHeight="1" s="142">
      <c r="A61" s="141" t="n">
        <v>70058</v>
      </c>
      <c r="B61" s="135" t="inlineStr">
        <is>
          <t>gem</t>
        </is>
      </c>
      <c r="C61" s="8" t="inlineStr">
        <is>
          <t>幻影彩石LV.8</t>
        </is>
      </c>
      <c r="D61" s="135" t="inlineStr">
        <is>
          <t>SSR</t>
        </is>
      </c>
      <c r="E61" s="141" t="n"/>
      <c r="F61" s="141">
        <f>ROUND(K51*2.2,0)</f>
        <v/>
      </c>
      <c r="G61" s="141" t="n"/>
      <c r="H61" s="141" t="n"/>
      <c r="I61" s="135" t="n"/>
      <c r="J61" s="135" t="n"/>
      <c r="K61" s="141" t="n"/>
      <c r="L61" s="141" t="n"/>
      <c r="M61" s="141">
        <f>A60&amp;","&amp;A60&amp;","&amp;A60&amp;","&amp;A60</f>
        <v/>
      </c>
      <c r="N61" s="135" t="n">
        <v>0.2</v>
      </c>
      <c r="O61" s="135">
        <f>O60+1</f>
        <v/>
      </c>
      <c r="P61" s="52" t="n">
        <v>701</v>
      </c>
      <c r="Q61" s="52" t="n">
        <v>701</v>
      </c>
      <c r="R61" s="52" t="n"/>
    </row>
    <row r="62" ht="14.25" customHeight="1" s="142">
      <c r="A62" s="141" t="n">
        <v>70059</v>
      </c>
      <c r="B62" s="135" t="inlineStr">
        <is>
          <t>gem</t>
        </is>
      </c>
      <c r="C62" s="8" t="inlineStr">
        <is>
          <t>幻影彩石LV.9</t>
        </is>
      </c>
      <c r="D62" s="135" t="inlineStr">
        <is>
          <t>SSR</t>
        </is>
      </c>
      <c r="E62" s="141" t="n"/>
      <c r="F62" s="141">
        <f>ROUND(K52*2.2,0)</f>
        <v/>
      </c>
      <c r="G62" s="141" t="n"/>
      <c r="H62" s="141" t="n"/>
      <c r="I62" s="135" t="n"/>
      <c r="J62" s="135" t="n"/>
      <c r="K62" s="141" t="n"/>
      <c r="L62" s="141" t="n"/>
      <c r="M62" s="141">
        <f>A61&amp;","&amp;A61&amp;","&amp;A61&amp;","&amp;A61</f>
        <v/>
      </c>
      <c r="N62" s="135" t="n">
        <v>0.2</v>
      </c>
      <c r="O62" s="135">
        <f>O61+1</f>
        <v/>
      </c>
      <c r="P62" s="52" t="n">
        <v>701</v>
      </c>
      <c r="Q62" s="52" t="n">
        <v>701</v>
      </c>
      <c r="R62" s="52" t="n"/>
    </row>
    <row r="63" ht="14.25" customHeight="1" s="142">
      <c r="A63" s="141" t="n">
        <v>70060</v>
      </c>
      <c r="B63" s="135" t="inlineStr">
        <is>
          <t>gem</t>
        </is>
      </c>
      <c r="C63" s="8" t="inlineStr">
        <is>
          <t>幻影彩石LV.10</t>
        </is>
      </c>
      <c r="D63" s="135" t="inlineStr">
        <is>
          <t>SSR</t>
        </is>
      </c>
      <c r="E63" s="141" t="n"/>
      <c r="F63" s="141">
        <f>ROUND(K53*2.2,0)</f>
        <v/>
      </c>
      <c r="G63" s="141" t="n"/>
      <c r="H63" s="141" t="n"/>
      <c r="I63" s="135" t="n"/>
      <c r="J63" s="135" t="n"/>
      <c r="K63" s="141" t="n"/>
      <c r="L63" s="141" t="n"/>
      <c r="M63" s="141">
        <f>A62&amp;","&amp;A62&amp;","&amp;A62&amp;","&amp;A62</f>
        <v/>
      </c>
      <c r="N63" s="135" t="n">
        <v>0.2</v>
      </c>
      <c r="O63" s="135">
        <f>O62+1</f>
        <v/>
      </c>
      <c r="P63" s="52" t="n">
        <v>701</v>
      </c>
      <c r="Q63" s="52" t="n">
        <v>701</v>
      </c>
      <c r="R63" s="52" t="n"/>
    </row>
    <row r="64" ht="14.25" customHeight="1" s="142">
      <c r="A64" s="141" t="n">
        <v>70061</v>
      </c>
      <c r="B64" s="135" t="inlineStr">
        <is>
          <t>gem</t>
        </is>
      </c>
      <c r="C64" s="8" t="inlineStr">
        <is>
          <t>紫凝暴晶LV.1</t>
        </is>
      </c>
      <c r="D64" s="135" t="inlineStr">
        <is>
          <t>R</t>
        </is>
      </c>
      <c r="E64" s="141" t="n"/>
      <c r="F64" s="141" t="n"/>
      <c r="G64" s="141" t="n"/>
      <c r="H64" s="141" t="n"/>
      <c r="I64" s="141" t="n">
        <v>5</v>
      </c>
      <c r="J64" s="141" t="n">
        <v>5</v>
      </c>
      <c r="K64" s="135" t="n"/>
      <c r="L64" s="141" t="n"/>
      <c r="M64" s="141" t="n"/>
      <c r="N64" s="135" t="n"/>
      <c r="O64" s="135">
        <f>O63+1</f>
        <v/>
      </c>
      <c r="P64" s="52" t="n">
        <v>702</v>
      </c>
      <c r="Q64" s="52" t="n">
        <v>702</v>
      </c>
      <c r="R64" s="52" t="n"/>
    </row>
    <row r="65" ht="14.25" customHeight="1" s="142">
      <c r="A65" s="141" t="n">
        <v>70062</v>
      </c>
      <c r="B65" s="135" t="inlineStr">
        <is>
          <t>gem</t>
        </is>
      </c>
      <c r="C65" s="8" t="inlineStr">
        <is>
          <t>紫凝暴晶LV.2</t>
        </is>
      </c>
      <c r="D65" s="135" t="inlineStr">
        <is>
          <t>R</t>
        </is>
      </c>
      <c r="E65" s="141" t="n"/>
      <c r="F65" s="141" t="n"/>
      <c r="G65" s="141" t="n"/>
      <c r="H65" s="141" t="n"/>
      <c r="I65" s="141" t="n">
        <v>10</v>
      </c>
      <c r="J65" s="141" t="n">
        <v>10</v>
      </c>
      <c r="K65" s="135" t="n"/>
      <c r="L65" s="141" t="n"/>
      <c r="M65" s="141">
        <f>A64&amp;","&amp;A64&amp;","&amp;A64&amp;","&amp;A64</f>
        <v/>
      </c>
      <c r="N65" s="135" t="n">
        <v>0.9</v>
      </c>
      <c r="O65" s="135">
        <f>O64+1</f>
        <v/>
      </c>
      <c r="P65" s="52" t="n">
        <v>702</v>
      </c>
      <c r="Q65" s="52" t="n">
        <v>702</v>
      </c>
      <c r="R65" s="52" t="n"/>
    </row>
    <row r="66" ht="14.25" customHeight="1" s="142">
      <c r="A66" s="141" t="n">
        <v>70063</v>
      </c>
      <c r="B66" s="135" t="inlineStr">
        <is>
          <t>gem</t>
        </is>
      </c>
      <c r="C66" s="8" t="inlineStr">
        <is>
          <t>紫凝暴晶LV.3</t>
        </is>
      </c>
      <c r="D66" s="135" t="inlineStr">
        <is>
          <t>R</t>
        </is>
      </c>
      <c r="E66" s="141" t="n"/>
      <c r="F66" s="141" t="n"/>
      <c r="G66" s="141" t="n"/>
      <c r="H66" s="141" t="n"/>
      <c r="I66" s="141" t="n">
        <v>15</v>
      </c>
      <c r="J66" s="141" t="n">
        <v>15</v>
      </c>
      <c r="K66" s="135" t="n"/>
      <c r="L66" s="141" t="n"/>
      <c r="M66" s="141">
        <f>A65&amp;","&amp;A65&amp;","&amp;A65&amp;","&amp;A65</f>
        <v/>
      </c>
      <c r="N66" s="135" t="n">
        <v>0.8</v>
      </c>
      <c r="O66" s="135">
        <f>O65+1</f>
        <v/>
      </c>
      <c r="P66" s="52" t="n">
        <v>702</v>
      </c>
      <c r="Q66" s="52" t="n">
        <v>702</v>
      </c>
      <c r="R66" s="52" t="n"/>
    </row>
    <row r="67" ht="14.25" customHeight="1" s="142">
      <c r="A67" s="141" t="n">
        <v>70064</v>
      </c>
      <c r="B67" s="135" t="inlineStr">
        <is>
          <t>gem</t>
        </is>
      </c>
      <c r="C67" s="8" t="inlineStr">
        <is>
          <t>紫凝暴晶LV.4</t>
        </is>
      </c>
      <c r="D67" s="135" t="inlineStr">
        <is>
          <t>SR</t>
        </is>
      </c>
      <c r="E67" s="141" t="n"/>
      <c r="F67" s="141" t="n"/>
      <c r="G67" s="141" t="n"/>
      <c r="H67" s="141" t="n"/>
      <c r="I67" s="141" t="n">
        <v>20</v>
      </c>
      <c r="J67" s="141" t="n">
        <v>20</v>
      </c>
      <c r="K67" s="135" t="n"/>
      <c r="L67" s="141" t="n"/>
      <c r="M67" s="141">
        <f>A66&amp;","&amp;A66&amp;","&amp;A66&amp;","&amp;A66</f>
        <v/>
      </c>
      <c r="N67" s="135">
        <f>N66-0.2</f>
        <v/>
      </c>
      <c r="O67" s="135">
        <f>O66+1</f>
        <v/>
      </c>
      <c r="P67" s="52" t="n">
        <v>702</v>
      </c>
      <c r="Q67" s="52" t="n">
        <v>702</v>
      </c>
      <c r="R67" s="52" t="n"/>
    </row>
    <row r="68" ht="14.25" customHeight="1" s="142">
      <c r="A68" s="141" t="n">
        <v>70065</v>
      </c>
      <c r="B68" s="135" t="inlineStr">
        <is>
          <t>gem</t>
        </is>
      </c>
      <c r="C68" s="8" t="inlineStr">
        <is>
          <t>紫凝暴晶LV.5</t>
        </is>
      </c>
      <c r="D68" s="135" t="inlineStr">
        <is>
          <t>SR</t>
        </is>
      </c>
      <c r="E68" s="141" t="n"/>
      <c r="F68" s="141" t="n"/>
      <c r="G68" s="141" t="n"/>
      <c r="H68" s="141" t="n"/>
      <c r="I68" s="141" t="n">
        <v>30</v>
      </c>
      <c r="J68" s="141" t="n">
        <v>30</v>
      </c>
      <c r="K68" s="135" t="n"/>
      <c r="L68" s="141" t="n"/>
      <c r="M68" s="141">
        <f>A67&amp;","&amp;A67&amp;","&amp;A67&amp;","&amp;A67</f>
        <v/>
      </c>
      <c r="N68" s="135">
        <f>N67-0.2</f>
        <v/>
      </c>
      <c r="O68" s="135">
        <f>O67+1</f>
        <v/>
      </c>
      <c r="P68" s="52" t="n">
        <v>702</v>
      </c>
      <c r="Q68" s="52" t="n">
        <v>702</v>
      </c>
      <c r="R68" s="52" t="n"/>
    </row>
    <row r="69" ht="14.25" customHeight="1" s="142">
      <c r="A69" s="141" t="n">
        <v>70066</v>
      </c>
      <c r="B69" s="135" t="inlineStr">
        <is>
          <t>gem</t>
        </is>
      </c>
      <c r="C69" s="8" t="inlineStr">
        <is>
          <t>紫凝暴晶LV.6</t>
        </is>
      </c>
      <c r="D69" s="135" t="inlineStr">
        <is>
          <t>SR</t>
        </is>
      </c>
      <c r="E69" s="141" t="n"/>
      <c r="F69" s="141" t="n"/>
      <c r="G69" s="141" t="n"/>
      <c r="H69" s="141" t="n"/>
      <c r="I69" s="141" t="n">
        <v>40</v>
      </c>
      <c r="J69" s="141" t="n">
        <v>40</v>
      </c>
      <c r="K69" s="135" t="n"/>
      <c r="L69" s="141" t="n"/>
      <c r="M69" s="141">
        <f>A68&amp;","&amp;A68&amp;","&amp;A68&amp;","&amp;A68</f>
        <v/>
      </c>
      <c r="N69" s="135">
        <f>N68-0.2</f>
        <v/>
      </c>
      <c r="O69" s="135">
        <f>O68+1</f>
        <v/>
      </c>
      <c r="P69" s="52" t="n">
        <v>702</v>
      </c>
      <c r="Q69" s="52" t="n">
        <v>702</v>
      </c>
      <c r="R69" s="52" t="n"/>
    </row>
    <row r="70" ht="14.25" customHeight="1" s="142">
      <c r="A70" s="141" t="n">
        <v>70067</v>
      </c>
      <c r="B70" s="135" t="inlineStr">
        <is>
          <t>gem</t>
        </is>
      </c>
      <c r="C70" s="8" t="inlineStr">
        <is>
          <t>紫凝暴晶LV.7</t>
        </is>
      </c>
      <c r="D70" s="135" t="inlineStr">
        <is>
          <t>SR</t>
        </is>
      </c>
      <c r="E70" s="141" t="n"/>
      <c r="F70" s="141" t="n"/>
      <c r="G70" s="141" t="n"/>
      <c r="H70" s="141" t="n"/>
      <c r="I70" s="141" t="n">
        <v>50</v>
      </c>
      <c r="J70" s="141" t="n">
        <v>50</v>
      </c>
      <c r="K70" s="135" t="n"/>
      <c r="L70" s="141" t="n"/>
      <c r="M70" s="141">
        <f>A69&amp;","&amp;A69&amp;","&amp;A69&amp;","&amp;A69</f>
        <v/>
      </c>
      <c r="N70" s="135" t="n">
        <v>0.2</v>
      </c>
      <c r="O70" s="135">
        <f>O69+1</f>
        <v/>
      </c>
      <c r="P70" s="52" t="n">
        <v>702</v>
      </c>
      <c r="Q70" s="52" t="n">
        <v>702</v>
      </c>
      <c r="R70" s="52" t="n"/>
    </row>
    <row r="71" ht="14.25" customHeight="1" s="142">
      <c r="A71" s="141" t="n">
        <v>70068</v>
      </c>
      <c r="B71" s="135" t="inlineStr">
        <is>
          <t>gem</t>
        </is>
      </c>
      <c r="C71" s="8" t="inlineStr">
        <is>
          <t>紫凝暴晶LV.8</t>
        </is>
      </c>
      <c r="D71" s="135" t="inlineStr">
        <is>
          <t>SSR</t>
        </is>
      </c>
      <c r="E71" s="141" t="n"/>
      <c r="F71" s="141" t="n"/>
      <c r="G71" s="141" t="n"/>
      <c r="H71" s="141" t="n"/>
      <c r="I71" s="141" t="n">
        <v>75</v>
      </c>
      <c r="J71" s="141" t="n">
        <v>75</v>
      </c>
      <c r="K71" s="135" t="n"/>
      <c r="L71" s="141" t="n"/>
      <c r="M71" s="141">
        <f>A70&amp;","&amp;A70&amp;","&amp;A70&amp;","&amp;A70</f>
        <v/>
      </c>
      <c r="N71" s="135" t="n">
        <v>0.2</v>
      </c>
      <c r="O71" s="135">
        <f>O70+1</f>
        <v/>
      </c>
      <c r="P71" s="52" t="n">
        <v>702</v>
      </c>
      <c r="Q71" s="52" t="n">
        <v>702</v>
      </c>
      <c r="R71" s="52" t="n"/>
    </row>
    <row r="72" ht="14.25" customHeight="1" s="142">
      <c r="A72" s="141" t="n">
        <v>70069</v>
      </c>
      <c r="B72" s="135" t="inlineStr">
        <is>
          <t>gem</t>
        </is>
      </c>
      <c r="C72" s="8" t="inlineStr">
        <is>
          <t>紫凝暴晶LV.9</t>
        </is>
      </c>
      <c r="D72" s="135" t="inlineStr">
        <is>
          <t>SSR</t>
        </is>
      </c>
      <c r="E72" s="141" t="n"/>
      <c r="F72" s="141" t="n"/>
      <c r="G72" s="141" t="n"/>
      <c r="H72" s="141" t="n"/>
      <c r="I72" s="141" t="n">
        <v>95</v>
      </c>
      <c r="J72" s="141" t="n">
        <v>95</v>
      </c>
      <c r="K72" s="135" t="n"/>
      <c r="L72" s="141" t="n"/>
      <c r="M72" s="141">
        <f>A71&amp;","&amp;A71&amp;","&amp;A71&amp;","&amp;A71</f>
        <v/>
      </c>
      <c r="N72" s="135" t="n">
        <v>0.2</v>
      </c>
      <c r="O72" s="135">
        <f>O71+1</f>
        <v/>
      </c>
      <c r="P72" s="52" t="n">
        <v>702</v>
      </c>
      <c r="Q72" s="52" t="n">
        <v>702</v>
      </c>
      <c r="R72" s="52" t="n"/>
    </row>
    <row r="73" ht="14.25" customHeight="1" s="142">
      <c r="A73" s="141" t="n">
        <v>70070</v>
      </c>
      <c r="B73" s="135" t="inlineStr">
        <is>
          <t>gem</t>
        </is>
      </c>
      <c r="C73" s="8" t="inlineStr">
        <is>
          <t>紫凝暴晶LV.10</t>
        </is>
      </c>
      <c r="D73" s="135" t="inlineStr">
        <is>
          <t>SSR</t>
        </is>
      </c>
      <c r="E73" s="141" t="n"/>
      <c r="F73" s="141" t="n"/>
      <c r="G73" s="141" t="n"/>
      <c r="H73" s="141" t="n"/>
      <c r="I73" s="141" t="n">
        <v>120</v>
      </c>
      <c r="J73" s="141" t="n">
        <v>120</v>
      </c>
      <c r="K73" s="135" t="n"/>
      <c r="L73" s="141" t="n"/>
      <c r="M73" s="141">
        <f>A72&amp;","&amp;A72&amp;","&amp;A72&amp;","&amp;A72</f>
        <v/>
      </c>
      <c r="N73" s="135" t="n">
        <v>0.2</v>
      </c>
      <c r="O73" s="135">
        <f>O72+1</f>
        <v/>
      </c>
      <c r="P73" s="52" t="n">
        <v>702</v>
      </c>
      <c r="Q73" s="52" t="n">
        <v>702</v>
      </c>
      <c r="R73" s="52" t="n"/>
    </row>
    <row r="74" ht="14.25" customHeight="1" s="142">
      <c r="A74" s="141" t="n">
        <v>70071</v>
      </c>
      <c r="B74" s="135" t="inlineStr">
        <is>
          <t>gem</t>
        </is>
      </c>
      <c r="C74" s="8" t="inlineStr">
        <is>
          <t>金凌暴晶LV.1</t>
        </is>
      </c>
      <c r="D74" s="135" t="inlineStr">
        <is>
          <t>R</t>
        </is>
      </c>
      <c r="E74" s="141" t="n"/>
      <c r="F74" s="141" t="n">
        <v>35</v>
      </c>
      <c r="G74" s="141" t="n"/>
      <c r="H74" s="141" t="n"/>
      <c r="I74" s="135" t="n"/>
      <c r="J74" s="135" t="n"/>
      <c r="K74" s="141" t="n">
        <v>15</v>
      </c>
      <c r="L74" s="141" t="n"/>
      <c r="M74" s="141" t="n"/>
      <c r="N74" s="135" t="n"/>
      <c r="O74" s="135">
        <f>O73+1</f>
        <v/>
      </c>
      <c r="P74" s="52" t="n">
        <v>702</v>
      </c>
      <c r="Q74" s="52" t="n">
        <v>702</v>
      </c>
      <c r="R74" s="52" t="n"/>
    </row>
    <row r="75" ht="14.25" customHeight="1" s="142">
      <c r="A75" s="141" t="n">
        <v>70072</v>
      </c>
      <c r="B75" s="135" t="inlineStr">
        <is>
          <t>gem</t>
        </is>
      </c>
      <c r="C75" s="8" t="inlineStr">
        <is>
          <t>金凌暴晶LV.2</t>
        </is>
      </c>
      <c r="D75" s="135" t="inlineStr">
        <is>
          <t>R</t>
        </is>
      </c>
      <c r="E75" s="141" t="n"/>
      <c r="F75" s="141" t="n">
        <v>65</v>
      </c>
      <c r="G75" s="141" t="n"/>
      <c r="H75" s="141" t="n"/>
      <c r="I75" s="135" t="n"/>
      <c r="J75" s="135" t="n"/>
      <c r="K75" s="141" t="n">
        <v>30</v>
      </c>
      <c r="L75" s="141" t="n"/>
      <c r="M75" s="141">
        <f>A74&amp;","&amp;A74&amp;","&amp;A74&amp;","&amp;A74</f>
        <v/>
      </c>
      <c r="N75" s="135" t="n">
        <v>0.9</v>
      </c>
      <c r="O75" s="135">
        <f>O74+1</f>
        <v/>
      </c>
      <c r="P75" s="52" t="n">
        <v>702</v>
      </c>
      <c r="Q75" s="52" t="n">
        <v>702</v>
      </c>
      <c r="R75" s="52" t="n"/>
    </row>
    <row r="76" ht="14.25" customHeight="1" s="142">
      <c r="A76" s="141" t="n">
        <v>70073</v>
      </c>
      <c r="B76" s="135" t="inlineStr">
        <is>
          <t>gem</t>
        </is>
      </c>
      <c r="C76" s="8" t="inlineStr">
        <is>
          <t>金凌暴晶LV.3</t>
        </is>
      </c>
      <c r="D76" s="135" t="inlineStr">
        <is>
          <t>R</t>
        </is>
      </c>
      <c r="E76" s="141" t="n"/>
      <c r="F76" s="141" t="n">
        <v>100</v>
      </c>
      <c r="G76" s="141" t="n"/>
      <c r="H76" s="141" t="n"/>
      <c r="I76" s="135" t="n"/>
      <c r="J76" s="135" t="n"/>
      <c r="K76" s="141" t="n">
        <v>46</v>
      </c>
      <c r="L76" s="141" t="n"/>
      <c r="M76" s="141">
        <f>A75&amp;","&amp;A75&amp;","&amp;A75&amp;","&amp;A75</f>
        <v/>
      </c>
      <c r="N76" s="135" t="n">
        <v>0.8</v>
      </c>
      <c r="O76" s="135">
        <f>O75+1</f>
        <v/>
      </c>
      <c r="P76" s="52" t="n">
        <v>702</v>
      </c>
      <c r="Q76" s="52" t="n">
        <v>702</v>
      </c>
      <c r="R76" s="52" t="n"/>
    </row>
    <row r="77" ht="14.25" customHeight="1" s="142">
      <c r="A77" s="141" t="n">
        <v>70074</v>
      </c>
      <c r="B77" s="135" t="inlineStr">
        <is>
          <t>gem</t>
        </is>
      </c>
      <c r="C77" s="8" t="inlineStr">
        <is>
          <t>金凌暴晶LV.4</t>
        </is>
      </c>
      <c r="D77" s="135" t="inlineStr">
        <is>
          <t>SR</t>
        </is>
      </c>
      <c r="E77" s="141" t="n"/>
      <c r="F77" s="141" t="n">
        <v>135</v>
      </c>
      <c r="G77" s="141" t="n"/>
      <c r="H77" s="141" t="n"/>
      <c r="I77" s="135" t="n"/>
      <c r="J77" s="135" t="n"/>
      <c r="K77" s="141" t="n">
        <v>60</v>
      </c>
      <c r="L77" s="141" t="n"/>
      <c r="M77" s="141">
        <f>A76&amp;","&amp;A76&amp;","&amp;A76&amp;","&amp;A76</f>
        <v/>
      </c>
      <c r="N77" s="135">
        <f>N76-0.2</f>
        <v/>
      </c>
      <c r="O77" s="135">
        <f>O76+1</f>
        <v/>
      </c>
      <c r="P77" s="52" t="n">
        <v>702</v>
      </c>
      <c r="Q77" s="52" t="n">
        <v>702</v>
      </c>
      <c r="R77" s="52" t="n"/>
    </row>
    <row r="78" ht="14.25" customHeight="1" s="142">
      <c r="A78" s="141" t="n">
        <v>70075</v>
      </c>
      <c r="B78" s="135" t="inlineStr">
        <is>
          <t>gem</t>
        </is>
      </c>
      <c r="C78" s="8" t="inlineStr">
        <is>
          <t>金凌暴晶LV.5</t>
        </is>
      </c>
      <c r="D78" s="135" t="inlineStr">
        <is>
          <t>SR</t>
        </is>
      </c>
      <c r="E78" s="141" t="n"/>
      <c r="F78" s="141" t="n">
        <v>180</v>
      </c>
      <c r="G78" s="141" t="n"/>
      <c r="H78" s="141" t="n"/>
      <c r="I78" s="135" t="n"/>
      <c r="J78" s="135" t="n"/>
      <c r="K78" s="141" t="n">
        <v>80</v>
      </c>
      <c r="L78" s="141" t="n"/>
      <c r="M78" s="141">
        <f>A77&amp;","&amp;A77&amp;","&amp;A77&amp;","&amp;A77</f>
        <v/>
      </c>
      <c r="N78" s="135">
        <f>N77-0.2</f>
        <v/>
      </c>
      <c r="O78" s="135">
        <f>O77+1</f>
        <v/>
      </c>
      <c r="P78" s="52" t="n">
        <v>702</v>
      </c>
      <c r="Q78" s="52" t="n">
        <v>702</v>
      </c>
      <c r="R78" s="52" t="n"/>
    </row>
    <row r="79" ht="14.25" customHeight="1" s="142">
      <c r="A79" s="141" t="n">
        <v>70076</v>
      </c>
      <c r="B79" s="135" t="inlineStr">
        <is>
          <t>gem</t>
        </is>
      </c>
      <c r="C79" s="8" t="inlineStr">
        <is>
          <t>金凌暴晶LV.6</t>
        </is>
      </c>
      <c r="D79" s="135" t="inlineStr">
        <is>
          <t>SR</t>
        </is>
      </c>
      <c r="E79" s="141" t="n"/>
      <c r="F79" s="141" t="n">
        <v>220</v>
      </c>
      <c r="G79" s="141" t="n"/>
      <c r="H79" s="141" t="n"/>
      <c r="I79" s="135" t="n"/>
      <c r="J79" s="135" t="n"/>
      <c r="K79" s="141" t="n">
        <v>105</v>
      </c>
      <c r="L79" s="141" t="n"/>
      <c r="M79" s="141">
        <f>A78&amp;","&amp;A78&amp;","&amp;A78&amp;","&amp;A78</f>
        <v/>
      </c>
      <c r="N79" s="135">
        <f>N78-0.2</f>
        <v/>
      </c>
      <c r="O79" s="135">
        <f>O78+1</f>
        <v/>
      </c>
      <c r="P79" s="52" t="n">
        <v>702</v>
      </c>
      <c r="Q79" s="52" t="n">
        <v>702</v>
      </c>
      <c r="R79" s="52" t="n"/>
    </row>
    <row r="80" ht="14.25" customHeight="1" s="142">
      <c r="A80" s="141" t="n">
        <v>70077</v>
      </c>
      <c r="B80" s="135" t="inlineStr">
        <is>
          <t>gem</t>
        </is>
      </c>
      <c r="C80" s="8" t="inlineStr">
        <is>
          <t>金凌暴晶LV.7</t>
        </is>
      </c>
      <c r="D80" s="135" t="inlineStr">
        <is>
          <t>SR</t>
        </is>
      </c>
      <c r="E80" s="141" t="n"/>
      <c r="F80" s="141">
        <f>F60/2</f>
        <v/>
      </c>
      <c r="G80" s="141" t="n"/>
      <c r="H80" s="141" t="n"/>
      <c r="I80" s="135" t="n"/>
      <c r="J80" s="135" t="n"/>
      <c r="K80" s="141" t="n">
        <v>125</v>
      </c>
      <c r="L80" s="141" t="n"/>
      <c r="M80" s="141">
        <f>A79&amp;","&amp;A79&amp;","&amp;A79&amp;","&amp;A79</f>
        <v/>
      </c>
      <c r="N80" s="135" t="n">
        <v>0.2</v>
      </c>
      <c r="O80" s="135">
        <f>O79+1</f>
        <v/>
      </c>
      <c r="P80" s="52" t="n">
        <v>702</v>
      </c>
      <c r="Q80" s="52" t="n">
        <v>702</v>
      </c>
      <c r="R80" s="52" t="n"/>
    </row>
    <row r="81" ht="14.25" customHeight="1" s="142">
      <c r="A81" s="141" t="n">
        <v>70078</v>
      </c>
      <c r="B81" s="135" t="inlineStr">
        <is>
          <t>gem</t>
        </is>
      </c>
      <c r="C81" s="8" t="inlineStr">
        <is>
          <t>金凌暴晶LV.8</t>
        </is>
      </c>
      <c r="D81" s="135" t="inlineStr">
        <is>
          <t>SSR</t>
        </is>
      </c>
      <c r="E81" s="141" t="n"/>
      <c r="F81" s="141">
        <f>F61/2</f>
        <v/>
      </c>
      <c r="G81" s="141" t="n"/>
      <c r="H81" s="141" t="n"/>
      <c r="I81" s="135" t="n"/>
      <c r="J81" s="135" t="n"/>
      <c r="K81" s="141" t="n">
        <v>150</v>
      </c>
      <c r="L81" s="141" t="n"/>
      <c r="M81" s="141">
        <f>A80&amp;","&amp;A80&amp;","&amp;A80&amp;","&amp;A80</f>
        <v/>
      </c>
      <c r="N81" s="135" t="n">
        <v>0.2</v>
      </c>
      <c r="O81" s="135">
        <f>O80+1</f>
        <v/>
      </c>
      <c r="P81" s="52" t="n">
        <v>702</v>
      </c>
      <c r="Q81" s="52" t="n">
        <v>702</v>
      </c>
      <c r="R81" s="52" t="n"/>
    </row>
    <row r="82" ht="14.25" customHeight="1" s="142">
      <c r="A82" s="141" t="n">
        <v>70079</v>
      </c>
      <c r="B82" s="135" t="inlineStr">
        <is>
          <t>gem</t>
        </is>
      </c>
      <c r="C82" s="8" t="inlineStr">
        <is>
          <t>金凌暴晶LV.9</t>
        </is>
      </c>
      <c r="D82" s="135" t="inlineStr">
        <is>
          <t>SSR</t>
        </is>
      </c>
      <c r="E82" s="141" t="n"/>
      <c r="F82" s="141">
        <f>F62/2</f>
        <v/>
      </c>
      <c r="G82" s="141" t="n"/>
      <c r="H82" s="141" t="n"/>
      <c r="I82" s="135" t="n"/>
      <c r="J82" s="135" t="n"/>
      <c r="K82" s="141" t="n">
        <v>175</v>
      </c>
      <c r="L82" s="141" t="n"/>
      <c r="M82" s="141">
        <f>A81&amp;","&amp;A81&amp;","&amp;A81&amp;","&amp;A81</f>
        <v/>
      </c>
      <c r="N82" s="135" t="n">
        <v>0.2</v>
      </c>
      <c r="O82" s="135">
        <f>O81+1</f>
        <v/>
      </c>
      <c r="P82" s="52" t="n">
        <v>702</v>
      </c>
      <c r="Q82" s="52" t="n">
        <v>702</v>
      </c>
      <c r="R82" s="52" t="n"/>
    </row>
    <row r="83" ht="14.25" customHeight="1" s="142">
      <c r="A83" s="141" t="n">
        <v>70080</v>
      </c>
      <c r="B83" s="135" t="inlineStr">
        <is>
          <t>gem</t>
        </is>
      </c>
      <c r="C83" s="8" t="inlineStr">
        <is>
          <t>金凌暴晶LV.10</t>
        </is>
      </c>
      <c r="D83" s="135" t="inlineStr">
        <is>
          <t>SSR</t>
        </is>
      </c>
      <c r="E83" s="141" t="n"/>
      <c r="F83" s="141">
        <f>F63/2</f>
        <v/>
      </c>
      <c r="G83" s="141" t="n"/>
      <c r="H83" s="141" t="n"/>
      <c r="I83" s="135" t="n"/>
      <c r="J83" s="135" t="n"/>
      <c r="K83" s="141" t="n">
        <v>200</v>
      </c>
      <c r="L83" s="141" t="n"/>
      <c r="M83" s="141">
        <f>A82&amp;","&amp;A82&amp;","&amp;A82&amp;","&amp;A82</f>
        <v/>
      </c>
      <c r="N83" s="135" t="n">
        <v>0.2</v>
      </c>
      <c r="O83" s="135">
        <f>O82+1</f>
        <v/>
      </c>
      <c r="P83" s="52" t="n">
        <v>702</v>
      </c>
      <c r="Q83" s="52" t="n">
        <v>702</v>
      </c>
      <c r="R83" s="52" t="n"/>
    </row>
    <row r="84" ht="14.25" customHeight="1" s="142">
      <c r="A84" s="141" t="n">
        <v>80001</v>
      </c>
      <c r="B84" s="135" t="inlineStr">
        <is>
          <t>weapon</t>
        </is>
      </c>
      <c r="C84" s="8" t="inlineStr">
        <is>
          <t>羽扇</t>
        </is>
      </c>
      <c r="D84" s="135" t="inlineStr">
        <is>
          <t>R</t>
        </is>
      </c>
      <c r="F84" s="141" t="n"/>
      <c r="G84" s="141" t="n"/>
      <c r="H84" s="141" t="n">
        <v>29</v>
      </c>
      <c r="I84" s="141" t="n"/>
      <c r="J84" s="141" t="n"/>
      <c r="K84" s="141" t="n"/>
      <c r="L84" s="141" t="n"/>
      <c r="M84" s="141" t="n"/>
      <c r="N84" s="141" t="n"/>
      <c r="O84" s="141">
        <f>"6001,6004"</f>
        <v/>
      </c>
      <c r="P84" s="52" t="n">
        <v>800</v>
      </c>
      <c r="Q84" s="52" t="n">
        <v>800</v>
      </c>
      <c r="R84" s="141">
        <f>"201,202,203,204"</f>
        <v/>
      </c>
    </row>
    <row r="85" ht="14.25" customHeight="1" s="142">
      <c r="A85" s="141" t="n">
        <v>81001</v>
      </c>
      <c r="B85" s="135" t="inlineStr">
        <is>
          <t>head</t>
        </is>
      </c>
      <c r="C85" s="8" t="inlineStr">
        <is>
          <t>絲質布衣</t>
        </is>
      </c>
      <c r="D85" s="135" t="inlineStr">
        <is>
          <t>R</t>
        </is>
      </c>
      <c r="E85" s="141" t="n"/>
      <c r="F85" s="141" t="n">
        <v>80</v>
      </c>
      <c r="G85" s="141" t="n"/>
      <c r="H85" s="141" t="n"/>
      <c r="I85" s="141" t="n"/>
      <c r="J85" s="141" t="n">
        <v>15</v>
      </c>
      <c r="K85" s="141" t="n"/>
      <c r="L85" s="141" t="n"/>
      <c r="M85" s="141" t="n"/>
      <c r="N85" s="141" t="n"/>
      <c r="O85" s="141">
        <f>"6001,6004"</f>
        <v/>
      </c>
      <c r="P85" s="52" t="n">
        <v>800</v>
      </c>
      <c r="Q85" s="52" t="n">
        <v>800</v>
      </c>
      <c r="R85" s="141">
        <f>"205,206,207,208"</f>
        <v/>
      </c>
    </row>
    <row r="86" ht="14.25" customHeight="1" s="142">
      <c r="A86" s="141" t="n">
        <v>82001</v>
      </c>
      <c r="B86" s="135" t="inlineStr">
        <is>
          <t>armor</t>
        </is>
      </c>
      <c r="C86" s="8" t="inlineStr">
        <is>
          <t>絲質布帽</t>
        </is>
      </c>
      <c r="D86" s="135" t="inlineStr">
        <is>
          <t>R</t>
        </is>
      </c>
      <c r="E86" s="141" t="n"/>
      <c r="F86" s="141" t="n"/>
      <c r="G86" s="141" t="n"/>
      <c r="H86" s="141" t="n">
        <v>12</v>
      </c>
      <c r="I86" s="141" t="n"/>
      <c r="J86" s="141" t="n">
        <v>27</v>
      </c>
      <c r="K86" s="141" t="n"/>
      <c r="L86" s="141" t="n"/>
      <c r="M86" s="141" t="n"/>
      <c r="N86" s="141" t="n"/>
      <c r="O86" s="141">
        <f>"6001,6004"</f>
        <v/>
      </c>
      <c r="P86" s="52" t="n">
        <v>800</v>
      </c>
      <c r="Q86" s="52" t="n">
        <v>800</v>
      </c>
      <c r="R86" s="141">
        <f>"205,206,207,208"</f>
        <v/>
      </c>
    </row>
    <row r="87" ht="14.25" customHeight="1" s="142">
      <c r="A87" s="141" t="n">
        <v>83001</v>
      </c>
      <c r="B87" s="135" t="inlineStr">
        <is>
          <t>shoe</t>
        </is>
      </c>
      <c r="C87" s="8" t="inlineStr">
        <is>
          <t>絲質長靴</t>
        </is>
      </c>
      <c r="D87" s="135" t="inlineStr">
        <is>
          <t>R</t>
        </is>
      </c>
      <c r="E87" s="141" t="n"/>
      <c r="F87" s="141" t="n"/>
      <c r="G87" s="141" t="n"/>
      <c r="H87" s="141" t="n"/>
      <c r="I87" s="141" t="n">
        <v>19</v>
      </c>
      <c r="J87" s="141" t="n"/>
      <c r="K87" s="141" t="n">
        <v>20</v>
      </c>
      <c r="L87" s="141" t="n"/>
      <c r="M87" s="141" t="n"/>
      <c r="N87" s="141" t="n"/>
      <c r="O87" s="141">
        <f>"6001,6004"</f>
        <v/>
      </c>
      <c r="P87" s="52" t="n">
        <v>800</v>
      </c>
      <c r="Q87" s="52" t="n">
        <v>800</v>
      </c>
      <c r="R87" s="141">
        <f>"201,202,203,204"</f>
        <v/>
      </c>
    </row>
    <row r="88" ht="14.25" customHeight="1" s="142">
      <c r="A88" s="141" t="n">
        <v>84001</v>
      </c>
      <c r="B88" s="135" t="inlineStr">
        <is>
          <t>cloak</t>
        </is>
      </c>
      <c r="C88" s="8" t="inlineStr">
        <is>
          <t>絲質披風</t>
        </is>
      </c>
      <c r="D88" s="135" t="inlineStr">
        <is>
          <t>R</t>
        </is>
      </c>
      <c r="E88" s="141" t="n"/>
      <c r="F88" s="141" t="n">
        <v>65</v>
      </c>
      <c r="G88" s="141" t="n"/>
      <c r="H88" s="141" t="n"/>
      <c r="I88" s="141" t="n">
        <v>15</v>
      </c>
      <c r="J88" s="141" t="n"/>
      <c r="K88" s="141" t="n"/>
      <c r="L88" s="141" t="n"/>
      <c r="M88" s="141" t="n"/>
      <c r="N88" s="141" t="n"/>
      <c r="O88" s="141">
        <f>"6001,6004"</f>
        <v/>
      </c>
      <c r="P88" s="52" t="n">
        <v>800</v>
      </c>
      <c r="Q88" s="52" t="n">
        <v>800</v>
      </c>
      <c r="R88" s="141">
        <f>"209,210,211,212"</f>
        <v/>
      </c>
    </row>
    <row r="89" ht="14.25" customHeight="1" s="142">
      <c r="A89" s="141" t="n">
        <v>85001</v>
      </c>
      <c r="B89" s="135" t="inlineStr">
        <is>
          <t>Pants</t>
        </is>
      </c>
      <c r="C89" s="8" t="inlineStr">
        <is>
          <t>絲質褲</t>
        </is>
      </c>
      <c r="D89" s="135" t="inlineStr">
        <is>
          <t>R</t>
        </is>
      </c>
      <c r="E89" s="141" t="n"/>
      <c r="G89" s="141" t="n"/>
      <c r="H89" s="141" t="n"/>
      <c r="I89" s="141" t="n">
        <v>27</v>
      </c>
      <c r="J89" s="141" t="n"/>
      <c r="K89" s="141" t="n">
        <v>17</v>
      </c>
      <c r="L89" s="141" t="n"/>
      <c r="M89" s="141" t="n"/>
      <c r="N89" s="141" t="n"/>
      <c r="O89" s="141">
        <f>"6001,6004"</f>
        <v/>
      </c>
      <c r="P89" s="52" t="n">
        <v>800</v>
      </c>
      <c r="Q89" s="52" t="n">
        <v>800</v>
      </c>
      <c r="R89" s="141">
        <f>"209,210,211,212"</f>
        <v/>
      </c>
    </row>
    <row r="90" ht="14.25" customHeight="1" s="142">
      <c r="A90" s="141">
        <f>A84+1</f>
        <v/>
      </c>
      <c r="B90" s="135" t="inlineStr">
        <is>
          <t>weapon</t>
        </is>
      </c>
      <c r="C90" s="8" t="inlineStr">
        <is>
          <t>流光扇</t>
        </is>
      </c>
      <c r="D90" s="135" t="inlineStr">
        <is>
          <t>SR</t>
        </is>
      </c>
      <c r="E90" s="141" t="n"/>
      <c r="F90" s="141">
        <f>IF(F84=0,,ROUND(F84*1.7,0))</f>
        <v/>
      </c>
      <c r="G90" s="141">
        <f>IF(G84=0,,ROUND(G84*1.7,0))</f>
        <v/>
      </c>
      <c r="H90" s="141">
        <f>IF(H84=0,,ROUND(H84*1.7,0))</f>
        <v/>
      </c>
      <c r="I90" s="141">
        <f>IF(I84=0,,ROUND(I84*1.7,0))</f>
        <v/>
      </c>
      <c r="J90" s="141">
        <f>IF(J84=0,,ROUND(J84*1.7,0))</f>
        <v/>
      </c>
      <c r="K90" s="141">
        <f>IF(K84=0,,ROUND(K84*1.7,0))</f>
        <v/>
      </c>
      <c r="L90" s="141">
        <f>IF(L84=0,,ROUND(L84*1.7,0))</f>
        <v/>
      </c>
      <c r="M90" s="141" t="n"/>
      <c r="N90" s="141" t="n"/>
      <c r="O90" s="141">
        <f>"6001,6004"</f>
        <v/>
      </c>
      <c r="P90" s="52" t="n">
        <v>800</v>
      </c>
      <c r="Q90" s="52" t="n">
        <v>800</v>
      </c>
      <c r="R90" s="141">
        <f>"201,202,203,204"</f>
        <v/>
      </c>
    </row>
    <row r="91" ht="14.25" customHeight="1" s="142">
      <c r="A91" s="141">
        <f>A85+1</f>
        <v/>
      </c>
      <c r="B91" s="135" t="inlineStr">
        <is>
          <t>head</t>
        </is>
      </c>
      <c r="C91" s="8" t="inlineStr">
        <is>
          <t>琉光布帽</t>
        </is>
      </c>
      <c r="D91" s="135" t="inlineStr">
        <is>
          <t>SR</t>
        </is>
      </c>
      <c r="E91" s="141" t="n"/>
      <c r="F91" s="141">
        <f>IF(F85=0,,ROUND(F85*1.7,0))</f>
        <v/>
      </c>
      <c r="G91" s="141">
        <f>IF(G85=0,,ROUND(G85*1.7,0))</f>
        <v/>
      </c>
      <c r="H91" s="141">
        <f>IF(H85=0,,ROUND(H85*1.7,0))</f>
        <v/>
      </c>
      <c r="I91" s="141">
        <f>IF(I85=0,,ROUND(I85*1.7,0))</f>
        <v/>
      </c>
      <c r="J91" s="141">
        <f>IF(J85=0,,ROUND(J85*1.7,0))</f>
        <v/>
      </c>
      <c r="K91" s="141">
        <f>IF(K85=0,,ROUND(K85*1.7,0))</f>
        <v/>
      </c>
      <c r="L91" s="141">
        <f>IF(L85=0,,ROUND(L85*1.7,0))</f>
        <v/>
      </c>
      <c r="M91" s="141" t="n"/>
      <c r="N91" s="141" t="n"/>
      <c r="O91" s="141">
        <f>"6001,6004"</f>
        <v/>
      </c>
      <c r="P91" s="52" t="n">
        <v>800</v>
      </c>
      <c r="Q91" s="52" t="n">
        <v>800</v>
      </c>
      <c r="R91" s="141">
        <f>"205,206,207,208"</f>
        <v/>
      </c>
    </row>
    <row r="92" ht="14.25" customHeight="1" s="142">
      <c r="A92" s="141">
        <f>A86+1</f>
        <v/>
      </c>
      <c r="B92" s="135" t="inlineStr">
        <is>
          <t>armor</t>
        </is>
      </c>
      <c r="C92" s="8" t="inlineStr">
        <is>
          <t>琉光布衣</t>
        </is>
      </c>
      <c r="D92" s="135" t="inlineStr">
        <is>
          <t>SR</t>
        </is>
      </c>
      <c r="E92" s="141" t="n"/>
      <c r="F92" s="141">
        <f>IF(F86=0,,ROUND(F86*1.7,0))</f>
        <v/>
      </c>
      <c r="G92" s="141">
        <f>IF(G86=0,,ROUND(G86*1.7,0))</f>
        <v/>
      </c>
      <c r="H92" s="141">
        <f>IF(H86=0,,ROUND(H86*1.7,0))</f>
        <v/>
      </c>
      <c r="I92" s="141">
        <f>IF(I86=0,,ROUND(I86*1.7,0))</f>
        <v/>
      </c>
      <c r="J92" s="141">
        <f>IF(J86=0,,ROUND(J86*1.7,0))</f>
        <v/>
      </c>
      <c r="K92" s="141">
        <f>IF(K86=0,,ROUND(K86*1.7,0))</f>
        <v/>
      </c>
      <c r="L92" s="141">
        <f>IF(L86=0,,ROUND(L86*1.7,0))</f>
        <v/>
      </c>
      <c r="M92" s="141" t="n"/>
      <c r="N92" s="141" t="n"/>
      <c r="O92" s="141">
        <f>"6001,6004"</f>
        <v/>
      </c>
      <c r="P92" s="52" t="n">
        <v>800</v>
      </c>
      <c r="Q92" s="52" t="n">
        <v>800</v>
      </c>
      <c r="R92" s="141">
        <f>"205,206,207,208"</f>
        <v/>
      </c>
    </row>
    <row r="93" ht="14.25" customHeight="1" s="142">
      <c r="A93" s="141">
        <f>A87+1</f>
        <v/>
      </c>
      <c r="B93" s="135" t="inlineStr">
        <is>
          <t>shoe</t>
        </is>
      </c>
      <c r="C93" s="8" t="inlineStr">
        <is>
          <t>琉光長靴</t>
        </is>
      </c>
      <c r="D93" s="135" t="inlineStr">
        <is>
          <t>SR</t>
        </is>
      </c>
      <c r="E93" s="141" t="n"/>
      <c r="F93" s="141">
        <f>IF(F87=0,,ROUND(F87*1.7,0))</f>
        <v/>
      </c>
      <c r="G93" s="141">
        <f>IF(G87=0,,ROUND(G87*1.7,0))</f>
        <v/>
      </c>
      <c r="H93" s="141">
        <f>IF(H87=0,,ROUND(H87*1.7,0))</f>
        <v/>
      </c>
      <c r="I93" s="141">
        <f>IF(I87=0,,ROUND(I87*1.7,0))</f>
        <v/>
      </c>
      <c r="J93" s="141">
        <f>IF(J87=0,,ROUND(J87*1.7,0))</f>
        <v/>
      </c>
      <c r="K93" s="141">
        <f>IF(K87=0,,ROUND(K87*1.7,0))</f>
        <v/>
      </c>
      <c r="L93" s="141">
        <f>IF(L87=0,,ROUND(L87*1.7,0))</f>
        <v/>
      </c>
      <c r="M93" s="141" t="n"/>
      <c r="N93" s="141" t="n"/>
      <c r="O93" s="141">
        <f>"6001,6004"</f>
        <v/>
      </c>
      <c r="P93" s="52" t="n">
        <v>800</v>
      </c>
      <c r="Q93" s="52" t="n">
        <v>800</v>
      </c>
      <c r="R93" s="141">
        <f>"201,202,203,204"</f>
        <v/>
      </c>
    </row>
    <row r="94" ht="14.25" customHeight="1" s="142">
      <c r="A94" s="141">
        <f>A88+1</f>
        <v/>
      </c>
      <c r="B94" s="135" t="inlineStr">
        <is>
          <t>cloak</t>
        </is>
      </c>
      <c r="C94" s="8" t="inlineStr">
        <is>
          <t>琉光長批</t>
        </is>
      </c>
      <c r="D94" s="135" t="inlineStr">
        <is>
          <t>SR</t>
        </is>
      </c>
      <c r="E94" s="141" t="n"/>
      <c r="F94" s="141">
        <f>IF(F88=0,,ROUND(F88*1.7,0))</f>
        <v/>
      </c>
      <c r="G94" s="141">
        <f>IF(G88=0,,ROUND(G88*1.7,0))</f>
        <v/>
      </c>
      <c r="H94" s="141">
        <f>IF(H88=0,,ROUND(H88*1.7,0))</f>
        <v/>
      </c>
      <c r="I94" s="141">
        <f>IF(I88=0,,ROUND(I88*1.7,0))</f>
        <v/>
      </c>
      <c r="J94" s="141">
        <f>IF(J88=0,,ROUND(J88*1.7,0))</f>
        <v/>
      </c>
      <c r="K94" s="141">
        <f>IF(K88=0,,ROUND(K88*1.7,0))</f>
        <v/>
      </c>
      <c r="L94" s="141">
        <f>IF(L88=0,,ROUND(L88*1.7,0))</f>
        <v/>
      </c>
      <c r="M94" s="141" t="n"/>
      <c r="N94" s="141" t="n"/>
      <c r="O94" s="141">
        <f>"6001,6004"</f>
        <v/>
      </c>
      <c r="P94" s="52" t="n">
        <v>800</v>
      </c>
      <c r="Q94" s="52" t="n">
        <v>800</v>
      </c>
      <c r="R94" s="141">
        <f>"209,210,211,212"</f>
        <v/>
      </c>
    </row>
    <row r="95" ht="14.25" customHeight="1" s="142">
      <c r="A95" s="141">
        <f>A89+1</f>
        <v/>
      </c>
      <c r="B95" s="135" t="inlineStr">
        <is>
          <t>Pants</t>
        </is>
      </c>
      <c r="C95" s="8" t="inlineStr">
        <is>
          <t>琉光褲</t>
        </is>
      </c>
      <c r="D95" s="135" t="inlineStr">
        <is>
          <t>SR</t>
        </is>
      </c>
      <c r="E95" s="141" t="n"/>
      <c r="F95" s="141">
        <f>IF(F89=0,,ROUND(F89*1.7,0))</f>
        <v/>
      </c>
      <c r="G95" s="141">
        <f>IF(G89=0,,ROUND(G89*1.7,0))</f>
        <v/>
      </c>
      <c r="H95" s="141">
        <f>IF(H89=0,,ROUND(H89*1.7,0))</f>
        <v/>
      </c>
      <c r="I95" s="141">
        <f>IF(I89=0,,ROUND(I89*1.7,0))</f>
        <v/>
      </c>
      <c r="J95" s="141">
        <f>IF(J89=0,,ROUND(J89*1.7,0))</f>
        <v/>
      </c>
      <c r="K95" s="141">
        <f>IF(K89=0,,ROUND(K89*1.7,0))</f>
        <v/>
      </c>
      <c r="L95" s="141">
        <f>IF(L89=0,,ROUND(L89*1.7,0))</f>
        <v/>
      </c>
      <c r="M95" s="141" t="n"/>
      <c r="N95" s="141" t="n"/>
      <c r="O95" s="141">
        <f>"6001,6004"</f>
        <v/>
      </c>
      <c r="P95" s="52" t="n">
        <v>800</v>
      </c>
      <c r="Q95" s="52" t="n">
        <v>800</v>
      </c>
      <c r="R95" s="141">
        <f>"209,210,211,212"</f>
        <v/>
      </c>
    </row>
    <row r="96" ht="14.25" customHeight="1" s="142">
      <c r="A96" s="141">
        <f>A90+1</f>
        <v/>
      </c>
      <c r="B96" s="135" t="inlineStr">
        <is>
          <t>weapon</t>
        </is>
      </c>
      <c r="C96" s="8" t="inlineStr">
        <is>
          <t>翠影流雲短劍</t>
        </is>
      </c>
      <c r="D96" s="135" t="inlineStr">
        <is>
          <t>SR</t>
        </is>
      </c>
      <c r="E96" s="141" t="n"/>
      <c r="F96" s="141">
        <f>IF(F90=0,,ROUND(F90*1.2,0))</f>
        <v/>
      </c>
      <c r="G96" s="141">
        <f>IF(G90=0,,ROUND(G90*1.2,0))</f>
        <v/>
      </c>
      <c r="H96" s="141">
        <f>IF(H90=0,,ROUND(H90*1.2,0))</f>
        <v/>
      </c>
      <c r="I96" s="141">
        <f>IF(I90=0,,ROUND(I90*1.2,0))</f>
        <v/>
      </c>
      <c r="J96" s="141">
        <f>IF(J90=0,,ROUND(J90*1.2,0))</f>
        <v/>
      </c>
      <c r="K96" s="141">
        <f>IF(K90=0,,ROUND(K90*1.2,0))</f>
        <v/>
      </c>
      <c r="L96" s="141">
        <f>IF(L90=0,,ROUND(L90*1.2,0))</f>
        <v/>
      </c>
      <c r="M96" s="141" t="n"/>
      <c r="N96" s="141" t="n"/>
      <c r="O96" s="141">
        <f>"6001,6004"</f>
        <v/>
      </c>
      <c r="P96" s="52" t="n">
        <v>800</v>
      </c>
      <c r="Q96" s="52" t="n">
        <v>800</v>
      </c>
      <c r="R96" s="141">
        <f>"201,202,203,204"</f>
        <v/>
      </c>
    </row>
    <row r="97" ht="14.25" customHeight="1" s="142">
      <c r="A97" s="141">
        <f>A91+1</f>
        <v/>
      </c>
      <c r="B97" s="135" t="inlineStr">
        <is>
          <t>head</t>
        </is>
      </c>
      <c r="C97" s="8" t="inlineStr">
        <is>
          <t>翠影流雲帽</t>
        </is>
      </c>
      <c r="D97" s="135" t="inlineStr">
        <is>
          <t>SR</t>
        </is>
      </c>
      <c r="E97" s="141" t="n"/>
      <c r="F97" s="141">
        <f>IF(F91=0,,ROUND(F91*1.2,0))</f>
        <v/>
      </c>
      <c r="G97" s="141">
        <f>IF(G91=0,,ROUND(G91*1.2,0))</f>
        <v/>
      </c>
      <c r="H97" s="141">
        <f>IF(H91=0,,ROUND(H91*1.2,0))</f>
        <v/>
      </c>
      <c r="I97" s="141">
        <f>IF(I91=0,,ROUND(I91*1.2,0))</f>
        <v/>
      </c>
      <c r="J97" s="141">
        <f>IF(J91=0,,ROUND(J91*1.2,0))</f>
        <v/>
      </c>
      <c r="K97" s="141">
        <f>IF(K91=0,,ROUND(K91*1.2,0))</f>
        <v/>
      </c>
      <c r="L97" s="141">
        <f>IF(L91=0,,ROUND(L91*1.2,0))</f>
        <v/>
      </c>
      <c r="M97" s="141" t="n"/>
      <c r="N97" s="141" t="n"/>
      <c r="O97" s="141">
        <f>"6001,6004"</f>
        <v/>
      </c>
      <c r="P97" s="52" t="n">
        <v>800</v>
      </c>
      <c r="Q97" s="52" t="n">
        <v>800</v>
      </c>
      <c r="R97" s="141">
        <f>"205,206,207,208"</f>
        <v/>
      </c>
    </row>
    <row r="98" ht="14.25" customHeight="1" s="142">
      <c r="A98" s="141">
        <f>A92+1</f>
        <v/>
      </c>
      <c r="B98" s="135" t="inlineStr">
        <is>
          <t>armor</t>
        </is>
      </c>
      <c r="C98" s="8" t="inlineStr">
        <is>
          <t>翠影流雲長衣</t>
        </is>
      </c>
      <c r="D98" s="135" t="inlineStr">
        <is>
          <t>SR</t>
        </is>
      </c>
      <c r="E98" s="141" t="n"/>
      <c r="F98" s="141">
        <f>IF(F92=0,,ROUND(F92*1.2,0))</f>
        <v/>
      </c>
      <c r="G98" s="141">
        <f>IF(G92=0,,ROUND(G92*1.2,0))</f>
        <v/>
      </c>
      <c r="H98" s="141">
        <f>IF(H92=0,,ROUND(H92*1.2,0))</f>
        <v/>
      </c>
      <c r="I98" s="141">
        <f>IF(I92=0,,ROUND(I92*1.2,0))</f>
        <v/>
      </c>
      <c r="J98" s="141">
        <f>IF(J92=0,,ROUND(J92*1.2,0))</f>
        <v/>
      </c>
      <c r="K98" s="141">
        <f>IF(K92=0,,ROUND(K92*1.2,0))</f>
        <v/>
      </c>
      <c r="L98" s="141">
        <f>IF(L92=0,,ROUND(L92*1.2,0))</f>
        <v/>
      </c>
      <c r="M98" s="141" t="n"/>
      <c r="N98" s="141" t="n"/>
      <c r="O98" s="141">
        <f>"6001,6004"</f>
        <v/>
      </c>
      <c r="P98" s="52" t="n">
        <v>800</v>
      </c>
      <c r="Q98" s="52" t="n">
        <v>800</v>
      </c>
      <c r="R98" s="141">
        <f>"205,206,207,208"</f>
        <v/>
      </c>
    </row>
    <row r="99" ht="14.25" customHeight="1" s="142">
      <c r="A99" s="141">
        <f>A93+1</f>
        <v/>
      </c>
      <c r="B99" s="135" t="inlineStr">
        <is>
          <t>shoe</t>
        </is>
      </c>
      <c r="C99" s="8" t="inlineStr">
        <is>
          <t>翠影流雲靴</t>
        </is>
      </c>
      <c r="D99" s="135" t="inlineStr">
        <is>
          <t>SR</t>
        </is>
      </c>
      <c r="E99" s="141" t="n"/>
      <c r="F99" s="141">
        <f>IF(F93=0,,ROUND(F93*1.2,0))</f>
        <v/>
      </c>
      <c r="G99" s="141">
        <f>IF(G93=0,,ROUND(G93*1.2,0))</f>
        <v/>
      </c>
      <c r="H99" s="141">
        <f>IF(H93=0,,ROUND(H93*1.2,0))</f>
        <v/>
      </c>
      <c r="I99" s="141">
        <f>IF(I93=0,,ROUND(I93*1.2,0))</f>
        <v/>
      </c>
      <c r="J99" s="141">
        <f>IF(J93=0,,ROUND(J93*1.2,0))</f>
        <v/>
      </c>
      <c r="K99" s="141">
        <f>IF(K93=0,,ROUND(K93*1.2,0))</f>
        <v/>
      </c>
      <c r="L99" s="141">
        <f>IF(L93=0,,ROUND(L93*1.2,0))</f>
        <v/>
      </c>
      <c r="M99" s="141" t="n"/>
      <c r="N99" s="141" t="n"/>
      <c r="O99" s="141">
        <f>"6001,6004"</f>
        <v/>
      </c>
      <c r="P99" s="52" t="n">
        <v>800</v>
      </c>
      <c r="Q99" s="52" t="n">
        <v>800</v>
      </c>
      <c r="R99" s="141">
        <f>"201,202,203,204"</f>
        <v/>
      </c>
    </row>
    <row r="100" ht="14.25" customHeight="1" s="142">
      <c r="A100" s="141">
        <f>A94+1</f>
        <v/>
      </c>
      <c r="B100" s="135" t="inlineStr">
        <is>
          <t>cloak</t>
        </is>
      </c>
      <c r="C100" s="8" t="inlineStr">
        <is>
          <t>翠影流雲批風</t>
        </is>
      </c>
      <c r="D100" s="135" t="inlineStr">
        <is>
          <t>SR</t>
        </is>
      </c>
      <c r="E100" s="141" t="n"/>
      <c r="F100" s="141">
        <f>IF(F94=0,,ROUND(F94*1.2,0))</f>
        <v/>
      </c>
      <c r="G100" s="141">
        <f>IF(G94=0,,ROUND(G94*1.2,0))</f>
        <v/>
      </c>
      <c r="H100" s="141">
        <f>IF(H94=0,,ROUND(H94*1.2,0))</f>
        <v/>
      </c>
      <c r="I100" s="141">
        <f>IF(I94=0,,ROUND(I94*1.2,0))</f>
        <v/>
      </c>
      <c r="J100" s="141">
        <f>IF(J94=0,,ROUND(J94*1.2,0))</f>
        <v/>
      </c>
      <c r="K100" s="141">
        <f>IF(K94=0,,ROUND(K94*1.2,0))</f>
        <v/>
      </c>
      <c r="L100" s="141">
        <f>IF(L94=0,,ROUND(L94*1.2,0))</f>
        <v/>
      </c>
      <c r="M100" s="141" t="n"/>
      <c r="N100" s="141" t="n"/>
      <c r="O100" s="141">
        <f>"6001,6004"</f>
        <v/>
      </c>
      <c r="P100" s="52" t="n">
        <v>800</v>
      </c>
      <c r="Q100" s="52" t="n">
        <v>800</v>
      </c>
      <c r="R100" s="141">
        <f>"209,210,211,212"</f>
        <v/>
      </c>
    </row>
    <row r="101" ht="14.25" customHeight="1" s="142">
      <c r="A101" s="141">
        <f>A95+1</f>
        <v/>
      </c>
      <c r="B101" s="135" t="inlineStr">
        <is>
          <t>Pants</t>
        </is>
      </c>
      <c r="C101" s="8" t="inlineStr">
        <is>
          <t>翠影流雲褲</t>
        </is>
      </c>
      <c r="D101" s="135" t="inlineStr">
        <is>
          <t>SR</t>
        </is>
      </c>
      <c r="E101" s="141" t="n"/>
      <c r="F101" s="141">
        <f>IF(F95=0,,ROUND(F95*1.2,0))</f>
        <v/>
      </c>
      <c r="G101" s="141">
        <f>IF(G95=0,,ROUND(G95*1.2,0))</f>
        <v/>
      </c>
      <c r="H101" s="141">
        <f>IF(H95=0,,ROUND(H95*1.2,0))</f>
        <v/>
      </c>
      <c r="I101" s="141">
        <f>IF(I95=0,,ROUND(I95*1.2,0))</f>
        <v/>
      </c>
      <c r="J101" s="141">
        <f>IF(J95=0,,ROUND(J95*1.2,0))</f>
        <v/>
      </c>
      <c r="K101" s="141">
        <f>IF(K95=0,,ROUND(K95*1.2,0))</f>
        <v/>
      </c>
      <c r="L101" s="141">
        <f>IF(L95=0,,ROUND(L95*1.2,0))</f>
        <v/>
      </c>
      <c r="M101" s="141" t="n"/>
      <c r="N101" s="141" t="n"/>
      <c r="O101" s="141">
        <f>"6001,6004"</f>
        <v/>
      </c>
      <c r="P101" s="52" t="n">
        <v>800</v>
      </c>
      <c r="Q101" s="52" t="n">
        <v>800</v>
      </c>
      <c r="R101" s="141">
        <f>"209,210,211,212"</f>
        <v/>
      </c>
    </row>
    <row r="102" ht="14.25" customHeight="1" s="142">
      <c r="A102" s="141">
        <f>A96+1</f>
        <v/>
      </c>
      <c r="B102" s="135" t="inlineStr">
        <is>
          <t>weapon</t>
        </is>
      </c>
      <c r="C102" s="114" t="inlineStr">
        <is>
          <t>星辰暗月球</t>
        </is>
      </c>
      <c r="D102" s="135" t="inlineStr">
        <is>
          <t>SSR</t>
        </is>
      </c>
      <c r="E102" s="141" t="n"/>
      <c r="F102" s="141">
        <f>IF(F90=0,,ROUND(F90*1.7,0))</f>
        <v/>
      </c>
      <c r="G102" s="141">
        <f>IF(G90=0,,ROUND(G90*1.7,0))</f>
        <v/>
      </c>
      <c r="H102" s="141">
        <f>IF(H90=0,,ROUND(H90*1.7,0))</f>
        <v/>
      </c>
      <c r="I102" s="141">
        <f>IF(I90=0,,ROUND(I90*1.7,0))</f>
        <v/>
      </c>
      <c r="J102" s="141">
        <f>IF(J90=0,,ROUND(J90*1.7,0))</f>
        <v/>
      </c>
      <c r="K102" s="141">
        <f>IF(K90=0,,ROUND(K90*1.7,0))</f>
        <v/>
      </c>
      <c r="L102" s="141" t="n"/>
      <c r="M102" s="141" t="n"/>
      <c r="N102" s="141" t="n"/>
      <c r="O102" s="141">
        <f>"6001,6004"</f>
        <v/>
      </c>
      <c r="P102" s="52" t="n">
        <v>800</v>
      </c>
      <c r="Q102" s="52" t="n">
        <v>800</v>
      </c>
      <c r="R102" s="141">
        <f>"201,202,203,204"</f>
        <v/>
      </c>
    </row>
    <row r="103" ht="14.25" customHeight="1" s="142">
      <c r="A103" s="141">
        <f>A97+1</f>
        <v/>
      </c>
      <c r="B103" s="135" t="inlineStr">
        <is>
          <t>head</t>
        </is>
      </c>
      <c r="C103" s="8" t="inlineStr">
        <is>
          <t>暗月星辰帽</t>
        </is>
      </c>
      <c r="D103" s="135" t="inlineStr">
        <is>
          <t>SSR</t>
        </is>
      </c>
      <c r="E103" s="141" t="n"/>
      <c r="F103" s="141">
        <f>IF(F91=0,,ROUND(F91*1.7,0))</f>
        <v/>
      </c>
      <c r="G103" s="141">
        <f>IF(G91=0,,ROUND(G91*1.7,0))</f>
        <v/>
      </c>
      <c r="H103" s="141">
        <f>IF(H91=0,,ROUND(H91*1.7,0))</f>
        <v/>
      </c>
      <c r="I103" s="141">
        <f>IF(I91=0,,ROUND(I91*1.7,0))</f>
        <v/>
      </c>
      <c r="J103" s="141">
        <f>IF(J91=0,,ROUND(J91*1.7,0))</f>
        <v/>
      </c>
      <c r="K103" s="141">
        <f>IF(K91=0,,ROUND(K91*1.7,0))</f>
        <v/>
      </c>
      <c r="L103" s="141" t="n"/>
      <c r="M103" s="141" t="n"/>
      <c r="N103" s="141" t="n"/>
      <c r="O103" s="141">
        <f>"6001,6004"</f>
        <v/>
      </c>
      <c r="P103" s="52" t="n">
        <v>800</v>
      </c>
      <c r="Q103" s="52" t="n">
        <v>800</v>
      </c>
      <c r="R103" s="141">
        <f>"205,206,207,208"</f>
        <v/>
      </c>
    </row>
    <row r="104" ht="14.25" customHeight="1" s="142">
      <c r="A104" s="141">
        <f>A98+1</f>
        <v/>
      </c>
      <c r="B104" s="135" t="inlineStr">
        <is>
          <t>armor</t>
        </is>
      </c>
      <c r="C104" s="8" t="inlineStr">
        <is>
          <t>暗月星辰長衣</t>
        </is>
      </c>
      <c r="D104" s="135" t="inlineStr">
        <is>
          <t>SSR</t>
        </is>
      </c>
      <c r="E104" s="141" t="n"/>
      <c r="F104" s="141">
        <f>IF(F92=0,,ROUND(F92*1.7,0))</f>
        <v/>
      </c>
      <c r="G104" s="141">
        <f>IF(G92=0,,ROUND(G92*1.7,0))</f>
        <v/>
      </c>
      <c r="H104" s="141">
        <f>IF(H92=0,,ROUND(H92*1.7,0))</f>
        <v/>
      </c>
      <c r="I104" s="141">
        <f>IF(I92=0,,ROUND(I92*1.7,0))</f>
        <v/>
      </c>
      <c r="J104" s="141">
        <f>IF(J92=0,,ROUND(J92*1.7,0))</f>
        <v/>
      </c>
      <c r="K104" s="141">
        <f>IF(K92=0,,ROUND(K92*1.7,0))</f>
        <v/>
      </c>
      <c r="L104" s="141" t="n"/>
      <c r="M104" s="141" t="n"/>
      <c r="N104" s="141" t="n"/>
      <c r="O104" s="141">
        <f>"6001,6004"</f>
        <v/>
      </c>
      <c r="P104" s="52" t="n">
        <v>800</v>
      </c>
      <c r="Q104" s="52" t="n">
        <v>800</v>
      </c>
      <c r="R104" s="141">
        <f>"205,206,207,208"</f>
        <v/>
      </c>
    </row>
    <row r="105" ht="14.25" customHeight="1" s="142">
      <c r="A105" s="141">
        <f>A99+1</f>
        <v/>
      </c>
      <c r="B105" s="135" t="inlineStr">
        <is>
          <t>shoe</t>
        </is>
      </c>
      <c r="C105" s="8" t="inlineStr">
        <is>
          <t>暗月星辰長靴</t>
        </is>
      </c>
      <c r="D105" s="135" t="inlineStr">
        <is>
          <t>SSR</t>
        </is>
      </c>
      <c r="E105" s="141" t="n"/>
      <c r="F105" s="141">
        <f>IF(F93=0,,ROUND(F93*1.7,0))</f>
        <v/>
      </c>
      <c r="G105" s="141">
        <f>IF(G93=0,,ROUND(G93*1.7,0))</f>
        <v/>
      </c>
      <c r="H105" s="141">
        <f>IF(H93=0,,ROUND(H93*1.7,0))</f>
        <v/>
      </c>
      <c r="I105" s="141">
        <f>IF(I93=0,,ROUND(I93*1.7,0))</f>
        <v/>
      </c>
      <c r="J105" s="141">
        <f>IF(J93=0,,ROUND(J93*1.7,0))</f>
        <v/>
      </c>
      <c r="K105" s="141">
        <f>IF(K93=0,,ROUND(K93*1.7,0))</f>
        <v/>
      </c>
      <c r="L105" s="141" t="n"/>
      <c r="M105" s="141" t="n"/>
      <c r="N105" s="141" t="n"/>
      <c r="O105" s="141">
        <f>"6001,6004"</f>
        <v/>
      </c>
      <c r="P105" s="52" t="n">
        <v>800</v>
      </c>
      <c r="Q105" s="52" t="n">
        <v>800</v>
      </c>
      <c r="R105" s="141">
        <f>"201,202,203,204"</f>
        <v/>
      </c>
    </row>
    <row r="106" ht="14.25" customHeight="1" s="142">
      <c r="A106" s="141">
        <f>A100+1</f>
        <v/>
      </c>
      <c r="B106" s="135" t="inlineStr">
        <is>
          <t>cloak</t>
        </is>
      </c>
      <c r="C106" s="8" t="inlineStr">
        <is>
          <t>暗月星辰披肩</t>
        </is>
      </c>
      <c r="D106" s="135" t="inlineStr">
        <is>
          <t>SSR</t>
        </is>
      </c>
      <c r="E106" s="141" t="n"/>
      <c r="F106" s="141">
        <f>IF(F94=0,,ROUND(F94*1.7,0))</f>
        <v/>
      </c>
      <c r="G106" s="141">
        <f>IF(G94=0,,ROUND(G94*1.7,0))</f>
        <v/>
      </c>
      <c r="H106" s="141">
        <f>IF(H94=0,,ROUND(H94*1.7,0))</f>
        <v/>
      </c>
      <c r="I106" s="141">
        <f>IF(I94=0,,ROUND(I94*1.7,0))</f>
        <v/>
      </c>
      <c r="J106" s="141">
        <f>IF(J94=0,,ROUND(J94*1.7,0))</f>
        <v/>
      </c>
      <c r="K106" s="141">
        <f>IF(K94=0,,ROUND(K94*1.7,0))</f>
        <v/>
      </c>
      <c r="L106" s="141" t="n"/>
      <c r="M106" s="141" t="n"/>
      <c r="N106" s="141" t="n"/>
      <c r="O106" s="141">
        <f>"6001,6004"</f>
        <v/>
      </c>
      <c r="P106" s="52" t="n">
        <v>800</v>
      </c>
      <c r="Q106" s="52" t="n">
        <v>800</v>
      </c>
      <c r="R106" s="141">
        <f>"209,210,211,212"</f>
        <v/>
      </c>
    </row>
    <row r="107" ht="14.25" customHeight="1" s="142">
      <c r="A107" s="141">
        <f>A101+1</f>
        <v/>
      </c>
      <c r="B107" s="135" t="inlineStr">
        <is>
          <t>Pants</t>
        </is>
      </c>
      <c r="C107" s="8" t="inlineStr">
        <is>
          <t>暗月星辰褲</t>
        </is>
      </c>
      <c r="D107" s="135" t="inlineStr">
        <is>
          <t>SSR</t>
        </is>
      </c>
      <c r="E107" s="141" t="n"/>
      <c r="F107" s="141">
        <f>IF(F95=0,,ROUND(F95*1.7,0))</f>
        <v/>
      </c>
      <c r="G107" s="141">
        <f>IF(G95=0,,ROUND(G95*1.7,0))</f>
        <v/>
      </c>
      <c r="H107" s="141">
        <f>IF(H95=0,,ROUND(H95*1.7,0))</f>
        <v/>
      </c>
      <c r="I107" s="141">
        <f>IF(I95=0,,ROUND(I95*1.7,0))</f>
        <v/>
      </c>
      <c r="J107" s="141">
        <f>IF(J95=0,,ROUND(J95*1.7,0))</f>
        <v/>
      </c>
      <c r="K107" s="141">
        <f>IF(K95=0,,ROUND(K95*1.7,0))</f>
        <v/>
      </c>
      <c r="L107" s="141" t="n"/>
      <c r="M107" s="141" t="n"/>
      <c r="N107" s="141" t="n"/>
      <c r="O107" s="141">
        <f>"6001,6004"</f>
        <v/>
      </c>
      <c r="P107" s="52" t="n">
        <v>800</v>
      </c>
      <c r="Q107" s="52" t="n">
        <v>800</v>
      </c>
      <c r="R107" s="141">
        <f>"209,210,211,212"</f>
        <v/>
      </c>
    </row>
    <row r="108" ht="14.25" customHeight="1" s="142">
      <c r="A108" s="141">
        <f>A102+1</f>
        <v/>
      </c>
      <c r="B108" s="135" t="inlineStr">
        <is>
          <t>weapon</t>
        </is>
      </c>
      <c r="C108" s="8" t="inlineStr">
        <is>
          <t>狼牙匕首</t>
        </is>
      </c>
      <c r="D108" s="135" t="inlineStr">
        <is>
          <t>R</t>
        </is>
      </c>
      <c r="E108" s="141" t="n"/>
      <c r="F108" s="141" t="n"/>
      <c r="G108" s="141" t="n">
        <v>27</v>
      </c>
      <c r="H108" s="141" t="n">
        <v>22</v>
      </c>
      <c r="I108" s="141" t="n"/>
      <c r="J108" s="141" t="n"/>
      <c r="K108" s="141" t="n"/>
      <c r="L108" s="141" t="n"/>
      <c r="M108" s="141" t="n"/>
      <c r="N108" s="141" t="n"/>
      <c r="O108" s="141">
        <f>"6002,6005"</f>
        <v/>
      </c>
      <c r="P108" s="52" t="n">
        <v>800</v>
      </c>
      <c r="Q108" s="52" t="n">
        <v>800</v>
      </c>
      <c r="R108" s="141">
        <f>"201,202,203,204"</f>
        <v/>
      </c>
    </row>
    <row r="109" ht="14.25" customHeight="1" s="142">
      <c r="A109" s="141">
        <f>A103+1</f>
        <v/>
      </c>
      <c r="B109" s="135" t="inlineStr">
        <is>
          <t>head</t>
        </is>
      </c>
      <c r="C109" s="8" t="inlineStr">
        <is>
          <t>狼皮頭套</t>
        </is>
      </c>
      <c r="D109" s="135" t="inlineStr">
        <is>
          <t>R</t>
        </is>
      </c>
      <c r="E109" s="141" t="n"/>
      <c r="F109" s="141" t="n">
        <v>75</v>
      </c>
      <c r="G109" s="141" t="n"/>
      <c r="H109" s="141" t="n"/>
      <c r="I109" s="141" t="n">
        <v>9</v>
      </c>
      <c r="J109" s="141" t="n"/>
      <c r="K109" s="141" t="n"/>
      <c r="L109" s="141" t="n"/>
      <c r="M109" s="141" t="n"/>
      <c r="N109" s="141" t="n"/>
      <c r="O109" s="141">
        <f>"6002,6005"</f>
        <v/>
      </c>
      <c r="P109" s="52" t="n">
        <v>800</v>
      </c>
      <c r="Q109" s="52" t="n">
        <v>800</v>
      </c>
      <c r="R109" s="141">
        <f>"205,206,207,208"</f>
        <v/>
      </c>
    </row>
    <row r="110" ht="14.25" customHeight="1" s="142">
      <c r="A110" s="141">
        <f>A104+1</f>
        <v/>
      </c>
      <c r="B110" s="135" t="inlineStr">
        <is>
          <t>armor</t>
        </is>
      </c>
      <c r="C110" s="8" t="inlineStr">
        <is>
          <t>狼皮長大衣</t>
        </is>
      </c>
      <c r="D110" s="135" t="inlineStr">
        <is>
          <t>R</t>
        </is>
      </c>
      <c r="E110" s="141" t="n"/>
      <c r="F110" s="141" t="n"/>
      <c r="G110" s="141" t="n"/>
      <c r="H110" s="141" t="n"/>
      <c r="I110" s="141" t="n">
        <v>11</v>
      </c>
      <c r="J110" s="141" t="n">
        <v>5</v>
      </c>
      <c r="K110" s="141" t="n"/>
      <c r="L110" s="141" t="n"/>
      <c r="M110" s="141" t="n"/>
      <c r="N110" s="141" t="n"/>
      <c r="O110" s="141">
        <f>"6002,6005"</f>
        <v/>
      </c>
      <c r="P110" s="52" t="n">
        <v>800</v>
      </c>
      <c r="Q110" s="52" t="n">
        <v>800</v>
      </c>
      <c r="R110" s="141">
        <f>"205,206,207,208"</f>
        <v/>
      </c>
    </row>
    <row r="111" ht="14.25" customHeight="1" s="142">
      <c r="A111" s="141">
        <f>A105+1</f>
        <v/>
      </c>
      <c r="B111" s="135" t="inlineStr">
        <is>
          <t>shoe</t>
        </is>
      </c>
      <c r="C111" s="8" t="inlineStr">
        <is>
          <t>狼皮硬長靴</t>
        </is>
      </c>
      <c r="D111" s="135" t="inlineStr">
        <is>
          <t>R</t>
        </is>
      </c>
      <c r="E111" s="141" t="n"/>
      <c r="F111" s="141" t="n">
        <v>29</v>
      </c>
      <c r="G111" s="141" t="n"/>
      <c r="H111" s="141" t="n"/>
      <c r="I111" s="141" t="n"/>
      <c r="J111" s="141" t="n">
        <v>5</v>
      </c>
      <c r="K111" s="141" t="n"/>
      <c r="L111" s="141" t="n"/>
      <c r="M111" s="141" t="n"/>
      <c r="N111" s="141" t="n"/>
      <c r="O111" s="141">
        <f>"6002,6005"</f>
        <v/>
      </c>
      <c r="P111" s="52" t="n">
        <v>800</v>
      </c>
      <c r="Q111" s="52" t="n">
        <v>800</v>
      </c>
      <c r="R111" s="141">
        <f>"201,202,203,204"</f>
        <v/>
      </c>
    </row>
    <row r="112" ht="14.25" customHeight="1" s="142">
      <c r="A112" s="141">
        <f>A106+1</f>
        <v/>
      </c>
      <c r="B112" s="135" t="inlineStr">
        <is>
          <t>cloak</t>
        </is>
      </c>
      <c r="C112" s="8" t="inlineStr">
        <is>
          <t>狼皮硬斗篷</t>
        </is>
      </c>
      <c r="D112" s="135" t="inlineStr">
        <is>
          <t>R</t>
        </is>
      </c>
      <c r="E112" s="141" t="n"/>
      <c r="F112" s="141" t="n"/>
      <c r="G112" s="141" t="n">
        <v>10</v>
      </c>
      <c r="H112" s="141" t="n"/>
      <c r="I112" s="141" t="n">
        <v>8</v>
      </c>
      <c r="J112" s="141" t="n"/>
      <c r="K112" s="141" t="n"/>
      <c r="L112" s="141" t="n"/>
      <c r="M112" s="141" t="n"/>
      <c r="N112" s="141" t="n"/>
      <c r="O112" s="141">
        <f>"6002,6005"</f>
        <v/>
      </c>
      <c r="P112" s="52" t="n">
        <v>800</v>
      </c>
      <c r="Q112" s="52" t="n">
        <v>800</v>
      </c>
      <c r="R112" s="141">
        <f>"209,210,211,212"</f>
        <v/>
      </c>
    </row>
    <row r="113" ht="14.25" customHeight="1" s="142">
      <c r="A113" s="141">
        <f>A107+1</f>
        <v/>
      </c>
      <c r="B113" s="135" t="inlineStr">
        <is>
          <t>Pants</t>
        </is>
      </c>
      <c r="C113" s="8" t="inlineStr">
        <is>
          <t>狼皮長褲</t>
        </is>
      </c>
      <c r="D113" s="135" t="inlineStr">
        <is>
          <t>R</t>
        </is>
      </c>
      <c r="E113" s="141" t="n"/>
      <c r="F113" s="141" t="n"/>
      <c r="G113" s="141" t="n">
        <v>9</v>
      </c>
      <c r="H113" s="141" t="n"/>
      <c r="I113" s="141" t="n"/>
      <c r="J113" s="141" t="n"/>
      <c r="K113" s="141" t="n">
        <v>12</v>
      </c>
      <c r="L113" s="141" t="n"/>
      <c r="M113" s="141" t="n"/>
      <c r="N113" s="141" t="n"/>
      <c r="O113" s="141">
        <f>"6002,6005"</f>
        <v/>
      </c>
      <c r="P113" s="52" t="n">
        <v>800</v>
      </c>
      <c r="Q113" s="52" t="n">
        <v>800</v>
      </c>
      <c r="R113" s="141">
        <f>"209,210,211,212"</f>
        <v/>
      </c>
    </row>
    <row r="114" ht="14.25" customHeight="1" s="142">
      <c r="A114" s="141">
        <f>A108+1</f>
        <v/>
      </c>
      <c r="B114" s="135" t="inlineStr">
        <is>
          <t>weapon</t>
        </is>
      </c>
      <c r="C114" s="114" t="inlineStr">
        <is>
          <t>虹赤焰短劍</t>
        </is>
      </c>
      <c r="D114" s="135" t="inlineStr">
        <is>
          <t>SR</t>
        </is>
      </c>
      <c r="E114" s="141" t="n"/>
      <c r="F114" s="141">
        <f>IF(F108=0,,ROUND(F108*1.7,0))</f>
        <v/>
      </c>
      <c r="G114" s="141">
        <f>IF(G108=0,,ROUND(G108*1.7,0))</f>
        <v/>
      </c>
      <c r="H114" s="141">
        <f>IF(H108=0,,ROUND(H108*1.7,0))</f>
        <v/>
      </c>
      <c r="I114" s="141">
        <f>IF(I108=0,,ROUND(I108*1.7,0))</f>
        <v/>
      </c>
      <c r="J114" s="141">
        <f>IF(J108=0,,ROUND(J108*1.7,0))</f>
        <v/>
      </c>
      <c r="K114" s="141">
        <f>IF(K108=0,,ROUND(K108*1.7,0))</f>
        <v/>
      </c>
      <c r="L114" s="141" t="n"/>
      <c r="M114" s="141" t="n"/>
      <c r="N114" s="141" t="n"/>
      <c r="O114" s="141">
        <f>"6002,6005"</f>
        <v/>
      </c>
      <c r="P114" s="52" t="n">
        <v>800</v>
      </c>
      <c r="Q114" s="52" t="n">
        <v>800</v>
      </c>
      <c r="R114" s="141">
        <f>"201,202,203,204"</f>
        <v/>
      </c>
    </row>
    <row r="115" ht="14.25" customHeight="1" s="142">
      <c r="A115" s="141">
        <f>A109+1</f>
        <v/>
      </c>
      <c r="B115" s="135" t="inlineStr">
        <is>
          <t>head</t>
        </is>
      </c>
      <c r="C115" s="8" t="inlineStr">
        <is>
          <t>赤焰皮帽</t>
        </is>
      </c>
      <c r="D115" s="135" t="inlineStr">
        <is>
          <t>SR</t>
        </is>
      </c>
      <c r="E115" s="141" t="n"/>
      <c r="F115" s="141">
        <f>IF(F109=0,,ROUND(F109*1.7,0))</f>
        <v/>
      </c>
      <c r="G115" s="141">
        <f>IF(G109=0,,ROUND(G109*1.7,0))</f>
        <v/>
      </c>
      <c r="H115" s="141">
        <f>IF(H109=0,,ROUND(H109*1.7,0))</f>
        <v/>
      </c>
      <c r="I115" s="141">
        <f>IF(I109=0,,ROUND(I109*1.7,0))</f>
        <v/>
      </c>
      <c r="J115" s="141">
        <f>IF(J109=0,,ROUND(J109*1.7,0))</f>
        <v/>
      </c>
      <c r="K115" s="141">
        <f>IF(K109=0,,ROUND(K109*1.7,0))</f>
        <v/>
      </c>
      <c r="L115" s="141" t="n"/>
      <c r="M115" s="141" t="n"/>
      <c r="N115" s="141" t="n"/>
      <c r="O115" s="141">
        <f>"6002,6005"</f>
        <v/>
      </c>
      <c r="P115" s="52" t="n">
        <v>800</v>
      </c>
      <c r="Q115" s="52" t="n">
        <v>800</v>
      </c>
      <c r="R115" s="141">
        <f>"205,206,207,208"</f>
        <v/>
      </c>
    </row>
    <row r="116" ht="14.25" customHeight="1" s="142">
      <c r="A116" s="141">
        <f>A110+1</f>
        <v/>
      </c>
      <c r="B116" s="135" t="inlineStr">
        <is>
          <t>armor</t>
        </is>
      </c>
      <c r="C116" s="8" t="inlineStr">
        <is>
          <t>赤焰皮大衣</t>
        </is>
      </c>
      <c r="D116" s="135" t="inlineStr">
        <is>
          <t>SR</t>
        </is>
      </c>
      <c r="E116" s="141" t="n"/>
      <c r="F116" s="141">
        <f>IF(F110=0,,ROUND(F110*1.7,0))</f>
        <v/>
      </c>
      <c r="G116" s="141">
        <f>IF(G110=0,,ROUND(G110*1.7,0))</f>
        <v/>
      </c>
      <c r="H116" s="141">
        <f>IF(H110=0,,ROUND(H110*1.7,0))</f>
        <v/>
      </c>
      <c r="I116" s="141">
        <f>IF(I110=0,,ROUND(I110*1.7,0))</f>
        <v/>
      </c>
      <c r="J116" s="141">
        <f>IF(J110=0,,ROUND(J110*1.7,0))</f>
        <v/>
      </c>
      <c r="K116" s="141">
        <f>IF(K110=0,,ROUND(K110*1.7,0))</f>
        <v/>
      </c>
      <c r="L116" s="141" t="n"/>
      <c r="M116" s="141" t="n"/>
      <c r="N116" s="141" t="n"/>
      <c r="O116" s="141">
        <f>"6002,6005"</f>
        <v/>
      </c>
      <c r="P116" s="52" t="n">
        <v>800</v>
      </c>
      <c r="Q116" s="52" t="n">
        <v>800</v>
      </c>
      <c r="R116" s="141">
        <f>"205,206,207,208"</f>
        <v/>
      </c>
    </row>
    <row r="117" ht="14.25" customHeight="1" s="142">
      <c r="A117" s="141">
        <f>A111+1</f>
        <v/>
      </c>
      <c r="B117" s="135" t="inlineStr">
        <is>
          <t>shoe</t>
        </is>
      </c>
      <c r="C117" s="8" t="inlineStr">
        <is>
          <t>赤焰皮鞋</t>
        </is>
      </c>
      <c r="D117" s="135" t="inlineStr">
        <is>
          <t>SR</t>
        </is>
      </c>
      <c r="E117" s="141" t="n"/>
      <c r="F117" s="141">
        <f>IF(F111=0,,ROUND(F111*1.7,0))</f>
        <v/>
      </c>
      <c r="G117" s="141">
        <f>IF(G111=0,,ROUND(G111*1.7,0))</f>
        <v/>
      </c>
      <c r="H117" s="141">
        <f>IF(H111=0,,ROUND(H111*1.7,0))</f>
        <v/>
      </c>
      <c r="I117" s="141">
        <f>IF(I111=0,,ROUND(I111*1.7,0))</f>
        <v/>
      </c>
      <c r="J117" s="141">
        <f>IF(J111=0,,ROUND(J111*1.7,0))</f>
        <v/>
      </c>
      <c r="K117" s="141">
        <f>IF(K111=0,,ROUND(K111*1.7,0))</f>
        <v/>
      </c>
      <c r="L117" s="141" t="n"/>
      <c r="M117" s="141" t="n"/>
      <c r="N117" s="141" t="n"/>
      <c r="O117" s="141">
        <f>"6002,6005"</f>
        <v/>
      </c>
      <c r="P117" s="52" t="n">
        <v>800</v>
      </c>
      <c r="Q117" s="52" t="n">
        <v>800</v>
      </c>
      <c r="R117" s="141">
        <f>"201,202,203,204"</f>
        <v/>
      </c>
    </row>
    <row r="118" ht="14.25" customHeight="1" s="142">
      <c r="A118" s="141">
        <f>A112+1</f>
        <v/>
      </c>
      <c r="B118" s="135" t="inlineStr">
        <is>
          <t>cloak</t>
        </is>
      </c>
      <c r="C118" s="8" t="inlineStr">
        <is>
          <t>赤焰短批</t>
        </is>
      </c>
      <c r="D118" s="135" t="inlineStr">
        <is>
          <t>SR</t>
        </is>
      </c>
      <c r="E118" s="141" t="n"/>
      <c r="F118" s="141">
        <f>IF(F112=0,,ROUND(F112*1.7,0))</f>
        <v/>
      </c>
      <c r="G118" s="141">
        <f>IF(G112=0,,ROUND(G112*1.7,0))</f>
        <v/>
      </c>
      <c r="H118" s="141">
        <f>IF(H112=0,,ROUND(H112*1.7,0))</f>
        <v/>
      </c>
      <c r="I118" s="141">
        <f>IF(I112=0,,ROUND(I112*1.7,0))</f>
        <v/>
      </c>
      <c r="J118" s="141">
        <f>IF(J112=0,,ROUND(J112*1.7,0))</f>
        <v/>
      </c>
      <c r="K118" s="141">
        <f>IF(K112=0,,ROUND(K112*1.7,0))</f>
        <v/>
      </c>
      <c r="L118" s="141" t="n"/>
      <c r="M118" s="141" t="n"/>
      <c r="N118" s="141" t="n"/>
      <c r="O118" s="141">
        <f>"6002,6005"</f>
        <v/>
      </c>
      <c r="P118" s="52" t="n">
        <v>800</v>
      </c>
      <c r="Q118" s="52" t="n">
        <v>800</v>
      </c>
      <c r="R118" s="141">
        <f>"209,210,211,212"</f>
        <v/>
      </c>
    </row>
    <row r="119" ht="14.25" customHeight="1" s="142">
      <c r="A119" s="141">
        <f>A113+1</f>
        <v/>
      </c>
      <c r="B119" s="135" t="inlineStr">
        <is>
          <t>Pants</t>
        </is>
      </c>
      <c r="C119" s="8" t="inlineStr">
        <is>
          <t>赤焰長褲</t>
        </is>
      </c>
      <c r="D119" s="135" t="inlineStr">
        <is>
          <t>SR</t>
        </is>
      </c>
      <c r="E119" s="141" t="n"/>
      <c r="F119" s="141">
        <f>IF(F113=0,,ROUND(F113*1.7,0))</f>
        <v/>
      </c>
      <c r="G119" s="141">
        <f>IF(G113=0,,ROUND(G113*1.7,0))</f>
        <v/>
      </c>
      <c r="H119" s="141">
        <f>IF(H113=0,,ROUND(H113*1.7,0))</f>
        <v/>
      </c>
      <c r="I119" s="141">
        <f>IF(I113=0,,ROUND(I113*1.7,0))</f>
        <v/>
      </c>
      <c r="J119" s="141">
        <f>IF(J113=0,,ROUND(J113*1.7,0))</f>
        <v/>
      </c>
      <c r="K119" s="141">
        <f>IF(K113=0,,ROUND(K113*1.7,0))</f>
        <v/>
      </c>
      <c r="L119" s="141" t="n"/>
      <c r="M119" s="141" t="n"/>
      <c r="N119" s="141" t="n"/>
      <c r="O119" s="141">
        <f>"6002,6005"</f>
        <v/>
      </c>
      <c r="P119" s="52" t="n">
        <v>800</v>
      </c>
      <c r="Q119" s="52" t="n">
        <v>800</v>
      </c>
      <c r="R119" s="141">
        <f>"209,210,211,212"</f>
        <v/>
      </c>
    </row>
    <row r="120" ht="14.25" customHeight="1" s="142">
      <c r="A120" s="141">
        <f>A114+1</f>
        <v/>
      </c>
      <c r="B120" s="135" t="inlineStr">
        <is>
          <t>weapon</t>
        </is>
      </c>
      <c r="C120" s="8" t="inlineStr">
        <is>
          <t>金凌刃環</t>
        </is>
      </c>
      <c r="D120" s="135" t="inlineStr">
        <is>
          <t>SR</t>
        </is>
      </c>
      <c r="E120" s="141" t="n"/>
      <c r="F120" s="141">
        <f>IF(F114=0,,ROUND(F114*1.2,0))</f>
        <v/>
      </c>
      <c r="G120" s="141">
        <f>IF(G114=0,,ROUND(G114*1.2,0))</f>
        <v/>
      </c>
      <c r="H120" s="141">
        <f>IF(H114=0,,ROUND(H114*1.2,0))</f>
        <v/>
      </c>
      <c r="I120" s="141">
        <f>IF(I114=0,,ROUND(I114*1.2,0))</f>
        <v/>
      </c>
      <c r="J120" s="141">
        <f>IF(J114=0,,ROUND(J114*1.2,0))</f>
        <v/>
      </c>
      <c r="K120" s="141">
        <f>IF(K114=0,,ROUND(K114*1.2,0))</f>
        <v/>
      </c>
      <c r="L120" s="141" t="n"/>
      <c r="M120" s="141" t="n"/>
      <c r="N120" s="141" t="n"/>
      <c r="O120" s="141">
        <f>"6002,6005"</f>
        <v/>
      </c>
      <c r="P120" s="52" t="n">
        <v>800</v>
      </c>
      <c r="Q120" s="52" t="n">
        <v>800</v>
      </c>
      <c r="R120" s="141">
        <f>"201,202,203,204"</f>
        <v/>
      </c>
    </row>
    <row r="121" ht="14.25" customHeight="1" s="142">
      <c r="A121" s="141">
        <f>A115+1</f>
        <v/>
      </c>
      <c r="B121" s="135" t="inlineStr">
        <is>
          <t>head</t>
        </is>
      </c>
      <c r="C121" s="8" t="inlineStr">
        <is>
          <t>金凌獵皮盔</t>
        </is>
      </c>
      <c r="D121" s="135" t="inlineStr">
        <is>
          <t>SR</t>
        </is>
      </c>
      <c r="E121" s="141" t="n"/>
      <c r="F121" s="141">
        <f>IF(F115=0,,ROUND(F115*1.2,0))</f>
        <v/>
      </c>
      <c r="G121" s="141">
        <f>IF(G115=0,,ROUND(G115*1.2,0))</f>
        <v/>
      </c>
      <c r="H121" s="141">
        <f>IF(H115=0,,ROUND(H115*1.2,0))</f>
        <v/>
      </c>
      <c r="I121" s="141">
        <f>IF(I115=0,,ROUND(I115*1.2,0))</f>
        <v/>
      </c>
      <c r="J121" s="141">
        <f>IF(J115=0,,ROUND(J115*1.2,0))</f>
        <v/>
      </c>
      <c r="K121" s="141">
        <f>IF(K115=0,,ROUND(K115*1.2,0))</f>
        <v/>
      </c>
      <c r="L121" s="141" t="n"/>
      <c r="M121" s="141" t="n"/>
      <c r="N121" s="141" t="n"/>
      <c r="O121" s="141">
        <f>"6002,6005"</f>
        <v/>
      </c>
      <c r="P121" s="52" t="n">
        <v>800</v>
      </c>
      <c r="Q121" s="52" t="n">
        <v>800</v>
      </c>
      <c r="R121" s="141">
        <f>"205,206,207,208"</f>
        <v/>
      </c>
    </row>
    <row r="122" ht="14.25" customHeight="1" s="142">
      <c r="A122" s="141">
        <f>A116+1</f>
        <v/>
      </c>
      <c r="B122" s="135" t="inlineStr">
        <is>
          <t>armor</t>
        </is>
      </c>
      <c r="C122" s="8" t="inlineStr">
        <is>
          <t>金凌獵戰甲</t>
        </is>
      </c>
      <c r="D122" s="135" t="inlineStr">
        <is>
          <t>SR</t>
        </is>
      </c>
      <c r="E122" s="141" t="n"/>
      <c r="F122" s="141">
        <f>IF(F116=0,,ROUND(F116*1.2,0))</f>
        <v/>
      </c>
      <c r="G122" s="141">
        <f>IF(G116=0,,ROUND(G116*1.2,0))</f>
        <v/>
      </c>
      <c r="H122" s="141">
        <f>IF(H116=0,,ROUND(H116*1.2,0))</f>
        <v/>
      </c>
      <c r="I122" s="141">
        <f>IF(I116=0,,ROUND(I116*1.2,0))</f>
        <v/>
      </c>
      <c r="J122" s="141">
        <f>IF(J116=0,,ROUND(J116*1.2,0))</f>
        <v/>
      </c>
      <c r="K122" s="141">
        <f>IF(K116=0,,ROUND(K116*1.2,0))</f>
        <v/>
      </c>
      <c r="L122" s="141" t="n"/>
      <c r="M122" s="141" t="n"/>
      <c r="N122" s="141" t="n"/>
      <c r="O122" s="141">
        <f>"6002,6005"</f>
        <v/>
      </c>
      <c r="P122" s="52" t="n">
        <v>800</v>
      </c>
      <c r="Q122" s="52" t="n">
        <v>800</v>
      </c>
      <c r="R122" s="141">
        <f>"205,206,207,208"</f>
        <v/>
      </c>
    </row>
    <row r="123" ht="14.25" customHeight="1" s="142">
      <c r="A123" s="141">
        <f>A117+1</f>
        <v/>
      </c>
      <c r="B123" s="135" t="inlineStr">
        <is>
          <t>shoe</t>
        </is>
      </c>
      <c r="C123" s="8" t="inlineStr">
        <is>
          <t>金凌獵皮靴</t>
        </is>
      </c>
      <c r="D123" s="135" t="inlineStr">
        <is>
          <t>SR</t>
        </is>
      </c>
      <c r="E123" s="141" t="n"/>
      <c r="F123" s="141">
        <f>IF(F117=0,,ROUND(F117*1.2,0))</f>
        <v/>
      </c>
      <c r="G123" s="141">
        <f>IF(G117=0,,ROUND(G117*1.2,0))</f>
        <v/>
      </c>
      <c r="H123" s="141">
        <f>IF(H117=0,,ROUND(H117*1.2,0))</f>
        <v/>
      </c>
      <c r="I123" s="141">
        <f>IF(I117=0,,ROUND(I117*1.2,0))</f>
        <v/>
      </c>
      <c r="J123" s="141">
        <f>IF(J117=0,,ROUND(J117*1.2,0))</f>
        <v/>
      </c>
      <c r="K123" s="141">
        <f>IF(K117=0,,ROUND(K117*1.2,0))</f>
        <v/>
      </c>
      <c r="L123" s="141" t="n"/>
      <c r="M123" s="141" t="n"/>
      <c r="N123" s="141" t="n"/>
      <c r="O123" s="141">
        <f>"6002,6005"</f>
        <v/>
      </c>
      <c r="P123" s="52" t="n">
        <v>800</v>
      </c>
      <c r="Q123" s="52" t="n">
        <v>800</v>
      </c>
      <c r="R123" s="141">
        <f>"201,202,203,204"</f>
        <v/>
      </c>
    </row>
    <row r="124" ht="14.25" customHeight="1" s="142">
      <c r="A124" s="141">
        <f>A118+1</f>
        <v/>
      </c>
      <c r="B124" s="135" t="inlineStr">
        <is>
          <t>cloak</t>
        </is>
      </c>
      <c r="C124" s="8" t="inlineStr">
        <is>
          <t>金凌斗篷</t>
        </is>
      </c>
      <c r="D124" s="135" t="inlineStr">
        <is>
          <t>SR</t>
        </is>
      </c>
      <c r="E124" s="141" t="n"/>
      <c r="F124" s="141">
        <f>IF(F118=0,,ROUND(F118*1.2,0))</f>
        <v/>
      </c>
      <c r="G124" s="141">
        <f>IF(G118=0,,ROUND(G118*1.2,0))</f>
        <v/>
      </c>
      <c r="H124" s="141">
        <f>IF(H118=0,,ROUND(H118*1.2,0))</f>
        <v/>
      </c>
      <c r="I124" s="141">
        <f>IF(I118=0,,ROUND(I118*1.2,0))</f>
        <v/>
      </c>
      <c r="J124" s="141">
        <f>IF(J118=0,,ROUND(J118*1.2,0))</f>
        <v/>
      </c>
      <c r="K124" s="141">
        <f>IF(K118=0,,ROUND(K118*1.2,0))</f>
        <v/>
      </c>
      <c r="L124" s="141" t="n"/>
      <c r="M124" s="141" t="n"/>
      <c r="N124" s="141" t="n"/>
      <c r="O124" s="141">
        <f>"6002,6005"</f>
        <v/>
      </c>
      <c r="P124" s="52" t="n">
        <v>800</v>
      </c>
      <c r="Q124" s="52" t="n">
        <v>800</v>
      </c>
      <c r="R124" s="141">
        <f>"209,210,211,212"</f>
        <v/>
      </c>
    </row>
    <row r="125" ht="14.25" customHeight="1" s="142">
      <c r="A125" s="141">
        <f>A119+1</f>
        <v/>
      </c>
      <c r="B125" s="135" t="inlineStr">
        <is>
          <t>Pants</t>
        </is>
      </c>
      <c r="C125" s="8" t="inlineStr">
        <is>
          <t>金凌獵皮褲</t>
        </is>
      </c>
      <c r="D125" s="135" t="inlineStr">
        <is>
          <t>SR</t>
        </is>
      </c>
      <c r="E125" s="141" t="n"/>
      <c r="F125" s="141">
        <f>IF(F119=0,,ROUND(F119*1.2,0))</f>
        <v/>
      </c>
      <c r="G125" s="141">
        <f>IF(G119=0,,ROUND(G119*1.2,0))</f>
        <v/>
      </c>
      <c r="H125" s="141">
        <f>IF(H119=0,,ROUND(H119*1.2,0))</f>
        <v/>
      </c>
      <c r="I125" s="141">
        <f>IF(I119=0,,ROUND(I119*1.2,0))</f>
        <v/>
      </c>
      <c r="J125" s="141">
        <f>IF(J119=0,,ROUND(J119*1.2,0))</f>
        <v/>
      </c>
      <c r="K125" s="141">
        <f>IF(K119=0,,ROUND(K119*1.2,0))</f>
        <v/>
      </c>
      <c r="L125" s="141" t="n"/>
      <c r="M125" s="141" t="n"/>
      <c r="N125" s="141" t="n"/>
      <c r="O125" s="141">
        <f>"6002,6005"</f>
        <v/>
      </c>
      <c r="P125" s="52" t="n">
        <v>800</v>
      </c>
      <c r="Q125" s="52" t="n">
        <v>800</v>
      </c>
      <c r="R125" s="141">
        <f>"209,210,211,212"</f>
        <v/>
      </c>
    </row>
    <row r="126" ht="14.25" customHeight="1" s="142">
      <c r="A126" s="141">
        <f>A120+1</f>
        <v/>
      </c>
      <c r="B126" s="135" t="inlineStr">
        <is>
          <t>weapon</t>
        </is>
      </c>
      <c r="C126" s="138" t="inlineStr">
        <is>
          <t>月影奇襲短刃</t>
        </is>
      </c>
      <c r="D126" s="135" t="inlineStr">
        <is>
          <t>SSR</t>
        </is>
      </c>
      <c r="E126" s="141" t="n"/>
      <c r="F126" s="141">
        <f>IF(F114=0,,ROUND(F114*1.7,0))</f>
        <v/>
      </c>
      <c r="G126" s="141">
        <f>IF(G114=0,,ROUND(G114*1.7,0))</f>
        <v/>
      </c>
      <c r="H126" s="141">
        <f>IF(H114=0,,ROUND(H114*1.7,0))</f>
        <v/>
      </c>
      <c r="I126" s="141">
        <f>IF(I114=0,,ROUND(I114*1.7,0))</f>
        <v/>
      </c>
      <c r="J126" s="141">
        <f>IF(J114=0,,ROUND(J114*1.7,0))</f>
        <v/>
      </c>
      <c r="K126" s="141">
        <f>IF(K114=0,,ROUND(K114*1.7,0))</f>
        <v/>
      </c>
      <c r="L126" s="141" t="n"/>
      <c r="M126" s="141" t="n"/>
      <c r="N126" s="141" t="n"/>
      <c r="O126" s="141">
        <f>"6002,6005"</f>
        <v/>
      </c>
      <c r="P126" s="52" t="n">
        <v>800</v>
      </c>
      <c r="Q126" s="52" t="n">
        <v>800</v>
      </c>
      <c r="R126" s="141">
        <f>"201,202,203,204"</f>
        <v/>
      </c>
    </row>
    <row r="127" ht="14.25" customHeight="1" s="142">
      <c r="A127" s="141">
        <f>A121+1</f>
        <v/>
      </c>
      <c r="B127" s="135" t="inlineStr">
        <is>
          <t>head</t>
        </is>
      </c>
      <c r="C127" s="8" t="inlineStr">
        <is>
          <t>月影奇襲皮盔</t>
        </is>
      </c>
      <c r="D127" s="135" t="inlineStr">
        <is>
          <t>SSR</t>
        </is>
      </c>
      <c r="E127" s="141" t="n"/>
      <c r="F127" s="141">
        <f>IF(F115=0,,ROUND(F115*1.7,0))</f>
        <v/>
      </c>
      <c r="G127" s="141">
        <f>IF(G115=0,,ROUND(G115*1.7,0))</f>
        <v/>
      </c>
      <c r="H127" s="141">
        <f>IF(H115=0,,ROUND(H115*1.7,0))</f>
        <v/>
      </c>
      <c r="I127" s="141">
        <f>IF(I115=0,,ROUND(I115*1.7,0))</f>
        <v/>
      </c>
      <c r="J127" s="141">
        <f>IF(J115=0,,ROUND(J115*1.7,0))</f>
        <v/>
      </c>
      <c r="K127" s="141">
        <f>IF(K115=0,,ROUND(K115*1.7,0))</f>
        <v/>
      </c>
      <c r="L127" s="141" t="n"/>
      <c r="M127" s="141" t="n"/>
      <c r="N127" s="141" t="n"/>
      <c r="O127" s="141">
        <f>"6002,6005"</f>
        <v/>
      </c>
      <c r="P127" s="52" t="n">
        <v>800</v>
      </c>
      <c r="Q127" s="52" t="n">
        <v>800</v>
      </c>
      <c r="R127" s="141">
        <f>"205,206,207,208"</f>
        <v/>
      </c>
    </row>
    <row r="128" ht="14.25" customHeight="1" s="142">
      <c r="A128" s="141">
        <f>A122+1</f>
        <v/>
      </c>
      <c r="B128" s="135" t="inlineStr">
        <is>
          <t>armor</t>
        </is>
      </c>
      <c r="C128" s="8" t="inlineStr">
        <is>
          <t>月影奇襲甲</t>
        </is>
      </c>
      <c r="D128" s="135" t="inlineStr">
        <is>
          <t>SSR</t>
        </is>
      </c>
      <c r="E128" s="141" t="n"/>
      <c r="F128" s="141">
        <f>IF(F116=0,,ROUND(F116*1.7,0))</f>
        <v/>
      </c>
      <c r="G128" s="141">
        <f>IF(G116=0,,ROUND(G116*1.7,0))</f>
        <v/>
      </c>
      <c r="H128" s="141">
        <f>IF(H116=0,,ROUND(H116*1.7,0))</f>
        <v/>
      </c>
      <c r="I128" s="141">
        <f>IF(I116=0,,ROUND(I116*1.7,0))</f>
        <v/>
      </c>
      <c r="J128" s="141">
        <f>IF(J116=0,,ROUND(J116*1.7,0))</f>
        <v/>
      </c>
      <c r="K128" s="141">
        <f>IF(K116=0,,ROUND(K116*1.7,0))</f>
        <v/>
      </c>
      <c r="L128" s="141" t="n"/>
      <c r="M128" s="141" t="n"/>
      <c r="N128" s="141" t="n"/>
      <c r="O128" s="141">
        <f>"6002,6005"</f>
        <v/>
      </c>
      <c r="P128" s="52" t="n">
        <v>800</v>
      </c>
      <c r="Q128" s="52" t="n">
        <v>800</v>
      </c>
      <c r="R128" s="141">
        <f>"205,206,207,208"</f>
        <v/>
      </c>
    </row>
    <row r="129" ht="14.25" customHeight="1" s="142">
      <c r="A129" s="141">
        <f>A123+1</f>
        <v/>
      </c>
      <c r="B129" s="135" t="inlineStr">
        <is>
          <t>shoe</t>
        </is>
      </c>
      <c r="C129" s="8" t="inlineStr">
        <is>
          <t>月影奇襲皮靴</t>
        </is>
      </c>
      <c r="D129" s="135" t="inlineStr">
        <is>
          <t>SSR</t>
        </is>
      </c>
      <c r="E129" s="141" t="n"/>
      <c r="F129" s="141">
        <f>IF(F117=0,,ROUND(F117*1.7,0))</f>
        <v/>
      </c>
      <c r="G129" s="141">
        <f>IF(G117=0,,ROUND(G117*1.7,0))</f>
        <v/>
      </c>
      <c r="H129" s="141">
        <f>IF(H117=0,,ROUND(H117*1.7,0))</f>
        <v/>
      </c>
      <c r="I129" s="141">
        <f>IF(I117=0,,ROUND(I117*1.7,0))</f>
        <v/>
      </c>
      <c r="J129" s="141">
        <f>IF(J117=0,,ROUND(J117*1.7,0))</f>
        <v/>
      </c>
      <c r="K129" s="141">
        <f>IF(K117=0,,ROUND(K117*1.7,0))</f>
        <v/>
      </c>
      <c r="L129" s="141" t="n"/>
      <c r="M129" s="141" t="n"/>
      <c r="N129" s="141" t="n"/>
      <c r="O129" s="141">
        <f>"6002,6005"</f>
        <v/>
      </c>
      <c r="P129" s="52" t="n">
        <v>800</v>
      </c>
      <c r="Q129" s="52" t="n">
        <v>800</v>
      </c>
      <c r="R129" s="141">
        <f>"201,202,203,204"</f>
        <v/>
      </c>
    </row>
    <row r="130" ht="14.25" customHeight="1" s="142">
      <c r="A130" s="141">
        <f>A124+1</f>
        <v/>
      </c>
      <c r="B130" s="135" t="inlineStr">
        <is>
          <t>cloak</t>
        </is>
      </c>
      <c r="C130" s="8" t="inlineStr">
        <is>
          <t>月影奇襲斗篷</t>
        </is>
      </c>
      <c r="D130" s="135" t="inlineStr">
        <is>
          <t>SSR</t>
        </is>
      </c>
      <c r="E130" s="141" t="n"/>
      <c r="F130" s="141">
        <f>IF(F118=0,,ROUND(F118*1.7,0))</f>
        <v/>
      </c>
      <c r="G130" s="141">
        <f>IF(G118=0,,ROUND(G118*1.7,0))</f>
        <v/>
      </c>
      <c r="H130" s="141">
        <f>IF(H118=0,,ROUND(H118*1.7,0))</f>
        <v/>
      </c>
      <c r="I130" s="141">
        <f>IF(I118=0,,ROUND(I118*1.7,0))</f>
        <v/>
      </c>
      <c r="J130" s="141">
        <f>IF(J118=0,,ROUND(J118*1.7,0))</f>
        <v/>
      </c>
      <c r="K130" s="141">
        <f>IF(K118=0,,ROUND(K118*1.7,0))</f>
        <v/>
      </c>
      <c r="L130" s="141" t="n"/>
      <c r="M130" s="141" t="n"/>
      <c r="N130" s="141" t="n"/>
      <c r="O130" s="141">
        <f>"6002,6005"</f>
        <v/>
      </c>
      <c r="P130" s="52" t="n">
        <v>800</v>
      </c>
      <c r="Q130" s="52" t="n">
        <v>800</v>
      </c>
      <c r="R130" s="141">
        <f>"209,210,211,212"</f>
        <v/>
      </c>
    </row>
    <row r="131" ht="14.25" customHeight="1" s="142">
      <c r="A131" s="141">
        <f>A125+1</f>
        <v/>
      </c>
      <c r="B131" s="135" t="inlineStr">
        <is>
          <t>Pants</t>
        </is>
      </c>
      <c r="C131" s="8" t="inlineStr">
        <is>
          <t>月影奇襲皮褲</t>
        </is>
      </c>
      <c r="D131" s="135" t="inlineStr">
        <is>
          <t>SSR</t>
        </is>
      </c>
      <c r="E131" s="141" t="n"/>
      <c r="F131" s="141">
        <f>IF(F119=0,,ROUND(F119*1.7,0))</f>
        <v/>
      </c>
      <c r="G131" s="141">
        <f>IF(G119=0,,ROUND(G119*1.7,0))</f>
        <v/>
      </c>
      <c r="H131" s="141">
        <f>IF(H119=0,,ROUND(H119*1.7,0))</f>
        <v/>
      </c>
      <c r="I131" s="141">
        <f>IF(I119=0,,ROUND(I119*1.7,0))</f>
        <v/>
      </c>
      <c r="J131" s="141">
        <f>IF(J119=0,,ROUND(J119*1.7,0))</f>
        <v/>
      </c>
      <c r="K131" s="141">
        <f>IF(K119=0,,ROUND(K119*1.7,0))</f>
        <v/>
      </c>
      <c r="L131" s="141" t="n"/>
      <c r="M131" s="141" t="n"/>
      <c r="N131" s="141" t="n"/>
      <c r="O131" s="141">
        <f>"6002,6005"</f>
        <v/>
      </c>
      <c r="P131" s="52" t="n">
        <v>800</v>
      </c>
      <c r="Q131" s="52" t="n">
        <v>800</v>
      </c>
      <c r="R131" s="141">
        <f>"209,210,211,212"</f>
        <v/>
      </c>
    </row>
    <row r="132" ht="14.25" customHeight="1" s="142">
      <c r="A132" s="141">
        <f>A126+1</f>
        <v/>
      </c>
      <c r="B132" s="135" t="inlineStr">
        <is>
          <t>weapon</t>
        </is>
      </c>
      <c r="C132" s="8" t="inlineStr">
        <is>
          <t>青銅長劍</t>
        </is>
      </c>
      <c r="D132" s="135" t="inlineStr">
        <is>
          <t>R</t>
        </is>
      </c>
      <c r="E132" s="141" t="n"/>
      <c r="F132" s="141" t="n"/>
      <c r="G132" s="141" t="n">
        <v>15</v>
      </c>
      <c r="H132" s="141" t="n"/>
      <c r="I132" s="141" t="n">
        <v>5</v>
      </c>
      <c r="J132" s="141" t="n"/>
      <c r="K132" s="141" t="n"/>
      <c r="L132" s="141" t="n"/>
      <c r="M132" s="141" t="n"/>
      <c r="N132" s="141" t="n"/>
      <c r="O132" s="141">
        <f>"6003,6006"</f>
        <v/>
      </c>
      <c r="P132" s="52" t="n">
        <v>800</v>
      </c>
      <c r="Q132" s="52" t="n">
        <v>800</v>
      </c>
      <c r="R132" s="141">
        <f>"201,202,203,204"</f>
        <v/>
      </c>
    </row>
    <row r="133" ht="14.25" customHeight="1" s="142">
      <c r="A133" s="141">
        <f>A127+1</f>
        <v/>
      </c>
      <c r="B133" s="135" t="inlineStr">
        <is>
          <t>head</t>
        </is>
      </c>
      <c r="C133" s="8" t="inlineStr">
        <is>
          <t>青銅頭盔</t>
        </is>
      </c>
      <c r="D133" s="135" t="inlineStr">
        <is>
          <t>R</t>
        </is>
      </c>
      <c r="E133" s="141" t="n"/>
      <c r="F133" s="141" t="n"/>
      <c r="G133" s="141" t="n"/>
      <c r="H133" s="141" t="n"/>
      <c r="I133" s="141" t="n">
        <v>17</v>
      </c>
      <c r="J133" s="141" t="n"/>
      <c r="K133" s="141" t="n"/>
      <c r="L133" s="141" t="n"/>
      <c r="M133" s="141" t="n"/>
      <c r="N133" s="141" t="n"/>
      <c r="O133" s="141">
        <f>"6003,6006"</f>
        <v/>
      </c>
      <c r="P133" s="52" t="n">
        <v>800</v>
      </c>
      <c r="Q133" s="52" t="n">
        <v>800</v>
      </c>
      <c r="R133" s="141">
        <f>"205,206,207,208"</f>
        <v/>
      </c>
    </row>
    <row r="134" ht="14.25" customHeight="1" s="142">
      <c r="A134" s="141">
        <f>A128+1</f>
        <v/>
      </c>
      <c r="B134" s="135" t="inlineStr">
        <is>
          <t>armor</t>
        </is>
      </c>
      <c r="C134" s="114" t="inlineStr">
        <is>
          <t>青銅戰甲</t>
        </is>
      </c>
      <c r="D134" s="135" t="inlineStr">
        <is>
          <t>R</t>
        </is>
      </c>
      <c r="E134" s="141" t="n"/>
      <c r="F134" s="141" t="n">
        <v>95</v>
      </c>
      <c r="G134" s="141" t="n"/>
      <c r="H134" s="141" t="n"/>
      <c r="I134" s="141" t="n">
        <v>16</v>
      </c>
      <c r="J134" s="141" t="n"/>
      <c r="K134" s="141" t="n"/>
      <c r="L134" s="141" t="n"/>
      <c r="M134" s="141" t="n"/>
      <c r="N134" s="141" t="n"/>
      <c r="O134" s="141">
        <f>"6003,6006"</f>
        <v/>
      </c>
      <c r="P134" s="52" t="n">
        <v>800</v>
      </c>
      <c r="Q134" s="52" t="n">
        <v>800</v>
      </c>
      <c r="R134" s="141">
        <f>"205,206,207,208"</f>
        <v/>
      </c>
    </row>
    <row r="135" ht="14.25" customHeight="1" s="142">
      <c r="A135" s="141">
        <f>A129+1</f>
        <v/>
      </c>
      <c r="B135" s="135" t="inlineStr">
        <is>
          <t>shoe</t>
        </is>
      </c>
      <c r="C135" s="8" t="inlineStr">
        <is>
          <t>青銅金屬靴</t>
        </is>
      </c>
      <c r="D135" s="135" t="inlineStr">
        <is>
          <t>R</t>
        </is>
      </c>
      <c r="E135" s="141" t="n"/>
      <c r="F135" s="141" t="n"/>
      <c r="G135" s="141" t="n"/>
      <c r="H135" s="141" t="n"/>
      <c r="I135" s="141" t="n">
        <v>19</v>
      </c>
      <c r="J135" s="141" t="n">
        <v>12</v>
      </c>
      <c r="K135" s="141" t="n"/>
      <c r="L135" s="141" t="n"/>
      <c r="M135" s="141" t="n"/>
      <c r="N135" s="141" t="n"/>
      <c r="O135" s="141">
        <f>"6003,6006"</f>
        <v/>
      </c>
      <c r="P135" s="52" t="n">
        <v>800</v>
      </c>
      <c r="Q135" s="52" t="n">
        <v>800</v>
      </c>
      <c r="R135" s="141">
        <f>"201,202,203,204"</f>
        <v/>
      </c>
    </row>
    <row r="136" ht="14.25" customHeight="1" s="142">
      <c r="A136" s="141">
        <f>A130+1</f>
        <v/>
      </c>
      <c r="B136" s="135" t="inlineStr">
        <is>
          <t>cloak</t>
        </is>
      </c>
      <c r="C136" s="8" t="inlineStr">
        <is>
          <t>青銅背甲</t>
        </is>
      </c>
      <c r="D136" s="135" t="inlineStr">
        <is>
          <t>R</t>
        </is>
      </c>
      <c r="E136" s="141" t="n"/>
      <c r="F136" s="141" t="n">
        <v>79</v>
      </c>
      <c r="G136" s="141" t="n"/>
      <c r="H136" s="141" t="n"/>
      <c r="I136" s="141" t="n">
        <v>29</v>
      </c>
      <c r="J136" s="141" t="n"/>
      <c r="K136" s="141" t="n"/>
      <c r="L136" s="141" t="n"/>
      <c r="M136" s="141" t="n"/>
      <c r="N136" s="141" t="n"/>
      <c r="O136" s="141">
        <f>"6003,6006"</f>
        <v/>
      </c>
      <c r="P136" s="52" t="n">
        <v>800</v>
      </c>
      <c r="Q136" s="52" t="n">
        <v>800</v>
      </c>
      <c r="R136" s="141">
        <f>"209,210,211,212"</f>
        <v/>
      </c>
    </row>
    <row r="137" ht="14.25" customHeight="1" s="142">
      <c r="A137" s="141">
        <f>A131+1</f>
        <v/>
      </c>
      <c r="B137" s="135" t="inlineStr">
        <is>
          <t>Pants</t>
        </is>
      </c>
      <c r="C137" s="8" t="inlineStr">
        <is>
          <t>青銅褲甲</t>
        </is>
      </c>
      <c r="D137" s="135" t="inlineStr">
        <is>
          <t>R</t>
        </is>
      </c>
      <c r="E137" s="141" t="n"/>
      <c r="F137" s="141" t="n">
        <v>57</v>
      </c>
      <c r="G137" s="141" t="n">
        <v>6</v>
      </c>
      <c r="H137" s="141" t="n"/>
      <c r="I137" s="141" t="n"/>
      <c r="J137" s="141" t="n">
        <v>11</v>
      </c>
      <c r="K137" s="141" t="n"/>
      <c r="L137" s="141" t="n"/>
      <c r="M137" s="141" t="n"/>
      <c r="N137" s="141" t="n"/>
      <c r="O137" s="141">
        <f>"6003,6006"</f>
        <v/>
      </c>
      <c r="P137" s="52" t="n">
        <v>800</v>
      </c>
      <c r="Q137" s="52" t="n">
        <v>800</v>
      </c>
      <c r="R137" s="141">
        <f>"209,210,211,212"</f>
        <v/>
      </c>
    </row>
    <row r="138" ht="14.25" customHeight="1" s="142">
      <c r="A138" s="141">
        <f>A132+1</f>
        <v/>
      </c>
      <c r="B138" s="135" t="inlineStr">
        <is>
          <t>weapon</t>
        </is>
      </c>
      <c r="C138" s="8" t="inlineStr">
        <is>
          <t>重金屬長槍</t>
        </is>
      </c>
      <c r="D138" s="135" t="inlineStr">
        <is>
          <t>SR</t>
        </is>
      </c>
      <c r="E138" s="141" t="n"/>
      <c r="F138" s="141">
        <f>IF(F132=0,,ROUND(F132*1.7,0))</f>
        <v/>
      </c>
      <c r="G138" s="141">
        <f>IF(G132=0,,ROUND(G132*1.7,0))</f>
        <v/>
      </c>
      <c r="H138" s="141">
        <f>IF(H132=0,,ROUND(H132*1.7,0))</f>
        <v/>
      </c>
      <c r="I138" s="141">
        <f>IF(I132=0,,ROUND(I132*1.7,0))</f>
        <v/>
      </c>
      <c r="J138" s="141">
        <f>IF(J132=0,,ROUND(J132*1.7,0))</f>
        <v/>
      </c>
      <c r="K138" s="141">
        <f>IF(K132=0,,ROUND(K132*1.7,0))</f>
        <v/>
      </c>
      <c r="L138" s="141" t="n"/>
      <c r="M138" s="141" t="n"/>
      <c r="N138" s="141" t="n"/>
      <c r="O138" s="141">
        <f>"6003,6006"</f>
        <v/>
      </c>
      <c r="P138" s="52" t="n">
        <v>800</v>
      </c>
      <c r="Q138" s="52" t="n">
        <v>800</v>
      </c>
      <c r="R138" s="141">
        <f>"201,202,203,204"</f>
        <v/>
      </c>
    </row>
    <row r="139" ht="14.25" customHeight="1" s="142">
      <c r="A139" s="141">
        <f>A133+1</f>
        <v/>
      </c>
      <c r="B139" s="135" t="inlineStr">
        <is>
          <t>head</t>
        </is>
      </c>
      <c r="C139" s="8" t="inlineStr">
        <is>
          <t>重金屬頭盔</t>
        </is>
      </c>
      <c r="D139" s="135" t="inlineStr">
        <is>
          <t>SR</t>
        </is>
      </c>
      <c r="E139" s="141" t="n"/>
      <c r="F139" s="141">
        <f>IF(F133=0,,ROUND(F133*1.7,0))</f>
        <v/>
      </c>
      <c r="G139" s="141">
        <f>IF(G133=0,,ROUND(G133*1.7,0))</f>
        <v/>
      </c>
      <c r="H139" s="141">
        <f>IF(H133=0,,ROUND(H133*1.7,0))</f>
        <v/>
      </c>
      <c r="I139" s="141">
        <f>IF(I133=0,,ROUND(I133*1.7,0))</f>
        <v/>
      </c>
      <c r="J139" s="141">
        <f>IF(J133=0,,ROUND(J133*1.7,0))</f>
        <v/>
      </c>
      <c r="K139" s="141">
        <f>IF(K133=0,,ROUND(K133*1.7,0))</f>
        <v/>
      </c>
      <c r="L139" s="141" t="n"/>
      <c r="M139" s="141" t="n"/>
      <c r="N139" s="141" t="n"/>
      <c r="O139" s="141">
        <f>"6003,6006"</f>
        <v/>
      </c>
      <c r="P139" s="52" t="n">
        <v>800</v>
      </c>
      <c r="Q139" s="52" t="n">
        <v>800</v>
      </c>
      <c r="R139" s="141">
        <f>"205,206,207,208"</f>
        <v/>
      </c>
    </row>
    <row r="140" ht="14.25" customHeight="1" s="142">
      <c r="A140" s="141">
        <f>A134+1</f>
        <v/>
      </c>
      <c r="B140" s="135" t="inlineStr">
        <is>
          <t>armor</t>
        </is>
      </c>
      <c r="C140" s="114" t="inlineStr">
        <is>
          <t>重金屬鎧甲</t>
        </is>
      </c>
      <c r="D140" s="135" t="inlineStr">
        <is>
          <t>SR</t>
        </is>
      </c>
      <c r="E140" s="141" t="n"/>
      <c r="F140" s="141">
        <f>IF(F134=0,,ROUND(F134*1.7,0))</f>
        <v/>
      </c>
      <c r="G140" s="141">
        <f>IF(G134=0,,ROUND(G134*1.7,0))</f>
        <v/>
      </c>
      <c r="H140" s="141">
        <f>IF(H134=0,,ROUND(H134*1.7,0))</f>
        <v/>
      </c>
      <c r="I140" s="141">
        <f>IF(I134=0,,ROUND(I134*1.7,0))</f>
        <v/>
      </c>
      <c r="J140" s="141">
        <f>IF(J134=0,,ROUND(J134*1.7,0))</f>
        <v/>
      </c>
      <c r="K140" s="141">
        <f>IF(K134=0,,ROUND(K134*1.7,0))</f>
        <v/>
      </c>
      <c r="L140" s="141" t="n"/>
      <c r="M140" s="141" t="n"/>
      <c r="N140" s="141" t="n"/>
      <c r="O140" s="141">
        <f>"6003,6006"</f>
        <v/>
      </c>
      <c r="P140" s="52" t="n">
        <v>800</v>
      </c>
      <c r="Q140" s="52" t="n">
        <v>800</v>
      </c>
      <c r="R140" s="141">
        <f>"205,206,207,208"</f>
        <v/>
      </c>
    </row>
    <row r="141" ht="14.25" customHeight="1" s="142">
      <c r="A141" s="141">
        <f>A135+1</f>
        <v/>
      </c>
      <c r="B141" s="135" t="inlineStr">
        <is>
          <t>shoe</t>
        </is>
      </c>
      <c r="C141" s="8" t="inlineStr">
        <is>
          <t>重金屬長靴</t>
        </is>
      </c>
      <c r="D141" s="135" t="inlineStr">
        <is>
          <t>SR</t>
        </is>
      </c>
      <c r="E141" s="141" t="n"/>
      <c r="F141" s="141">
        <f>IF(F135=0,,ROUND(F135*1.7,0))</f>
        <v/>
      </c>
      <c r="G141" s="141">
        <f>IF(G135=0,,ROUND(G135*1.7,0))</f>
        <v/>
      </c>
      <c r="H141" s="141">
        <f>IF(H135=0,,ROUND(H135*1.7,0))</f>
        <v/>
      </c>
      <c r="I141" s="141">
        <f>IF(I135=0,,ROUND(I135*1.7,0))</f>
        <v/>
      </c>
      <c r="J141" s="141">
        <f>IF(J135=0,,ROUND(J135*1.7,0))</f>
        <v/>
      </c>
      <c r="K141" s="141">
        <f>IF(K135=0,,ROUND(K135*1.7,0))</f>
        <v/>
      </c>
      <c r="L141" s="141" t="n"/>
      <c r="M141" s="141" t="n"/>
      <c r="N141" s="141" t="n"/>
      <c r="O141" s="141">
        <f>"6003,6006"</f>
        <v/>
      </c>
      <c r="P141" s="52" t="n">
        <v>800</v>
      </c>
      <c r="Q141" s="52" t="n">
        <v>800</v>
      </c>
      <c r="R141" s="141">
        <f>"201,202,203,204"</f>
        <v/>
      </c>
    </row>
    <row r="142" ht="14.25" customHeight="1" s="142">
      <c r="A142" s="141">
        <f>A136+1</f>
        <v/>
      </c>
      <c r="B142" s="135" t="inlineStr">
        <is>
          <t>cloak</t>
        </is>
      </c>
      <c r="C142" s="8" t="inlineStr">
        <is>
          <t>重金屬鞘甲</t>
        </is>
      </c>
      <c r="D142" s="135" t="inlineStr">
        <is>
          <t>SR</t>
        </is>
      </c>
      <c r="E142" s="141" t="n"/>
      <c r="F142" s="141">
        <f>IF(F136=0,,ROUND(F136*1.7,0))</f>
        <v/>
      </c>
      <c r="G142" s="141">
        <f>IF(G136=0,,ROUND(G136*1.7,0))</f>
        <v/>
      </c>
      <c r="H142" s="141">
        <f>IF(H136=0,,ROUND(H136*1.7,0))</f>
        <v/>
      </c>
      <c r="I142" s="141">
        <f>IF(I136=0,,ROUND(I136*1.7,0))</f>
        <v/>
      </c>
      <c r="J142" s="141">
        <f>IF(J136=0,,ROUND(J136*1.7,0))</f>
        <v/>
      </c>
      <c r="K142" s="141">
        <f>IF(K136=0,,ROUND(K136*1.7,0))</f>
        <v/>
      </c>
      <c r="L142" s="141" t="n"/>
      <c r="M142" s="141" t="n"/>
      <c r="N142" s="141" t="n"/>
      <c r="O142" s="141">
        <f>"6003,6006"</f>
        <v/>
      </c>
      <c r="P142" s="52" t="n">
        <v>800</v>
      </c>
      <c r="Q142" s="52" t="n">
        <v>800</v>
      </c>
      <c r="R142" s="141">
        <f>"209,210,211,212"</f>
        <v/>
      </c>
    </row>
    <row r="143" ht="14.25" customHeight="1" s="142">
      <c r="A143" s="141">
        <f>A137+1</f>
        <v/>
      </c>
      <c r="B143" s="135" t="inlineStr">
        <is>
          <t>Pants</t>
        </is>
      </c>
      <c r="C143" s="8" t="inlineStr">
        <is>
          <t>重金屬腿甲</t>
        </is>
      </c>
      <c r="D143" s="135" t="inlineStr">
        <is>
          <t>SR</t>
        </is>
      </c>
      <c r="E143" s="141" t="n"/>
      <c r="F143" s="141">
        <f>IF(F137=0,,ROUND(F137*1.7,0))</f>
        <v/>
      </c>
      <c r="G143" s="141">
        <f>IF(G137=0,,ROUND(G137*1.7,0))</f>
        <v/>
      </c>
      <c r="H143" s="141">
        <f>IF(H137=0,,ROUND(H137*1.7,0))</f>
        <v/>
      </c>
      <c r="I143" s="141">
        <f>IF(I137=0,,ROUND(I137*1.7,0))</f>
        <v/>
      </c>
      <c r="J143" s="141">
        <f>IF(J137=0,,ROUND(J137*1.7,0))</f>
        <v/>
      </c>
      <c r="K143" s="141">
        <f>IF(K137=0,,ROUND(K137*1.7,0))</f>
        <v/>
      </c>
      <c r="L143" s="141" t="n"/>
      <c r="M143" s="141" t="n"/>
      <c r="N143" s="141" t="n"/>
      <c r="O143" s="141">
        <f>"6003,6006"</f>
        <v/>
      </c>
      <c r="P143" s="52" t="n">
        <v>800</v>
      </c>
      <c r="Q143" s="52" t="n">
        <v>800</v>
      </c>
      <c r="R143" s="141">
        <f>"209,210,211,212"</f>
        <v/>
      </c>
    </row>
    <row r="144" ht="14.25" customHeight="1" s="142">
      <c r="A144" s="141">
        <f>A138+1</f>
        <v/>
      </c>
      <c r="B144" s="135" t="inlineStr">
        <is>
          <t>weapon</t>
        </is>
      </c>
      <c r="C144" s="8" t="inlineStr">
        <is>
          <t>雷霆重槌</t>
        </is>
      </c>
      <c r="D144" s="135" t="inlineStr">
        <is>
          <t>SR</t>
        </is>
      </c>
      <c r="E144" s="141" t="n"/>
      <c r="F144" s="141">
        <f>IF(F138=0,,ROUND(F138*1.2,0))</f>
        <v/>
      </c>
      <c r="G144" s="141">
        <f>IF(G138=0,,ROUND(G138*1.2,0))</f>
        <v/>
      </c>
      <c r="H144" s="141">
        <f>IF(H138=0,,ROUND(H138*1.2,0))</f>
        <v/>
      </c>
      <c r="I144" s="141">
        <f>IF(I138=0,,ROUND(I138*1.2,0))</f>
        <v/>
      </c>
      <c r="J144" s="141">
        <f>IF(J138=0,,ROUND(J138*1.2,0))</f>
        <v/>
      </c>
      <c r="K144" s="141">
        <f>IF(K138=0,,ROUND(K138*1.2,0))</f>
        <v/>
      </c>
      <c r="L144" s="141" t="n"/>
      <c r="M144" s="141" t="n"/>
      <c r="N144" s="141" t="n"/>
      <c r="O144" s="141">
        <f>"6003,6006"</f>
        <v/>
      </c>
      <c r="P144" s="52" t="n">
        <v>800</v>
      </c>
      <c r="Q144" s="52" t="n">
        <v>800</v>
      </c>
      <c r="R144" s="141">
        <f>"201,202,203,204"</f>
        <v/>
      </c>
    </row>
    <row r="145" ht="14.25" customHeight="1" s="142">
      <c r="A145" s="141">
        <f>A139+1</f>
        <v/>
      </c>
      <c r="B145" s="135" t="inlineStr">
        <is>
          <t>head</t>
        </is>
      </c>
      <c r="C145" s="8" t="inlineStr">
        <is>
          <t>雷霆重頭甲</t>
        </is>
      </c>
      <c r="D145" s="135" t="inlineStr">
        <is>
          <t>SR</t>
        </is>
      </c>
      <c r="E145" s="141" t="n"/>
      <c r="F145" s="141">
        <f>IF(F139=0,,ROUND(F139*1.2,0))</f>
        <v/>
      </c>
      <c r="G145" s="141">
        <f>IF(G139=0,,ROUND(G139*1.2,0))</f>
        <v/>
      </c>
      <c r="H145" s="141">
        <f>IF(H139=0,,ROUND(H139*1.2,0))</f>
        <v/>
      </c>
      <c r="I145" s="141">
        <f>IF(I139=0,,ROUND(I139*1.2,0))</f>
        <v/>
      </c>
      <c r="J145" s="141">
        <f>IF(J139=0,,ROUND(J139*1.2,0))</f>
        <v/>
      </c>
      <c r="K145" s="141">
        <f>IF(K139=0,,ROUND(K139*1.2,0))</f>
        <v/>
      </c>
      <c r="L145" s="141" t="n"/>
      <c r="M145" s="141" t="n"/>
      <c r="N145" s="141" t="n"/>
      <c r="O145" s="141">
        <f>"6003,6006"</f>
        <v/>
      </c>
      <c r="P145" s="52" t="n">
        <v>800</v>
      </c>
      <c r="Q145" s="52" t="n">
        <v>800</v>
      </c>
      <c r="R145" s="141">
        <f>"205,206,207,208"</f>
        <v/>
      </c>
    </row>
    <row r="146" ht="14.25" customHeight="1" s="142">
      <c r="A146" s="141">
        <f>A140+1</f>
        <v/>
      </c>
      <c r="B146" s="135" t="inlineStr">
        <is>
          <t>armor</t>
        </is>
      </c>
      <c r="C146" s="8" t="inlineStr">
        <is>
          <t>雷霆重金甲</t>
        </is>
      </c>
      <c r="D146" s="135" t="inlineStr">
        <is>
          <t>SR</t>
        </is>
      </c>
      <c r="E146" s="141" t="n"/>
      <c r="F146" s="141">
        <f>IF(F140=0,,ROUND(F140*1.2,0))</f>
        <v/>
      </c>
      <c r="G146" s="141">
        <f>IF(G140=0,,ROUND(G140*1.2,0))</f>
        <v/>
      </c>
      <c r="H146" s="141">
        <f>IF(H140=0,,ROUND(H140*1.2,0))</f>
        <v/>
      </c>
      <c r="I146" s="141">
        <f>IF(I140=0,,ROUND(I140*1.2,0))</f>
        <v/>
      </c>
      <c r="J146" s="141">
        <f>IF(J140=0,,ROUND(J140*1.2,0))</f>
        <v/>
      </c>
      <c r="K146" s="141">
        <f>IF(K140=0,,ROUND(K140*1.2,0))</f>
        <v/>
      </c>
      <c r="L146" s="141" t="n"/>
      <c r="M146" s="141" t="n"/>
      <c r="N146" s="141" t="n"/>
      <c r="O146" s="141">
        <f>"6003,6006"</f>
        <v/>
      </c>
      <c r="P146" s="52" t="n">
        <v>800</v>
      </c>
      <c r="Q146" s="52" t="n">
        <v>800</v>
      </c>
      <c r="R146" s="141">
        <f>"205,206,207,208"</f>
        <v/>
      </c>
    </row>
    <row r="147" ht="14.25" customHeight="1" s="142">
      <c r="A147" s="141">
        <f>A141+1</f>
        <v/>
      </c>
      <c r="B147" s="135" t="inlineStr">
        <is>
          <t>shoe</t>
        </is>
      </c>
      <c r="C147" s="8" t="inlineStr">
        <is>
          <t>雷霆重靴</t>
        </is>
      </c>
      <c r="D147" s="135" t="inlineStr">
        <is>
          <t>SR</t>
        </is>
      </c>
      <c r="E147" s="141" t="n"/>
      <c r="F147" s="141">
        <f>IF(F141=0,,ROUND(F141*1.2,0))</f>
        <v/>
      </c>
      <c r="G147" s="141">
        <f>IF(G141=0,,ROUND(G141*1.2,0))</f>
        <v/>
      </c>
      <c r="H147" s="141">
        <f>IF(H141=0,,ROUND(H141*1.2,0))</f>
        <v/>
      </c>
      <c r="I147" s="141">
        <f>IF(I141=0,,ROUND(I141*1.2,0))</f>
        <v/>
      </c>
      <c r="J147" s="141">
        <f>IF(J141=0,,ROUND(J141*1.2,0))</f>
        <v/>
      </c>
      <c r="K147" s="141">
        <f>IF(K141=0,,ROUND(K141*1.2,0))</f>
        <v/>
      </c>
      <c r="L147" s="141" t="n"/>
      <c r="M147" s="141" t="n"/>
      <c r="N147" s="141" t="n"/>
      <c r="O147" s="141">
        <f>"6003,6006"</f>
        <v/>
      </c>
      <c r="P147" s="52" t="n">
        <v>800</v>
      </c>
      <c r="Q147" s="52" t="n">
        <v>800</v>
      </c>
      <c r="R147" s="141">
        <f>"201,202,203,204"</f>
        <v/>
      </c>
    </row>
    <row r="148" ht="14.25" customHeight="1" s="142">
      <c r="A148" s="141">
        <f>A142+1</f>
        <v/>
      </c>
      <c r="B148" s="135" t="inlineStr">
        <is>
          <t>cloak</t>
        </is>
      </c>
      <c r="C148" s="8" t="inlineStr">
        <is>
          <t>雷霆披風</t>
        </is>
      </c>
      <c r="D148" s="135" t="inlineStr">
        <is>
          <t>SR</t>
        </is>
      </c>
      <c r="E148" s="141" t="n"/>
      <c r="F148" s="141">
        <f>IF(F142=0,,ROUND(F142*1.2,0))</f>
        <v/>
      </c>
      <c r="G148" s="141">
        <f>IF(G142=0,,ROUND(G142*1.2,0))</f>
        <v/>
      </c>
      <c r="H148" s="141">
        <f>IF(H142=0,,ROUND(H142*1.2,0))</f>
        <v/>
      </c>
      <c r="I148" s="141">
        <f>IF(I142=0,,ROUND(I142*1.2,0))</f>
        <v/>
      </c>
      <c r="J148" s="141">
        <f>IF(J142=0,,ROUND(J142*1.2,0))</f>
        <v/>
      </c>
      <c r="K148" s="141">
        <f>IF(K142=0,,ROUND(K142*1.2,0))</f>
        <v/>
      </c>
      <c r="L148" s="141" t="n"/>
      <c r="M148" s="141" t="n"/>
      <c r="N148" s="141" t="n"/>
      <c r="O148" s="141">
        <f>"6003,6006"</f>
        <v/>
      </c>
      <c r="P148" s="52" t="n">
        <v>800</v>
      </c>
      <c r="Q148" s="52" t="n">
        <v>800</v>
      </c>
      <c r="R148" s="141">
        <f>"209,210,211,212"</f>
        <v/>
      </c>
    </row>
    <row r="149" ht="14.25" customHeight="1" s="142">
      <c r="A149" s="141">
        <f>A143+1</f>
        <v/>
      </c>
      <c r="B149" s="135" t="inlineStr">
        <is>
          <t>Pants</t>
        </is>
      </c>
      <c r="C149" s="8" t="inlineStr">
        <is>
          <t>雷霆重腿甲</t>
        </is>
      </c>
      <c r="D149" s="135" t="inlineStr">
        <is>
          <t>SR</t>
        </is>
      </c>
      <c r="E149" s="141" t="n"/>
      <c r="F149" s="141">
        <f>IF(F143=0,,ROUND(F143*1.2,0))</f>
        <v/>
      </c>
      <c r="G149" s="141">
        <f>IF(G143=0,,ROUND(G143*1.2,0))</f>
        <v/>
      </c>
      <c r="H149" s="141">
        <f>IF(H143=0,,ROUND(H143*1.2,0))</f>
        <v/>
      </c>
      <c r="I149" s="141">
        <f>IF(I143=0,,ROUND(I143*1.2,0))</f>
        <v/>
      </c>
      <c r="J149" s="141">
        <f>IF(J143=0,,ROUND(J143*1.2,0))</f>
        <v/>
      </c>
      <c r="K149" s="141">
        <f>IF(K143=0,,ROUND(K143*1.2,0))</f>
        <v/>
      </c>
      <c r="L149" s="141" t="n"/>
      <c r="M149" s="141" t="n"/>
      <c r="N149" s="141" t="n"/>
      <c r="O149" s="141">
        <f>"6003,6006"</f>
        <v/>
      </c>
      <c r="P149" s="52" t="n">
        <v>800</v>
      </c>
      <c r="Q149" s="52" t="n">
        <v>800</v>
      </c>
      <c r="R149" s="141">
        <f>"209,210,211,212"</f>
        <v/>
      </c>
    </row>
    <row r="150" ht="14.25" customHeight="1" s="142">
      <c r="A150" s="141">
        <f>A144+1</f>
        <v/>
      </c>
      <c r="B150" s="135" t="inlineStr">
        <is>
          <t>weapon</t>
        </is>
      </c>
      <c r="C150" s="8" t="inlineStr">
        <is>
          <t>青冥破軍刀</t>
        </is>
      </c>
      <c r="D150" s="135" t="inlineStr">
        <is>
          <t>SSR</t>
        </is>
      </c>
      <c r="E150" s="141" t="n"/>
      <c r="F150" s="141">
        <f>IF(F138=0,,ROUND(F138*1.7,0))</f>
        <v/>
      </c>
      <c r="G150" s="141">
        <f>IF(G138=0,,ROUND(G138*1.7,0))</f>
        <v/>
      </c>
      <c r="H150" s="141">
        <f>IF(H138=0,,ROUND(H138*1.7,0))</f>
        <v/>
      </c>
      <c r="I150" s="141">
        <f>IF(I138=0,,ROUND(I138*1.7,0))</f>
        <v/>
      </c>
      <c r="J150" s="141">
        <f>IF(J138=0,,ROUND(J138*1.7,0))</f>
        <v/>
      </c>
      <c r="K150" s="141">
        <f>IF(K138=0,,ROUND(K138*1.7,0))</f>
        <v/>
      </c>
      <c r="L150" s="141" t="n"/>
      <c r="M150" s="141" t="n"/>
      <c r="N150" s="141" t="n"/>
      <c r="O150" s="141">
        <f>"6003,6006"</f>
        <v/>
      </c>
      <c r="P150" s="52" t="n">
        <v>800</v>
      </c>
      <c r="Q150" s="52" t="n">
        <v>800</v>
      </c>
      <c r="R150" s="141">
        <f>"201,202,203,204"</f>
        <v/>
      </c>
    </row>
    <row r="151" ht="14.25" customHeight="1" s="142">
      <c r="A151" s="141">
        <f>A145+1</f>
        <v/>
      </c>
      <c r="B151" s="135" t="inlineStr">
        <is>
          <t>head</t>
        </is>
      </c>
      <c r="C151" s="8" t="inlineStr">
        <is>
          <t>青冥破軍頭盔</t>
        </is>
      </c>
      <c r="D151" s="135" t="inlineStr">
        <is>
          <t>SSR</t>
        </is>
      </c>
      <c r="E151" s="141" t="n"/>
      <c r="F151" s="141">
        <f>IF(F139=0,,ROUND(F139*1.7,0))</f>
        <v/>
      </c>
      <c r="G151" s="141">
        <f>IF(G139=0,,ROUND(G139*1.7,0))</f>
        <v/>
      </c>
      <c r="H151" s="141">
        <f>IF(H139=0,,ROUND(H139*1.7,0))</f>
        <v/>
      </c>
      <c r="I151" s="141">
        <f>IF(I139=0,,ROUND(I139*1.7,0))</f>
        <v/>
      </c>
      <c r="J151" s="141">
        <f>IF(J139=0,,ROUND(J139*1.7,0))</f>
        <v/>
      </c>
      <c r="K151" s="141">
        <f>IF(K139=0,,ROUND(K139*1.7,0))</f>
        <v/>
      </c>
      <c r="L151" s="141" t="n"/>
      <c r="M151" s="141" t="n"/>
      <c r="N151" s="141" t="n"/>
      <c r="O151" s="141">
        <f>"6003,6006"</f>
        <v/>
      </c>
      <c r="P151" s="52" t="n">
        <v>800</v>
      </c>
      <c r="Q151" s="52" t="n">
        <v>800</v>
      </c>
      <c r="R151" s="141">
        <f>"205,206,207,208"</f>
        <v/>
      </c>
    </row>
    <row r="152" ht="14.25" customHeight="1" s="142">
      <c r="A152" s="141">
        <f>A146+1</f>
        <v/>
      </c>
      <c r="B152" s="135" t="inlineStr">
        <is>
          <t>armor</t>
        </is>
      </c>
      <c r="C152" s="8" t="inlineStr">
        <is>
          <t>青冥破軍甲</t>
        </is>
      </c>
      <c r="D152" s="135" t="inlineStr">
        <is>
          <t>SSR</t>
        </is>
      </c>
      <c r="E152" s="141" t="n"/>
      <c r="F152" s="141">
        <f>IF(F140=0,,ROUND(F140*1.7,0))</f>
        <v/>
      </c>
      <c r="G152" s="141">
        <f>IF(G140=0,,ROUND(G140*1.7,0))</f>
        <v/>
      </c>
      <c r="H152" s="141">
        <f>IF(H140=0,,ROUND(H140*1.7,0))</f>
        <v/>
      </c>
      <c r="I152" s="141">
        <f>IF(I140=0,,ROUND(I140*1.7,0))</f>
        <v/>
      </c>
      <c r="J152" s="141">
        <f>IF(J140=0,,ROUND(J140*1.7,0))</f>
        <v/>
      </c>
      <c r="K152" s="141">
        <f>IF(K140=0,,ROUND(K140*1.7,0))</f>
        <v/>
      </c>
      <c r="L152" s="141" t="n"/>
      <c r="M152" s="141" t="n"/>
      <c r="N152" s="141" t="n"/>
      <c r="O152" s="141">
        <f>"6003,6006"</f>
        <v/>
      </c>
      <c r="P152" s="52" t="n">
        <v>800</v>
      </c>
      <c r="Q152" s="52" t="n">
        <v>800</v>
      </c>
      <c r="R152" s="141">
        <f>"205,206,207,208"</f>
        <v/>
      </c>
    </row>
    <row r="153" ht="14.25" customHeight="1" s="142">
      <c r="A153" s="141">
        <f>A147+1</f>
        <v/>
      </c>
      <c r="B153" s="135" t="inlineStr">
        <is>
          <t>shoe</t>
        </is>
      </c>
      <c r="C153" s="8" t="inlineStr">
        <is>
          <t>青冥破軍靴</t>
        </is>
      </c>
      <c r="D153" s="135" t="inlineStr">
        <is>
          <t>SSR</t>
        </is>
      </c>
      <c r="E153" s="141" t="n"/>
      <c r="F153" s="141">
        <f>IF(F141=0,,ROUND(F141*1.7,0))</f>
        <v/>
      </c>
      <c r="G153" s="141">
        <f>IF(G141=0,,ROUND(G141*1.7,0))</f>
        <v/>
      </c>
      <c r="H153" s="141">
        <f>IF(H141=0,,ROUND(H141*1.7,0))</f>
        <v/>
      </c>
      <c r="I153" s="141">
        <f>IF(I141=0,,ROUND(I141*1.7,0))</f>
        <v/>
      </c>
      <c r="J153" s="141">
        <f>IF(J141=0,,ROUND(J141*1.7,0))</f>
        <v/>
      </c>
      <c r="K153" s="141">
        <f>IF(K141=0,,ROUND(K141*1.7,0))</f>
        <v/>
      </c>
      <c r="L153" s="141" t="n"/>
      <c r="M153" s="141" t="n"/>
      <c r="N153" s="141" t="n"/>
      <c r="O153" s="141">
        <f>"6003,6006"</f>
        <v/>
      </c>
      <c r="P153" s="52" t="n">
        <v>800</v>
      </c>
      <c r="Q153" s="52" t="n">
        <v>800</v>
      </c>
      <c r="R153" s="141">
        <f>"201,202,203,204"</f>
        <v/>
      </c>
    </row>
    <row r="154" ht="14.25" customHeight="1" s="142">
      <c r="A154" s="141">
        <f>A148+1</f>
        <v/>
      </c>
      <c r="B154" s="135" t="inlineStr">
        <is>
          <t>cloak</t>
        </is>
      </c>
      <c r="C154" s="8" t="inlineStr">
        <is>
          <t>青冥破軍批</t>
        </is>
      </c>
      <c r="D154" s="135" t="inlineStr">
        <is>
          <t>SSR</t>
        </is>
      </c>
      <c r="E154" s="141" t="n"/>
      <c r="F154" s="141">
        <f>IF(F142=0,,ROUND(F142*1.7,0))</f>
        <v/>
      </c>
      <c r="G154" s="141">
        <f>IF(G142=0,,ROUND(G142*1.7,0))</f>
        <v/>
      </c>
      <c r="H154" s="141">
        <f>IF(H142=0,,ROUND(H142*1.7,0))</f>
        <v/>
      </c>
      <c r="I154" s="141">
        <f>IF(I142=0,,ROUND(I142*1.7,0))</f>
        <v/>
      </c>
      <c r="J154" s="141">
        <f>IF(J142=0,,ROUND(J142*1.7,0))</f>
        <v/>
      </c>
      <c r="K154" s="141">
        <f>IF(K142=0,,ROUND(K142*1.7,0))</f>
        <v/>
      </c>
      <c r="L154" s="141" t="n"/>
      <c r="M154" s="141" t="n"/>
      <c r="N154" s="141" t="n"/>
      <c r="O154" s="141">
        <f>"6003,6006"</f>
        <v/>
      </c>
      <c r="P154" s="52" t="n">
        <v>800</v>
      </c>
      <c r="Q154" s="52" t="n">
        <v>800</v>
      </c>
      <c r="R154" s="141">
        <f>"209,210,211,212"</f>
        <v/>
      </c>
    </row>
    <row r="155" ht="14.25" customHeight="1" s="142">
      <c r="A155" s="141">
        <f>A149+1</f>
        <v/>
      </c>
      <c r="B155" s="135" t="inlineStr">
        <is>
          <t>Pants</t>
        </is>
      </c>
      <c r="C155" s="8" t="inlineStr">
        <is>
          <t>青冥破軍金靴</t>
        </is>
      </c>
      <c r="D155" s="135" t="inlineStr">
        <is>
          <t>SSR</t>
        </is>
      </c>
      <c r="E155" s="141" t="n"/>
      <c r="F155" s="141">
        <f>IF(F143=0,,ROUND(F143*1.7,0))</f>
        <v/>
      </c>
      <c r="G155" s="141">
        <f>IF(G143=0,,ROUND(G143*1.7,0))</f>
        <v/>
      </c>
      <c r="H155" s="141">
        <f>IF(H143=0,,ROUND(H143*1.7,0))</f>
        <v/>
      </c>
      <c r="I155" s="141">
        <f>IF(I143=0,,ROUND(I143*1.7,0))</f>
        <v/>
      </c>
      <c r="J155" s="141">
        <f>IF(J143=0,,ROUND(J143*1.7,0))</f>
        <v/>
      </c>
      <c r="K155" s="141">
        <f>IF(K143=0,,ROUND(K143*1.7,0))</f>
        <v/>
      </c>
      <c r="L155" s="141" t="n"/>
      <c r="M155" s="141" t="n"/>
      <c r="N155" s="141" t="n"/>
      <c r="O155" s="141">
        <f>"6003,6006"</f>
        <v/>
      </c>
      <c r="P155" s="52" t="n">
        <v>800</v>
      </c>
      <c r="Q155" s="52" t="n">
        <v>800</v>
      </c>
      <c r="R155" s="141">
        <f>"209,210,211,212"</f>
        <v/>
      </c>
    </row>
    <row r="156" ht="14.25" customHeight="1" s="142">
      <c r="A156" s="40" t="inlineStr">
        <is>
          <t>id</t>
        </is>
      </c>
      <c r="B156" s="40" t="inlineStr">
        <is>
          <t>type</t>
        </is>
      </c>
      <c r="C156" s="40" t="inlineStr">
        <is>
          <t>info</t>
        </is>
      </c>
      <c r="D156" s="40" t="inlineStr">
        <is>
          <t>rare</t>
        </is>
      </c>
      <c r="E156" s="40" t="inlineStr">
        <is>
          <t>tag</t>
        </is>
      </c>
      <c r="F156" s="40" t="inlineStr">
        <is>
          <t>HP</t>
        </is>
      </c>
      <c r="G156" s="40" t="inlineStr">
        <is>
          <t>ATK</t>
        </is>
      </c>
      <c r="H156" s="40" t="inlineStr">
        <is>
          <t>MATK</t>
        </is>
      </c>
      <c r="I156" s="40" t="inlineStr">
        <is>
          <t>DEF</t>
        </is>
      </c>
      <c r="J156" s="40" t="inlineStr">
        <is>
          <t>MDEF</t>
        </is>
      </c>
      <c r="K156" s="40" t="inlineStr">
        <is>
          <t>MP</t>
        </is>
      </c>
      <c r="L156" s="40" t="inlineStr">
        <is>
          <t>AGI</t>
        </is>
      </c>
      <c r="M156" s="40" t="inlineStr">
        <is>
          <t>recipe</t>
        </is>
      </c>
      <c r="N156" s="40" t="inlineStr">
        <is>
          <t>recipe_rate</t>
        </is>
      </c>
      <c r="O156" s="40" t="inlineStr">
        <is>
          <t>buff_pasive</t>
        </is>
      </c>
      <c r="P156" s="50" t="inlineStr">
        <is>
          <t>refine_id</t>
        </is>
      </c>
      <c r="Q156" s="50" t="inlineStr">
        <is>
          <t>cost_id</t>
        </is>
      </c>
      <c r="R156" s="50" t="inlineStr">
        <is>
          <t>build</t>
        </is>
      </c>
    </row>
    <row r="157" ht="14.25" customHeight="1" s="142">
      <c r="A157" s="141" t="n">
        <v>88000</v>
      </c>
      <c r="B157" s="135" t="inlineStr">
        <is>
          <t>weapon</t>
        </is>
      </c>
      <c r="C157" s="137" t="inlineStr">
        <is>
          <t>冒險者盾牌</t>
        </is>
      </c>
      <c r="D157" s="135" t="inlineStr">
        <is>
          <t>R</t>
        </is>
      </c>
      <c r="E157" s="141" t="n"/>
      <c r="F157" s="141" t="n">
        <v>138</v>
      </c>
      <c r="G157" s="141" t="n"/>
      <c r="H157" s="141" t="n"/>
      <c r="I157" s="141" t="n">
        <v>25</v>
      </c>
      <c r="J157" s="141" t="n"/>
      <c r="K157" s="141" t="n"/>
      <c r="L157" s="141" t="n"/>
      <c r="M157" s="141" t="n"/>
      <c r="N157" s="141" t="n"/>
      <c r="O157" s="141">
        <f>"6007,6008,6009,6010,6011"</f>
        <v/>
      </c>
      <c r="P157" s="52" t="n">
        <v>800</v>
      </c>
      <c r="Q157" s="52" t="n">
        <v>800</v>
      </c>
      <c r="R157" s="141">
        <f>"201,202,203,204"</f>
        <v/>
      </c>
    </row>
    <row r="158" ht="14.25" customHeight="1" s="142">
      <c r="A158" s="141" t="n">
        <v>88001</v>
      </c>
      <c r="B158" s="135" t="inlineStr">
        <is>
          <t>weapon</t>
        </is>
      </c>
      <c r="C158" s="137" t="inlineStr">
        <is>
          <t>冒險者短劍</t>
        </is>
      </c>
      <c r="D158" s="135" t="inlineStr">
        <is>
          <t>R</t>
        </is>
      </c>
      <c r="E158" s="141" t="n"/>
      <c r="F158" s="141" t="n"/>
      <c r="G158" s="141" t="n">
        <v>22</v>
      </c>
      <c r="H158" s="141" t="n"/>
      <c r="I158" s="141" t="n">
        <v>8</v>
      </c>
      <c r="J158" s="141" t="n"/>
      <c r="K158" s="141" t="n"/>
      <c r="L158" s="141" t="n"/>
      <c r="M158" s="141" t="n"/>
      <c r="N158" s="141" t="n"/>
      <c r="O158" s="141">
        <f>"6007,6008,6009,6010,6011"</f>
        <v/>
      </c>
      <c r="P158" s="52" t="n">
        <v>800</v>
      </c>
      <c r="Q158" s="52" t="n">
        <v>800</v>
      </c>
      <c r="R158" s="141">
        <f>"201,202,203,204"</f>
        <v/>
      </c>
    </row>
    <row r="159" ht="14.25" customHeight="1" s="142">
      <c r="A159" s="141" t="n">
        <v>88002</v>
      </c>
      <c r="B159" s="135" t="inlineStr">
        <is>
          <t>weapon</t>
        </is>
      </c>
      <c r="C159" s="137" t="inlineStr">
        <is>
          <t>冒險者短杖</t>
        </is>
      </c>
      <c r="D159" s="135" t="inlineStr">
        <is>
          <t>R</t>
        </is>
      </c>
      <c r="E159" s="141" t="n"/>
      <c r="F159" s="141" t="n"/>
      <c r="G159" s="141" t="n"/>
      <c r="H159" s="141" t="n">
        <v>22</v>
      </c>
      <c r="I159" s="141" t="n"/>
      <c r="J159" s="141" t="n">
        <v>8</v>
      </c>
      <c r="K159" s="141" t="n"/>
      <c r="L159" s="141" t="n"/>
      <c r="M159" s="141" t="n"/>
      <c r="N159" s="141" t="n"/>
      <c r="O159" s="141">
        <f>"6007,6008,6009,6010,6011"</f>
        <v/>
      </c>
      <c r="P159" s="52" t="n">
        <v>800</v>
      </c>
      <c r="Q159" s="52" t="n">
        <v>800</v>
      </c>
      <c r="R159" s="141">
        <f>"201,202,203,204"</f>
        <v/>
      </c>
    </row>
    <row r="160" ht="14.25" customHeight="1" s="142">
      <c r="A160" s="141" t="n">
        <v>88003</v>
      </c>
      <c r="B160" s="135" t="inlineStr">
        <is>
          <t>head</t>
        </is>
      </c>
      <c r="C160" s="137" t="inlineStr">
        <is>
          <t>冒險者頭盔</t>
        </is>
      </c>
      <c r="D160" s="135" t="inlineStr">
        <is>
          <t>R</t>
        </is>
      </c>
      <c r="E160" s="141" t="n"/>
      <c r="F160" s="141" t="n"/>
      <c r="G160" s="141" t="n"/>
      <c r="H160" s="141" t="n"/>
      <c r="I160" s="141" t="n">
        <v>25</v>
      </c>
      <c r="J160" s="141" t="n"/>
      <c r="K160" s="141" t="n"/>
      <c r="L160" s="141" t="n"/>
      <c r="M160" s="141" t="n"/>
      <c r="N160" s="141" t="n"/>
      <c r="O160" s="141">
        <f>"6007,6008,6009,6010,6011"</f>
        <v/>
      </c>
      <c r="P160" s="52" t="n">
        <v>800</v>
      </c>
      <c r="Q160" s="52" t="n">
        <v>800</v>
      </c>
      <c r="R160" s="141">
        <f>"205,206,207,208"</f>
        <v/>
      </c>
    </row>
    <row r="161" ht="14.25" customHeight="1" s="142">
      <c r="A161" s="141" t="n">
        <v>88004</v>
      </c>
      <c r="B161" s="135" t="inlineStr">
        <is>
          <t>armor</t>
        </is>
      </c>
      <c r="C161" s="137" t="inlineStr">
        <is>
          <t>冒險者胸甲</t>
        </is>
      </c>
      <c r="D161" s="135" t="inlineStr">
        <is>
          <t>R</t>
        </is>
      </c>
      <c r="E161" s="141" t="n"/>
      <c r="F161" s="141" t="n">
        <v>138</v>
      </c>
      <c r="G161" s="141" t="n"/>
      <c r="H161" s="141" t="n"/>
      <c r="I161" s="141" t="n">
        <v>23</v>
      </c>
      <c r="J161" s="141" t="n"/>
      <c r="K161" s="141" t="n"/>
      <c r="L161" s="141" t="n"/>
      <c r="M161" s="141" t="n"/>
      <c r="N161" s="141" t="n"/>
      <c r="O161" s="141">
        <f>"6007,6008,6009,6010,6011"</f>
        <v/>
      </c>
      <c r="P161" s="52" t="n">
        <v>800</v>
      </c>
      <c r="Q161" s="52" t="n">
        <v>800</v>
      </c>
      <c r="R161" s="141">
        <f>"205,206,207,208"</f>
        <v/>
      </c>
    </row>
    <row r="162" ht="14.25" customHeight="1" s="142">
      <c r="A162" s="141" t="n">
        <v>88005</v>
      </c>
      <c r="B162" s="135" t="inlineStr">
        <is>
          <t>shoe</t>
        </is>
      </c>
      <c r="C162" s="137" t="inlineStr">
        <is>
          <t>冒險者長靴</t>
        </is>
      </c>
      <c r="D162" s="135" t="inlineStr">
        <is>
          <t>R</t>
        </is>
      </c>
      <c r="E162" s="141" t="n"/>
      <c r="F162" s="141" t="n"/>
      <c r="G162" s="141" t="n"/>
      <c r="H162" s="141" t="n"/>
      <c r="I162" s="141" t="n">
        <v>27</v>
      </c>
      <c r="J162" s="141" t="n">
        <v>17</v>
      </c>
      <c r="K162" s="141" t="n"/>
      <c r="L162" s="141" t="n"/>
      <c r="M162" s="141" t="n"/>
      <c r="N162" s="141" t="n"/>
      <c r="O162" s="141">
        <f>"6007,6008,6009,6010,6011"</f>
        <v/>
      </c>
      <c r="P162" s="52" t="n">
        <v>800</v>
      </c>
      <c r="Q162" s="52" t="n">
        <v>800</v>
      </c>
      <c r="R162" s="141">
        <f>"201,202,203,204"</f>
        <v/>
      </c>
    </row>
    <row r="163" ht="14.25" customHeight="1" s="142">
      <c r="A163" s="141" t="n">
        <v>88006</v>
      </c>
      <c r="B163" s="135" t="inlineStr">
        <is>
          <t>cloak</t>
        </is>
      </c>
      <c r="C163" s="137" t="inlineStr">
        <is>
          <t>冒險者披風</t>
        </is>
      </c>
      <c r="D163" s="135" t="inlineStr">
        <is>
          <t>R</t>
        </is>
      </c>
      <c r="E163" s="141" t="n"/>
      <c r="F163" s="141" t="n">
        <v>115</v>
      </c>
      <c r="G163" s="141" t="n"/>
      <c r="H163" s="141" t="n"/>
      <c r="I163" s="141" t="n">
        <v>42</v>
      </c>
      <c r="J163" s="141" t="n"/>
      <c r="K163" s="141" t="n"/>
      <c r="L163" s="141" t="n"/>
      <c r="M163" s="141" t="n"/>
      <c r="N163" s="141" t="n"/>
      <c r="O163" s="141">
        <f>"6007,6008,6009,6010,6011"</f>
        <v/>
      </c>
      <c r="P163" s="52" t="n">
        <v>800</v>
      </c>
      <c r="Q163" s="52" t="n">
        <v>800</v>
      </c>
      <c r="R163" s="141">
        <f>"209,210,211,212"</f>
        <v/>
      </c>
    </row>
    <row r="164" ht="14.25" customHeight="1" s="142">
      <c r="A164" s="141" t="n">
        <v>88007</v>
      </c>
      <c r="B164" s="135" t="inlineStr">
        <is>
          <t>Pants</t>
        </is>
      </c>
      <c r="C164" s="137" t="inlineStr">
        <is>
          <t>冒險者短褲</t>
        </is>
      </c>
      <c r="D164" s="135" t="inlineStr">
        <is>
          <t>R</t>
        </is>
      </c>
      <c r="E164" s="141" t="n"/>
      <c r="F164" s="141" t="n">
        <v>82</v>
      </c>
      <c r="G164" s="141" t="n">
        <v>8</v>
      </c>
      <c r="H164" s="141" t="n"/>
      <c r="I164" s="141" t="n"/>
      <c r="J164" s="141" t="n">
        <v>16</v>
      </c>
      <c r="K164" s="141" t="n"/>
      <c r="L164" s="141" t="n"/>
      <c r="M164" s="141" t="n"/>
      <c r="N164" s="141" t="n"/>
      <c r="O164" s="141">
        <f>"6007,6008,6009,6010,6011"</f>
        <v/>
      </c>
      <c r="P164" s="52" t="n">
        <v>800</v>
      </c>
      <c r="Q164" s="52" t="n">
        <v>800</v>
      </c>
      <c r="R164" s="141">
        <f>"209,210,211,212"</f>
        <v/>
      </c>
    </row>
    <row r="165" ht="14.25" customHeight="1" s="142">
      <c r="A165" s="141" t="n">
        <v>88008</v>
      </c>
      <c r="B165" s="135" t="inlineStr">
        <is>
          <t>weapon</t>
        </is>
      </c>
      <c r="C165" s="137" t="inlineStr">
        <is>
          <t>銅短劍</t>
        </is>
      </c>
      <c r="D165" s="135" t="inlineStr">
        <is>
          <t>R</t>
        </is>
      </c>
      <c r="E165" s="141" t="n"/>
      <c r="F165" s="141" t="n"/>
      <c r="G165" s="141" t="n">
        <v>22</v>
      </c>
      <c r="H165" s="141" t="n"/>
      <c r="I165" s="141" t="n">
        <v>8</v>
      </c>
      <c r="J165" s="141" t="n"/>
      <c r="K165" s="141" t="n"/>
      <c r="L165" s="141" t="n"/>
      <c r="M165" s="141" t="n"/>
      <c r="N165" s="141" t="n"/>
      <c r="O165" s="141">
        <f>"6007,6008,6009,6010,6011"</f>
        <v/>
      </c>
      <c r="P165" s="52" t="n">
        <v>800</v>
      </c>
      <c r="Q165" s="52" t="n">
        <v>800</v>
      </c>
      <c r="R165" s="141">
        <f>"201,202,203,204"</f>
        <v/>
      </c>
    </row>
    <row r="166" ht="14.25" customHeight="1" s="142">
      <c r="A166" s="141" t="n">
        <v>88009</v>
      </c>
      <c r="B166" s="135" t="inlineStr">
        <is>
          <t>head</t>
        </is>
      </c>
      <c r="C166" s="137" t="inlineStr">
        <is>
          <t>鋼鐵面具</t>
        </is>
      </c>
      <c r="D166" s="135" t="inlineStr">
        <is>
          <t>R</t>
        </is>
      </c>
      <c r="E166" s="141" t="n"/>
      <c r="F166" s="141" t="n"/>
      <c r="G166" s="141" t="n"/>
      <c r="H166" s="141" t="n"/>
      <c r="I166" s="141" t="n">
        <v>25</v>
      </c>
      <c r="J166" s="141" t="n"/>
      <c r="K166" s="141" t="n"/>
      <c r="L166" s="141" t="n"/>
      <c r="M166" s="141" t="n"/>
      <c r="N166" s="141" t="n"/>
      <c r="O166" s="141">
        <f>"6007,6008,6009,6010,6011"</f>
        <v/>
      </c>
      <c r="P166" s="52" t="n">
        <v>800</v>
      </c>
      <c r="Q166" s="52" t="n">
        <v>800</v>
      </c>
      <c r="R166" s="141">
        <f>"205,206,207,208"</f>
        <v/>
      </c>
    </row>
    <row r="167" ht="14.25" customHeight="1" s="142">
      <c r="A167" s="141" t="n">
        <v>88010</v>
      </c>
      <c r="B167" s="135" t="inlineStr">
        <is>
          <t>armor</t>
        </is>
      </c>
      <c r="C167" s="137" t="inlineStr">
        <is>
          <t>骨編長衫</t>
        </is>
      </c>
      <c r="D167" s="135" t="inlineStr">
        <is>
          <t>R</t>
        </is>
      </c>
      <c r="E167" s="141" t="n"/>
      <c r="F167" s="141" t="n">
        <v>138</v>
      </c>
      <c r="G167" s="141" t="n"/>
      <c r="H167" s="141" t="n"/>
      <c r="I167" s="141" t="n">
        <v>23</v>
      </c>
      <c r="J167" s="141" t="n"/>
      <c r="K167" s="141" t="n"/>
      <c r="L167" s="141" t="n"/>
      <c r="M167" s="141" t="n"/>
      <c r="N167" s="141" t="n"/>
      <c r="O167" s="141">
        <f>"6007,6008,6009,6010,6011"</f>
        <v/>
      </c>
      <c r="P167" s="52" t="n">
        <v>800</v>
      </c>
      <c r="Q167" s="52" t="n">
        <v>800</v>
      </c>
      <c r="R167" s="141">
        <f>"205,206,207,208"</f>
        <v/>
      </c>
    </row>
    <row r="168" ht="14.25" customHeight="1" s="142">
      <c r="A168" s="141" t="n">
        <v>88011</v>
      </c>
      <c r="B168" s="135" t="inlineStr">
        <is>
          <t>shoe</t>
        </is>
      </c>
      <c r="C168" s="137" t="inlineStr">
        <is>
          <t>厚重短靴</t>
        </is>
      </c>
      <c r="D168" s="135" t="inlineStr">
        <is>
          <t>R</t>
        </is>
      </c>
      <c r="E168" s="141" t="n"/>
      <c r="F168" s="141" t="n"/>
      <c r="G168" s="141" t="n"/>
      <c r="H168" s="141" t="n"/>
      <c r="I168" s="141" t="n">
        <v>27</v>
      </c>
      <c r="J168" s="141" t="n">
        <v>17</v>
      </c>
      <c r="K168" s="141" t="n"/>
      <c r="L168" s="141" t="n"/>
      <c r="M168" s="141" t="n"/>
      <c r="N168" s="141" t="n"/>
      <c r="O168" s="141">
        <f>"6007,6008,6009,6010,6011"</f>
        <v/>
      </c>
      <c r="P168" s="52" t="n">
        <v>800</v>
      </c>
      <c r="Q168" s="52" t="n">
        <v>800</v>
      </c>
      <c r="R168" s="141">
        <f>"201,202,203,204"</f>
        <v/>
      </c>
    </row>
    <row r="169" ht="14.25" customHeight="1" s="142">
      <c r="A169" s="141" t="n">
        <v>88012</v>
      </c>
      <c r="B169" s="135" t="inlineStr">
        <is>
          <t>cloak</t>
        </is>
      </c>
      <c r="C169" s="137" t="inlineStr">
        <is>
          <t>亞麻短批</t>
        </is>
      </c>
      <c r="D169" s="135" t="inlineStr">
        <is>
          <t>R</t>
        </is>
      </c>
      <c r="E169" s="141" t="n"/>
      <c r="F169" s="141" t="n">
        <v>115</v>
      </c>
      <c r="G169" s="141" t="n"/>
      <c r="H169" s="141" t="n"/>
      <c r="I169" s="141" t="n">
        <v>42</v>
      </c>
      <c r="J169" s="141" t="n"/>
      <c r="K169" s="141" t="n"/>
      <c r="L169" s="141" t="n"/>
      <c r="M169" s="141" t="n"/>
      <c r="N169" s="141" t="n"/>
      <c r="O169" s="141">
        <f>"6007,6008,6009,6010,6011"</f>
        <v/>
      </c>
      <c r="P169" s="52" t="n">
        <v>800</v>
      </c>
      <c r="Q169" s="52" t="n">
        <v>800</v>
      </c>
      <c r="R169" s="141">
        <f>"209,210,211,212"</f>
        <v/>
      </c>
    </row>
    <row r="170" ht="14.25" customHeight="1" s="142">
      <c r="A170" s="141" t="n">
        <v>88013</v>
      </c>
      <c r="B170" s="135" t="inlineStr">
        <is>
          <t>Pants</t>
        </is>
      </c>
      <c r="C170" s="137" t="inlineStr">
        <is>
          <t>粗布短褲</t>
        </is>
      </c>
      <c r="D170" s="135" t="inlineStr">
        <is>
          <t>R</t>
        </is>
      </c>
      <c r="E170" s="141" t="n"/>
      <c r="F170" s="141" t="n">
        <v>82</v>
      </c>
      <c r="G170" s="141" t="n">
        <v>8</v>
      </c>
      <c r="H170" s="141" t="n"/>
      <c r="I170" s="141" t="n"/>
      <c r="J170" s="141" t="n">
        <v>16</v>
      </c>
      <c r="K170" s="141" t="n"/>
      <c r="L170" s="141" t="n"/>
      <c r="M170" s="141" t="n"/>
      <c r="N170" s="141" t="n"/>
      <c r="O170" s="141">
        <f>"6007,6008,6009,6010,6011"</f>
        <v/>
      </c>
      <c r="P170" s="52" t="n">
        <v>800</v>
      </c>
      <c r="Q170" s="52" t="n">
        <v>800</v>
      </c>
      <c r="R170" s="141">
        <f>"209,210,211,212"</f>
        <v/>
      </c>
    </row>
    <row r="171" ht="14.25" customHeight="1" s="142">
      <c r="A171" s="141" t="n">
        <v>88014</v>
      </c>
      <c r="B171" s="135" t="inlineStr">
        <is>
          <t>weapon</t>
        </is>
      </c>
      <c r="C171" s="137" t="inlineStr">
        <is>
          <t>羊骨巨盾槌</t>
        </is>
      </c>
      <c r="D171" s="135" t="inlineStr">
        <is>
          <t>R</t>
        </is>
      </c>
      <c r="E171" s="141" t="n"/>
      <c r="F171" s="141" t="n"/>
      <c r="G171" s="141" t="n">
        <v>22</v>
      </c>
      <c r="H171" s="141" t="n"/>
      <c r="I171" s="141" t="n">
        <v>8</v>
      </c>
      <c r="J171" s="141" t="n"/>
      <c r="K171" s="141" t="n"/>
      <c r="L171" s="141" t="n"/>
      <c r="M171" s="141" t="n"/>
      <c r="N171" s="141" t="n"/>
      <c r="O171" s="141">
        <f>"6007,6008,6009,6010,6011"</f>
        <v/>
      </c>
      <c r="P171" s="52" t="n">
        <v>800</v>
      </c>
      <c r="Q171" s="52" t="n">
        <v>800</v>
      </c>
      <c r="R171" s="141">
        <f>"201,202,203,204"</f>
        <v/>
      </c>
    </row>
    <row r="172" ht="14.25" customHeight="1" s="142">
      <c r="A172" s="141" t="n">
        <v>88015</v>
      </c>
      <c r="B172" s="135" t="inlineStr">
        <is>
          <t>head</t>
        </is>
      </c>
      <c r="C172" s="137" t="inlineStr">
        <is>
          <t>魔法皮帽</t>
        </is>
      </c>
      <c r="D172" s="135" t="inlineStr">
        <is>
          <t>R</t>
        </is>
      </c>
      <c r="E172" s="141" t="n"/>
      <c r="F172" s="141" t="n"/>
      <c r="G172" s="141" t="n"/>
      <c r="H172" s="141" t="n"/>
      <c r="I172" s="141" t="n">
        <v>25</v>
      </c>
      <c r="J172" s="141" t="n"/>
      <c r="K172" s="141" t="n"/>
      <c r="L172" s="141" t="n"/>
      <c r="M172" s="141" t="n"/>
      <c r="N172" s="141" t="n"/>
      <c r="O172" s="141">
        <f>"6007,6008,6009,6010,6011"</f>
        <v/>
      </c>
      <c r="P172" s="52" t="n">
        <v>800</v>
      </c>
      <c r="Q172" s="52" t="n">
        <v>800</v>
      </c>
      <c r="R172" s="141">
        <f>"205,206,207,208"</f>
        <v/>
      </c>
    </row>
    <row r="173" ht="14.25" customHeight="1" s="142">
      <c r="A173" s="141" t="n">
        <v>88016</v>
      </c>
      <c r="B173" s="135" t="inlineStr">
        <is>
          <t>armor</t>
        </is>
      </c>
      <c r="C173" s="137" t="inlineStr">
        <is>
          <t>農夫汗衫</t>
        </is>
      </c>
      <c r="D173" s="135" t="inlineStr">
        <is>
          <t>R</t>
        </is>
      </c>
      <c r="E173" s="141" t="n"/>
      <c r="F173" s="141" t="n">
        <v>138</v>
      </c>
      <c r="G173" s="141" t="n"/>
      <c r="H173" s="141" t="n"/>
      <c r="I173" s="141" t="n">
        <v>23</v>
      </c>
      <c r="J173" s="141" t="n"/>
      <c r="K173" s="141" t="n"/>
      <c r="L173" s="141" t="n"/>
      <c r="M173" s="141" t="n"/>
      <c r="N173" s="141" t="n"/>
      <c r="O173" s="141">
        <f>"6007,6008,6009,6010,6011"</f>
        <v/>
      </c>
      <c r="P173" s="52" t="n">
        <v>800</v>
      </c>
      <c r="Q173" s="52" t="n">
        <v>800</v>
      </c>
      <c r="R173" s="141">
        <f>"205,206,207,208"</f>
        <v/>
      </c>
    </row>
    <row r="174" ht="14.25" customHeight="1" s="142">
      <c r="A174" s="141" t="n">
        <v>88017</v>
      </c>
      <c r="B174" s="135" t="inlineStr">
        <is>
          <t>shoe</t>
        </is>
      </c>
      <c r="C174" s="137" t="inlineStr">
        <is>
          <t>損壞的木屐</t>
        </is>
      </c>
      <c r="D174" s="135" t="inlineStr">
        <is>
          <t>R</t>
        </is>
      </c>
      <c r="E174" s="141" t="n"/>
      <c r="F174" s="141" t="n"/>
      <c r="G174" s="141" t="n"/>
      <c r="H174" s="141" t="n"/>
      <c r="I174" s="141" t="n">
        <v>27</v>
      </c>
      <c r="J174" s="141" t="n">
        <v>17</v>
      </c>
      <c r="K174" s="141" t="n"/>
      <c r="L174" s="141" t="n"/>
      <c r="M174" s="141" t="n"/>
      <c r="N174" s="141" t="n"/>
      <c r="O174" s="141">
        <f>"6007,6008,6009,6010,6011"</f>
        <v/>
      </c>
      <c r="P174" s="52" t="n">
        <v>800</v>
      </c>
      <c r="Q174" s="52" t="n">
        <v>800</v>
      </c>
      <c r="R174" s="141">
        <f>"201,202,203,204"</f>
        <v/>
      </c>
    </row>
    <row r="175" ht="14.25" customHeight="1" s="142">
      <c r="A175" s="141" t="n">
        <v>88018</v>
      </c>
      <c r="B175" s="135" t="inlineStr">
        <is>
          <t>cloak</t>
        </is>
      </c>
      <c r="C175" s="137" t="inlineStr">
        <is>
          <t>木護肩甲</t>
        </is>
      </c>
      <c r="D175" s="135" t="inlineStr">
        <is>
          <t>R</t>
        </is>
      </c>
      <c r="E175" s="141" t="n"/>
      <c r="F175" s="141" t="n">
        <v>115</v>
      </c>
      <c r="G175" s="141" t="n"/>
      <c r="H175" s="141" t="n"/>
      <c r="I175" s="141" t="n">
        <v>42</v>
      </c>
      <c r="J175" s="141" t="n"/>
      <c r="K175" s="141" t="n"/>
      <c r="L175" s="141" t="n"/>
      <c r="M175" s="141" t="n"/>
      <c r="N175" s="141" t="n"/>
      <c r="O175" s="141">
        <f>"6007,6008,6009,6010,6011"</f>
        <v/>
      </c>
      <c r="P175" s="52" t="n">
        <v>800</v>
      </c>
      <c r="Q175" s="52" t="n">
        <v>800</v>
      </c>
      <c r="R175" s="141">
        <f>"209,210,211,212"</f>
        <v/>
      </c>
    </row>
    <row r="176" ht="14.25" customHeight="1" s="142">
      <c r="A176" s="141" t="n">
        <v>88019</v>
      </c>
      <c r="B176" s="135" t="inlineStr">
        <is>
          <t>Pants</t>
        </is>
      </c>
      <c r="C176" s="137" t="inlineStr">
        <is>
          <t>野豬護腰</t>
        </is>
      </c>
      <c r="D176" s="135" t="inlineStr">
        <is>
          <t>R</t>
        </is>
      </c>
      <c r="E176" s="141" t="n"/>
      <c r="F176" s="141" t="n">
        <v>82</v>
      </c>
      <c r="G176" s="141" t="n">
        <v>8</v>
      </c>
      <c r="H176" s="141" t="n"/>
      <c r="I176" s="141" t="n"/>
      <c r="J176" s="141" t="n">
        <v>16</v>
      </c>
      <c r="K176" s="141" t="n"/>
      <c r="L176" s="141" t="n"/>
      <c r="M176" s="141" t="n"/>
      <c r="N176" s="141" t="n"/>
      <c r="O176" s="141">
        <f>"6007,6008,6009,6010,6011"</f>
        <v/>
      </c>
      <c r="P176" s="52" t="n">
        <v>800</v>
      </c>
      <c r="Q176" s="52" t="n">
        <v>800</v>
      </c>
      <c r="R176" s="141">
        <f>"209,210,211,212"</f>
        <v/>
      </c>
    </row>
    <row r="177" ht="14.25" customHeight="1" s="142">
      <c r="A177" s="141" t="n">
        <v>88020</v>
      </c>
      <c r="B177" s="135" t="inlineStr">
        <is>
          <t>weapon</t>
        </is>
      </c>
      <c r="C177" s="137" t="inlineStr">
        <is>
          <t>合金長劍</t>
        </is>
      </c>
      <c r="D177" s="135" t="inlineStr">
        <is>
          <t>SR</t>
        </is>
      </c>
      <c r="E177" s="141" t="n"/>
      <c r="F177" s="141" t="n"/>
      <c r="G177" s="141" t="n">
        <v>31</v>
      </c>
      <c r="H177" s="141" t="n"/>
      <c r="I177" s="141" t="n">
        <v>11</v>
      </c>
      <c r="J177" s="141" t="n"/>
      <c r="K177" s="141" t="n"/>
      <c r="L177" s="141" t="n"/>
      <c r="M177" s="141" t="n"/>
      <c r="N177" s="141" t="n"/>
      <c r="O177" s="141">
        <f>"6007,6008,6009,6010,6011"</f>
        <v/>
      </c>
      <c r="P177" s="52" t="n">
        <v>800</v>
      </c>
      <c r="Q177" s="52" t="n">
        <v>800</v>
      </c>
      <c r="R177" s="141">
        <f>"201,202,203,204"</f>
        <v/>
      </c>
    </row>
    <row r="178" ht="14.25" customHeight="1" s="142">
      <c r="A178" s="141" t="n">
        <v>88021</v>
      </c>
      <c r="B178" s="135" t="inlineStr">
        <is>
          <t>head</t>
        </is>
      </c>
      <c r="C178" s="137" t="inlineStr">
        <is>
          <t>白骨面具</t>
        </is>
      </c>
      <c r="D178" s="135" t="inlineStr">
        <is>
          <t>SR</t>
        </is>
      </c>
      <c r="E178" s="141" t="n"/>
      <c r="F178" s="141" t="n"/>
      <c r="G178" s="141" t="n"/>
      <c r="H178" s="141" t="n"/>
      <c r="I178" s="141" t="n">
        <v>35</v>
      </c>
      <c r="J178" s="141" t="n"/>
      <c r="K178" s="141" t="n"/>
      <c r="L178" s="141" t="n"/>
      <c r="M178" s="141" t="n"/>
      <c r="N178" s="141" t="n"/>
      <c r="O178" s="141">
        <f>"6007,6008,6009,6010,6011"</f>
        <v/>
      </c>
      <c r="P178" s="52" t="n">
        <v>800</v>
      </c>
      <c r="Q178" s="52" t="n">
        <v>800</v>
      </c>
      <c r="R178" s="141">
        <f>"205,206,207,208"</f>
        <v/>
      </c>
    </row>
    <row r="179" ht="14.25" customHeight="1" s="142">
      <c r="A179" s="141" t="n">
        <v>88022</v>
      </c>
      <c r="B179" s="135" t="inlineStr">
        <is>
          <t>armor</t>
        </is>
      </c>
      <c r="C179" s="137" t="inlineStr">
        <is>
          <t>抗魔長袍</t>
        </is>
      </c>
      <c r="D179" s="135" t="inlineStr">
        <is>
          <t>SR</t>
        </is>
      </c>
      <c r="E179" s="141" t="n"/>
      <c r="F179" s="141" t="n">
        <v>194</v>
      </c>
      <c r="G179" s="141" t="n"/>
      <c r="H179" s="141" t="n"/>
      <c r="I179" s="141" t="n">
        <v>32</v>
      </c>
      <c r="J179" s="141" t="n"/>
      <c r="K179" s="141" t="n"/>
      <c r="L179" s="141" t="n"/>
      <c r="M179" s="141" t="n"/>
      <c r="N179" s="141" t="n"/>
      <c r="O179" s="141">
        <f>"6007,6008,6009,6010,6011"</f>
        <v/>
      </c>
      <c r="P179" s="52" t="n">
        <v>800</v>
      </c>
      <c r="Q179" s="52" t="n">
        <v>800</v>
      </c>
      <c r="R179" s="141">
        <f>"205,206,207,208"</f>
        <v/>
      </c>
    </row>
    <row r="180" ht="14.25" customHeight="1" s="142">
      <c r="A180" s="141" t="n">
        <v>88023</v>
      </c>
      <c r="B180" s="135" t="inlineStr">
        <is>
          <t>shoe</t>
        </is>
      </c>
      <c r="C180" s="137" t="inlineStr">
        <is>
          <t>狂怒戰鞋</t>
        </is>
      </c>
      <c r="D180" s="135" t="inlineStr">
        <is>
          <t>SR</t>
        </is>
      </c>
      <c r="E180" s="141" t="n"/>
      <c r="F180" s="141" t="n"/>
      <c r="G180" s="141" t="n"/>
      <c r="H180" s="141" t="n"/>
      <c r="I180" s="141" t="n">
        <v>38</v>
      </c>
      <c r="J180" s="141" t="n">
        <v>24</v>
      </c>
      <c r="K180" s="141" t="n"/>
      <c r="L180" s="141" t="n"/>
      <c r="M180" s="141" t="n"/>
      <c r="N180" s="141" t="n"/>
      <c r="O180" s="141">
        <f>"6007,6008,6009,6010,6011"</f>
        <v/>
      </c>
      <c r="P180" s="52" t="n">
        <v>800</v>
      </c>
      <c r="Q180" s="52" t="n">
        <v>800</v>
      </c>
      <c r="R180" s="141">
        <f>"201,202,203,204"</f>
        <v/>
      </c>
    </row>
    <row r="181" ht="14.25" customHeight="1" s="142">
      <c r="A181" s="141" t="n">
        <v>88024</v>
      </c>
      <c r="B181" s="135" t="inlineStr">
        <is>
          <t>cloak</t>
        </is>
      </c>
      <c r="C181" s="137" t="inlineStr">
        <is>
          <t>絲質披肩</t>
        </is>
      </c>
      <c r="D181" s="135" t="inlineStr">
        <is>
          <t>SR</t>
        </is>
      </c>
      <c r="E181" s="141" t="n"/>
      <c r="F181" s="141" t="n">
        <v>161</v>
      </c>
      <c r="G181" s="141" t="n"/>
      <c r="H181" s="141" t="n"/>
      <c r="I181" s="141" t="n">
        <v>59</v>
      </c>
      <c r="J181" s="141" t="n"/>
      <c r="K181" s="141" t="n"/>
      <c r="L181" s="141" t="n"/>
      <c r="M181" s="141" t="n"/>
      <c r="N181" s="141" t="n"/>
      <c r="O181" s="141">
        <f>"6007,6008,6009,6010,6011"</f>
        <v/>
      </c>
      <c r="P181" s="52" t="n">
        <v>800</v>
      </c>
      <c r="Q181" s="52" t="n">
        <v>800</v>
      </c>
      <c r="R181" s="141">
        <f>"209,210,211,212"</f>
        <v/>
      </c>
    </row>
    <row r="182" ht="14.25" customHeight="1" s="142">
      <c r="A182" s="141" t="n">
        <v>88025</v>
      </c>
      <c r="B182" s="135" t="inlineStr">
        <is>
          <t>Pants</t>
        </is>
      </c>
      <c r="C182" s="137" t="inlineStr">
        <is>
          <t>輕量化皮靴</t>
        </is>
      </c>
      <c r="D182" s="135" t="inlineStr">
        <is>
          <t>SR</t>
        </is>
      </c>
      <c r="E182" s="141" t="n"/>
      <c r="F182" s="141" t="n">
        <v>116</v>
      </c>
      <c r="G182" s="141" t="n">
        <v>12</v>
      </c>
      <c r="H182" s="141" t="n"/>
      <c r="I182" s="141" t="n"/>
      <c r="J182" s="141" t="n">
        <v>23</v>
      </c>
      <c r="K182" s="141" t="n"/>
      <c r="L182" s="141" t="n"/>
      <c r="M182" s="141" t="n"/>
      <c r="N182" s="141" t="n"/>
      <c r="O182" s="141">
        <f>"6007,6008,6009,6010,6011"</f>
        <v/>
      </c>
      <c r="P182" s="52" t="n">
        <v>800</v>
      </c>
      <c r="Q182" s="52" t="n">
        <v>800</v>
      </c>
      <c r="R182" s="141">
        <f>"209,210,211,212"</f>
        <v/>
      </c>
    </row>
    <row r="183" ht="14.25" customHeight="1" s="142">
      <c r="A183" s="141" t="n">
        <v>88026</v>
      </c>
      <c r="B183" s="135" t="inlineStr">
        <is>
          <t>weapon</t>
        </is>
      </c>
      <c r="C183" s="137" t="inlineStr">
        <is>
          <t>力量拳套</t>
        </is>
      </c>
      <c r="D183" s="135" t="inlineStr">
        <is>
          <t>SR</t>
        </is>
      </c>
      <c r="E183" s="141" t="n"/>
      <c r="F183" s="141" t="n"/>
      <c r="G183" s="141" t="n">
        <v>31</v>
      </c>
      <c r="H183" s="141" t="n"/>
      <c r="I183" s="141" t="n">
        <v>11</v>
      </c>
      <c r="J183" s="141" t="n"/>
      <c r="K183" s="141" t="n"/>
      <c r="L183" s="141" t="n"/>
      <c r="M183" s="141" t="n"/>
      <c r="N183" s="141" t="n"/>
      <c r="O183" s="141">
        <f>"6007,6008,6009,6010,6011"</f>
        <v/>
      </c>
      <c r="P183" s="52" t="n">
        <v>800</v>
      </c>
      <c r="Q183" s="52" t="n">
        <v>800</v>
      </c>
      <c r="R183" s="141">
        <f>"201,202,203,204"</f>
        <v/>
      </c>
    </row>
    <row r="184" ht="14.25" customHeight="1" s="142">
      <c r="A184" s="141" t="n">
        <v>88027</v>
      </c>
      <c r="B184" s="135" t="inlineStr">
        <is>
          <t>head</t>
        </is>
      </c>
      <c r="C184" s="137" t="inlineStr">
        <is>
          <t>烈焰面具</t>
        </is>
      </c>
      <c r="D184" s="135" t="inlineStr">
        <is>
          <t>SR</t>
        </is>
      </c>
      <c r="E184" s="141" t="n"/>
      <c r="F184" s="141" t="n"/>
      <c r="G184" s="141" t="n"/>
      <c r="H184" s="141" t="n"/>
      <c r="I184" s="141" t="n">
        <v>35</v>
      </c>
      <c r="J184" s="141" t="n"/>
      <c r="K184" s="141" t="n"/>
      <c r="L184" s="141" t="n"/>
      <c r="M184" s="141" t="n"/>
      <c r="N184" s="141" t="n"/>
      <c r="O184" s="141">
        <f>"6007,6008,6009,6010,6011"</f>
        <v/>
      </c>
      <c r="P184" s="52" t="n">
        <v>800</v>
      </c>
      <c r="Q184" s="52" t="n">
        <v>800</v>
      </c>
      <c r="R184" s="141">
        <f>"205,206,207,208"</f>
        <v/>
      </c>
    </row>
    <row r="185" ht="14.25" customHeight="1" s="142">
      <c r="A185" s="141" t="n">
        <v>88028</v>
      </c>
      <c r="B185" s="135" t="inlineStr">
        <is>
          <t>armor</t>
        </is>
      </c>
      <c r="C185" s="137" t="inlineStr">
        <is>
          <t>巨蛇脊骨甲</t>
        </is>
      </c>
      <c r="D185" s="135" t="inlineStr">
        <is>
          <t>SR</t>
        </is>
      </c>
      <c r="E185" s="141" t="n"/>
      <c r="F185" s="141" t="n">
        <v>194</v>
      </c>
      <c r="G185" s="141" t="n"/>
      <c r="H185" s="141" t="n"/>
      <c r="I185" s="141" t="n">
        <v>32</v>
      </c>
      <c r="J185" s="141" t="n"/>
      <c r="K185" s="141" t="n"/>
      <c r="L185" s="141" t="n"/>
      <c r="M185" s="141" t="n"/>
      <c r="N185" s="141" t="n"/>
      <c r="O185" s="141">
        <f>"6007,6008,6009,6010,6011"</f>
        <v/>
      </c>
      <c r="P185" s="52" t="n">
        <v>800</v>
      </c>
      <c r="Q185" s="52" t="n">
        <v>800</v>
      </c>
      <c r="R185" s="141">
        <f>"205,206,207,208"</f>
        <v/>
      </c>
    </row>
    <row r="186" ht="14.25" customHeight="1" s="142">
      <c r="A186" s="141" t="n">
        <v>88029</v>
      </c>
      <c r="B186" s="135" t="inlineStr">
        <is>
          <t>shoe</t>
        </is>
      </c>
      <c r="C186" s="137" t="inlineStr">
        <is>
          <t>青羽馬蹄鐵</t>
        </is>
      </c>
      <c r="D186" s="135" t="inlineStr">
        <is>
          <t>SR</t>
        </is>
      </c>
      <c r="E186" s="141" t="n"/>
      <c r="F186" s="141" t="n"/>
      <c r="G186" s="141" t="n"/>
      <c r="H186" s="141" t="n"/>
      <c r="I186" s="141" t="n">
        <v>38</v>
      </c>
      <c r="J186" s="141" t="n">
        <v>24</v>
      </c>
      <c r="K186" s="141" t="n"/>
      <c r="L186" s="141" t="n"/>
      <c r="M186" s="141" t="n"/>
      <c r="N186" s="141" t="n"/>
      <c r="O186" s="141">
        <f>"6007,6008,6009,6010,6011"</f>
        <v/>
      </c>
      <c r="P186" s="52" t="n">
        <v>800</v>
      </c>
      <c r="Q186" s="52" t="n">
        <v>800</v>
      </c>
      <c r="R186" s="141">
        <f>"201,202,203,204"</f>
        <v/>
      </c>
    </row>
    <row r="187" ht="14.25" customHeight="1" s="142">
      <c r="A187" s="141" t="n">
        <v>88030</v>
      </c>
      <c r="B187" s="135" t="inlineStr">
        <is>
          <t>cloak</t>
        </is>
      </c>
      <c r="C187" s="137" t="inlineStr">
        <is>
          <t>亮彩晶龜殼</t>
        </is>
      </c>
      <c r="D187" s="135" t="inlineStr">
        <is>
          <t>SR</t>
        </is>
      </c>
      <c r="E187" s="141" t="n"/>
      <c r="F187" s="141" t="n">
        <v>161</v>
      </c>
      <c r="G187" s="141" t="n"/>
      <c r="H187" s="141" t="n"/>
      <c r="I187" s="141" t="n">
        <v>59</v>
      </c>
      <c r="J187" s="141" t="n"/>
      <c r="K187" s="141" t="n"/>
      <c r="L187" s="141" t="n"/>
      <c r="M187" s="141" t="n"/>
      <c r="N187" s="141" t="n"/>
      <c r="O187" s="141">
        <f>"6007,6008,6009,6010,6011"</f>
        <v/>
      </c>
      <c r="P187" s="52" t="n">
        <v>800</v>
      </c>
      <c r="Q187" s="52" t="n">
        <v>800</v>
      </c>
      <c r="R187" s="141">
        <f>"209,210,211,212"</f>
        <v/>
      </c>
    </row>
    <row r="188" ht="14.25" customHeight="1" s="142">
      <c r="A188" s="141" t="n">
        <v>88031</v>
      </c>
      <c r="B188" s="135" t="inlineStr">
        <is>
          <t>Pants</t>
        </is>
      </c>
      <c r="C188" s="137" t="inlineStr">
        <is>
          <t>殘破英靈褲</t>
        </is>
      </c>
      <c r="D188" s="135" t="inlineStr">
        <is>
          <t>SR</t>
        </is>
      </c>
      <c r="E188" s="141" t="n"/>
      <c r="F188" s="141" t="n">
        <v>116</v>
      </c>
      <c r="G188" s="141" t="n">
        <v>12</v>
      </c>
      <c r="H188" s="141" t="n"/>
      <c r="I188" s="141" t="n"/>
      <c r="J188" s="141" t="n">
        <v>23</v>
      </c>
      <c r="K188" s="141" t="n"/>
      <c r="L188" s="141" t="n"/>
      <c r="M188" s="141" t="n"/>
      <c r="N188" s="141" t="n"/>
      <c r="O188" s="141">
        <f>"6007,6008,6009,6010,6011"</f>
        <v/>
      </c>
      <c r="P188" s="52" t="n">
        <v>800</v>
      </c>
      <c r="Q188" s="52" t="n">
        <v>800</v>
      </c>
      <c r="R188" s="141">
        <f>"209,210,211,212"</f>
        <v/>
      </c>
    </row>
    <row r="189" ht="14.25" customHeight="1" s="142">
      <c r="A189" s="141" t="n">
        <v>88032</v>
      </c>
      <c r="B189" s="135" t="inlineStr">
        <is>
          <t>weapon</t>
        </is>
      </c>
      <c r="C189" s="137" t="inlineStr">
        <is>
          <t>永夜白骨刃</t>
        </is>
      </c>
      <c r="D189" s="135" t="inlineStr">
        <is>
          <t>SSR</t>
        </is>
      </c>
      <c r="E189" s="141" t="n"/>
      <c r="F189" s="141" t="n"/>
      <c r="G189" s="141" t="n">
        <v>44</v>
      </c>
      <c r="H189" s="141" t="n"/>
      <c r="I189" s="141" t="n">
        <v>15</v>
      </c>
      <c r="J189" s="141" t="n"/>
      <c r="K189" s="141" t="n"/>
      <c r="L189" s="141" t="n"/>
      <c r="M189" s="141" t="n"/>
      <c r="N189" s="141" t="n"/>
      <c r="O189" s="141">
        <f>"6007,6008,6009,6010,6011"</f>
        <v/>
      </c>
      <c r="P189" s="52" t="n">
        <v>800</v>
      </c>
      <c r="Q189" s="52" t="n">
        <v>800</v>
      </c>
      <c r="R189" s="141">
        <f>"201,202,203,204"</f>
        <v/>
      </c>
    </row>
    <row r="190" ht="14.25" customHeight="1" s="142">
      <c r="A190" s="141" t="n">
        <v>88033</v>
      </c>
      <c r="B190" s="135" t="inlineStr">
        <is>
          <t>weapon</t>
        </is>
      </c>
      <c r="C190" s="137" t="inlineStr">
        <is>
          <t>月亮寶珠</t>
        </is>
      </c>
      <c r="D190" s="135" t="inlineStr">
        <is>
          <t>SSR</t>
        </is>
      </c>
      <c r="E190" s="141" t="n"/>
      <c r="F190" s="141" t="n"/>
      <c r="G190" s="141" t="n"/>
      <c r="H190" s="141" t="n">
        <v>44</v>
      </c>
      <c r="I190" s="141" t="n"/>
      <c r="J190" s="141" t="n">
        <v>15</v>
      </c>
      <c r="K190" s="141" t="n"/>
      <c r="L190" s="141" t="n"/>
      <c r="M190" s="141" t="n"/>
      <c r="N190" s="141" t="n"/>
      <c r="O190" s="141">
        <f>"6007,6008,6009,6010,6011"</f>
        <v/>
      </c>
      <c r="P190" s="52" t="n">
        <v>800</v>
      </c>
      <c r="Q190" s="52" t="n">
        <v>800</v>
      </c>
      <c r="R190" s="141">
        <f>"201,202,203,204"</f>
        <v/>
      </c>
    </row>
    <row r="191" ht="14.25" customHeight="1" s="142">
      <c r="A191" s="141" t="n">
        <v>88034</v>
      </c>
      <c r="B191" s="135" t="inlineStr">
        <is>
          <t>weapon</t>
        </is>
      </c>
      <c r="C191" s="137" t="inlineStr">
        <is>
          <t>泰坦巨斧</t>
        </is>
      </c>
      <c r="D191" s="135" t="inlineStr">
        <is>
          <t>SSR</t>
        </is>
      </c>
      <c r="E191" s="141" t="n"/>
      <c r="F191" s="141" t="n"/>
      <c r="G191" s="141" t="n">
        <v>44</v>
      </c>
      <c r="H191" s="141" t="n"/>
      <c r="I191" s="141" t="n">
        <v>15</v>
      </c>
      <c r="J191" s="141" t="n"/>
      <c r="K191" s="141" t="n"/>
      <c r="L191" s="141" t="n"/>
      <c r="M191" s="141" t="n"/>
      <c r="N191" s="141" t="n"/>
      <c r="O191" s="141">
        <f>"6007,6008,6009,6010,6011"</f>
        <v/>
      </c>
      <c r="P191" s="52" t="n">
        <v>800</v>
      </c>
      <c r="Q191" s="52" t="n">
        <v>800</v>
      </c>
      <c r="R191" s="141">
        <f>"205,206,207,208"</f>
        <v/>
      </c>
    </row>
    <row r="192" ht="14.25" customHeight="1" s="142">
      <c r="A192" s="141" t="n">
        <v>88035</v>
      </c>
      <c r="B192" s="135" t="inlineStr">
        <is>
          <t>head</t>
        </is>
      </c>
      <c r="C192" s="137" t="inlineStr">
        <is>
          <t>巨大龍骨面具</t>
        </is>
      </c>
      <c r="D192" s="135" t="inlineStr">
        <is>
          <t>SSR</t>
        </is>
      </c>
      <c r="E192" s="141" t="n"/>
      <c r="F192" s="141" t="n"/>
      <c r="G192" s="141" t="n"/>
      <c r="H192" s="141" t="n"/>
      <c r="I192" s="141" t="n">
        <v>49</v>
      </c>
      <c r="J192" s="141" t="n"/>
      <c r="K192" s="141" t="n"/>
      <c r="L192" s="141" t="n"/>
      <c r="M192" s="141" t="n"/>
      <c r="N192" s="141" t="n"/>
      <c r="O192" s="141">
        <f>"6007,6008,6009,6010,6011"</f>
        <v/>
      </c>
      <c r="P192" s="52" t="n">
        <v>800</v>
      </c>
      <c r="Q192" s="52" t="n">
        <v>800</v>
      </c>
      <c r="R192" s="141">
        <f>"205,206,207,208"</f>
        <v/>
      </c>
    </row>
    <row r="193" ht="14.25" customHeight="1" s="142">
      <c r="A193" s="141" t="n">
        <v>88036</v>
      </c>
      <c r="B193" s="135" t="inlineStr">
        <is>
          <t>armor</t>
        </is>
      </c>
      <c r="C193" s="137" t="inlineStr">
        <is>
          <t>堅硬龍麟</t>
        </is>
      </c>
      <c r="D193" s="135" t="inlineStr">
        <is>
          <t>SSR</t>
        </is>
      </c>
      <c r="E193" s="141" t="n"/>
      <c r="F193" s="141" t="n">
        <v>275</v>
      </c>
      <c r="G193" s="141" t="n"/>
      <c r="H193" s="141" t="n"/>
      <c r="I193" s="141" t="n">
        <v>46</v>
      </c>
      <c r="J193" s="141" t="n"/>
      <c r="K193" s="141" t="n"/>
      <c r="L193" s="141" t="n"/>
      <c r="M193" s="141" t="n"/>
      <c r="N193" s="141" t="n"/>
      <c r="O193" s="141">
        <f>"6007,6008,6009,6010,6011"</f>
        <v/>
      </c>
      <c r="P193" s="52" t="n">
        <v>800</v>
      </c>
      <c r="Q193" s="52" t="n">
        <v>800</v>
      </c>
      <c r="R193" s="141">
        <f>"201,202,203,204"</f>
        <v/>
      </c>
    </row>
    <row r="194" ht="14.25" customHeight="1" s="142">
      <c r="A194" s="141" t="n">
        <v>88037</v>
      </c>
      <c r="B194" s="135" t="inlineStr">
        <is>
          <t>shoe</t>
        </is>
      </c>
      <c r="C194" s="137" t="inlineStr">
        <is>
          <t>冰晶重靴</t>
        </is>
      </c>
      <c r="D194" s="135" t="inlineStr">
        <is>
          <t>SSR</t>
        </is>
      </c>
      <c r="E194" s="141" t="n"/>
      <c r="F194" s="141" t="n"/>
      <c r="G194" s="141" t="n"/>
      <c r="H194" s="141" t="n"/>
      <c r="I194" s="141" t="n">
        <v>54</v>
      </c>
      <c r="J194" s="141" t="n">
        <v>34</v>
      </c>
      <c r="K194" s="141" t="n"/>
      <c r="L194" s="141" t="n"/>
      <c r="M194" s="141" t="n"/>
      <c r="N194" s="141" t="n"/>
      <c r="O194" s="141">
        <f>"6007,6008,6009,6010,6011"</f>
        <v/>
      </c>
      <c r="P194" s="52" t="n">
        <v>800</v>
      </c>
      <c r="Q194" s="52" t="n">
        <v>800</v>
      </c>
      <c r="R194" s="141">
        <f>"209,210,211,212"</f>
        <v/>
      </c>
    </row>
    <row r="195" ht="14.25" customHeight="1" s="142">
      <c r="A195" s="141" t="n">
        <v>88038</v>
      </c>
      <c r="B195" s="135" t="inlineStr">
        <is>
          <t>cloak</t>
        </is>
      </c>
      <c r="C195" s="137" t="inlineStr">
        <is>
          <t>破碎星河披風</t>
        </is>
      </c>
      <c r="D195" s="135" t="inlineStr">
        <is>
          <t>SSR</t>
        </is>
      </c>
      <c r="E195" s="141" t="n"/>
      <c r="F195" s="141" t="n">
        <v>228</v>
      </c>
      <c r="G195" s="141" t="n"/>
      <c r="H195" s="141" t="n"/>
      <c r="I195" s="141" t="n">
        <v>83</v>
      </c>
      <c r="J195" s="141" t="n"/>
      <c r="K195" s="141" t="n"/>
      <c r="L195" s="141" t="n"/>
      <c r="M195" s="141" t="n"/>
      <c r="N195" s="141" t="n"/>
      <c r="O195" s="141">
        <f>"6007,6008,6009,6010,6011"</f>
        <v/>
      </c>
      <c r="P195" s="52" t="n">
        <v>800</v>
      </c>
      <c r="Q195" s="52" t="n">
        <v>800</v>
      </c>
      <c r="R195" s="141">
        <f>"209,210,211,212"</f>
        <v/>
      </c>
    </row>
    <row r="196" ht="14.25" customHeight="1" s="142">
      <c r="A196" s="141" t="n">
        <v>88039</v>
      </c>
      <c r="B196" s="135" t="inlineStr">
        <is>
          <t>Pants</t>
        </is>
      </c>
      <c r="C196" s="137" t="inlineStr">
        <is>
          <t>冥月布褲</t>
        </is>
      </c>
      <c r="D196" s="135" t="inlineStr">
        <is>
          <t>SSR</t>
        </is>
      </c>
      <c r="E196" s="141" t="n"/>
      <c r="F196" s="141" t="n">
        <v>165</v>
      </c>
      <c r="G196" s="141" t="n">
        <v>17</v>
      </c>
      <c r="H196" s="141" t="n"/>
      <c r="I196" s="141" t="n"/>
      <c r="J196" s="141" t="n">
        <v>32</v>
      </c>
      <c r="K196" s="141" t="n"/>
      <c r="L196" s="141" t="n"/>
      <c r="M196" s="141" t="n"/>
      <c r="N196" s="141" t="n"/>
      <c r="O196" s="141">
        <f>"6007,6008,6009,6010,6011"</f>
        <v/>
      </c>
      <c r="P196" s="52" t="n">
        <v>800</v>
      </c>
      <c r="Q196" s="52" t="n">
        <v>800</v>
      </c>
      <c r="R196" s="52">
        <f>"205,206,207,208"</f>
        <v/>
      </c>
    </row>
    <row r="197" ht="14.25" customHeight="1" s="142">
      <c r="A197" s="141" t="n">
        <v>88040</v>
      </c>
      <c r="B197" s="135" t="inlineStr">
        <is>
          <t>weapon</t>
        </is>
      </c>
      <c r="C197" s="137" t="inlineStr">
        <is>
          <t>法術殘卷</t>
        </is>
      </c>
      <c r="D197" s="135" t="inlineStr">
        <is>
          <t>R</t>
        </is>
      </c>
      <c r="E197" s="141" t="n"/>
      <c r="F197" s="141" t="n"/>
      <c r="G197" s="141" t="n"/>
      <c r="H197" s="141" t="n">
        <v>22</v>
      </c>
      <c r="I197" s="141" t="n"/>
      <c r="J197" s="141" t="n">
        <v>8</v>
      </c>
      <c r="K197" s="141" t="n"/>
      <c r="L197" s="141" t="n"/>
      <c r="M197" s="141" t="n"/>
      <c r="N197" s="141" t="n"/>
      <c r="O197" s="141">
        <f>"6007,6008,6009,6010,6011"</f>
        <v/>
      </c>
      <c r="P197" s="52" t="n">
        <v>800</v>
      </c>
      <c r="Q197" s="52" t="n">
        <v>800</v>
      </c>
      <c r="R197" s="141">
        <f>"201,202,203,204"</f>
        <v/>
      </c>
    </row>
    <row r="198" ht="14.25" customHeight="1" s="142">
      <c r="A198" s="141" t="n">
        <v>88041</v>
      </c>
      <c r="B198" s="135" t="inlineStr">
        <is>
          <t>weapon</t>
        </is>
      </c>
      <c r="C198" s="137" t="inlineStr">
        <is>
          <t>破碎水晶球</t>
        </is>
      </c>
      <c r="D198" s="135" t="inlineStr">
        <is>
          <t>SSR</t>
        </is>
      </c>
      <c r="E198" s="141" t="n"/>
      <c r="F198" s="141" t="n"/>
      <c r="G198" s="141" t="n"/>
      <c r="H198" s="141" t="n">
        <v>44</v>
      </c>
      <c r="I198" s="141" t="n"/>
      <c r="J198" s="141" t="n">
        <v>15</v>
      </c>
      <c r="K198" s="141" t="n"/>
      <c r="L198" s="141" t="n"/>
      <c r="M198" s="141" t="n"/>
      <c r="N198" s="141" t="n"/>
      <c r="O198" s="141">
        <f>"6007,6008,6009,6010,6011"</f>
        <v/>
      </c>
      <c r="P198" s="52" t="n">
        <v>800</v>
      </c>
      <c r="Q198" s="52" t="n">
        <v>800</v>
      </c>
      <c r="R198" s="141">
        <f>"201,202,203,204"</f>
        <v/>
      </c>
    </row>
    <row r="199" ht="14.25" customHeight="1" s="142">
      <c r="D199" s="45" t="n"/>
    </row>
    <row r="200" ht="14.25" customHeight="1" s="142">
      <c r="D200" s="45" t="n"/>
    </row>
    <row r="201" ht="14.25" customHeight="1" s="142">
      <c r="D201" s="45" t="n"/>
    </row>
    <row r="202" ht="14.25" customHeight="1" s="142">
      <c r="D202" s="45" t="n"/>
    </row>
    <row r="203" ht="14.25" customHeight="1" s="142">
      <c r="D203" s="45" t="n"/>
    </row>
    <row r="204" ht="14.25" customHeight="1" s="142">
      <c r="D204" s="45" t="n"/>
    </row>
    <row r="205" ht="14.25" customHeight="1" s="142">
      <c r="D205" s="45" t="n"/>
    </row>
    <row r="206" ht="14.25" customHeight="1" s="142">
      <c r="D206" s="45" t="n"/>
    </row>
    <row r="207" ht="14.25" customHeight="1" s="142">
      <c r="D207" s="45" t="n"/>
    </row>
    <row r="208" ht="14.25" customHeight="1" s="142">
      <c r="D208" s="45" t="n"/>
    </row>
    <row r="209" ht="14.25" customHeight="1" s="142">
      <c r="D209" s="45" t="n"/>
    </row>
    <row r="210" ht="14.25" customHeight="1" s="142">
      <c r="D210" s="45" t="n"/>
    </row>
    <row r="211" ht="14.25" customHeight="1" s="142">
      <c r="D211" s="45" t="n"/>
    </row>
    <row r="212" ht="14.25" customHeight="1" s="142">
      <c r="D212" s="45" t="n"/>
    </row>
    <row r="213" ht="14.25" customHeight="1" s="142">
      <c r="D213" s="45" t="n"/>
    </row>
    <row r="214" ht="14.25" customHeight="1" s="142">
      <c r="D214" s="45" t="n"/>
    </row>
    <row r="215" ht="14.25" customHeight="1" s="142">
      <c r="D215" s="45" t="n"/>
    </row>
    <row r="216" ht="14.25" customHeight="1" s="142">
      <c r="D216" s="45" t="n"/>
    </row>
    <row r="217" ht="14.25" customHeight="1" s="142">
      <c r="D217" s="45" t="n"/>
    </row>
    <row r="218" ht="14.25" customHeight="1" s="142">
      <c r="D218" s="45" t="n"/>
    </row>
    <row r="219" ht="14.25" customHeight="1" s="142">
      <c r="D219" s="45" t="n"/>
    </row>
    <row r="220" ht="14.25" customHeight="1" s="142">
      <c r="D220" s="45" t="n"/>
    </row>
    <row r="221" ht="14.25" customHeight="1" s="142">
      <c r="D221" s="45" t="n"/>
    </row>
    <row r="222" ht="14.25" customHeight="1" s="142">
      <c r="D222" s="45" t="n"/>
    </row>
    <row r="223" ht="14.25" customHeight="1" s="142">
      <c r="D223" s="45" t="n"/>
    </row>
    <row r="224" ht="14.25" customHeight="1" s="142">
      <c r="D224" s="45" t="n"/>
    </row>
    <row r="225" ht="14.25" customHeight="1" s="142">
      <c r="D225" s="45" t="n"/>
    </row>
    <row r="226" ht="14.25" customHeight="1" s="142">
      <c r="D226" s="45" t="n"/>
    </row>
    <row r="227" ht="14.25" customHeight="1" s="142">
      <c r="D227" s="45" t="n"/>
    </row>
    <row r="228" ht="14.25" customHeight="1" s="142">
      <c r="D228" s="45" t="n"/>
    </row>
    <row r="229" ht="14.25" customHeight="1" s="142">
      <c r="D229" s="45" t="n"/>
    </row>
    <row r="230" ht="14.25" customHeight="1" s="142">
      <c r="D230" s="45" t="n"/>
    </row>
    <row r="231" ht="14.25" customHeight="1" s="142">
      <c r="D231" s="45" t="n"/>
    </row>
    <row r="232" ht="14.25" customHeight="1" s="142">
      <c r="D232" s="45" t="n"/>
    </row>
    <row r="233" ht="14.25" customHeight="1" s="142">
      <c r="D233" s="45" t="n"/>
    </row>
    <row r="234" ht="14.25" customHeight="1" s="142">
      <c r="D234" s="45" t="n"/>
    </row>
    <row r="235" ht="14.25" customHeight="1" s="142">
      <c r="D235" s="45" t="n"/>
    </row>
    <row r="236" ht="14.25" customHeight="1" s="142">
      <c r="D236" s="45" t="n"/>
    </row>
    <row r="237" ht="14.25" customHeight="1" s="142">
      <c r="D237" s="45" t="n"/>
    </row>
    <row r="238" ht="14.25" customHeight="1" s="142">
      <c r="D238" s="45" t="n"/>
    </row>
    <row r="239" ht="14.25" customHeight="1" s="142">
      <c r="D239" s="45" t="n"/>
    </row>
    <row r="240" ht="14.25" customHeight="1" s="142">
      <c r="D240" s="45" t="n"/>
    </row>
    <row r="241" ht="14.25" customHeight="1" s="142">
      <c r="D241" s="45" t="n"/>
    </row>
    <row r="242" ht="14.25" customHeight="1" s="142">
      <c r="D242" s="45" t="n"/>
    </row>
    <row r="243" ht="14.25" customHeight="1" s="142">
      <c r="D243" s="45" t="n"/>
    </row>
    <row r="244" ht="14.25" customHeight="1" s="142">
      <c r="D244" s="45" t="n"/>
    </row>
    <row r="245" ht="14.25" customHeight="1" s="142">
      <c r="D245" s="45" t="n"/>
    </row>
    <row r="246" ht="14.25" customHeight="1" s="142">
      <c r="D246" s="45" t="n"/>
    </row>
    <row r="247" ht="14.25" customHeight="1" s="142">
      <c r="D247" s="45" t="n"/>
    </row>
    <row r="248" ht="14.25" customHeight="1" s="142">
      <c r="D248" s="45" t="n"/>
    </row>
    <row r="249" ht="14.25" customHeight="1" s="142">
      <c r="D249" s="45" t="n"/>
    </row>
    <row r="250" ht="14.25" customHeight="1" s="142">
      <c r="D250" s="45" t="n"/>
    </row>
    <row r="251" ht="14.25" customHeight="1" s="142">
      <c r="D251" s="45" t="n"/>
    </row>
    <row r="252" ht="14.25" customHeight="1" s="142">
      <c r="D252" s="45" t="n"/>
    </row>
    <row r="253" ht="14.25" customHeight="1" s="142">
      <c r="D253" s="45" t="n"/>
    </row>
    <row r="254" ht="14.25" customHeight="1" s="142">
      <c r="D254" s="45" t="n"/>
    </row>
    <row r="255" ht="14.25" customHeight="1" s="142">
      <c r="D255" s="45" t="n"/>
    </row>
    <row r="256" ht="14.25" customHeight="1" s="142">
      <c r="D256" s="45" t="n"/>
    </row>
    <row r="257" ht="14.25" customHeight="1" s="142">
      <c r="D257" s="45" t="n"/>
    </row>
    <row r="258" ht="14.25" customHeight="1" s="142">
      <c r="D258" s="45" t="n"/>
    </row>
    <row r="259" ht="14.25" customHeight="1" s="142">
      <c r="D259" s="45" t="n"/>
    </row>
    <row r="260" ht="14.25" customHeight="1" s="142">
      <c r="D260" s="45" t="n"/>
    </row>
    <row r="261" ht="14.25" customHeight="1" s="142">
      <c r="D261" s="45" t="n"/>
    </row>
    <row r="262" ht="14.25" customHeight="1" s="142">
      <c r="D262" s="45" t="n"/>
    </row>
    <row r="263" ht="14.25" customHeight="1" s="142">
      <c r="D263" s="45" t="n"/>
    </row>
    <row r="264" ht="14.25" customHeight="1" s="142">
      <c r="D264" s="45" t="n"/>
    </row>
    <row r="265" ht="14.25" customHeight="1" s="142">
      <c r="D265" s="45" t="n"/>
    </row>
    <row r="266" ht="14.25" customHeight="1" s="142">
      <c r="D266" s="45" t="n"/>
    </row>
    <row r="267" ht="14.25" customHeight="1" s="142">
      <c r="D267" s="45" t="n"/>
    </row>
    <row r="268" ht="14.25" customHeight="1" s="142">
      <c r="D268" s="45" t="n"/>
    </row>
    <row r="269" ht="14.25" customHeight="1" s="142">
      <c r="D269" s="45" t="n"/>
    </row>
    <row r="270" ht="14.25" customHeight="1" s="142">
      <c r="D270" s="45" t="n"/>
    </row>
    <row r="271" ht="14.25" customHeight="1" s="142">
      <c r="D271" s="45" t="n"/>
    </row>
    <row r="272" ht="14.25" customHeight="1" s="142">
      <c r="D272" s="45" t="n"/>
    </row>
    <row r="273" ht="14.25" customHeight="1" s="142">
      <c r="D273" s="45" t="n"/>
    </row>
    <row r="274" ht="14.25" customHeight="1" s="142">
      <c r="D274" s="45" t="n"/>
    </row>
    <row r="275" ht="14.25" customHeight="1" s="142">
      <c r="D275" s="45" t="n"/>
    </row>
    <row r="276" ht="14.25" customHeight="1" s="142">
      <c r="D276" s="45" t="n"/>
    </row>
    <row r="277" ht="14.25" customHeight="1" s="142">
      <c r="D277" s="45" t="n"/>
    </row>
    <row r="278" ht="14.25" customHeight="1" s="142">
      <c r="D278" s="45" t="n"/>
    </row>
    <row r="279" ht="14.25" customHeight="1" s="142">
      <c r="D279" s="45" t="n"/>
    </row>
    <row r="280" ht="14.25" customHeight="1" s="142">
      <c r="D280" s="45" t="n"/>
    </row>
    <row r="281" ht="14.25" customHeight="1" s="142">
      <c r="D281" s="45" t="n"/>
    </row>
    <row r="282" ht="14.25" customHeight="1" s="142">
      <c r="D282" s="45" t="n"/>
    </row>
    <row r="283" ht="14.25" customHeight="1" s="142">
      <c r="D283" s="45" t="n"/>
    </row>
    <row r="284" ht="14.25" customHeight="1" s="142">
      <c r="D284" s="45" t="n"/>
    </row>
    <row r="285" ht="14.25" customHeight="1" s="142">
      <c r="D285" s="45" t="n"/>
    </row>
    <row r="286" ht="14.25" customHeight="1" s="142">
      <c r="D286" s="45" t="n"/>
    </row>
    <row r="287" ht="14.25" customHeight="1" s="142">
      <c r="D287" s="45" t="n"/>
    </row>
    <row r="288" ht="14.25" customHeight="1" s="142">
      <c r="D288" s="45" t="n"/>
    </row>
    <row r="289" ht="14.25" customHeight="1" s="142">
      <c r="D289" s="45" t="n"/>
    </row>
    <row r="290" ht="14.25" customHeight="1" s="142">
      <c r="D290" s="45" t="n"/>
    </row>
    <row r="291" ht="14.25" customHeight="1" s="142">
      <c r="D291" s="45" t="n"/>
    </row>
    <row r="292" ht="14.25" customHeight="1" s="142">
      <c r="D292" s="45" t="n"/>
    </row>
    <row r="293" ht="14.25" customHeight="1" s="142">
      <c r="D293" s="45" t="n"/>
    </row>
    <row r="294" ht="14.25" customHeight="1" s="142">
      <c r="D294" s="45" t="n"/>
    </row>
    <row r="295" ht="14.25" customHeight="1" s="142">
      <c r="D295" s="45" t="n"/>
    </row>
    <row r="296" ht="14.25" customHeight="1" s="142">
      <c r="D296" s="45" t="n"/>
    </row>
    <row r="297" ht="14.25" customHeight="1" s="142">
      <c r="D297" s="45" t="n"/>
    </row>
    <row r="298" ht="14.25" customHeight="1" s="142">
      <c r="D298" s="45" t="n"/>
    </row>
    <row r="299" ht="14.25" customHeight="1" s="142">
      <c r="D299" s="45" t="n"/>
    </row>
    <row r="300" ht="14.25" customHeight="1" s="142">
      <c r="D300" s="45" t="n"/>
    </row>
    <row r="301" ht="14.25" customHeight="1" s="142">
      <c r="D301" s="45" t="n"/>
    </row>
    <row r="302" ht="14.25" customHeight="1" s="142">
      <c r="D302" s="45" t="n"/>
    </row>
    <row r="303" ht="14.25" customHeight="1" s="142">
      <c r="D303" s="45" t="n"/>
    </row>
    <row r="304" ht="14.25" customHeight="1" s="142">
      <c r="D304" s="45" t="n"/>
    </row>
    <row r="305" ht="14.25" customHeight="1" s="142">
      <c r="D305" s="45" t="n"/>
    </row>
    <row r="306" ht="14.25" customHeight="1" s="142">
      <c r="D306" s="45" t="n"/>
    </row>
    <row r="307" ht="14.25" customHeight="1" s="142">
      <c r="D307" s="45" t="n"/>
    </row>
    <row r="308" ht="14.25" customHeight="1" s="142">
      <c r="D308" s="45" t="n"/>
    </row>
    <row r="309" ht="14.25" customHeight="1" s="142">
      <c r="D309" s="45" t="n"/>
    </row>
    <row r="310" ht="14.25" customHeight="1" s="142">
      <c r="D310" s="45" t="n"/>
    </row>
    <row r="311" ht="14.25" customHeight="1" s="142">
      <c r="D311" s="45" t="n"/>
    </row>
    <row r="312" ht="14.25" customHeight="1" s="142">
      <c r="D312" s="45" t="n"/>
    </row>
    <row r="313" ht="14.25" customHeight="1" s="142">
      <c r="D313" s="45" t="n"/>
    </row>
    <row r="314" ht="14.25" customHeight="1" s="142">
      <c r="D314" s="45" t="n"/>
    </row>
    <row r="315" ht="14.25" customHeight="1" s="142">
      <c r="D315" s="45" t="n"/>
    </row>
    <row r="316" ht="14.25" customHeight="1" s="142">
      <c r="D316" s="45" t="n"/>
    </row>
    <row r="317" ht="14.25" customHeight="1" s="142">
      <c r="D317" s="45" t="n"/>
    </row>
    <row r="318" ht="14.25" customHeight="1" s="142">
      <c r="D318" s="45" t="n"/>
    </row>
    <row r="319" ht="14.25" customHeight="1" s="142">
      <c r="D319" s="45" t="n"/>
    </row>
    <row r="320" ht="14.25" customHeight="1" s="142">
      <c r="D320" s="45" t="n"/>
    </row>
    <row r="321" ht="14.25" customHeight="1" s="142">
      <c r="D321" s="45" t="n"/>
    </row>
    <row r="322" ht="14.25" customHeight="1" s="142">
      <c r="D322" s="45" t="n"/>
    </row>
    <row r="323" ht="14.25" customHeight="1" s="142">
      <c r="D323" s="45" t="n"/>
    </row>
    <row r="324" ht="14.25" customHeight="1" s="142">
      <c r="D324" s="45" t="n"/>
    </row>
    <row r="325" ht="14.25" customHeight="1" s="142">
      <c r="D325" s="45" t="n"/>
    </row>
    <row r="326" ht="14.25" customHeight="1" s="142">
      <c r="D326" s="45" t="n"/>
    </row>
    <row r="327" ht="14.25" customHeight="1" s="142">
      <c r="D327" s="45" t="n"/>
    </row>
    <row r="328" ht="14.25" customHeight="1" s="142">
      <c r="D328" s="45" t="n"/>
    </row>
    <row r="329" ht="14.25" customHeight="1" s="142">
      <c r="D329" s="45" t="n"/>
    </row>
    <row r="330" ht="14.25" customHeight="1" s="142">
      <c r="D330" s="45" t="n"/>
    </row>
    <row r="331" ht="14.25" customHeight="1" s="142">
      <c r="D331" s="45" t="n"/>
    </row>
    <row r="332" ht="14.25" customHeight="1" s="142">
      <c r="D332" s="45" t="n"/>
    </row>
    <row r="333" ht="14.25" customHeight="1" s="142">
      <c r="D333" s="45" t="n"/>
    </row>
    <row r="334" ht="14.25" customHeight="1" s="142">
      <c r="D334" s="45" t="n"/>
    </row>
    <row r="335" ht="14.25" customHeight="1" s="142">
      <c r="D335" s="45" t="n"/>
    </row>
    <row r="336" ht="14.25" customHeight="1" s="142">
      <c r="D336" s="45" t="n"/>
    </row>
    <row r="337" ht="14.25" customHeight="1" s="142">
      <c r="D337" s="45" t="n"/>
    </row>
    <row r="338" ht="14.25" customHeight="1" s="142">
      <c r="D338" s="45" t="n"/>
    </row>
    <row r="339" ht="14.25" customHeight="1" s="142">
      <c r="D339" s="45" t="n"/>
    </row>
    <row r="340" ht="14.25" customHeight="1" s="142">
      <c r="D340" s="45" t="n"/>
    </row>
    <row r="341" ht="14.25" customHeight="1" s="142">
      <c r="D341" s="45" t="n"/>
    </row>
    <row r="342" ht="14.25" customHeight="1" s="142">
      <c r="D342" s="45" t="n"/>
    </row>
    <row r="343" ht="14.25" customHeight="1" s="142">
      <c r="D343" s="45" t="n"/>
    </row>
    <row r="344" ht="14.25" customHeight="1" s="142">
      <c r="D344" s="45" t="n"/>
    </row>
    <row r="345" ht="14.25" customHeight="1" s="142">
      <c r="D345" s="45" t="n"/>
    </row>
    <row r="346" ht="14.25" customHeight="1" s="142">
      <c r="D346" s="45" t="n"/>
    </row>
    <row r="347" ht="14.25" customHeight="1" s="142">
      <c r="D347" s="45" t="n"/>
    </row>
    <row r="348" ht="14.25" customHeight="1" s="142">
      <c r="D348" s="45" t="n"/>
    </row>
    <row r="349" ht="14.25" customHeight="1" s="142">
      <c r="D349" s="45" t="n"/>
    </row>
    <row r="350" ht="14.25" customHeight="1" s="142">
      <c r="D350" s="45" t="n"/>
    </row>
    <row r="351" ht="14.25" customHeight="1" s="142">
      <c r="D351" s="45" t="n"/>
    </row>
    <row r="352" ht="14.25" customHeight="1" s="142">
      <c r="D352" s="45" t="n"/>
    </row>
    <row r="353" ht="14.25" customHeight="1" s="142">
      <c r="D353" s="45" t="n"/>
    </row>
    <row r="354" ht="14.25" customHeight="1" s="142">
      <c r="D354" s="45" t="n"/>
    </row>
    <row r="355" ht="14.25" customHeight="1" s="142">
      <c r="D355" s="45" t="n"/>
    </row>
    <row r="356" ht="14.25" customHeight="1" s="142">
      <c r="D356" s="45" t="n"/>
    </row>
    <row r="357" ht="14.25" customHeight="1" s="142">
      <c r="D357" s="45" t="n"/>
    </row>
    <row r="358" ht="14.25" customHeight="1" s="142">
      <c r="D358" s="45" t="n"/>
    </row>
    <row r="359" ht="14.25" customHeight="1" s="142">
      <c r="D359" s="45" t="n"/>
    </row>
    <row r="360" ht="14.25" customHeight="1" s="142">
      <c r="D360" s="45" t="n"/>
    </row>
    <row r="361" ht="14.25" customHeight="1" s="142">
      <c r="D361" s="45" t="n"/>
    </row>
    <row r="362" ht="14.25" customHeight="1" s="142">
      <c r="D362" s="45" t="n"/>
    </row>
    <row r="363" ht="14.25" customHeight="1" s="142">
      <c r="D363" s="45" t="n"/>
    </row>
    <row r="364" ht="14.25" customHeight="1" s="142">
      <c r="D364" s="45" t="n"/>
    </row>
    <row r="365" ht="14.25" customHeight="1" s="142">
      <c r="D365" s="45" t="n"/>
    </row>
    <row r="366" ht="14.25" customHeight="1" s="142">
      <c r="D366" s="45" t="n"/>
    </row>
    <row r="367" ht="14.25" customHeight="1" s="142">
      <c r="D367" s="45" t="n"/>
    </row>
    <row r="368" ht="14.25" customHeight="1" s="142">
      <c r="D368" s="45" t="n"/>
    </row>
    <row r="369" ht="14.25" customHeight="1" s="142">
      <c r="D369" s="45" t="n"/>
    </row>
    <row r="370" ht="14.25" customHeight="1" s="142">
      <c r="D370" s="45" t="n"/>
    </row>
    <row r="371" ht="14.25" customHeight="1" s="142">
      <c r="D371" s="45" t="n"/>
    </row>
    <row r="372" ht="14.25" customHeight="1" s="142">
      <c r="D372" s="45" t="n"/>
    </row>
    <row r="373" ht="14.25" customHeight="1" s="142">
      <c r="D373" s="45" t="n"/>
    </row>
    <row r="374" ht="14.25" customHeight="1" s="142">
      <c r="D374" s="45" t="n"/>
    </row>
    <row r="375" ht="14.25" customHeight="1" s="142">
      <c r="D375" s="45" t="n"/>
    </row>
    <row r="376" ht="14.25" customHeight="1" s="142">
      <c r="D376" s="45" t="n"/>
    </row>
    <row r="377" ht="14.25" customHeight="1" s="142">
      <c r="D377" s="45" t="n"/>
    </row>
    <row r="378" ht="14.25" customHeight="1" s="142">
      <c r="D378" s="45" t="n"/>
    </row>
    <row r="379" ht="14.25" customHeight="1" s="142">
      <c r="D379" s="45" t="n"/>
    </row>
    <row r="380" ht="14.25" customHeight="1" s="142">
      <c r="D380" s="45" t="n"/>
    </row>
    <row r="381" ht="14.25" customHeight="1" s="142">
      <c r="D381" s="45" t="n"/>
    </row>
    <row r="382" ht="14.25" customHeight="1" s="142">
      <c r="D382" s="45" t="n"/>
    </row>
    <row r="383" ht="14.25" customHeight="1" s="142">
      <c r="D383" s="45" t="n"/>
    </row>
    <row r="384" ht="14.25" customHeight="1" s="142">
      <c r="D384" s="45" t="n"/>
    </row>
    <row r="385" ht="14.25" customHeight="1" s="142">
      <c r="D385" s="45" t="n"/>
    </row>
    <row r="386" ht="14.25" customHeight="1" s="142">
      <c r="D386" s="45" t="n"/>
    </row>
    <row r="387" ht="14.25" customHeight="1" s="142">
      <c r="D387" s="45" t="n"/>
    </row>
    <row r="388" ht="14.25" customHeight="1" s="142">
      <c r="D388" s="45" t="n"/>
    </row>
    <row r="389" ht="14.25" customHeight="1" s="142">
      <c r="D389" s="45" t="n"/>
    </row>
    <row r="390" ht="14.25" customHeight="1" s="142">
      <c r="D390" s="45" t="n"/>
    </row>
    <row r="391" ht="14.25" customHeight="1" s="142">
      <c r="D391" s="45" t="n"/>
    </row>
    <row r="392" ht="14.25" customHeight="1" s="142">
      <c r="D392" s="45" t="n"/>
    </row>
    <row r="393" ht="14.25" customHeight="1" s="142">
      <c r="D393" s="45" t="n"/>
    </row>
    <row r="394" ht="14.25" customHeight="1" s="142">
      <c r="D394" s="45" t="n"/>
    </row>
    <row r="395" ht="14.25" customHeight="1" s="142">
      <c r="D395" s="45" t="n"/>
    </row>
    <row r="396" ht="14.25" customHeight="1" s="142">
      <c r="D396" s="45" t="n"/>
    </row>
    <row r="397" ht="14.25" customHeight="1" s="142">
      <c r="D397" s="45" t="n"/>
    </row>
    <row r="398" ht="14.25" customHeight="1" s="142">
      <c r="D398" s="45" t="n"/>
    </row>
    <row r="399" ht="14.25" customHeight="1" s="142">
      <c r="D399" s="45" t="n"/>
    </row>
    <row r="400" ht="14.25" customHeight="1" s="142">
      <c r="D400" s="45" t="n"/>
    </row>
    <row r="401" ht="14.25" customHeight="1" s="142">
      <c r="D401" s="45" t="n"/>
    </row>
    <row r="402" ht="14.25" customHeight="1" s="142">
      <c r="D402" s="45" t="n"/>
    </row>
    <row r="403" ht="14.25" customHeight="1" s="142">
      <c r="D403" s="45" t="n"/>
    </row>
    <row r="404" ht="14.25" customHeight="1" s="142">
      <c r="D404" s="45" t="n"/>
    </row>
    <row r="405" ht="14.25" customHeight="1" s="142">
      <c r="D405" s="45" t="n"/>
    </row>
    <row r="406" ht="14.25" customHeight="1" s="142">
      <c r="D406" s="45" t="n"/>
    </row>
    <row r="407" ht="14.25" customHeight="1" s="142">
      <c r="D407" s="45" t="n"/>
    </row>
    <row r="408" ht="14.25" customHeight="1" s="142">
      <c r="D408" s="45" t="n"/>
    </row>
    <row r="409" ht="14.25" customHeight="1" s="142">
      <c r="D409" s="45" t="n"/>
    </row>
    <row r="410" ht="14.25" customHeight="1" s="142">
      <c r="D410" s="45" t="n"/>
    </row>
    <row r="411" ht="14.25" customHeight="1" s="142">
      <c r="D411" s="45" t="n"/>
    </row>
    <row r="412" ht="14.25" customHeight="1" s="142">
      <c r="D412" s="45" t="n"/>
    </row>
    <row r="413" ht="14.25" customHeight="1" s="142">
      <c r="D413" s="45" t="n"/>
    </row>
    <row r="414" ht="14.25" customHeight="1" s="142">
      <c r="D414" s="45" t="n"/>
    </row>
    <row r="415" ht="14.25" customHeight="1" s="142">
      <c r="D415" s="45" t="n"/>
    </row>
    <row r="416" ht="14.25" customHeight="1" s="142">
      <c r="D416" s="45" t="n"/>
    </row>
    <row r="417" ht="14.25" customHeight="1" s="142">
      <c r="D417" s="45" t="n"/>
    </row>
    <row r="418" ht="14.25" customHeight="1" s="142">
      <c r="D418" s="45" t="n"/>
    </row>
    <row r="419" ht="14.25" customHeight="1" s="142">
      <c r="D419" s="45" t="n"/>
    </row>
    <row r="420" ht="14.25" customHeight="1" s="142">
      <c r="D420" s="45" t="n"/>
    </row>
    <row r="421" ht="14.25" customHeight="1" s="142">
      <c r="D421" s="45" t="n"/>
    </row>
    <row r="422" ht="14.25" customHeight="1" s="142">
      <c r="D422" s="45" t="n"/>
    </row>
    <row r="423" ht="14.25" customHeight="1" s="142">
      <c r="D423" s="45" t="n"/>
    </row>
    <row r="424" ht="14.25" customHeight="1" s="142">
      <c r="D424" s="45" t="n"/>
    </row>
    <row r="425" ht="14.25" customHeight="1" s="142">
      <c r="D425" s="45" t="n"/>
    </row>
    <row r="426" ht="14.25" customHeight="1" s="142">
      <c r="D426" s="45" t="n"/>
    </row>
    <row r="427" ht="14.25" customHeight="1" s="142">
      <c r="D427" s="45" t="n"/>
    </row>
    <row r="428" ht="14.25" customHeight="1" s="142">
      <c r="D428" s="45" t="n"/>
    </row>
    <row r="429" ht="14.25" customHeight="1" s="142">
      <c r="D429" s="45" t="n"/>
    </row>
    <row r="430" ht="14.25" customHeight="1" s="142">
      <c r="D430" s="45" t="n"/>
    </row>
    <row r="431" ht="14.25" customHeight="1" s="142">
      <c r="D431" s="45" t="n"/>
    </row>
    <row r="432" ht="14.25" customHeight="1" s="142">
      <c r="D432" s="45" t="n"/>
    </row>
    <row r="433" ht="14.25" customHeight="1" s="142">
      <c r="D433" s="45" t="n"/>
    </row>
    <row r="434" ht="14.25" customHeight="1" s="142">
      <c r="D434" s="45" t="n"/>
    </row>
    <row r="435" ht="14.25" customHeight="1" s="142">
      <c r="D435" s="45" t="n"/>
    </row>
    <row r="436" ht="14.25" customHeight="1" s="142">
      <c r="D436" s="45" t="n"/>
    </row>
    <row r="437" ht="14.25" customHeight="1" s="142">
      <c r="D437" s="45" t="n"/>
    </row>
    <row r="438" ht="14.25" customHeight="1" s="142">
      <c r="D438" s="45" t="n"/>
    </row>
    <row r="439" ht="14.25" customHeight="1" s="142">
      <c r="D439" s="45" t="n"/>
    </row>
    <row r="440" ht="14.25" customHeight="1" s="142">
      <c r="D440" s="45" t="n"/>
    </row>
    <row r="441" ht="14.25" customHeight="1" s="142">
      <c r="D441" s="45" t="n"/>
    </row>
    <row r="442" ht="14.25" customHeight="1" s="142">
      <c r="D442" s="45" t="n"/>
    </row>
    <row r="443" ht="14.25" customHeight="1" s="142">
      <c r="D443" s="45" t="n"/>
    </row>
    <row r="444" ht="14.25" customHeight="1" s="142">
      <c r="D444" s="45" t="n"/>
    </row>
    <row r="445" ht="14.25" customHeight="1" s="142">
      <c r="D445" s="45" t="n"/>
    </row>
    <row r="446" ht="14.25" customHeight="1" s="142">
      <c r="D446" s="45" t="n"/>
    </row>
    <row r="447" ht="14.25" customHeight="1" s="142">
      <c r="D447" s="45" t="n"/>
    </row>
    <row r="448" ht="14.25" customHeight="1" s="142">
      <c r="D448" s="45" t="n"/>
    </row>
    <row r="449" ht="14.25" customHeight="1" s="142">
      <c r="D449" s="45" t="n"/>
    </row>
    <row r="450" ht="14.25" customHeight="1" s="142">
      <c r="D450" s="45" t="n"/>
    </row>
    <row r="451" ht="14.25" customHeight="1" s="142">
      <c r="D451" s="45" t="n"/>
    </row>
    <row r="452" ht="14.25" customHeight="1" s="142">
      <c r="D452" s="45" t="n"/>
    </row>
    <row r="453" ht="14.25" customHeight="1" s="142">
      <c r="D453" s="45" t="n"/>
    </row>
    <row r="454" ht="14.25" customHeight="1" s="142">
      <c r="D454" s="45" t="n"/>
    </row>
    <row r="455" ht="14.25" customHeight="1" s="142">
      <c r="D455" s="45" t="n"/>
    </row>
    <row r="456" ht="14.25" customHeight="1" s="142">
      <c r="D456" s="45" t="n"/>
    </row>
    <row r="457" ht="14.25" customHeight="1" s="142">
      <c r="D457" s="45" t="n"/>
    </row>
    <row r="458" ht="14.25" customHeight="1" s="142">
      <c r="D458" s="45" t="n"/>
    </row>
    <row r="459" ht="14.25" customHeight="1" s="142">
      <c r="D459" s="45" t="n"/>
    </row>
    <row r="460" ht="14.25" customHeight="1" s="142">
      <c r="D460" s="45" t="n"/>
    </row>
    <row r="461" ht="14.25" customHeight="1" s="142">
      <c r="D461" s="45" t="n"/>
    </row>
    <row r="462" ht="14.25" customHeight="1" s="142">
      <c r="D462" s="45" t="n"/>
    </row>
    <row r="463" ht="14.25" customHeight="1" s="142">
      <c r="D463" s="45" t="n"/>
    </row>
    <row r="464" ht="14.25" customHeight="1" s="142">
      <c r="D464" s="45" t="n"/>
    </row>
    <row r="465" ht="14.25" customHeight="1" s="142">
      <c r="D465" s="45" t="n"/>
    </row>
    <row r="466" ht="14.25" customHeight="1" s="142">
      <c r="D466" s="45" t="n"/>
    </row>
    <row r="467" ht="14.25" customHeight="1" s="142">
      <c r="D467" s="45" t="n"/>
    </row>
    <row r="468" ht="14.25" customHeight="1" s="142">
      <c r="D468" s="45" t="n"/>
    </row>
    <row r="469" ht="14.25" customHeight="1" s="142">
      <c r="D469" s="45" t="n"/>
    </row>
    <row r="470" ht="14.25" customHeight="1" s="142">
      <c r="D470" s="45" t="n"/>
    </row>
    <row r="471" ht="14.25" customHeight="1" s="142">
      <c r="D471" s="45" t="n"/>
    </row>
    <row r="472" ht="14.25" customHeight="1" s="142">
      <c r="D472" s="45" t="n"/>
    </row>
    <row r="473" ht="14.25" customHeight="1" s="142">
      <c r="D473" s="45" t="n"/>
    </row>
    <row r="474" ht="14.25" customHeight="1" s="142">
      <c r="D474" s="45" t="n"/>
    </row>
    <row r="475" ht="14.25" customHeight="1" s="142">
      <c r="D475" s="45" t="n"/>
    </row>
    <row r="476" ht="14.25" customHeight="1" s="142">
      <c r="D476" s="45" t="n"/>
    </row>
    <row r="477" ht="14.25" customHeight="1" s="142">
      <c r="D477" s="45" t="n"/>
    </row>
    <row r="478" ht="14.25" customHeight="1" s="142">
      <c r="D478" s="45" t="n"/>
    </row>
    <row r="479" ht="14.25" customHeight="1" s="142">
      <c r="D479" s="45" t="n"/>
    </row>
    <row r="480" ht="14.25" customHeight="1" s="142">
      <c r="D480" s="45" t="n"/>
    </row>
    <row r="481" ht="14.25" customHeight="1" s="142">
      <c r="D481" s="45" t="n"/>
    </row>
    <row r="482" ht="14.25" customHeight="1" s="142">
      <c r="D482" s="45" t="n"/>
    </row>
    <row r="483" ht="14.25" customHeight="1" s="142">
      <c r="D483" s="45" t="n"/>
    </row>
    <row r="484" ht="14.25" customHeight="1" s="142">
      <c r="D484" s="45" t="n"/>
    </row>
    <row r="485" ht="14.25" customHeight="1" s="142">
      <c r="D485" s="45" t="n"/>
    </row>
    <row r="486" ht="14.25" customHeight="1" s="142">
      <c r="D486" s="45" t="n"/>
    </row>
    <row r="487" ht="14.25" customHeight="1" s="142">
      <c r="D487" s="45" t="n"/>
    </row>
    <row r="488" ht="14.25" customHeight="1" s="142">
      <c r="D488" s="45" t="n"/>
    </row>
    <row r="489" ht="14.25" customHeight="1" s="142">
      <c r="D489" s="45" t="n"/>
    </row>
    <row r="490" ht="14.25" customHeight="1" s="142">
      <c r="D490" s="45" t="n"/>
    </row>
    <row r="491" ht="14.25" customHeight="1" s="142">
      <c r="D491" s="45" t="n"/>
    </row>
    <row r="492" ht="14.25" customHeight="1" s="142">
      <c r="D492" s="45" t="n"/>
    </row>
    <row r="493" ht="14.25" customHeight="1" s="142">
      <c r="D493" s="45" t="n"/>
    </row>
    <row r="494" ht="14.25" customHeight="1" s="142">
      <c r="D494" s="45" t="n"/>
    </row>
    <row r="495" ht="14.25" customHeight="1" s="142">
      <c r="D495" s="45" t="n"/>
    </row>
    <row r="496" ht="14.25" customHeight="1" s="142">
      <c r="D496" s="45" t="n"/>
    </row>
    <row r="497" ht="14.25" customHeight="1" s="142">
      <c r="D497" s="45" t="n"/>
    </row>
    <row r="498" ht="14.25" customHeight="1" s="142">
      <c r="D498" s="45" t="n"/>
    </row>
    <row r="499" ht="14.25" customHeight="1" s="142">
      <c r="D499" s="45" t="n"/>
    </row>
    <row r="500" ht="14.25" customHeight="1" s="142">
      <c r="D500" s="45" t="n"/>
    </row>
    <row r="501" ht="14.25" customHeight="1" s="142">
      <c r="D501" s="45" t="n"/>
    </row>
    <row r="502" ht="14.25" customHeight="1" s="142">
      <c r="D502" s="45" t="n"/>
    </row>
    <row r="503" ht="14.25" customHeight="1" s="142">
      <c r="D503" s="45" t="n"/>
    </row>
    <row r="504" ht="14.25" customHeight="1" s="142">
      <c r="D504" s="45" t="n"/>
    </row>
    <row r="505" ht="14.25" customHeight="1" s="142">
      <c r="D505" s="45" t="n"/>
    </row>
    <row r="506" ht="14.25" customHeight="1" s="142">
      <c r="D506" s="45" t="n"/>
    </row>
    <row r="507" ht="14.25" customHeight="1" s="142">
      <c r="D507" s="45" t="n"/>
    </row>
    <row r="508" ht="14.25" customHeight="1" s="142">
      <c r="D508" s="45" t="n"/>
    </row>
    <row r="509" ht="14.25" customHeight="1" s="142">
      <c r="D509" s="45" t="n"/>
    </row>
    <row r="510" ht="14.25" customHeight="1" s="142">
      <c r="D510" s="45" t="n"/>
    </row>
    <row r="511" ht="14.25" customHeight="1" s="142">
      <c r="D511" s="45" t="n"/>
    </row>
    <row r="512" ht="14.25" customHeight="1" s="142">
      <c r="D512" s="45" t="n"/>
    </row>
    <row r="513" ht="14.25" customHeight="1" s="142">
      <c r="D513" s="45" t="n"/>
    </row>
    <row r="514" ht="14.25" customHeight="1" s="142">
      <c r="D514" s="45" t="n"/>
    </row>
    <row r="515" ht="14.25" customHeight="1" s="142">
      <c r="D515" s="45" t="n"/>
    </row>
    <row r="516" ht="14.25" customHeight="1" s="142">
      <c r="D516" s="45" t="n"/>
    </row>
    <row r="517" ht="14.25" customHeight="1" s="142">
      <c r="D517" s="45" t="n"/>
    </row>
    <row r="518" ht="14.25" customHeight="1" s="142">
      <c r="D518" s="45" t="n"/>
    </row>
    <row r="519" ht="14.25" customHeight="1" s="142">
      <c r="D519" s="45" t="n"/>
    </row>
    <row r="520" ht="14.25" customHeight="1" s="142">
      <c r="D520" s="45" t="n"/>
    </row>
    <row r="521" ht="14.25" customHeight="1" s="142">
      <c r="D521" s="45" t="n"/>
    </row>
    <row r="522" ht="14.25" customHeight="1" s="142">
      <c r="D522" s="45" t="n"/>
    </row>
    <row r="523" ht="14.25" customHeight="1" s="142">
      <c r="D523" s="45" t="n"/>
    </row>
    <row r="524" ht="14.25" customHeight="1" s="142">
      <c r="D524" s="45" t="n"/>
    </row>
    <row r="525" ht="14.25" customHeight="1" s="142">
      <c r="D525" s="45" t="n"/>
    </row>
    <row r="526" ht="14.25" customHeight="1" s="142">
      <c r="D526" s="45" t="n"/>
    </row>
    <row r="527" ht="14.25" customHeight="1" s="142">
      <c r="D527" s="45" t="n"/>
    </row>
    <row r="528" ht="14.25" customHeight="1" s="142">
      <c r="D528" s="45" t="n"/>
    </row>
    <row r="529" ht="14.25" customHeight="1" s="142">
      <c r="D529" s="45" t="n"/>
    </row>
    <row r="530" ht="14.25" customHeight="1" s="142">
      <c r="D530" s="45" t="n"/>
    </row>
    <row r="531" ht="14.25" customHeight="1" s="142">
      <c r="D531" s="45" t="n"/>
    </row>
    <row r="532" ht="14.25" customHeight="1" s="142">
      <c r="D532" s="45" t="n"/>
    </row>
    <row r="533" ht="14.25" customHeight="1" s="142">
      <c r="D533" s="45" t="n"/>
    </row>
    <row r="534" ht="14.25" customHeight="1" s="142">
      <c r="D534" s="45" t="n"/>
    </row>
    <row r="535" ht="14.25" customHeight="1" s="142">
      <c r="D535" s="45" t="n"/>
    </row>
    <row r="536" ht="14.25" customHeight="1" s="142">
      <c r="D536" s="45" t="n"/>
    </row>
    <row r="537" ht="14.25" customHeight="1" s="142">
      <c r="D537" s="45" t="n"/>
    </row>
    <row r="538" ht="14.25" customHeight="1" s="142">
      <c r="D538" s="45" t="n"/>
    </row>
    <row r="539" ht="14.25" customHeight="1" s="142">
      <c r="D539" s="45" t="n"/>
    </row>
    <row r="540" ht="14.25" customHeight="1" s="142">
      <c r="D540" s="45" t="n"/>
    </row>
    <row r="541" ht="14.25" customHeight="1" s="142">
      <c r="D541" s="45" t="n"/>
    </row>
    <row r="542" ht="14.25" customHeight="1" s="142">
      <c r="D542" s="45" t="n"/>
    </row>
    <row r="543" ht="14.25" customHeight="1" s="142">
      <c r="D543" s="45" t="n"/>
    </row>
    <row r="544" ht="14.25" customHeight="1" s="142">
      <c r="D544" s="45" t="n"/>
    </row>
    <row r="545" ht="14.25" customHeight="1" s="142">
      <c r="D545" s="45" t="n"/>
    </row>
    <row r="546" ht="14.25" customHeight="1" s="142">
      <c r="D546" s="45" t="n"/>
    </row>
    <row r="547" ht="14.25" customHeight="1" s="142">
      <c r="D547" s="45" t="n"/>
    </row>
    <row r="548" ht="14.25" customHeight="1" s="142">
      <c r="D548" s="45" t="n"/>
    </row>
    <row r="549" ht="14.25" customHeight="1" s="142">
      <c r="D549" s="45" t="n"/>
    </row>
    <row r="550" ht="14.25" customHeight="1" s="142">
      <c r="D550" s="45" t="n"/>
    </row>
    <row r="551" ht="14.25" customHeight="1" s="142">
      <c r="D551" s="45" t="n"/>
    </row>
    <row r="552" ht="14.25" customHeight="1" s="142">
      <c r="D552" s="45" t="n"/>
    </row>
    <row r="553" ht="14.25" customHeight="1" s="142">
      <c r="D553" s="45" t="n"/>
    </row>
    <row r="554" ht="14.25" customHeight="1" s="142">
      <c r="D554" s="45" t="n"/>
    </row>
    <row r="555" ht="14.25" customHeight="1" s="142">
      <c r="D555" s="45" t="n"/>
    </row>
    <row r="556" ht="14.25" customHeight="1" s="142">
      <c r="D556" s="45" t="n"/>
    </row>
    <row r="557" ht="14.25" customHeight="1" s="142">
      <c r="D557" s="45" t="n"/>
    </row>
    <row r="558" ht="14.25" customHeight="1" s="142">
      <c r="D558" s="45" t="n"/>
    </row>
    <row r="559" ht="14.25" customHeight="1" s="142">
      <c r="D559" s="45" t="n"/>
    </row>
    <row r="560" ht="14.25" customHeight="1" s="142">
      <c r="D560" s="45" t="n"/>
    </row>
    <row r="561" ht="14.25" customHeight="1" s="142">
      <c r="D561" s="45" t="n"/>
    </row>
    <row r="562" ht="14.25" customHeight="1" s="142">
      <c r="D562" s="45" t="n"/>
    </row>
    <row r="563" ht="14.25" customHeight="1" s="142">
      <c r="D563" s="45" t="n"/>
    </row>
    <row r="564" ht="14.25" customHeight="1" s="142">
      <c r="D564" s="45" t="n"/>
    </row>
    <row r="565" ht="14.25" customHeight="1" s="142">
      <c r="D565" s="45" t="n"/>
    </row>
    <row r="566" ht="14.25" customHeight="1" s="142">
      <c r="D566" s="45" t="n"/>
    </row>
    <row r="567" ht="14.25" customHeight="1" s="142">
      <c r="D567" s="45" t="n"/>
    </row>
    <row r="568" ht="14.25" customHeight="1" s="142">
      <c r="D568" s="45" t="n"/>
    </row>
    <row r="569" ht="14.25" customHeight="1" s="142">
      <c r="D569" s="45" t="n"/>
    </row>
    <row r="570" ht="14.25" customHeight="1" s="142">
      <c r="D570" s="45" t="n"/>
    </row>
    <row r="571" ht="14.25" customHeight="1" s="142">
      <c r="D571" s="45" t="n"/>
    </row>
    <row r="572" ht="14.25" customHeight="1" s="142">
      <c r="D572" s="45" t="n"/>
    </row>
    <row r="573" ht="14.25" customHeight="1" s="142">
      <c r="D573" s="45" t="n"/>
    </row>
    <row r="574" ht="14.25" customHeight="1" s="142">
      <c r="D574" s="45" t="n"/>
    </row>
    <row r="575" ht="14.25" customHeight="1" s="142">
      <c r="D575" s="45" t="n"/>
    </row>
    <row r="576" ht="14.25" customHeight="1" s="142">
      <c r="D576" s="45" t="n"/>
    </row>
    <row r="577" ht="14.25" customHeight="1" s="142">
      <c r="D577" s="45" t="n"/>
    </row>
    <row r="578" ht="14.25" customHeight="1" s="142">
      <c r="D578" s="45" t="n"/>
    </row>
    <row r="579" ht="14.25" customHeight="1" s="142">
      <c r="D579" s="45" t="n"/>
    </row>
    <row r="580" ht="14.25" customHeight="1" s="142">
      <c r="D580" s="45" t="n"/>
    </row>
    <row r="581" ht="14.25" customHeight="1" s="142">
      <c r="D581" s="45" t="n"/>
    </row>
    <row r="582" ht="14.25" customHeight="1" s="142">
      <c r="D582" s="45" t="n"/>
    </row>
    <row r="583" ht="14.25" customHeight="1" s="142">
      <c r="D583" s="45" t="n"/>
    </row>
    <row r="584" ht="14.25" customHeight="1" s="142">
      <c r="D584" s="45" t="n"/>
    </row>
    <row r="585" ht="14.25" customHeight="1" s="142">
      <c r="D585" s="45" t="n"/>
    </row>
    <row r="586" ht="14.25" customHeight="1" s="142">
      <c r="D586" s="45" t="n"/>
    </row>
    <row r="587" ht="14.25" customHeight="1" s="142">
      <c r="D587" s="45" t="n"/>
    </row>
    <row r="588" ht="14.25" customHeight="1" s="142">
      <c r="D588" s="45" t="n"/>
    </row>
    <row r="589" ht="14.25" customHeight="1" s="142">
      <c r="D589" s="45" t="n"/>
    </row>
    <row r="590" ht="14.25" customHeight="1" s="142">
      <c r="D590" s="45" t="n"/>
    </row>
    <row r="591" ht="14.25" customHeight="1" s="142">
      <c r="D591" s="45" t="n"/>
    </row>
    <row r="592" ht="14.25" customHeight="1" s="142">
      <c r="D592" s="45" t="n"/>
    </row>
    <row r="593" ht="14.25" customHeight="1" s="142">
      <c r="D593" s="45" t="n"/>
    </row>
    <row r="594" ht="14.25" customHeight="1" s="142">
      <c r="D594" s="45" t="n"/>
    </row>
    <row r="595" ht="14.25" customHeight="1" s="142">
      <c r="D595" s="45" t="n"/>
    </row>
    <row r="596" ht="14.25" customHeight="1" s="142">
      <c r="D596" s="45" t="n"/>
    </row>
    <row r="597" ht="14.25" customHeight="1" s="142">
      <c r="D597" s="45" t="n"/>
    </row>
    <row r="598" ht="14.25" customHeight="1" s="142">
      <c r="D598" s="45" t="n"/>
    </row>
    <row r="599" ht="14.25" customHeight="1" s="142">
      <c r="D599" s="45" t="n"/>
    </row>
    <row r="600" ht="14.25" customHeight="1" s="142">
      <c r="D600" s="45" t="n"/>
    </row>
    <row r="601" ht="14.25" customHeight="1" s="142">
      <c r="D601" s="45" t="n"/>
    </row>
    <row r="602" ht="14.25" customHeight="1" s="142">
      <c r="D602" s="45" t="n"/>
    </row>
    <row r="603" ht="14.25" customHeight="1" s="142">
      <c r="D603" s="45" t="n"/>
    </row>
    <row r="604" ht="14.25" customHeight="1" s="142">
      <c r="D604" s="45" t="n"/>
    </row>
    <row r="605" ht="14.25" customHeight="1" s="142">
      <c r="D605" s="45" t="n"/>
    </row>
    <row r="606" ht="14.25" customHeight="1" s="142">
      <c r="D606" s="45" t="n"/>
    </row>
    <row r="607" ht="14.25" customHeight="1" s="142">
      <c r="D607" s="45" t="n"/>
    </row>
    <row r="608" ht="14.25" customHeight="1" s="142">
      <c r="D608" s="45" t="n"/>
    </row>
    <row r="609" ht="14.25" customHeight="1" s="142">
      <c r="D609" s="45" t="n"/>
    </row>
    <row r="610" ht="14.25" customHeight="1" s="142">
      <c r="D610" s="45" t="n"/>
    </row>
    <row r="611" ht="14.25" customHeight="1" s="142">
      <c r="D611" s="45" t="n"/>
    </row>
    <row r="612" ht="14.25" customHeight="1" s="142">
      <c r="D612" s="45" t="n"/>
    </row>
    <row r="613" ht="14.25" customHeight="1" s="142">
      <c r="D613" s="45" t="n"/>
    </row>
    <row r="614" ht="14.25" customHeight="1" s="142">
      <c r="D614" s="45" t="n"/>
    </row>
    <row r="615" ht="14.25" customHeight="1" s="142">
      <c r="D615" s="45" t="n"/>
    </row>
    <row r="616" ht="14.25" customHeight="1" s="142">
      <c r="D616" s="45" t="n"/>
    </row>
    <row r="617" ht="14.25" customHeight="1" s="142">
      <c r="D617" s="45" t="n"/>
    </row>
    <row r="618" ht="14.25" customHeight="1" s="142">
      <c r="D618" s="45" t="n"/>
    </row>
    <row r="619" ht="14.25" customHeight="1" s="142">
      <c r="D619" s="45" t="n"/>
    </row>
    <row r="620" ht="14.25" customHeight="1" s="142">
      <c r="D620" s="45" t="n"/>
    </row>
    <row r="621" ht="14.25" customHeight="1" s="142">
      <c r="D621" s="45" t="n"/>
    </row>
    <row r="622" ht="14.25" customHeight="1" s="142">
      <c r="D622" s="45" t="n"/>
    </row>
    <row r="623" ht="14.25" customHeight="1" s="142">
      <c r="D623" s="45" t="n"/>
    </row>
    <row r="624" ht="14.25" customHeight="1" s="142">
      <c r="D624" s="45" t="n"/>
    </row>
    <row r="625" ht="14.25" customHeight="1" s="142">
      <c r="D625" s="45" t="n"/>
    </row>
    <row r="626" ht="14.25" customHeight="1" s="142">
      <c r="D626" s="45" t="n"/>
    </row>
    <row r="627" ht="14.25" customHeight="1" s="142">
      <c r="D627" s="45" t="n"/>
    </row>
    <row r="628" ht="14.25" customHeight="1" s="142">
      <c r="D628" s="45" t="n"/>
    </row>
    <row r="629" ht="14.25" customHeight="1" s="142">
      <c r="D629" s="45" t="n"/>
    </row>
    <row r="630" ht="14.25" customHeight="1" s="142">
      <c r="D630" s="45" t="n"/>
    </row>
    <row r="631" ht="14.25" customHeight="1" s="142">
      <c r="D631" s="45" t="n"/>
    </row>
    <row r="632" ht="14.25" customHeight="1" s="142">
      <c r="D632" s="45" t="n"/>
    </row>
    <row r="633" ht="14.25" customHeight="1" s="142">
      <c r="D633" s="45" t="n"/>
    </row>
    <row r="634" ht="14.25" customHeight="1" s="142">
      <c r="D634" s="45" t="n"/>
    </row>
    <row r="635" ht="14.25" customHeight="1" s="142">
      <c r="D635" s="45" t="n"/>
    </row>
    <row r="636" ht="14.25" customHeight="1" s="142">
      <c r="D636" s="45" t="n"/>
    </row>
    <row r="637" ht="14.25" customHeight="1" s="142">
      <c r="D637" s="45" t="n"/>
    </row>
    <row r="638" ht="14.25" customHeight="1" s="142">
      <c r="D638" s="45" t="n"/>
    </row>
    <row r="639" ht="14.25" customHeight="1" s="142">
      <c r="D639" s="45" t="n"/>
    </row>
    <row r="640" ht="14.25" customHeight="1" s="142">
      <c r="D640" s="45" t="n"/>
    </row>
    <row r="641" ht="14.25" customHeight="1" s="142">
      <c r="D641" s="45" t="n"/>
    </row>
    <row r="642" ht="14.25" customHeight="1" s="142">
      <c r="D642" s="45" t="n"/>
    </row>
    <row r="643" ht="14.25" customHeight="1" s="142">
      <c r="D643" s="45" t="n"/>
    </row>
    <row r="644" ht="14.25" customHeight="1" s="142">
      <c r="D644" s="45" t="n"/>
    </row>
    <row r="645" ht="14.25" customHeight="1" s="142">
      <c r="D645" s="45" t="n"/>
    </row>
    <row r="646" ht="14.25" customHeight="1" s="142">
      <c r="D646" s="45" t="n"/>
    </row>
    <row r="647" ht="14.25" customHeight="1" s="142">
      <c r="D647" s="45" t="n"/>
    </row>
    <row r="648" ht="14.25" customHeight="1" s="142">
      <c r="D648" s="45" t="n"/>
    </row>
    <row r="649" ht="14.25" customHeight="1" s="142">
      <c r="D649" s="45" t="n"/>
    </row>
    <row r="650" ht="14.25" customHeight="1" s="142">
      <c r="D650" s="45" t="n"/>
    </row>
    <row r="651" ht="14.25" customHeight="1" s="142">
      <c r="D651" s="45" t="n"/>
    </row>
    <row r="652" ht="14.25" customHeight="1" s="142">
      <c r="D652" s="45" t="n"/>
    </row>
    <row r="653" ht="14.25" customHeight="1" s="142">
      <c r="D653" s="45" t="n"/>
    </row>
    <row r="654" ht="14.25" customHeight="1" s="142">
      <c r="D654" s="45" t="n"/>
    </row>
    <row r="655" ht="14.25" customHeight="1" s="142">
      <c r="D655" s="45" t="n"/>
    </row>
    <row r="656" ht="14.25" customHeight="1" s="142">
      <c r="D656" s="45" t="n"/>
    </row>
    <row r="657" ht="14.25" customHeight="1" s="142">
      <c r="D657" s="45" t="n"/>
    </row>
    <row r="658" ht="14.25" customHeight="1" s="142">
      <c r="D658" s="45" t="n"/>
    </row>
    <row r="659" ht="14.25" customHeight="1" s="142">
      <c r="D659" s="45" t="n"/>
    </row>
    <row r="660" ht="14.25" customHeight="1" s="142">
      <c r="D660" s="45" t="n"/>
    </row>
    <row r="661" ht="14.25" customHeight="1" s="142">
      <c r="D661" s="45" t="n"/>
    </row>
    <row r="662" ht="14.25" customHeight="1" s="142">
      <c r="D662" s="45" t="n"/>
    </row>
    <row r="663" ht="14.25" customHeight="1" s="142">
      <c r="D663" s="45" t="n"/>
    </row>
    <row r="664" ht="14.25" customHeight="1" s="142">
      <c r="D664" s="45" t="n"/>
    </row>
    <row r="665" ht="14.25" customHeight="1" s="142">
      <c r="D665" s="45" t="n"/>
    </row>
    <row r="666" ht="14.25" customHeight="1" s="142">
      <c r="D666" s="45" t="n"/>
    </row>
    <row r="667" ht="14.25" customHeight="1" s="142">
      <c r="D667" s="45" t="n"/>
    </row>
    <row r="668" ht="14.25" customHeight="1" s="142">
      <c r="D668" s="45" t="n"/>
    </row>
    <row r="669" ht="14.25" customHeight="1" s="142">
      <c r="D669" s="45" t="n"/>
    </row>
    <row r="670" ht="14.25" customHeight="1" s="142">
      <c r="D670" s="45" t="n"/>
    </row>
    <row r="671" ht="14.25" customHeight="1" s="142">
      <c r="D671" s="45" t="n"/>
    </row>
    <row r="672" ht="14.25" customHeight="1" s="142">
      <c r="D672" s="45" t="n"/>
    </row>
    <row r="673" ht="14.25" customHeight="1" s="142">
      <c r="D673" s="45" t="n"/>
    </row>
    <row r="674" ht="14.25" customHeight="1" s="142">
      <c r="D674" s="45" t="n"/>
    </row>
    <row r="675" ht="14.25" customHeight="1" s="142">
      <c r="D675" s="45" t="n"/>
    </row>
    <row r="676" ht="14.25" customHeight="1" s="142">
      <c r="D676" s="45" t="n"/>
    </row>
    <row r="677" ht="14.25" customHeight="1" s="142">
      <c r="D677" s="45" t="n"/>
    </row>
    <row r="678" ht="14.25" customHeight="1" s="142">
      <c r="D678" s="45" t="n"/>
    </row>
    <row r="679" ht="14.25" customHeight="1" s="142">
      <c r="D679" s="45" t="n"/>
    </row>
    <row r="680" ht="14.25" customHeight="1" s="142">
      <c r="D680" s="45" t="n"/>
    </row>
    <row r="681" ht="14.25" customHeight="1" s="142">
      <c r="D681" s="45" t="n"/>
    </row>
    <row r="682" ht="14.25" customHeight="1" s="142">
      <c r="D682" s="45" t="n"/>
    </row>
    <row r="683" ht="14.25" customHeight="1" s="142">
      <c r="D683" s="45" t="n"/>
    </row>
    <row r="684" ht="14.25" customHeight="1" s="142">
      <c r="D684" s="45" t="n"/>
    </row>
    <row r="685" ht="14.25" customHeight="1" s="142">
      <c r="D685" s="45" t="n"/>
    </row>
    <row r="686" ht="14.25" customHeight="1" s="142">
      <c r="D686" s="45" t="n"/>
    </row>
    <row r="687" ht="14.25" customHeight="1" s="142">
      <c r="D687" s="45" t="n"/>
    </row>
    <row r="688" ht="14.25" customHeight="1" s="142">
      <c r="D688" s="45" t="n"/>
    </row>
    <row r="689" ht="14.25" customHeight="1" s="142">
      <c r="D689" s="45" t="n"/>
    </row>
    <row r="690" ht="14.25" customHeight="1" s="142">
      <c r="D690" s="45" t="n"/>
    </row>
    <row r="691" ht="14.25" customHeight="1" s="142">
      <c r="D691" s="45" t="n"/>
    </row>
    <row r="692" ht="14.25" customHeight="1" s="142">
      <c r="D692" s="45" t="n"/>
    </row>
    <row r="693" ht="14.25" customHeight="1" s="142">
      <c r="D693" s="45" t="n"/>
    </row>
    <row r="694" ht="14.25" customHeight="1" s="142">
      <c r="D694" s="45" t="n"/>
    </row>
    <row r="695" ht="14.25" customHeight="1" s="142">
      <c r="D695" s="45" t="n"/>
    </row>
    <row r="696" ht="14.25" customHeight="1" s="142">
      <c r="D696" s="45" t="n"/>
    </row>
    <row r="697" ht="14.25" customHeight="1" s="142">
      <c r="D697" s="45" t="n"/>
    </row>
    <row r="698" ht="14.25" customHeight="1" s="142">
      <c r="D698" s="45" t="n"/>
    </row>
    <row r="699" ht="14.25" customHeight="1" s="142">
      <c r="D699" s="45" t="n"/>
    </row>
    <row r="700" ht="14.25" customHeight="1" s="142">
      <c r="D700" s="45" t="n"/>
    </row>
    <row r="701" ht="14.25" customHeight="1" s="142">
      <c r="D701" s="45" t="n"/>
    </row>
    <row r="702" ht="14.25" customHeight="1" s="142">
      <c r="D702" s="45" t="n"/>
    </row>
    <row r="703" ht="14.25" customHeight="1" s="142">
      <c r="D703" s="45" t="n"/>
    </row>
    <row r="704" ht="14.25" customHeight="1" s="142">
      <c r="D704" s="45" t="n"/>
    </row>
    <row r="705" ht="14.25" customHeight="1" s="142">
      <c r="D705" s="45" t="n"/>
    </row>
    <row r="706" ht="14.25" customHeight="1" s="142">
      <c r="D706" s="45" t="n"/>
    </row>
    <row r="707" ht="14.25" customHeight="1" s="142">
      <c r="D707" s="45" t="n"/>
    </row>
    <row r="708" ht="14.25" customHeight="1" s="142">
      <c r="D708" s="45" t="n"/>
    </row>
    <row r="709" ht="14.25" customHeight="1" s="142">
      <c r="D709" s="45" t="n"/>
    </row>
    <row r="710" ht="14.25" customHeight="1" s="142">
      <c r="D710" s="45" t="n"/>
    </row>
    <row r="711" ht="14.25" customHeight="1" s="142">
      <c r="D711" s="45" t="n"/>
    </row>
    <row r="712" ht="14.25" customHeight="1" s="142">
      <c r="D712" s="45" t="n"/>
    </row>
    <row r="713" ht="14.25" customHeight="1" s="142">
      <c r="D713" s="45" t="n"/>
    </row>
    <row r="714" ht="14.25" customHeight="1" s="142">
      <c r="D714" s="45" t="n"/>
    </row>
    <row r="715" ht="14.25" customHeight="1" s="142">
      <c r="D715" s="45" t="n"/>
    </row>
    <row r="716" ht="14.25" customHeight="1" s="142">
      <c r="D716" s="45" t="n"/>
    </row>
    <row r="717" ht="14.25" customHeight="1" s="142">
      <c r="D717" s="45" t="n"/>
    </row>
    <row r="718" ht="14.25" customHeight="1" s="142">
      <c r="D718" s="45" t="n"/>
    </row>
    <row r="719" ht="14.25" customHeight="1" s="142">
      <c r="D719" s="45" t="n"/>
    </row>
    <row r="720" ht="14.25" customHeight="1" s="142">
      <c r="D720" s="45" t="n"/>
    </row>
    <row r="721" ht="14.25" customHeight="1" s="142">
      <c r="D721" s="45" t="n"/>
    </row>
    <row r="722" ht="14.25" customHeight="1" s="142">
      <c r="D722" s="45" t="n"/>
    </row>
    <row r="723" ht="14.25" customHeight="1" s="142">
      <c r="D723" s="45" t="n"/>
    </row>
    <row r="724" ht="14.25" customHeight="1" s="142">
      <c r="D724" s="45" t="n"/>
    </row>
    <row r="725" ht="14.25" customHeight="1" s="142">
      <c r="D725" s="45" t="n"/>
    </row>
    <row r="726" ht="14.25" customHeight="1" s="142">
      <c r="D726" s="45" t="n"/>
    </row>
    <row r="727" ht="14.25" customHeight="1" s="142">
      <c r="D727" s="45" t="n"/>
    </row>
    <row r="728" ht="14.25" customHeight="1" s="142">
      <c r="D728" s="45" t="n"/>
    </row>
    <row r="729" ht="14.25" customHeight="1" s="142">
      <c r="D729" s="45" t="n"/>
    </row>
    <row r="730" ht="14.25" customHeight="1" s="142">
      <c r="D730" s="45" t="n"/>
    </row>
    <row r="731" ht="14.25" customHeight="1" s="142">
      <c r="D731" s="45" t="n"/>
    </row>
    <row r="732" ht="14.25" customHeight="1" s="142">
      <c r="D732" s="45" t="n"/>
    </row>
    <row r="733" ht="14.25" customHeight="1" s="142">
      <c r="D733" s="45" t="n"/>
    </row>
    <row r="734" ht="14.25" customHeight="1" s="142">
      <c r="D734" s="45" t="n"/>
    </row>
    <row r="735" ht="14.25" customHeight="1" s="142">
      <c r="D735" s="45" t="n"/>
    </row>
    <row r="736" ht="14.25" customHeight="1" s="142">
      <c r="D736" s="45" t="n"/>
    </row>
    <row r="737" ht="14.25" customHeight="1" s="142">
      <c r="D737" s="45" t="n"/>
    </row>
    <row r="738" ht="14.25" customHeight="1" s="142">
      <c r="D738" s="45" t="n"/>
    </row>
    <row r="739" ht="14.25" customHeight="1" s="142">
      <c r="D739" s="45" t="n"/>
    </row>
    <row r="740" ht="14.25" customHeight="1" s="142">
      <c r="D740" s="45" t="n"/>
    </row>
    <row r="741" ht="14.25" customHeight="1" s="142">
      <c r="D741" s="45" t="n"/>
    </row>
    <row r="742" ht="14.25" customHeight="1" s="142">
      <c r="D742" s="45" t="n"/>
    </row>
    <row r="743" ht="14.25" customHeight="1" s="142">
      <c r="D743" s="45" t="n"/>
    </row>
    <row r="744" ht="14.25" customHeight="1" s="142">
      <c r="D744" s="45" t="n"/>
    </row>
    <row r="745" ht="14.25" customHeight="1" s="142">
      <c r="D745" s="45" t="n"/>
    </row>
    <row r="746" ht="14.25" customHeight="1" s="142">
      <c r="D746" s="45" t="n"/>
    </row>
    <row r="747" ht="14.25" customHeight="1" s="142">
      <c r="D747" s="45" t="n"/>
    </row>
    <row r="748" ht="14.25" customHeight="1" s="142">
      <c r="D748" s="45" t="n"/>
    </row>
    <row r="749" ht="14.25" customHeight="1" s="142">
      <c r="D749" s="45" t="n"/>
    </row>
    <row r="750" ht="14.25" customHeight="1" s="142">
      <c r="D750" s="45" t="n"/>
    </row>
    <row r="751" ht="14.25" customHeight="1" s="142">
      <c r="D751" s="45" t="n"/>
    </row>
    <row r="752" ht="14.25" customHeight="1" s="142">
      <c r="D752" s="45" t="n"/>
    </row>
    <row r="753" ht="14.25" customHeight="1" s="142">
      <c r="D753" s="45" t="n"/>
    </row>
    <row r="754" ht="14.25" customHeight="1" s="142">
      <c r="D754" s="45" t="n"/>
    </row>
    <row r="755" ht="14.25" customHeight="1" s="142">
      <c r="D755" s="45" t="n"/>
    </row>
    <row r="756" ht="14.25" customHeight="1" s="142">
      <c r="D756" s="45" t="n"/>
    </row>
    <row r="757" ht="14.25" customHeight="1" s="142">
      <c r="D757" s="45" t="n"/>
    </row>
    <row r="758" ht="14.25" customHeight="1" s="142">
      <c r="D758" s="45" t="n"/>
    </row>
    <row r="759" ht="14.25" customHeight="1" s="142">
      <c r="D759" s="45" t="n"/>
    </row>
    <row r="760" ht="14.25" customHeight="1" s="142">
      <c r="D760" s="45" t="n"/>
    </row>
    <row r="761" ht="14.25" customHeight="1" s="142">
      <c r="D761" s="45" t="n"/>
    </row>
    <row r="762" ht="14.25" customHeight="1" s="142">
      <c r="D762" s="45" t="n"/>
    </row>
    <row r="763" ht="14.25" customHeight="1" s="142">
      <c r="D763" s="45" t="n"/>
    </row>
    <row r="764" ht="14.25" customHeight="1" s="142">
      <c r="D764" s="45" t="n"/>
    </row>
    <row r="765" ht="14.25" customHeight="1" s="142">
      <c r="D765" s="45" t="n"/>
    </row>
    <row r="766" ht="14.25" customHeight="1" s="142">
      <c r="D766" s="45" t="n"/>
    </row>
    <row r="767" ht="14.25" customHeight="1" s="142">
      <c r="D767" s="45" t="n"/>
    </row>
    <row r="768" ht="14.25" customHeight="1" s="142">
      <c r="D768" s="45" t="n"/>
    </row>
    <row r="769" ht="14.25" customHeight="1" s="142">
      <c r="D769" s="45" t="n"/>
    </row>
    <row r="770" ht="14.25" customHeight="1" s="142">
      <c r="D770" s="45" t="n"/>
    </row>
    <row r="771" ht="14.25" customHeight="1" s="142">
      <c r="D771" s="45" t="n"/>
    </row>
    <row r="772" ht="14.25" customHeight="1" s="142">
      <c r="D772" s="45" t="n"/>
    </row>
    <row r="773" ht="14.25" customHeight="1" s="142">
      <c r="D773" s="45" t="n"/>
    </row>
    <row r="774" ht="14.25" customHeight="1" s="142">
      <c r="D774" s="45" t="n"/>
    </row>
    <row r="775" ht="14.25" customHeight="1" s="142">
      <c r="D775" s="45" t="n"/>
    </row>
    <row r="776" ht="14.25" customHeight="1" s="142">
      <c r="D776" s="45" t="n"/>
    </row>
    <row r="777" ht="14.25" customHeight="1" s="142">
      <c r="D777" s="45" t="n"/>
    </row>
    <row r="778" ht="14.25" customHeight="1" s="142">
      <c r="D778" s="45" t="n"/>
    </row>
    <row r="779" ht="14.25" customHeight="1" s="142">
      <c r="D779" s="45" t="n"/>
    </row>
    <row r="780" ht="14.25" customHeight="1" s="142">
      <c r="D780" s="45" t="n"/>
    </row>
    <row r="781" ht="14.25" customHeight="1" s="142">
      <c r="D781" s="45" t="n"/>
    </row>
    <row r="782" ht="14.25" customHeight="1" s="142">
      <c r="D782" s="45" t="n"/>
    </row>
    <row r="783" ht="14.25" customHeight="1" s="142">
      <c r="D783" s="45" t="n"/>
    </row>
    <row r="784" ht="14.25" customHeight="1" s="142">
      <c r="D784" s="45" t="n"/>
    </row>
    <row r="785" ht="14.25" customHeight="1" s="142">
      <c r="D785" s="45" t="n"/>
    </row>
    <row r="786" ht="14.25" customHeight="1" s="142">
      <c r="D786" s="45" t="n"/>
    </row>
    <row r="787" ht="14.25" customHeight="1" s="142">
      <c r="D787" s="45" t="n"/>
    </row>
    <row r="788" ht="14.25" customHeight="1" s="142">
      <c r="D788" s="45" t="n"/>
    </row>
    <row r="789" ht="14.25" customHeight="1" s="142">
      <c r="D789" s="45" t="n"/>
    </row>
    <row r="790" ht="14.25" customHeight="1" s="142">
      <c r="D790" s="45" t="n"/>
    </row>
    <row r="791" ht="14.25" customHeight="1" s="142">
      <c r="D791" s="45" t="n"/>
    </row>
    <row r="792" ht="14.25" customHeight="1" s="142">
      <c r="D792" s="45" t="n"/>
    </row>
    <row r="793" ht="14.25" customHeight="1" s="142">
      <c r="D793" s="45" t="n"/>
    </row>
    <row r="794" ht="14.25" customHeight="1" s="142">
      <c r="D794" s="45" t="n"/>
    </row>
    <row r="795" ht="14.25" customHeight="1" s="142">
      <c r="D795" s="45" t="n"/>
    </row>
    <row r="796" ht="14.25" customHeight="1" s="142">
      <c r="D796" s="45" t="n"/>
    </row>
    <row r="797" ht="14.25" customHeight="1" s="142">
      <c r="D797" s="45" t="n"/>
    </row>
    <row r="798" ht="14.25" customHeight="1" s="142">
      <c r="D798" s="45" t="n"/>
    </row>
    <row r="799" ht="14.25" customHeight="1" s="142">
      <c r="D799" s="45" t="n"/>
    </row>
    <row r="800" ht="14.25" customHeight="1" s="142">
      <c r="D800" s="45" t="n"/>
    </row>
    <row r="801" ht="14.25" customHeight="1" s="142">
      <c r="D801" s="45" t="n"/>
    </row>
    <row r="802" ht="14.25" customHeight="1" s="142">
      <c r="D802" s="45" t="n"/>
    </row>
    <row r="803" ht="14.25" customHeight="1" s="142">
      <c r="D803" s="45" t="n"/>
    </row>
    <row r="804" ht="14.25" customHeight="1" s="142">
      <c r="D804" s="45" t="n"/>
    </row>
    <row r="805" ht="14.25" customHeight="1" s="142">
      <c r="D805" s="45" t="n"/>
    </row>
    <row r="806" ht="14.25" customHeight="1" s="142">
      <c r="D806" s="45" t="n"/>
    </row>
    <row r="807" ht="14.25" customHeight="1" s="142">
      <c r="D807" s="45" t="n"/>
    </row>
    <row r="808" ht="14.25" customHeight="1" s="142">
      <c r="D808" s="45" t="n"/>
    </row>
    <row r="809" ht="14.25" customHeight="1" s="142">
      <c r="D809" s="45" t="n"/>
    </row>
    <row r="810" ht="14.25" customHeight="1" s="142">
      <c r="D810" s="45" t="n"/>
    </row>
    <row r="811" ht="14.25" customHeight="1" s="142">
      <c r="D811" s="45" t="n"/>
    </row>
    <row r="812" ht="14.25" customHeight="1" s="142">
      <c r="D812" s="45" t="n"/>
    </row>
    <row r="813" ht="14.25" customHeight="1" s="142">
      <c r="D813" s="45" t="n"/>
    </row>
    <row r="814" ht="14.25" customHeight="1" s="142">
      <c r="D814" s="45" t="n"/>
    </row>
    <row r="815" ht="14.25" customHeight="1" s="142">
      <c r="D815" s="45" t="n"/>
    </row>
    <row r="816" ht="14.25" customHeight="1" s="142">
      <c r="D816" s="45" t="n"/>
    </row>
    <row r="817" ht="14.25" customHeight="1" s="142">
      <c r="D817" s="45" t="n"/>
    </row>
    <row r="818" ht="14.25" customHeight="1" s="142">
      <c r="D818" s="45" t="n"/>
    </row>
    <row r="819" ht="14.25" customHeight="1" s="142">
      <c r="D819" s="45" t="n"/>
    </row>
    <row r="820" ht="14.25" customHeight="1" s="142">
      <c r="D820" s="45" t="n"/>
    </row>
    <row r="821" ht="14.25" customHeight="1" s="142">
      <c r="D821" s="45" t="n"/>
    </row>
    <row r="822" ht="14.25" customHeight="1" s="142">
      <c r="D822" s="45" t="n"/>
    </row>
    <row r="823" ht="14.25" customHeight="1" s="142">
      <c r="D823" s="45" t="n"/>
    </row>
    <row r="824" ht="14.25" customHeight="1" s="142">
      <c r="D824" s="45" t="n"/>
    </row>
    <row r="825" ht="14.25" customHeight="1" s="142">
      <c r="D825" s="45" t="n"/>
    </row>
    <row r="826" ht="14.25" customHeight="1" s="142">
      <c r="D826" s="45" t="n"/>
    </row>
    <row r="827" ht="14.25" customHeight="1" s="142">
      <c r="D827" s="45" t="n"/>
    </row>
    <row r="828" ht="14.25" customHeight="1" s="142">
      <c r="D828" s="45" t="n"/>
    </row>
    <row r="829" ht="14.25" customHeight="1" s="142">
      <c r="D829" s="45" t="n"/>
    </row>
    <row r="830" ht="14.25" customHeight="1" s="142">
      <c r="D830" s="45" t="n"/>
    </row>
    <row r="831" ht="14.25" customHeight="1" s="142">
      <c r="D831" s="45" t="n"/>
    </row>
    <row r="832" ht="14.25" customHeight="1" s="142">
      <c r="D832" s="45" t="n"/>
    </row>
    <row r="833" ht="14.25" customHeight="1" s="142">
      <c r="D833" s="45" t="n"/>
    </row>
    <row r="834" ht="14.25" customHeight="1" s="142">
      <c r="D834" s="45" t="n"/>
    </row>
    <row r="835" ht="14.25" customHeight="1" s="142">
      <c r="D835" s="45" t="n"/>
    </row>
    <row r="836" ht="14.25" customHeight="1" s="142">
      <c r="D836" s="45" t="n"/>
    </row>
    <row r="837" ht="14.25" customHeight="1" s="142">
      <c r="D837" s="45" t="n"/>
    </row>
    <row r="838" ht="14.25" customHeight="1" s="142">
      <c r="D838" s="45" t="n"/>
    </row>
    <row r="839" ht="14.25" customHeight="1" s="142">
      <c r="D839" s="45" t="n"/>
    </row>
    <row r="840" ht="14.25" customHeight="1" s="142">
      <c r="D840" s="45" t="n"/>
    </row>
    <row r="841" ht="14.25" customHeight="1" s="142">
      <c r="D841" s="45" t="n"/>
    </row>
    <row r="842" ht="14.25" customHeight="1" s="142">
      <c r="D842" s="45" t="n"/>
    </row>
    <row r="843" ht="14.25" customHeight="1" s="142">
      <c r="D843" s="45" t="n"/>
    </row>
    <row r="844" ht="14.25" customHeight="1" s="142">
      <c r="D844" s="45" t="n"/>
    </row>
    <row r="845" ht="14.25" customHeight="1" s="142">
      <c r="D845" s="45" t="n"/>
    </row>
    <row r="846" ht="14.25" customHeight="1" s="142">
      <c r="D846" s="45" t="n"/>
    </row>
    <row r="847" ht="14.25" customHeight="1" s="142">
      <c r="D847" s="45" t="n"/>
    </row>
    <row r="848" ht="14.25" customHeight="1" s="142">
      <c r="D848" s="45" t="n"/>
    </row>
    <row r="849" ht="14.25" customHeight="1" s="142">
      <c r="D849" s="45" t="n"/>
    </row>
    <row r="850" ht="14.25" customHeight="1" s="142">
      <c r="D850" s="45" t="n"/>
    </row>
    <row r="851" ht="14.25" customHeight="1" s="142">
      <c r="D851" s="45" t="n"/>
    </row>
    <row r="852" ht="14.25" customHeight="1" s="142">
      <c r="D852" s="45" t="n"/>
    </row>
    <row r="853" ht="14.25" customHeight="1" s="142">
      <c r="D853" s="45" t="n"/>
    </row>
    <row r="854" ht="14.25" customHeight="1" s="142">
      <c r="D854" s="45" t="n"/>
    </row>
    <row r="855" ht="14.25" customHeight="1" s="142">
      <c r="D855" s="45" t="n"/>
    </row>
    <row r="856" ht="14.25" customHeight="1" s="142">
      <c r="D856" s="45" t="n"/>
    </row>
    <row r="857" ht="14.25" customHeight="1" s="142">
      <c r="D857" s="45" t="n"/>
    </row>
    <row r="858" ht="14.25" customHeight="1" s="142">
      <c r="D858" s="45" t="n"/>
    </row>
    <row r="859" ht="14.25" customHeight="1" s="142">
      <c r="D859" s="45" t="n"/>
    </row>
    <row r="860" ht="14.25" customHeight="1" s="142">
      <c r="D860" s="45" t="n"/>
    </row>
    <row r="861" ht="14.25" customHeight="1" s="142">
      <c r="D861" s="45" t="n"/>
    </row>
    <row r="862" ht="14.25" customHeight="1" s="142">
      <c r="D862" s="45" t="n"/>
    </row>
    <row r="863" ht="14.25" customHeight="1" s="142">
      <c r="D863" s="45" t="n"/>
    </row>
    <row r="864" ht="14.25" customHeight="1" s="142">
      <c r="D864" s="45" t="n"/>
    </row>
    <row r="865" ht="14.25" customHeight="1" s="142">
      <c r="D865" s="45" t="n"/>
    </row>
    <row r="866" ht="14.25" customHeight="1" s="142">
      <c r="D866" s="45" t="n"/>
    </row>
    <row r="867" ht="14.25" customHeight="1" s="142">
      <c r="D867" s="45" t="n"/>
    </row>
    <row r="868" ht="14.25" customHeight="1" s="142">
      <c r="D868" s="45" t="n"/>
    </row>
    <row r="869" ht="14.25" customHeight="1" s="142">
      <c r="D869" s="45" t="n"/>
    </row>
    <row r="870" ht="14.25" customHeight="1" s="142">
      <c r="D870" s="45" t="n"/>
    </row>
    <row r="871" ht="14.25" customHeight="1" s="142">
      <c r="D871" s="45" t="n"/>
    </row>
    <row r="872" ht="14.25" customHeight="1" s="142">
      <c r="D872" s="45" t="n"/>
    </row>
    <row r="873" ht="14.25" customHeight="1" s="142">
      <c r="D873" s="45" t="n"/>
    </row>
    <row r="874" ht="14.25" customHeight="1" s="142">
      <c r="D874" s="45" t="n"/>
    </row>
    <row r="875" ht="14.25" customHeight="1" s="142">
      <c r="D875" s="45" t="n"/>
    </row>
    <row r="876" ht="14.25" customHeight="1" s="142">
      <c r="D876" s="45" t="n"/>
    </row>
    <row r="877" ht="14.25" customHeight="1" s="142">
      <c r="D877" s="45" t="n"/>
    </row>
    <row r="878" ht="14.25" customHeight="1" s="142">
      <c r="D878" s="45" t="n"/>
    </row>
    <row r="879" ht="14.25" customHeight="1" s="142">
      <c r="D879" s="45" t="n"/>
    </row>
    <row r="880" ht="14.25" customHeight="1" s="142">
      <c r="D880" s="45" t="n"/>
    </row>
    <row r="881" ht="14.25" customHeight="1" s="142">
      <c r="D881" s="45" t="n"/>
    </row>
    <row r="882" ht="14.25" customHeight="1" s="142">
      <c r="D882" s="45" t="n"/>
    </row>
    <row r="883" ht="14.25" customHeight="1" s="142">
      <c r="D883" s="45" t="n"/>
    </row>
    <row r="884" ht="14.25" customHeight="1" s="142">
      <c r="D884" s="45" t="n"/>
    </row>
    <row r="885" ht="14.25" customHeight="1" s="142">
      <c r="D885" s="45" t="n"/>
    </row>
    <row r="886" ht="14.25" customHeight="1" s="142">
      <c r="D886" s="45" t="n"/>
    </row>
    <row r="887" ht="14.25" customHeight="1" s="142">
      <c r="D887" s="45" t="n"/>
    </row>
    <row r="888" ht="14.25" customHeight="1" s="142">
      <c r="D888" s="45" t="n"/>
    </row>
    <row r="889" ht="14.25" customHeight="1" s="142">
      <c r="D889" s="45" t="n"/>
    </row>
    <row r="890" ht="14.25" customHeight="1" s="142">
      <c r="D890" s="45" t="n"/>
    </row>
    <row r="891" ht="14.25" customHeight="1" s="142">
      <c r="D891" s="45" t="n"/>
    </row>
    <row r="892" ht="14.25" customHeight="1" s="142">
      <c r="D892" s="45" t="n"/>
    </row>
    <row r="893" ht="14.25" customHeight="1" s="142">
      <c r="D893" s="45" t="n"/>
    </row>
    <row r="894" ht="14.25" customHeight="1" s="142">
      <c r="D894" s="45" t="n"/>
    </row>
    <row r="895" ht="14.25" customHeight="1" s="142">
      <c r="D895" s="45" t="n"/>
    </row>
    <row r="896" ht="14.25" customHeight="1" s="142">
      <c r="D896" s="45" t="n"/>
    </row>
    <row r="897" ht="14.25" customHeight="1" s="142">
      <c r="D897" s="45" t="n"/>
    </row>
    <row r="898" ht="14.25" customHeight="1" s="142">
      <c r="D898" s="45" t="n"/>
    </row>
    <row r="899" ht="14.25" customHeight="1" s="142">
      <c r="D899" s="45" t="n"/>
    </row>
    <row r="900" ht="14.25" customHeight="1" s="142">
      <c r="D900" s="45" t="n"/>
    </row>
    <row r="901" ht="14.25" customHeight="1" s="142">
      <c r="D901" s="45" t="n"/>
    </row>
    <row r="902" ht="14.25" customHeight="1" s="142">
      <c r="D902" s="45" t="n"/>
    </row>
    <row r="903" ht="14.25" customHeight="1" s="142">
      <c r="D903" s="45" t="n"/>
    </row>
    <row r="904" ht="14.25" customHeight="1" s="142">
      <c r="D904" s="45" t="n"/>
    </row>
    <row r="905" ht="14.25" customHeight="1" s="142">
      <c r="D905" s="45" t="n"/>
    </row>
    <row r="906" ht="14.25" customHeight="1" s="142">
      <c r="D906" s="45" t="n"/>
    </row>
    <row r="907" ht="14.25" customHeight="1" s="142">
      <c r="D907" s="45" t="n"/>
    </row>
    <row r="908" ht="14.25" customHeight="1" s="142">
      <c r="D908" s="45" t="n"/>
    </row>
    <row r="909" ht="14.25" customHeight="1" s="142">
      <c r="D909" s="45" t="n"/>
    </row>
    <row r="910" ht="14.25" customHeight="1" s="142">
      <c r="D910" s="45" t="n"/>
    </row>
    <row r="911" ht="14.25" customHeight="1" s="142">
      <c r="D911" s="45" t="n"/>
    </row>
    <row r="912" ht="14.25" customHeight="1" s="142">
      <c r="D912" s="45" t="n"/>
    </row>
    <row r="913" ht="14.25" customHeight="1" s="142">
      <c r="D913" s="45" t="n"/>
    </row>
    <row r="914" ht="14.25" customHeight="1" s="142">
      <c r="D914" s="45" t="n"/>
    </row>
    <row r="915" ht="14.25" customHeight="1" s="142">
      <c r="D915" s="45" t="n"/>
    </row>
    <row r="916" ht="14.25" customHeight="1" s="142">
      <c r="D916" s="45" t="n"/>
    </row>
    <row r="917" ht="14.25" customHeight="1" s="142">
      <c r="D917" s="45" t="n"/>
    </row>
    <row r="918" ht="14.25" customHeight="1" s="142">
      <c r="D918" s="45" t="n"/>
    </row>
    <row r="919" ht="14.25" customHeight="1" s="142">
      <c r="D919" s="45" t="n"/>
    </row>
    <row r="920" ht="14.25" customHeight="1" s="142">
      <c r="D920" s="45" t="n"/>
    </row>
    <row r="921" ht="14.25" customHeight="1" s="142">
      <c r="D921" s="45" t="n"/>
    </row>
    <row r="922" ht="14.25" customHeight="1" s="142">
      <c r="D922" s="45" t="n"/>
    </row>
    <row r="923" ht="14.25" customHeight="1" s="142">
      <c r="D923" s="45" t="n"/>
    </row>
    <row r="924" ht="14.25" customHeight="1" s="142">
      <c r="D924" s="45" t="n"/>
    </row>
    <row r="925" ht="14.25" customHeight="1" s="142">
      <c r="D925" s="45" t="n"/>
    </row>
    <row r="926" ht="14.25" customHeight="1" s="142">
      <c r="D926" s="45" t="n"/>
    </row>
    <row r="927" ht="14.25" customHeight="1" s="142">
      <c r="D927" s="45" t="n"/>
    </row>
    <row r="928" ht="14.25" customHeight="1" s="142">
      <c r="D928" s="45" t="n"/>
    </row>
    <row r="929" ht="14.25" customHeight="1" s="142">
      <c r="D929" s="45" t="n"/>
    </row>
    <row r="930" ht="14.25" customHeight="1" s="142">
      <c r="D930" s="45" t="n"/>
    </row>
    <row r="931" ht="14.25" customHeight="1" s="142">
      <c r="D931" s="45" t="n"/>
    </row>
    <row r="932" ht="14.25" customHeight="1" s="142">
      <c r="D932" s="45" t="n"/>
    </row>
    <row r="933" ht="14.25" customHeight="1" s="142">
      <c r="D933" s="45" t="n"/>
    </row>
    <row r="934" ht="14.25" customHeight="1" s="142">
      <c r="D934" s="45" t="n"/>
    </row>
    <row r="935" ht="14.25" customHeight="1" s="142">
      <c r="D935" s="45" t="n"/>
    </row>
    <row r="936" ht="14.25" customHeight="1" s="142">
      <c r="D936" s="45" t="n"/>
    </row>
    <row r="937" ht="14.25" customHeight="1" s="142">
      <c r="D937" s="45" t="n"/>
    </row>
    <row r="938" ht="14.25" customHeight="1" s="142">
      <c r="D938" s="45" t="n"/>
    </row>
    <row r="939" ht="14.25" customHeight="1" s="142">
      <c r="D939" s="45" t="n"/>
    </row>
    <row r="940" ht="14.25" customHeight="1" s="142">
      <c r="D940" s="45" t="n"/>
    </row>
    <row r="941" ht="14.25" customHeight="1" s="142">
      <c r="D941" s="45" t="n"/>
    </row>
    <row r="942" ht="14.25" customHeight="1" s="142">
      <c r="D942" s="45" t="n"/>
    </row>
    <row r="943" ht="14.25" customHeight="1" s="142">
      <c r="D943" s="45" t="n"/>
    </row>
    <row r="944" ht="14.25" customHeight="1" s="142">
      <c r="D944" s="45" t="n"/>
    </row>
    <row r="945" ht="14.25" customHeight="1" s="142">
      <c r="D945" s="45" t="n"/>
    </row>
    <row r="946" ht="14.25" customHeight="1" s="142">
      <c r="D946" s="45" t="n"/>
    </row>
    <row r="947" ht="14.25" customHeight="1" s="142">
      <c r="D947" s="45" t="n"/>
    </row>
    <row r="948" ht="14.25" customHeight="1" s="142">
      <c r="D948" s="45" t="n"/>
    </row>
    <row r="949" ht="14.25" customHeight="1" s="142">
      <c r="D949" s="45" t="n"/>
    </row>
    <row r="950" ht="14.25" customHeight="1" s="142">
      <c r="D950" s="45" t="n"/>
    </row>
    <row r="951" ht="14.25" customHeight="1" s="142">
      <c r="D951" s="45" t="n"/>
    </row>
    <row r="952" ht="14.25" customHeight="1" s="142">
      <c r="D952" s="45" t="n"/>
    </row>
    <row r="953" ht="14.25" customHeight="1" s="142">
      <c r="D953" s="45" t="n"/>
    </row>
    <row r="954" ht="14.25" customHeight="1" s="142">
      <c r="D954" s="45" t="n"/>
    </row>
    <row r="955" ht="14.25" customHeight="1" s="142">
      <c r="D955" s="45" t="n"/>
    </row>
    <row r="956" ht="14.25" customHeight="1" s="142">
      <c r="D956" s="45" t="n"/>
    </row>
    <row r="957" ht="14.25" customHeight="1" s="142">
      <c r="D957" s="45" t="n"/>
    </row>
    <row r="958" ht="14.25" customHeight="1" s="142">
      <c r="D958" s="45" t="n"/>
    </row>
    <row r="959" ht="14.25" customHeight="1" s="142">
      <c r="D959" s="45" t="n"/>
    </row>
    <row r="960" ht="14.25" customHeight="1" s="142">
      <c r="D960" s="45" t="n"/>
    </row>
    <row r="961" ht="14.25" customHeight="1" s="142">
      <c r="D961" s="45" t="n"/>
    </row>
    <row r="962" ht="14.25" customHeight="1" s="142">
      <c r="D962" s="45" t="n"/>
    </row>
    <row r="963" ht="14.25" customHeight="1" s="142">
      <c r="D963" s="45" t="n"/>
    </row>
    <row r="964" ht="14.25" customHeight="1" s="142">
      <c r="D964" s="45" t="n"/>
    </row>
    <row r="965" ht="14.25" customHeight="1" s="142">
      <c r="D965" s="45" t="n"/>
    </row>
    <row r="966" ht="14.25" customHeight="1" s="142">
      <c r="D966" s="45" t="n"/>
    </row>
    <row r="967" ht="14.25" customHeight="1" s="142">
      <c r="D967" s="45" t="n"/>
    </row>
    <row r="968" ht="14.25" customHeight="1" s="142">
      <c r="D968" s="45" t="n"/>
    </row>
    <row r="969" ht="14.25" customHeight="1" s="142">
      <c r="D969" s="45" t="n"/>
    </row>
    <row r="970" ht="14.25" customHeight="1" s="142">
      <c r="D970" s="45" t="n"/>
    </row>
    <row r="971" ht="14.25" customHeight="1" s="142">
      <c r="D971" s="45" t="n"/>
    </row>
    <row r="972" ht="14.25" customHeight="1" s="142">
      <c r="D972" s="45" t="n"/>
    </row>
    <row r="973" ht="14.25" customHeight="1" s="142">
      <c r="D973" s="45" t="n"/>
    </row>
    <row r="974" ht="14.25" customHeight="1" s="142">
      <c r="D974" s="45" t="n"/>
    </row>
    <row r="975" ht="14.25" customHeight="1" s="142">
      <c r="D975" s="45" t="n"/>
    </row>
    <row r="976" ht="14.25" customHeight="1" s="142">
      <c r="D976" s="45" t="n"/>
    </row>
    <row r="977" ht="14.25" customHeight="1" s="142">
      <c r="D977" s="45" t="n"/>
    </row>
    <row r="978" ht="14.25" customHeight="1" s="142">
      <c r="D978" s="45" t="n"/>
    </row>
    <row r="979" ht="14.25" customHeight="1" s="142">
      <c r="D979" s="45" t="n"/>
    </row>
    <row r="980" ht="14.25" customHeight="1" s="142">
      <c r="D980" s="45" t="n"/>
    </row>
    <row r="981" ht="14.25" customHeight="1" s="142">
      <c r="D981" s="45" t="n"/>
    </row>
    <row r="982" ht="14.25" customHeight="1" s="142">
      <c r="D982" s="45" t="n"/>
    </row>
    <row r="983" ht="14.25" customHeight="1" s="142">
      <c r="D983" s="45" t="n"/>
    </row>
    <row r="984" ht="14.25" customHeight="1" s="142">
      <c r="D984" s="45" t="n"/>
    </row>
    <row r="985" ht="14.25" customHeight="1" s="142">
      <c r="D985" s="45" t="n"/>
    </row>
    <row r="986" ht="14.25" customHeight="1" s="142">
      <c r="D986" s="45" t="n"/>
    </row>
    <row r="987" ht="14.25" customHeight="1" s="142">
      <c r="D987" s="45" t="n"/>
    </row>
    <row r="988" ht="14.25" customHeight="1" s="142">
      <c r="D988" s="45" t="n"/>
    </row>
    <row r="989" ht="14.25" customHeight="1" s="142">
      <c r="D989" s="45" t="n"/>
    </row>
    <row r="990" ht="14.25" customHeight="1" s="142">
      <c r="D990" s="45" t="n"/>
    </row>
    <row r="991" ht="14.25" customHeight="1" s="142">
      <c r="D991" s="45" t="n"/>
    </row>
    <row r="992" ht="14.25" customHeight="1" s="142">
      <c r="D992" s="45" t="n"/>
    </row>
    <row r="993" ht="14.25" customHeight="1" s="142">
      <c r="D993" s="45" t="n"/>
    </row>
    <row r="994" ht="14.25" customHeight="1" s="142">
      <c r="D994" s="45" t="n"/>
    </row>
    <row r="995" ht="14.25" customHeight="1" s="142">
      <c r="D995" s="45" t="n"/>
    </row>
    <row r="996" ht="14.25" customHeight="1" s="142">
      <c r="D996" s="45" t="n"/>
    </row>
    <row r="997" ht="14.25" customHeight="1" s="142">
      <c r="D997" s="45" t="n"/>
    </row>
    <row r="998" ht="14.25" customHeight="1" s="142">
      <c r="D998" s="45" t="n"/>
    </row>
    <row r="999" ht="14.25" customHeight="1" s="142">
      <c r="D999" s="45" t="n"/>
    </row>
    <row r="1000" ht="14.25" customHeight="1" s="142">
      <c r="D1000" s="45" t="n"/>
    </row>
    <row r="1001" ht="14.25" customHeight="1" s="142">
      <c r="D1001" s="45" t="n"/>
    </row>
    <row r="1002" ht="14.25" customHeight="1" s="142">
      <c r="D1002" s="45" t="n"/>
    </row>
    <row r="1003" ht="14.25" customHeight="1" s="142">
      <c r="D1003" s="45" t="n"/>
    </row>
    <row r="1004" ht="14.25" customHeight="1" s="142">
      <c r="D1004" s="45" t="n"/>
    </row>
    <row r="1005" ht="14.25" customHeight="1" s="142">
      <c r="D1005" s="45" t="n"/>
    </row>
    <row r="1006" ht="14.25" customHeight="1" s="142">
      <c r="D1006" s="45" t="n"/>
    </row>
    <row r="1007" ht="14.25" customHeight="1" s="142">
      <c r="D1007" s="45" t="n"/>
    </row>
    <row r="1008" ht="14.25" customHeight="1" s="142">
      <c r="D1008" s="45" t="n"/>
    </row>
    <row r="1009" ht="14.25" customHeight="1" s="142">
      <c r="D1009" s="45" t="n"/>
    </row>
    <row r="1010" ht="14.25" customHeight="1" s="142">
      <c r="D1010" s="45" t="n"/>
    </row>
    <row r="1011" ht="14.25" customHeight="1" s="142">
      <c r="D1011" s="45" t="n"/>
    </row>
    <row r="1012" ht="14.25" customHeight="1" s="142">
      <c r="D1012" s="45" t="n"/>
    </row>
    <row r="1013" ht="14.25" customHeight="1" s="142">
      <c r="D1013" s="45" t="n"/>
    </row>
    <row r="1014" ht="14.25" customHeight="1" s="142">
      <c r="D1014" s="45" t="n"/>
    </row>
    <row r="1015" ht="14.25" customHeight="1" s="142">
      <c r="D1015" s="45" t="n"/>
    </row>
    <row r="1016" ht="14.25" customHeight="1" s="142">
      <c r="D1016" s="45" t="n"/>
    </row>
    <row r="1017" ht="14.25" customHeight="1" s="142">
      <c r="D1017" s="45" t="n"/>
    </row>
    <row r="1018" ht="14.25" customHeight="1" s="142">
      <c r="D1018" s="45" t="n"/>
    </row>
    <row r="1019" ht="14.25" customHeight="1" s="142">
      <c r="D1019" s="45" t="n"/>
    </row>
    <row r="1020" ht="14.25" customHeight="1" s="142">
      <c r="D1020" s="45" t="n"/>
    </row>
    <row r="1021" ht="14.25" customHeight="1" s="142">
      <c r="D1021" s="45" t="n"/>
    </row>
    <row r="1022" ht="14.25" customHeight="1" s="142">
      <c r="D1022" s="45" t="n"/>
    </row>
    <row r="1023" ht="14.25" customHeight="1" s="142">
      <c r="D1023" s="45" t="n"/>
    </row>
    <row r="1024" ht="14.25" customHeight="1" s="142">
      <c r="D1024" s="45" t="n"/>
    </row>
    <row r="1025" ht="14.25" customHeight="1" s="142">
      <c r="D1025" s="45" t="n"/>
    </row>
    <row r="1026" ht="14.25" customHeight="1" s="142">
      <c r="D1026" s="45" t="n"/>
    </row>
    <row r="1027" ht="14.25" customHeight="1" s="142">
      <c r="D1027" s="45" t="n"/>
    </row>
    <row r="1028" ht="14.25" customHeight="1" s="142">
      <c r="D1028" s="45" t="n"/>
    </row>
    <row r="1029" ht="14.25" customHeight="1" s="142">
      <c r="D1029" s="45" t="n"/>
    </row>
    <row r="1030" ht="14.25" customHeight="1" s="142">
      <c r="D1030" s="45" t="n"/>
    </row>
    <row r="1031" ht="14.25" customHeight="1" s="142">
      <c r="D1031" s="45" t="n"/>
    </row>
    <row r="1032" ht="14.25" customHeight="1" s="142">
      <c r="D1032" s="45" t="n"/>
    </row>
    <row r="1033" ht="14.25" customHeight="1" s="142">
      <c r="D1033" s="45" t="n"/>
    </row>
    <row r="1034" ht="14.25" customHeight="1" s="142">
      <c r="D1034" s="45" t="n"/>
    </row>
    <row r="1035" ht="14.25" customHeight="1" s="142">
      <c r="D1035" s="45" t="n"/>
    </row>
    <row r="1036" ht="14.25" customHeight="1" s="142">
      <c r="D1036" s="45" t="n"/>
    </row>
    <row r="1037" ht="14.25" customHeight="1" s="142">
      <c r="D1037" s="45" t="n"/>
    </row>
    <row r="1038" ht="14.25" customHeight="1" s="142">
      <c r="D1038" s="45" t="n"/>
    </row>
    <row r="1039" ht="14.25" customHeight="1" s="142">
      <c r="D1039" s="45" t="n"/>
    </row>
    <row r="1040" ht="14.25" customHeight="1" s="142">
      <c r="D1040" s="45" t="n"/>
    </row>
    <row r="1041" ht="14.25" customHeight="1" s="142">
      <c r="D1041" s="45" t="n"/>
    </row>
    <row r="1042" ht="14.25" customHeight="1" s="142">
      <c r="D1042" s="45" t="n"/>
    </row>
    <row r="1043" ht="14.25" customHeight="1" s="142">
      <c r="D1043" s="45" t="n"/>
    </row>
    <row r="1044" ht="14.25" customHeight="1" s="142">
      <c r="D1044" s="45" t="n"/>
    </row>
    <row r="1045" ht="14.25" customHeight="1" s="142">
      <c r="D1045" s="45" t="n"/>
    </row>
    <row r="1046" ht="14.25" customHeight="1" s="142">
      <c r="D1046" s="45" t="n"/>
    </row>
    <row r="1047" ht="14.25" customHeight="1" s="142">
      <c r="D1047" s="45" t="n"/>
    </row>
    <row r="1048" ht="14.25" customHeight="1" s="142">
      <c r="D1048" s="45" t="n"/>
    </row>
    <row r="1049" ht="14.25" customHeight="1" s="142">
      <c r="D1049" s="45" t="n"/>
    </row>
    <row r="1050" ht="14.25" customHeight="1" s="142">
      <c r="D1050" s="45" t="n"/>
    </row>
    <row r="1051" ht="14.25" customHeight="1" s="142">
      <c r="D1051" s="45" t="n"/>
    </row>
  </sheetData>
  <dataValidations count="2">
    <dataValidation sqref="B3:B155 B157:B198" showDropDown="0" showInputMessage="0" showErrorMessage="1" allowBlank="1" type="list">
      <formula1>"gem,weapon,head,armor,shoe,cloak,Pants"</formula1>
      <formula2>0</formula2>
    </dataValidation>
    <dataValidation sqref="D3:D155 D157:D198" showDropDown="0" showInputMessage="0" showErrorMessage="1" allowBlank="1" type="list">
      <formula1>"R,SR,SSR"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2.75"/>
  <cols>
    <col width="15.42578125" customWidth="1" style="142" min="13" max="13"/>
    <col width="14.28515625" customWidth="1" style="142" min="14" max="14"/>
    <col width="14.28515625" customWidth="1" style="142" min="16" max="16"/>
    <col width="13" customWidth="1" style="142" min="17" max="17"/>
  </cols>
  <sheetData>
    <row r="1" ht="14.25" customHeight="1" s="142">
      <c r="A1" s="135" t="inlineStr">
        <is>
          <t>group_id</t>
        </is>
      </c>
      <c r="B1" s="135" t="inlineStr">
        <is>
          <t>power</t>
        </is>
      </c>
      <c r="C1" s="40" t="inlineStr">
        <is>
          <t>HP</t>
        </is>
      </c>
      <c r="D1" s="40" t="inlineStr">
        <is>
          <t>ATK</t>
        </is>
      </c>
      <c r="E1" s="40" t="inlineStr">
        <is>
          <t>MATK</t>
        </is>
      </c>
      <c r="F1" s="40" t="inlineStr">
        <is>
          <t>DEF</t>
        </is>
      </c>
      <c r="G1" s="40" t="inlineStr">
        <is>
          <t>MDEF</t>
        </is>
      </c>
      <c r="H1" s="40" t="inlineStr">
        <is>
          <t>MP</t>
        </is>
      </c>
      <c r="I1" s="40" t="inlineStr">
        <is>
          <t>AGI</t>
        </is>
      </c>
      <c r="J1" s="40" t="inlineStr">
        <is>
          <t>CRI</t>
        </is>
      </c>
      <c r="K1" s="40" t="inlineStr">
        <is>
          <t>cri_resist</t>
        </is>
      </c>
      <c r="L1" s="40" t="inlineStr">
        <is>
          <t>cri_damage</t>
        </is>
      </c>
      <c r="M1" s="40" t="inlineStr">
        <is>
          <t>cri_damage_resist</t>
        </is>
      </c>
      <c r="N1" s="40" t="inlineStr">
        <is>
          <t>skill_rate</t>
        </is>
      </c>
      <c r="O1" s="40" t="inlineStr">
        <is>
          <t>skill_resist</t>
        </is>
      </c>
      <c r="P1" s="40" t="inlineStr">
        <is>
          <t>damage_increase</t>
        </is>
      </c>
      <c r="Q1" s="40" t="inlineStr">
        <is>
          <t>damage_reduce</t>
        </is>
      </c>
      <c r="R1" s="40" t="inlineStr">
        <is>
          <t>damage_reflect</t>
        </is>
      </c>
      <c r="S1" s="41" t="inlineStr">
        <is>
          <t>mp_recove</t>
        </is>
      </c>
      <c r="T1" s="41" t="inlineStr">
        <is>
          <t>shield_rate</t>
        </is>
      </c>
      <c r="U1" s="41" t="inlineStr">
        <is>
          <t>permeate</t>
        </is>
      </c>
      <c r="V1" s="41" t="inlineStr">
        <is>
          <t>atypical_rate</t>
        </is>
      </c>
      <c r="W1" s="41" t="inlineStr">
        <is>
          <t>heal_rate</t>
        </is>
      </c>
      <c r="X1" s="135" t="inlineStr">
        <is>
          <t>value_offset</t>
        </is>
      </c>
      <c r="Y1" s="135" t="inlineStr">
        <is>
          <t>rare</t>
        </is>
      </c>
    </row>
    <row r="2" ht="14.25" customHeight="1" s="142">
      <c r="A2" s="115" t="n">
        <v>201</v>
      </c>
      <c r="B2" s="115" t="n">
        <v>1900</v>
      </c>
      <c r="C2" s="115" t="n"/>
      <c r="D2" s="115" t="n">
        <v>6</v>
      </c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5" t="n"/>
      <c r="U2" s="115" t="n"/>
      <c r="V2" s="115" t="n"/>
      <c r="W2" s="115" t="n"/>
      <c r="X2" s="115" t="n">
        <v>0.15</v>
      </c>
      <c r="Y2" s="115" t="n">
        <v>1</v>
      </c>
      <c r="Z2" s="116" t="n"/>
      <c r="AA2" s="116" t="n"/>
      <c r="AB2" s="116" t="n"/>
      <c r="AC2" s="116" t="n"/>
      <c r="AD2" s="116" t="n"/>
      <c r="AE2" s="116" t="n"/>
      <c r="AF2" s="116" t="n"/>
      <c r="AG2" s="116" t="n"/>
      <c r="AH2" s="116" t="n"/>
      <c r="AI2" s="116" t="n"/>
      <c r="AJ2" s="116" t="n"/>
    </row>
    <row r="3" ht="14.25" customHeight="1" s="142">
      <c r="A3" s="115" t="n">
        <v>201</v>
      </c>
      <c r="B3" s="115" t="n">
        <v>400</v>
      </c>
      <c r="C3" s="115" t="n"/>
      <c r="D3" s="115" t="n">
        <v>11</v>
      </c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5" t="n"/>
      <c r="Q3" s="115" t="n"/>
      <c r="R3" s="115" t="n"/>
      <c r="S3" s="115" t="n"/>
      <c r="T3" s="115" t="n"/>
      <c r="U3" s="115" t="n"/>
      <c r="V3" s="115" t="n"/>
      <c r="W3" s="115" t="n"/>
      <c r="X3" s="115" t="n">
        <v>0.15</v>
      </c>
      <c r="Y3" s="115" t="n">
        <v>1</v>
      </c>
      <c r="Z3" s="116" t="n"/>
      <c r="AA3" s="116" t="n"/>
      <c r="AB3" s="116" t="n"/>
      <c r="AC3" s="116" t="n"/>
      <c r="AD3" s="116" t="n"/>
      <c r="AE3" s="116" t="n"/>
      <c r="AF3" s="116" t="n"/>
      <c r="AG3" s="116" t="n"/>
      <c r="AH3" s="116" t="n"/>
      <c r="AI3" s="116" t="n"/>
      <c r="AJ3" s="116" t="n"/>
    </row>
    <row r="4" ht="14.25" customHeight="1" s="142">
      <c r="A4" s="115" t="n">
        <v>201</v>
      </c>
      <c r="B4" s="115" t="n">
        <v>150</v>
      </c>
      <c r="C4" s="115" t="n"/>
      <c r="D4" s="115" t="n">
        <v>20</v>
      </c>
      <c r="E4" s="115" t="n"/>
      <c r="F4" s="115" t="n"/>
      <c r="G4" s="115" t="n"/>
      <c r="H4" s="115" t="n"/>
      <c r="I4" s="11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>
        <v>0.15</v>
      </c>
      <c r="Y4" s="115" t="n">
        <v>2</v>
      </c>
      <c r="Z4" s="116" t="n"/>
      <c r="AA4" s="116" t="n"/>
      <c r="AB4" s="116" t="n"/>
      <c r="AC4" s="116" t="n"/>
      <c r="AD4" s="116" t="n"/>
      <c r="AE4" s="116" t="n"/>
      <c r="AF4" s="116" t="n"/>
      <c r="AG4" s="116" t="n"/>
      <c r="AH4" s="116" t="n"/>
      <c r="AI4" s="116" t="n"/>
      <c r="AJ4" s="116" t="n"/>
    </row>
    <row r="5" ht="14.25" customHeight="1" s="142">
      <c r="A5" s="115" t="n">
        <v>201</v>
      </c>
      <c r="B5" s="115" t="n">
        <v>40</v>
      </c>
      <c r="C5" s="115" t="n"/>
      <c r="D5" s="115" t="n">
        <v>38</v>
      </c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115" t="n"/>
      <c r="U5" s="115" t="n"/>
      <c r="V5" s="115" t="n"/>
      <c r="W5" s="115" t="n"/>
      <c r="X5" s="115" t="n">
        <v>0.15</v>
      </c>
      <c r="Y5" s="115" t="n">
        <v>3</v>
      </c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</row>
    <row r="6" ht="14.25" customHeight="1" s="142">
      <c r="A6" s="115" t="n">
        <v>201</v>
      </c>
      <c r="B6" s="115" t="n">
        <v>10</v>
      </c>
      <c r="C6" s="115" t="n"/>
      <c r="D6" s="115" t="n">
        <v>70</v>
      </c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5" t="n"/>
      <c r="U6" s="115" t="n"/>
      <c r="V6" s="115" t="n"/>
      <c r="W6" s="115" t="n"/>
      <c r="X6" s="115" t="n">
        <v>0.15</v>
      </c>
      <c r="Y6" s="115" t="n">
        <v>4</v>
      </c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</row>
    <row r="7" ht="14.25" customHeight="1" s="142">
      <c r="A7" s="115" t="n">
        <v>201</v>
      </c>
      <c r="B7" s="115" t="n">
        <v>1900</v>
      </c>
      <c r="C7" s="115" t="n"/>
      <c r="D7" s="115" t="n"/>
      <c r="E7" s="115" t="n">
        <v>8</v>
      </c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5" t="n"/>
      <c r="U7" s="115" t="n"/>
      <c r="V7" s="115" t="n"/>
      <c r="W7" s="115" t="n"/>
      <c r="X7" s="115" t="n">
        <v>0.15</v>
      </c>
      <c r="Y7" s="115" t="n">
        <v>1</v>
      </c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</row>
    <row r="8" ht="14.25" customHeight="1" s="142">
      <c r="A8" s="115" t="n">
        <v>201</v>
      </c>
      <c r="B8" s="115" t="n">
        <v>400</v>
      </c>
      <c r="C8" s="115" t="n"/>
      <c r="D8" s="115" t="n"/>
      <c r="E8" s="115">
        <f>ROUND(D3*1.05,0)</f>
        <v/>
      </c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>
        <v>0.15</v>
      </c>
      <c r="Y8" s="115" t="n">
        <v>1</v>
      </c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</row>
    <row r="9" ht="14.25" customHeight="1" s="142">
      <c r="A9" s="115" t="n">
        <v>201</v>
      </c>
      <c r="B9" s="115" t="n">
        <v>150</v>
      </c>
      <c r="C9" s="115" t="n"/>
      <c r="D9" s="115" t="n"/>
      <c r="E9" s="115">
        <f>ROUND(D4*1.05,0)</f>
        <v/>
      </c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>
        <v>0.15</v>
      </c>
      <c r="Y9" s="115" t="n">
        <v>2</v>
      </c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</row>
    <row r="10" ht="14.25" customHeight="1" s="142">
      <c r="A10" s="115" t="n">
        <v>201</v>
      </c>
      <c r="B10" s="115" t="n">
        <v>40</v>
      </c>
      <c r="C10" s="115" t="n"/>
      <c r="D10" s="115" t="n"/>
      <c r="E10" s="115">
        <f>ROUND(D5*1.05,0)</f>
        <v/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>
        <v>0.15</v>
      </c>
      <c r="Y10" s="115" t="n">
        <v>3</v>
      </c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</row>
    <row r="11" ht="14.25" customHeight="1" s="142">
      <c r="A11" s="115" t="n">
        <v>201</v>
      </c>
      <c r="B11" s="115" t="n">
        <v>10</v>
      </c>
      <c r="C11" s="115" t="n"/>
      <c r="D11" s="115" t="n"/>
      <c r="E11" s="115">
        <f>ROUND(D6*1.05,0)</f>
        <v/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115" t="n"/>
      <c r="U11" s="115" t="n"/>
      <c r="V11" s="115" t="n"/>
      <c r="W11" s="115" t="n"/>
      <c r="X11" s="115" t="n">
        <v>0.15</v>
      </c>
      <c r="Y11" s="115" t="n">
        <v>4</v>
      </c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</row>
    <row r="12" ht="14.25" customHeight="1" s="142">
      <c r="A12" s="115" t="n">
        <v>201</v>
      </c>
      <c r="B12" s="115" t="n">
        <v>1900</v>
      </c>
      <c r="C12" s="115" t="n"/>
      <c r="D12" s="115" t="n"/>
      <c r="E12" s="115" t="n"/>
      <c r="F12" s="115" t="n"/>
      <c r="G12" s="115" t="n"/>
      <c r="H12" s="115" t="n">
        <v>50</v>
      </c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5" t="n">
        <v>0.15</v>
      </c>
      <c r="Y12" s="115" t="n">
        <v>1</v>
      </c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</row>
    <row r="13" ht="14.25" customHeight="1" s="142">
      <c r="A13" s="115" t="n">
        <v>201</v>
      </c>
      <c r="B13" s="115" t="n">
        <v>400</v>
      </c>
      <c r="C13" s="115" t="n"/>
      <c r="D13" s="115" t="n"/>
      <c r="E13" s="115" t="n"/>
      <c r="F13" s="115" t="n"/>
      <c r="G13" s="115" t="n"/>
      <c r="H13" s="115" t="n">
        <v>75</v>
      </c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>
        <v>0.15</v>
      </c>
      <c r="Y13" s="115" t="n">
        <v>1</v>
      </c>
      <c r="Z13" s="116" t="n"/>
      <c r="AA13" s="116" t="n"/>
      <c r="AB13" s="116" t="n"/>
      <c r="AC13" s="116" t="n"/>
      <c r="AD13" s="116" t="n"/>
      <c r="AE13" s="116" t="n"/>
      <c r="AF13" s="116" t="n"/>
      <c r="AG13" s="116" t="n"/>
      <c r="AH13" s="116" t="n"/>
      <c r="AI13" s="116" t="n"/>
      <c r="AJ13" s="116" t="n"/>
    </row>
    <row r="14" ht="14.25" customHeight="1" s="142">
      <c r="A14" s="115" t="n">
        <v>201</v>
      </c>
      <c r="B14" s="115" t="n">
        <v>150</v>
      </c>
      <c r="C14" s="115" t="n"/>
      <c r="D14" s="115" t="n"/>
      <c r="E14" s="115" t="n"/>
      <c r="F14" s="115" t="n"/>
      <c r="G14" s="115" t="n"/>
      <c r="H14" s="115" t="n">
        <v>135</v>
      </c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5" t="n">
        <v>0.15</v>
      </c>
      <c r="Y14" s="115" t="n">
        <v>2</v>
      </c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</row>
    <row r="15" ht="14.25" customHeight="1" s="142">
      <c r="A15" s="115" t="n">
        <v>201</v>
      </c>
      <c r="B15" s="115" t="n">
        <v>40</v>
      </c>
      <c r="C15" s="115" t="n"/>
      <c r="D15" s="115" t="n"/>
      <c r="E15" s="115" t="n"/>
      <c r="F15" s="115" t="n"/>
      <c r="G15" s="115" t="n"/>
      <c r="H15" s="115" t="n">
        <v>260</v>
      </c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>
        <v>0.15</v>
      </c>
      <c r="Y15" s="115" t="n">
        <v>3</v>
      </c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</row>
    <row r="16" ht="14.25" customHeight="1" s="142">
      <c r="A16" s="115" t="n">
        <v>201</v>
      </c>
      <c r="B16" s="115" t="n">
        <v>10</v>
      </c>
      <c r="C16" s="115" t="n"/>
      <c r="D16" s="115" t="n"/>
      <c r="E16" s="115" t="n"/>
      <c r="F16" s="115" t="n"/>
      <c r="G16" s="115" t="n"/>
      <c r="H16" s="115" t="n">
        <v>450</v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>
        <v>0.15</v>
      </c>
      <c r="Y16" s="115" t="n">
        <v>4</v>
      </c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</row>
    <row r="17" ht="14.25" customHeight="1" s="142">
      <c r="A17" s="115" t="n">
        <v>201</v>
      </c>
      <c r="B17" s="115" t="n">
        <v>1900</v>
      </c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>
        <v>0.02</v>
      </c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5" t="n">
        <v>0.15</v>
      </c>
      <c r="Y17" s="115" t="n">
        <v>1</v>
      </c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</row>
    <row r="18" ht="14.25" customHeight="1" s="142">
      <c r="A18" s="115" t="n">
        <v>201</v>
      </c>
      <c r="B18" s="115" t="n">
        <v>400</v>
      </c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>
        <v>0.04</v>
      </c>
      <c r="P18" s="115" t="n"/>
      <c r="Q18" s="115" t="n"/>
      <c r="R18" s="115" t="n"/>
      <c r="S18" s="115" t="n"/>
      <c r="T18" s="115" t="n"/>
      <c r="U18" s="115" t="n"/>
      <c r="V18" s="115" t="n"/>
      <c r="W18" s="115" t="n"/>
      <c r="X18" s="115" t="n">
        <v>0.15</v>
      </c>
      <c r="Y18" s="115" t="n">
        <v>1</v>
      </c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</row>
    <row r="19" ht="14.25" customHeight="1" s="142">
      <c r="A19" s="115" t="n">
        <v>201</v>
      </c>
      <c r="B19" s="115" t="n">
        <v>150</v>
      </c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>
        <v>0.08</v>
      </c>
      <c r="P19" s="115" t="n"/>
      <c r="Q19" s="115" t="n"/>
      <c r="R19" s="115" t="n"/>
      <c r="S19" s="115" t="n"/>
      <c r="T19" s="115" t="n"/>
      <c r="U19" s="115" t="n"/>
      <c r="V19" s="115" t="n"/>
      <c r="W19" s="115" t="n"/>
      <c r="X19" s="115" t="n">
        <v>0.15</v>
      </c>
      <c r="Y19" s="115" t="n">
        <v>2</v>
      </c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</row>
    <row r="20" ht="14.25" customHeight="1" s="142">
      <c r="A20" s="115" t="n">
        <v>201</v>
      </c>
      <c r="B20" s="115" t="n">
        <v>40</v>
      </c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>
        <v>0.15</v>
      </c>
      <c r="P20" s="115" t="n"/>
      <c r="Q20" s="115" t="n"/>
      <c r="R20" s="115" t="n"/>
      <c r="S20" s="115" t="n"/>
      <c r="T20" s="115" t="n"/>
      <c r="U20" s="115" t="n"/>
      <c r="V20" s="115" t="n"/>
      <c r="W20" s="115" t="n"/>
      <c r="X20" s="115" t="n">
        <v>0.15</v>
      </c>
      <c r="Y20" s="115" t="n">
        <v>3</v>
      </c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</row>
    <row r="21" ht="14.25" customHeight="1" s="142">
      <c r="A21" s="115" t="n">
        <v>201</v>
      </c>
      <c r="B21" s="115" t="n">
        <v>10</v>
      </c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>
        <v>0.25</v>
      </c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>
        <v>0.15</v>
      </c>
      <c r="Y21" s="115" t="n">
        <v>4</v>
      </c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</row>
    <row r="22" ht="14.25" customHeight="1" s="142">
      <c r="A22" s="135" t="n">
        <v>202</v>
      </c>
      <c r="B22" s="135" t="n">
        <v>2500</v>
      </c>
      <c r="C22" s="135" t="n"/>
      <c r="D22" s="135" t="n"/>
      <c r="E22" s="135" t="n"/>
      <c r="F22" s="135" t="n"/>
      <c r="G22" s="135" t="n"/>
      <c r="H22" s="135" t="n"/>
      <c r="I22" s="135" t="n"/>
      <c r="J22" s="135" t="n"/>
      <c r="K22" s="135" t="n"/>
      <c r="L22" s="135" t="n"/>
      <c r="M22" s="135" t="n"/>
      <c r="N22" s="135" t="n"/>
      <c r="O22" s="135" t="n"/>
      <c r="P22" s="135" t="n"/>
      <c r="Q22" s="135" t="n"/>
      <c r="R22" s="135" t="n"/>
      <c r="S22" s="135" t="n"/>
      <c r="T22" s="135" t="n"/>
      <c r="U22" s="135" t="n"/>
      <c r="V22" s="135" t="n"/>
      <c r="W22" s="135" t="n"/>
      <c r="X22" s="135" t="n">
        <v>0.13</v>
      </c>
      <c r="Y22" s="135" t="n">
        <v>1</v>
      </c>
    </row>
    <row r="23" ht="14.25" customHeight="1" s="142">
      <c r="A23" s="135" t="n">
        <v>202</v>
      </c>
      <c r="B23" s="117">
        <f>B2/2</f>
        <v/>
      </c>
      <c r="C23" s="135" t="n"/>
      <c r="D23" s="135" t="n">
        <v>6</v>
      </c>
      <c r="E23" s="135" t="n"/>
      <c r="F23" s="135" t="n"/>
      <c r="G23" s="135" t="n"/>
      <c r="H23" s="135" t="n"/>
      <c r="I23" s="135" t="n"/>
      <c r="J23" s="135" t="n"/>
      <c r="K23" s="135" t="n"/>
      <c r="L23" s="135" t="n"/>
      <c r="M23" s="135" t="n"/>
      <c r="N23" s="135" t="n"/>
      <c r="O23" s="135" t="n"/>
      <c r="P23" s="135" t="n"/>
      <c r="Q23" s="135" t="n"/>
      <c r="R23" s="135" t="n"/>
      <c r="S23" s="135" t="n"/>
      <c r="T23" s="135" t="n"/>
      <c r="U23" s="135" t="n"/>
      <c r="V23" s="135" t="n"/>
      <c r="W23" s="135" t="n"/>
      <c r="X23" s="135" t="n">
        <v>0.13</v>
      </c>
      <c r="Y23" s="135" t="n">
        <v>1</v>
      </c>
    </row>
    <row r="24" ht="14.25" customHeight="1" s="142">
      <c r="A24" s="135" t="n">
        <v>202</v>
      </c>
      <c r="B24" s="117">
        <f>B3/2</f>
        <v/>
      </c>
      <c r="C24" s="135" t="n"/>
      <c r="D24" s="135" t="n">
        <v>11</v>
      </c>
      <c r="E24" s="135" t="n"/>
      <c r="F24" s="135" t="n"/>
      <c r="G24" s="135" t="n"/>
      <c r="H24" s="135" t="n"/>
      <c r="I24" s="135" t="n"/>
      <c r="J24" s="135" t="n"/>
      <c r="K24" s="135" t="n"/>
      <c r="L24" s="135" t="n"/>
      <c r="M24" s="135" t="n"/>
      <c r="N24" s="135" t="n"/>
      <c r="O24" s="135" t="n"/>
      <c r="P24" s="135" t="n"/>
      <c r="Q24" s="135" t="n"/>
      <c r="R24" s="135" t="n"/>
      <c r="S24" s="135" t="n"/>
      <c r="T24" s="135" t="n"/>
      <c r="U24" s="135" t="n"/>
      <c r="V24" s="135" t="n"/>
      <c r="W24" s="135" t="n"/>
      <c r="X24" s="135" t="n">
        <v>0.13</v>
      </c>
      <c r="Y24" s="135" t="n">
        <v>1</v>
      </c>
    </row>
    <row r="25" ht="14.25" customHeight="1" s="142">
      <c r="A25" s="135" t="n">
        <v>202</v>
      </c>
      <c r="B25" s="117">
        <f>B4/2</f>
        <v/>
      </c>
      <c r="C25" s="135" t="n"/>
      <c r="D25" s="135" t="n">
        <v>20</v>
      </c>
      <c r="E25" s="135" t="n"/>
      <c r="F25" s="135" t="n"/>
      <c r="G25" s="135" t="n"/>
      <c r="H25" s="135" t="n"/>
      <c r="I25" s="135" t="n"/>
      <c r="J25" s="135" t="n"/>
      <c r="K25" s="135" t="n"/>
      <c r="L25" s="135" t="n"/>
      <c r="M25" s="135" t="n"/>
      <c r="N25" s="135" t="n"/>
      <c r="O25" s="135" t="n"/>
      <c r="P25" s="135" t="n"/>
      <c r="Q25" s="135" t="n"/>
      <c r="R25" s="135" t="n"/>
      <c r="S25" s="135" t="n"/>
      <c r="T25" s="135" t="n"/>
      <c r="U25" s="135" t="n"/>
      <c r="V25" s="135" t="n"/>
      <c r="W25" s="135" t="n"/>
      <c r="X25" s="135" t="n">
        <v>0.13</v>
      </c>
      <c r="Y25" s="135" t="n">
        <v>2</v>
      </c>
    </row>
    <row r="26" ht="14.25" customHeight="1" s="142">
      <c r="A26" s="135" t="n">
        <v>202</v>
      </c>
      <c r="B26" s="117">
        <f>B5/2</f>
        <v/>
      </c>
      <c r="C26" s="135" t="n"/>
      <c r="D26" s="135" t="n">
        <v>38</v>
      </c>
      <c r="E26" s="135" t="n"/>
      <c r="F26" s="135" t="n"/>
      <c r="G26" s="135" t="n"/>
      <c r="H26" s="135" t="n"/>
      <c r="I26" s="135" t="n"/>
      <c r="J26" s="135" t="n"/>
      <c r="K26" s="135" t="n"/>
      <c r="L26" s="135" t="n"/>
      <c r="M26" s="135" t="n"/>
      <c r="N26" s="135" t="n"/>
      <c r="O26" s="135" t="n"/>
      <c r="P26" s="135" t="n"/>
      <c r="Q26" s="135" t="n"/>
      <c r="R26" s="135" t="n"/>
      <c r="S26" s="135" t="n"/>
      <c r="T26" s="135" t="n"/>
      <c r="U26" s="135" t="n"/>
      <c r="V26" s="135" t="n"/>
      <c r="W26" s="135" t="n"/>
      <c r="X26" s="135" t="n">
        <v>0.13</v>
      </c>
      <c r="Y26" s="135" t="n">
        <v>3</v>
      </c>
    </row>
    <row r="27" ht="14.25" customHeight="1" s="142">
      <c r="A27" s="135" t="n">
        <v>202</v>
      </c>
      <c r="B27" s="117">
        <f>B6/2</f>
        <v/>
      </c>
      <c r="C27" s="135" t="n"/>
      <c r="D27" s="135" t="n">
        <v>70</v>
      </c>
      <c r="E27" s="7" t="n"/>
      <c r="F27" s="135" t="n"/>
      <c r="G27" s="135" t="n"/>
      <c r="H27" s="135" t="n"/>
      <c r="I27" s="135" t="n"/>
      <c r="J27" s="135" t="n"/>
      <c r="K27" s="135" t="n"/>
      <c r="L27" s="135" t="n"/>
      <c r="M27" s="135" t="n"/>
      <c r="N27" s="135" t="n"/>
      <c r="O27" s="135" t="n"/>
      <c r="P27" s="135" t="n"/>
      <c r="Q27" s="135" t="n"/>
      <c r="R27" s="135" t="n"/>
      <c r="S27" s="135" t="n"/>
      <c r="T27" s="135" t="n"/>
      <c r="U27" s="135" t="n"/>
      <c r="V27" s="135" t="n"/>
      <c r="W27" s="135" t="n"/>
      <c r="X27" s="135" t="n">
        <v>0.13</v>
      </c>
      <c r="Y27" s="135" t="n">
        <v>4</v>
      </c>
    </row>
    <row r="28" ht="14.25" customHeight="1" s="142">
      <c r="A28" s="135" t="n">
        <v>202</v>
      </c>
      <c r="B28" s="117">
        <f>B7/2</f>
        <v/>
      </c>
      <c r="C28" s="135" t="n"/>
      <c r="D28" s="135" t="n"/>
      <c r="E28" s="135" t="n">
        <v>8</v>
      </c>
      <c r="F28" s="135" t="n"/>
      <c r="G28" s="135" t="n"/>
      <c r="H28" s="135" t="n"/>
      <c r="I28" s="135" t="n"/>
      <c r="J28" s="135" t="n"/>
      <c r="K28" s="135" t="n"/>
      <c r="L28" s="135" t="n"/>
      <c r="M28" s="135" t="n"/>
      <c r="N28" s="135" t="n"/>
      <c r="O28" s="135" t="n"/>
      <c r="P28" s="135" t="n"/>
      <c r="Q28" s="135" t="n"/>
      <c r="R28" s="135" t="n"/>
      <c r="S28" s="135" t="n"/>
      <c r="T28" s="135" t="n"/>
      <c r="U28" s="135" t="n"/>
      <c r="V28" s="135" t="n"/>
      <c r="W28" s="135" t="n"/>
      <c r="X28" s="135" t="n">
        <v>0.13</v>
      </c>
      <c r="Y28" s="135" t="n">
        <v>1</v>
      </c>
    </row>
    <row r="29" ht="14.25" customHeight="1" s="142">
      <c r="A29" s="135" t="n">
        <v>202</v>
      </c>
      <c r="B29" s="117">
        <f>B8/2</f>
        <v/>
      </c>
      <c r="C29" s="135" t="n"/>
      <c r="D29" s="135" t="n"/>
      <c r="E29" s="135" t="n">
        <v>12</v>
      </c>
      <c r="F29" s="135" t="n"/>
      <c r="G29" s="135" t="n"/>
      <c r="H29" s="135" t="n"/>
      <c r="I29" s="135" t="n"/>
      <c r="J29" s="135" t="n"/>
      <c r="K29" s="135" t="n"/>
      <c r="L29" s="135" t="n"/>
      <c r="M29" s="135" t="n"/>
      <c r="N29" s="135" t="n"/>
      <c r="O29" s="135" t="n"/>
      <c r="P29" s="135" t="n"/>
      <c r="Q29" s="135" t="n"/>
      <c r="R29" s="135" t="n"/>
      <c r="S29" s="135" t="n"/>
      <c r="T29" s="135" t="n"/>
      <c r="U29" s="135" t="n"/>
      <c r="V29" s="135" t="n"/>
      <c r="W29" s="135" t="n"/>
      <c r="X29" s="135" t="n">
        <v>0.13</v>
      </c>
      <c r="Y29" s="135" t="n">
        <v>1</v>
      </c>
    </row>
    <row r="30" ht="14.25" customHeight="1" s="142">
      <c r="A30" s="135" t="n">
        <v>202</v>
      </c>
      <c r="B30" s="117">
        <f>B9/2</f>
        <v/>
      </c>
      <c r="C30" s="135" t="n"/>
      <c r="D30" s="135" t="n"/>
      <c r="E30" s="135" t="n">
        <v>21</v>
      </c>
      <c r="F30" s="135" t="n"/>
      <c r="G30" s="135" t="n"/>
      <c r="H30" s="135" t="n"/>
      <c r="I30" s="135" t="n"/>
      <c r="J30" s="135" t="n"/>
      <c r="K30" s="135" t="n"/>
      <c r="L30" s="135" t="n"/>
      <c r="M30" s="135" t="n"/>
      <c r="N30" s="135" t="n"/>
      <c r="O30" s="135" t="n"/>
      <c r="P30" s="135" t="n"/>
      <c r="Q30" s="135" t="n"/>
      <c r="R30" s="135" t="n"/>
      <c r="S30" s="135" t="n"/>
      <c r="T30" s="135" t="n"/>
      <c r="U30" s="135" t="n"/>
      <c r="V30" s="135" t="n"/>
      <c r="W30" s="135" t="n"/>
      <c r="X30" s="135" t="n">
        <v>0.13</v>
      </c>
      <c r="Y30" s="135" t="n">
        <v>2</v>
      </c>
    </row>
    <row r="31" ht="14.25" customHeight="1" s="142">
      <c r="A31" s="135" t="n">
        <v>202</v>
      </c>
      <c r="B31" s="117">
        <f>B10/2</f>
        <v/>
      </c>
      <c r="C31" s="135" t="n"/>
      <c r="D31" s="135" t="n"/>
      <c r="E31" s="135" t="n">
        <v>40</v>
      </c>
      <c r="F31" s="135" t="n"/>
      <c r="G31" s="135" t="n"/>
      <c r="H31" s="135" t="n"/>
      <c r="I31" s="135" t="n"/>
      <c r="J31" s="135" t="n"/>
      <c r="K31" s="135" t="n"/>
      <c r="L31" s="135" t="n"/>
      <c r="M31" s="135" t="n"/>
      <c r="N31" s="135" t="n"/>
      <c r="O31" s="135" t="n"/>
      <c r="P31" s="135" t="n"/>
      <c r="Q31" s="135" t="n"/>
      <c r="R31" s="135" t="n"/>
      <c r="S31" s="135" t="n"/>
      <c r="T31" s="135" t="n"/>
      <c r="U31" s="135" t="n"/>
      <c r="V31" s="135" t="n"/>
      <c r="W31" s="135" t="n"/>
      <c r="X31" s="135" t="n">
        <v>0.13</v>
      </c>
      <c r="Y31" s="135" t="n">
        <v>3</v>
      </c>
    </row>
    <row r="32" ht="14.25" customHeight="1" s="142">
      <c r="A32" s="135" t="n">
        <v>202</v>
      </c>
      <c r="B32" s="117">
        <f>B11/2</f>
        <v/>
      </c>
      <c r="C32" s="135" t="n"/>
      <c r="D32" s="135" t="n"/>
      <c r="E32" s="135" t="n">
        <v>74</v>
      </c>
      <c r="F32" s="135" t="n"/>
      <c r="G32" s="135" t="n"/>
      <c r="H32" s="135" t="n"/>
      <c r="I32" s="135" t="n"/>
      <c r="J32" s="135" t="n"/>
      <c r="K32" s="135" t="n"/>
      <c r="L32" s="135" t="n"/>
      <c r="M32" s="135" t="n"/>
      <c r="N32" s="135" t="n"/>
      <c r="O32" s="135" t="n"/>
      <c r="P32" s="135" t="n"/>
      <c r="Q32" s="135" t="n"/>
      <c r="R32" s="135" t="n"/>
      <c r="S32" s="135" t="n"/>
      <c r="T32" s="135" t="n"/>
      <c r="U32" s="135" t="n"/>
      <c r="V32" s="135" t="n"/>
      <c r="W32" s="135" t="n"/>
      <c r="X32" s="135" t="n">
        <v>0.13</v>
      </c>
      <c r="Y32" s="135" t="n">
        <v>4</v>
      </c>
    </row>
    <row r="33" ht="14.25" customHeight="1" s="142">
      <c r="A33" s="135" t="n">
        <v>202</v>
      </c>
      <c r="B33" s="117">
        <f>B12/2</f>
        <v/>
      </c>
      <c r="C33" s="135" t="n"/>
      <c r="D33" s="135" t="n"/>
      <c r="E33" s="135" t="n"/>
      <c r="F33" s="135" t="n"/>
      <c r="G33" s="135" t="n"/>
      <c r="H33" s="135" t="n">
        <v>50</v>
      </c>
      <c r="I33" s="135" t="n"/>
      <c r="J33" s="135" t="n"/>
      <c r="K33" s="135" t="n"/>
      <c r="L33" s="135" t="n"/>
      <c r="M33" s="135" t="n"/>
      <c r="N33" s="135" t="n"/>
      <c r="O33" s="135" t="n"/>
      <c r="P33" s="135" t="n"/>
      <c r="Q33" s="135" t="n"/>
      <c r="R33" s="135" t="n"/>
      <c r="S33" s="135" t="n"/>
      <c r="T33" s="135" t="n"/>
      <c r="U33" s="135" t="n"/>
      <c r="V33" s="135" t="n"/>
      <c r="W33" s="135" t="n"/>
      <c r="X33" s="135" t="n">
        <v>0.13</v>
      </c>
      <c r="Y33" s="135" t="n">
        <v>1</v>
      </c>
    </row>
    <row r="34" ht="14.25" customHeight="1" s="142">
      <c r="A34" s="135" t="n">
        <v>202</v>
      </c>
      <c r="B34" s="117">
        <f>B13/2</f>
        <v/>
      </c>
      <c r="C34" s="135" t="n"/>
      <c r="D34" s="135" t="n"/>
      <c r="E34" s="135" t="n"/>
      <c r="F34" s="135" t="n"/>
      <c r="G34" s="135" t="n"/>
      <c r="H34" s="135" t="n">
        <v>75</v>
      </c>
      <c r="I34" s="135" t="n"/>
      <c r="J34" s="135" t="n"/>
      <c r="K34" s="135" t="n"/>
      <c r="L34" s="135" t="n"/>
      <c r="M34" s="135" t="n"/>
      <c r="N34" s="135" t="n"/>
      <c r="O34" s="135" t="n"/>
      <c r="P34" s="135" t="n"/>
      <c r="Q34" s="135" t="n"/>
      <c r="R34" s="135" t="n"/>
      <c r="S34" s="135" t="n"/>
      <c r="T34" s="135" t="n"/>
      <c r="U34" s="135" t="n"/>
      <c r="V34" s="135" t="n"/>
      <c r="W34" s="135" t="n"/>
      <c r="X34" s="135" t="n">
        <v>0.13</v>
      </c>
      <c r="Y34" s="135" t="n">
        <v>1</v>
      </c>
    </row>
    <row r="35" ht="14.25" customHeight="1" s="142">
      <c r="A35" s="135" t="n">
        <v>202</v>
      </c>
      <c r="B35" s="117">
        <f>B14/2</f>
        <v/>
      </c>
      <c r="C35" s="135" t="n"/>
      <c r="D35" s="135" t="n"/>
      <c r="E35" s="135" t="n"/>
      <c r="F35" s="135" t="n"/>
      <c r="G35" s="135" t="n"/>
      <c r="H35" s="135" t="n">
        <v>135</v>
      </c>
      <c r="I35" s="135" t="n"/>
      <c r="J35" s="135" t="n"/>
      <c r="K35" s="135" t="n"/>
      <c r="L35" s="135" t="n"/>
      <c r="M35" s="135" t="n"/>
      <c r="N35" s="135" t="n"/>
      <c r="O35" s="135" t="n"/>
      <c r="P35" s="135" t="n"/>
      <c r="Q35" s="135" t="n"/>
      <c r="R35" s="135" t="n"/>
      <c r="S35" s="135" t="n"/>
      <c r="T35" s="135" t="n"/>
      <c r="U35" s="135" t="n"/>
      <c r="V35" s="135" t="n"/>
      <c r="W35" s="135" t="n"/>
      <c r="X35" s="135" t="n">
        <v>0.13</v>
      </c>
      <c r="Y35" s="135" t="n">
        <v>2</v>
      </c>
    </row>
    <row r="36" ht="14.25" customHeight="1" s="142">
      <c r="A36" s="135" t="n">
        <v>202</v>
      </c>
      <c r="B36" s="117">
        <f>B15/2</f>
        <v/>
      </c>
      <c r="C36" s="135" t="n"/>
      <c r="D36" s="135" t="n"/>
      <c r="E36" s="135" t="n"/>
      <c r="F36" s="135" t="n"/>
      <c r="G36" s="135" t="n"/>
      <c r="H36" s="135" t="n">
        <v>260</v>
      </c>
      <c r="I36" s="135" t="n"/>
      <c r="J36" s="135" t="n"/>
      <c r="K36" s="135" t="n"/>
      <c r="L36" s="135" t="n"/>
      <c r="M36" s="135" t="n"/>
      <c r="N36" s="135" t="n"/>
      <c r="O36" s="135" t="n"/>
      <c r="P36" s="135" t="n"/>
      <c r="Q36" s="135" t="n"/>
      <c r="R36" s="135" t="n"/>
      <c r="S36" s="135" t="n"/>
      <c r="T36" s="135" t="n"/>
      <c r="U36" s="135" t="n"/>
      <c r="V36" s="135" t="n"/>
      <c r="W36" s="135" t="n"/>
      <c r="X36" s="135" t="n">
        <v>0.13</v>
      </c>
      <c r="Y36" s="135" t="n">
        <v>3</v>
      </c>
    </row>
    <row r="37" ht="14.25" customHeight="1" s="142">
      <c r="A37" s="135" t="n">
        <v>202</v>
      </c>
      <c r="B37" s="117">
        <f>B16/2</f>
        <v/>
      </c>
      <c r="C37" s="135" t="n"/>
      <c r="D37" s="135" t="n"/>
      <c r="E37" s="135" t="n"/>
      <c r="F37" s="135" t="n"/>
      <c r="G37" s="135" t="n"/>
      <c r="H37" s="135" t="n">
        <v>450</v>
      </c>
      <c r="I37" s="135" t="n"/>
      <c r="J37" s="135" t="n"/>
      <c r="K37" s="135" t="n"/>
      <c r="L37" s="135" t="n"/>
      <c r="M37" s="135" t="n"/>
      <c r="N37" s="135" t="n"/>
      <c r="O37" s="135" t="n"/>
      <c r="P37" s="135" t="n"/>
      <c r="Q37" s="135" t="n"/>
      <c r="R37" s="135" t="n"/>
      <c r="S37" s="135" t="n"/>
      <c r="T37" s="135" t="n"/>
      <c r="U37" s="135" t="n"/>
      <c r="V37" s="135" t="n"/>
      <c r="W37" s="135" t="n"/>
      <c r="X37" s="135" t="n">
        <v>0.13</v>
      </c>
      <c r="Y37" s="135" t="n">
        <v>4</v>
      </c>
    </row>
    <row r="38" ht="14.25" customHeight="1" s="142">
      <c r="A38" s="135" t="n">
        <v>202</v>
      </c>
      <c r="B38" s="117">
        <f>B17/2</f>
        <v/>
      </c>
      <c r="C38" s="135" t="n"/>
      <c r="D38" s="135" t="n"/>
      <c r="E38" s="135" t="n"/>
      <c r="F38" s="135" t="n"/>
      <c r="G38" s="135" t="n"/>
      <c r="H38" s="135" t="n"/>
      <c r="I38" s="135" t="n"/>
      <c r="J38" s="135" t="n"/>
      <c r="K38" s="135" t="n"/>
      <c r="L38" s="135" t="n"/>
      <c r="M38" s="135" t="n"/>
      <c r="N38" s="135" t="n"/>
      <c r="O38" s="135" t="n">
        <v>0.02</v>
      </c>
      <c r="P38" s="135" t="n"/>
      <c r="Q38" s="135" t="n"/>
      <c r="R38" s="135" t="n"/>
      <c r="S38" s="135" t="n"/>
      <c r="T38" s="135" t="n"/>
      <c r="U38" s="135" t="n"/>
      <c r="V38" s="135" t="n"/>
      <c r="W38" s="135" t="n"/>
      <c r="X38" s="135" t="n">
        <v>0.13</v>
      </c>
      <c r="Y38" s="135" t="n">
        <v>1</v>
      </c>
    </row>
    <row r="39" ht="14.25" customHeight="1" s="142">
      <c r="A39" s="135" t="n">
        <v>202</v>
      </c>
      <c r="B39" s="117">
        <f>B18/2</f>
        <v/>
      </c>
      <c r="C39" s="135" t="n"/>
      <c r="D39" s="135" t="n"/>
      <c r="E39" s="135" t="n"/>
      <c r="F39" s="135" t="n"/>
      <c r="G39" s="135" t="n"/>
      <c r="H39" s="135" t="n"/>
      <c r="I39" s="135" t="n"/>
      <c r="J39" s="135" t="n"/>
      <c r="K39" s="135" t="n"/>
      <c r="L39" s="135" t="n"/>
      <c r="M39" s="135" t="n"/>
      <c r="N39" s="135" t="n"/>
      <c r="O39" s="135" t="n">
        <v>0.04</v>
      </c>
      <c r="P39" s="135" t="n"/>
      <c r="Q39" s="135" t="n"/>
      <c r="R39" s="135" t="n"/>
      <c r="S39" s="135" t="n"/>
      <c r="T39" s="135" t="n"/>
      <c r="U39" s="135" t="n"/>
      <c r="V39" s="135" t="n"/>
      <c r="W39" s="135" t="n"/>
      <c r="X39" s="135" t="n">
        <v>0.13</v>
      </c>
      <c r="Y39" s="135" t="n">
        <v>1</v>
      </c>
    </row>
    <row r="40" ht="14.25" customHeight="1" s="142">
      <c r="A40" s="135" t="n">
        <v>202</v>
      </c>
      <c r="B40" s="117">
        <f>B19/2</f>
        <v/>
      </c>
      <c r="C40" s="135" t="n"/>
      <c r="D40" s="135" t="n"/>
      <c r="E40" s="135" t="n"/>
      <c r="F40" s="135" t="n"/>
      <c r="G40" s="135" t="n"/>
      <c r="H40" s="135" t="n"/>
      <c r="I40" s="135" t="n"/>
      <c r="J40" s="135" t="n"/>
      <c r="K40" s="135" t="n"/>
      <c r="L40" s="135" t="n"/>
      <c r="M40" s="135" t="n"/>
      <c r="N40" s="135" t="n"/>
      <c r="O40" s="135" t="n">
        <v>0.08</v>
      </c>
      <c r="P40" s="135" t="n"/>
      <c r="Q40" s="135" t="n"/>
      <c r="R40" s="135" t="n"/>
      <c r="S40" s="135" t="n"/>
      <c r="T40" s="135" t="n"/>
      <c r="U40" s="135" t="n"/>
      <c r="V40" s="135" t="n"/>
      <c r="W40" s="135" t="n"/>
      <c r="X40" s="135" t="n">
        <v>0.13</v>
      </c>
      <c r="Y40" s="135" t="n">
        <v>2</v>
      </c>
    </row>
    <row r="41" ht="14.25" customHeight="1" s="142">
      <c r="A41" s="135" t="n">
        <v>202</v>
      </c>
      <c r="B41" s="117">
        <f>B20/2</f>
        <v/>
      </c>
      <c r="C41" s="135" t="n"/>
      <c r="D41" s="135" t="n"/>
      <c r="E41" s="135" t="n"/>
      <c r="F41" s="135" t="n"/>
      <c r="G41" s="135" t="n"/>
      <c r="H41" s="135" t="n"/>
      <c r="I41" s="135" t="n"/>
      <c r="J41" s="135" t="n"/>
      <c r="K41" s="135" t="n"/>
      <c r="L41" s="135" t="n"/>
      <c r="M41" s="135" t="n"/>
      <c r="N41" s="135" t="n"/>
      <c r="O41" s="135" t="n">
        <v>0.15</v>
      </c>
      <c r="P41" s="135" t="n"/>
      <c r="Q41" s="135" t="n"/>
      <c r="R41" s="135" t="n"/>
      <c r="S41" s="135" t="n"/>
      <c r="T41" s="135" t="n"/>
      <c r="U41" s="135" t="n"/>
      <c r="V41" s="135" t="n"/>
      <c r="W41" s="135" t="n"/>
      <c r="X41" s="135" t="n">
        <v>0.13</v>
      </c>
      <c r="Y41" s="135" t="n">
        <v>3</v>
      </c>
    </row>
    <row r="42" ht="14.25" customHeight="1" s="142">
      <c r="A42" s="135" t="n">
        <v>202</v>
      </c>
      <c r="B42" s="117">
        <f>B21/2</f>
        <v/>
      </c>
      <c r="C42" s="135" t="n"/>
      <c r="D42" s="135" t="n"/>
      <c r="E42" s="135" t="n"/>
      <c r="F42" s="135" t="n"/>
      <c r="G42" s="135" t="n"/>
      <c r="H42" s="135" t="n"/>
      <c r="I42" s="135" t="n"/>
      <c r="J42" s="135" t="n"/>
      <c r="K42" s="135" t="n"/>
      <c r="L42" s="135" t="n"/>
      <c r="M42" s="135" t="n"/>
      <c r="N42" s="135" t="n"/>
      <c r="O42" s="135" t="n">
        <v>0.25</v>
      </c>
      <c r="P42" s="135" t="n"/>
      <c r="Q42" s="135" t="n"/>
      <c r="R42" s="135" t="n"/>
      <c r="S42" s="135" t="n"/>
      <c r="T42" s="135" t="n"/>
      <c r="U42" s="135" t="n"/>
      <c r="V42" s="135" t="n"/>
      <c r="W42" s="135" t="n"/>
      <c r="X42" s="135" t="n">
        <v>0.13</v>
      </c>
      <c r="Y42" s="135" t="n">
        <v>4</v>
      </c>
    </row>
    <row r="43" ht="14.25" customHeight="1" s="142">
      <c r="A43" s="135" t="n">
        <v>202</v>
      </c>
      <c r="B43" s="117" t="n">
        <v>1900</v>
      </c>
      <c r="C43" s="135" t="n"/>
      <c r="D43" s="135" t="n"/>
      <c r="E43" s="135" t="n"/>
      <c r="F43" s="135" t="n"/>
      <c r="G43" s="135" t="n"/>
      <c r="H43" s="135" t="n"/>
      <c r="I43" s="135" t="n"/>
      <c r="J43" s="135" t="n">
        <v>0.01</v>
      </c>
      <c r="K43" s="135" t="n"/>
      <c r="L43" s="135" t="n"/>
      <c r="M43" s="135" t="n"/>
      <c r="N43" s="135" t="n"/>
      <c r="O43" s="135" t="n"/>
      <c r="P43" s="135" t="n"/>
      <c r="Q43" s="135" t="n"/>
      <c r="R43" s="135" t="n"/>
      <c r="S43" s="135" t="n"/>
      <c r="T43" s="135" t="n"/>
      <c r="U43" s="135" t="n"/>
      <c r="V43" s="135" t="n"/>
      <c r="W43" s="135" t="n"/>
      <c r="X43" s="135" t="n">
        <v>0.13</v>
      </c>
      <c r="Y43" s="135" t="n">
        <v>1</v>
      </c>
    </row>
    <row r="44" ht="14.25" customHeight="1" s="142">
      <c r="A44" s="135" t="n">
        <v>202</v>
      </c>
      <c r="B44" s="117" t="n">
        <v>400</v>
      </c>
      <c r="C44" s="135" t="n"/>
      <c r="D44" s="135" t="n"/>
      <c r="E44" s="135" t="n"/>
      <c r="F44" s="135" t="n"/>
      <c r="G44" s="135" t="n"/>
      <c r="H44" s="135" t="n"/>
      <c r="I44" s="135" t="n"/>
      <c r="J44" s="135" t="n">
        <v>0.02</v>
      </c>
      <c r="K44" s="135" t="n"/>
      <c r="L44" s="135" t="n"/>
      <c r="M44" s="135" t="n"/>
      <c r="N44" s="135" t="n"/>
      <c r="O44" s="135" t="n"/>
      <c r="P44" s="135" t="n"/>
      <c r="Q44" s="135" t="n"/>
      <c r="R44" s="135" t="n"/>
      <c r="S44" s="135" t="n"/>
      <c r="T44" s="135" t="n"/>
      <c r="U44" s="135" t="n"/>
      <c r="V44" s="135" t="n"/>
      <c r="W44" s="135" t="n"/>
      <c r="X44" s="135" t="n">
        <v>0.13</v>
      </c>
      <c r="Y44" s="135" t="n">
        <v>1</v>
      </c>
    </row>
    <row r="45" ht="14.25" customHeight="1" s="142">
      <c r="A45" s="135" t="n">
        <v>202</v>
      </c>
      <c r="B45" s="117" t="n">
        <v>150</v>
      </c>
      <c r="C45" s="135" t="n"/>
      <c r="D45" s="135" t="n"/>
      <c r="E45" s="135" t="n"/>
      <c r="F45" s="135" t="n"/>
      <c r="G45" s="135" t="n"/>
      <c r="H45" s="135" t="n"/>
      <c r="I45" s="135" t="n"/>
      <c r="J45" s="135" t="n">
        <v>0.04</v>
      </c>
      <c r="K45" s="135" t="n"/>
      <c r="L45" s="135" t="n"/>
      <c r="M45" s="135" t="n"/>
      <c r="N45" s="135" t="n"/>
      <c r="O45" s="135" t="n"/>
      <c r="P45" s="135" t="n"/>
      <c r="Q45" s="135" t="n"/>
      <c r="R45" s="135" t="n"/>
      <c r="S45" s="135" t="n"/>
      <c r="T45" s="135" t="n"/>
      <c r="U45" s="135" t="n"/>
      <c r="V45" s="135" t="n"/>
      <c r="W45" s="135" t="n"/>
      <c r="X45" s="135" t="n">
        <v>0.13</v>
      </c>
      <c r="Y45" s="135" t="n">
        <v>2</v>
      </c>
    </row>
    <row r="46" ht="14.25" customHeight="1" s="142">
      <c r="A46" s="135" t="n">
        <v>202</v>
      </c>
      <c r="B46" s="117" t="n">
        <v>40</v>
      </c>
      <c r="C46" s="135" t="n"/>
      <c r="D46" s="135" t="n"/>
      <c r="E46" s="135" t="n"/>
      <c r="F46" s="135" t="n"/>
      <c r="G46" s="135" t="n"/>
      <c r="H46" s="135" t="n"/>
      <c r="I46" s="135" t="n"/>
      <c r="J46" s="135" t="n">
        <v>0.09</v>
      </c>
      <c r="K46" s="135" t="n"/>
      <c r="L46" s="135" t="n"/>
      <c r="M46" s="135" t="n"/>
      <c r="N46" s="135" t="n"/>
      <c r="O46" s="135" t="n"/>
      <c r="P46" s="135" t="n"/>
      <c r="Q46" s="135" t="n"/>
      <c r="R46" s="135" t="n"/>
      <c r="S46" s="135" t="n"/>
      <c r="T46" s="135" t="n"/>
      <c r="U46" s="135" t="n"/>
      <c r="V46" s="135" t="n"/>
      <c r="W46" s="135" t="n"/>
      <c r="X46" s="135" t="n">
        <v>0.13</v>
      </c>
      <c r="Y46" s="135" t="n">
        <v>3</v>
      </c>
    </row>
    <row r="47" ht="14.25" customHeight="1" s="142">
      <c r="A47" s="135" t="n">
        <v>202</v>
      </c>
      <c r="B47" s="117" t="n">
        <v>10</v>
      </c>
      <c r="C47" s="135" t="n"/>
      <c r="D47" s="135" t="n"/>
      <c r="E47" s="135" t="n"/>
      <c r="F47" s="135" t="n"/>
      <c r="G47" s="135" t="n"/>
      <c r="H47" s="135" t="n"/>
      <c r="I47" s="135" t="n"/>
      <c r="J47" s="135" t="n">
        <v>0.15</v>
      </c>
      <c r="K47" s="135" t="n"/>
      <c r="L47" s="135" t="n"/>
      <c r="M47" s="135" t="n"/>
      <c r="N47" s="135" t="n"/>
      <c r="O47" s="135" t="n"/>
      <c r="P47" s="135" t="n"/>
      <c r="Q47" s="135" t="n"/>
      <c r="R47" s="135" t="n"/>
      <c r="S47" s="135" t="n"/>
      <c r="T47" s="135" t="n"/>
      <c r="U47" s="135" t="n"/>
      <c r="V47" s="135" t="n"/>
      <c r="W47" s="135" t="n"/>
      <c r="X47" s="135" t="n">
        <v>0.13</v>
      </c>
      <c r="Y47" s="135" t="n">
        <v>4</v>
      </c>
    </row>
    <row r="48" ht="14.25" customHeight="1" s="142">
      <c r="A48" s="118" t="n">
        <v>203</v>
      </c>
      <c r="B48" s="118" t="n">
        <v>5350</v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>
        <v>0.11</v>
      </c>
      <c r="Y48" s="119" t="n">
        <v>1</v>
      </c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</row>
    <row r="49" ht="14.25" customHeight="1" s="142">
      <c r="A49" s="118" t="n">
        <v>203</v>
      </c>
      <c r="B49" s="118" t="n">
        <v>550</v>
      </c>
      <c r="C49" s="118" t="n"/>
      <c r="D49" s="118" t="n">
        <v>6</v>
      </c>
      <c r="E49" s="118" t="n"/>
      <c r="F49" s="118" t="n"/>
      <c r="G49" s="118" t="n"/>
      <c r="H49" s="118" t="n"/>
      <c r="I49" s="118" t="n"/>
      <c r="J49" s="118" t="n"/>
      <c r="K49" s="118" t="n"/>
      <c r="L49" s="118" t="n"/>
      <c r="M49" s="118" t="n"/>
      <c r="N49" s="118" t="n"/>
      <c r="O49" s="118" t="n"/>
      <c r="P49" s="118" t="n"/>
      <c r="Q49" s="118" t="n"/>
      <c r="R49" s="118" t="n"/>
      <c r="S49" s="118" t="n"/>
      <c r="T49" s="118" t="n"/>
      <c r="U49" s="118" t="n"/>
      <c r="V49" s="118" t="n"/>
      <c r="W49" s="118" t="n"/>
      <c r="X49" s="118" t="n">
        <v>0.11</v>
      </c>
      <c r="Y49" s="119" t="n">
        <v>1</v>
      </c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</row>
    <row r="50" ht="14.25" customHeight="1" s="142">
      <c r="A50" s="118" t="n">
        <v>203</v>
      </c>
      <c r="B50" s="118">
        <f>B29/2</f>
        <v/>
      </c>
      <c r="C50" s="118" t="n"/>
      <c r="D50" s="118" t="n">
        <v>11</v>
      </c>
      <c r="E50" s="118" t="n"/>
      <c r="F50" s="118" t="n"/>
      <c r="G50" s="118" t="n"/>
      <c r="H50" s="118" t="n"/>
      <c r="I50" s="118" t="n"/>
      <c r="J50" s="118" t="n"/>
      <c r="K50" s="118" t="n"/>
      <c r="L50" s="118" t="n"/>
      <c r="M50" s="118" t="n"/>
      <c r="N50" s="118" t="n"/>
      <c r="O50" s="118" t="n"/>
      <c r="P50" s="118" t="n"/>
      <c r="Q50" s="118" t="n"/>
      <c r="R50" s="118" t="n"/>
      <c r="S50" s="118" t="n"/>
      <c r="T50" s="118" t="n"/>
      <c r="U50" s="118" t="n"/>
      <c r="V50" s="118" t="n"/>
      <c r="W50" s="118" t="n"/>
      <c r="X50" s="118" t="n">
        <v>0.11</v>
      </c>
      <c r="Y50" s="119" t="n">
        <v>1</v>
      </c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</row>
    <row r="51" ht="14.25" customHeight="1" s="142">
      <c r="A51" s="118" t="n">
        <v>203</v>
      </c>
      <c r="B51" s="118" t="n">
        <v>35</v>
      </c>
      <c r="C51" s="118" t="n"/>
      <c r="D51" s="118" t="n">
        <v>20</v>
      </c>
      <c r="E51" s="118" t="n"/>
      <c r="F51" s="118" t="n"/>
      <c r="G51" s="118" t="n"/>
      <c r="H51" s="118" t="n"/>
      <c r="I51" s="118" t="n"/>
      <c r="J51" s="118" t="n"/>
      <c r="K51" s="118" t="n"/>
      <c r="L51" s="118" t="n"/>
      <c r="M51" s="118" t="n"/>
      <c r="N51" s="118" t="n"/>
      <c r="O51" s="118" t="n"/>
      <c r="P51" s="118" t="n"/>
      <c r="Q51" s="118" t="n"/>
      <c r="R51" s="118" t="n"/>
      <c r="S51" s="118" t="n"/>
      <c r="T51" s="118" t="n"/>
      <c r="U51" s="118" t="n"/>
      <c r="V51" s="118" t="n"/>
      <c r="W51" s="118" t="n"/>
      <c r="X51" s="118" t="n">
        <v>0.11</v>
      </c>
      <c r="Y51" s="119" t="n">
        <v>2</v>
      </c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</row>
    <row r="52" ht="14.25" customHeight="1" s="142">
      <c r="A52" s="118" t="n">
        <v>203</v>
      </c>
      <c r="B52" s="118">
        <f>B31/2</f>
        <v/>
      </c>
      <c r="C52" s="118" t="n"/>
      <c r="D52" s="118" t="n">
        <v>38</v>
      </c>
      <c r="E52" s="118" t="n"/>
      <c r="F52" s="118" t="n"/>
      <c r="G52" s="118" t="n"/>
      <c r="H52" s="118" t="n"/>
      <c r="I52" s="118" t="n"/>
      <c r="J52" s="118" t="n"/>
      <c r="K52" s="118" t="n"/>
      <c r="L52" s="118" t="n"/>
      <c r="M52" s="118" t="n"/>
      <c r="N52" s="118" t="n"/>
      <c r="O52" s="118" t="n"/>
      <c r="P52" s="118" t="n"/>
      <c r="Q52" s="118" t="n"/>
      <c r="R52" s="118" t="n"/>
      <c r="S52" s="118" t="n"/>
      <c r="T52" s="118" t="n"/>
      <c r="U52" s="118" t="n"/>
      <c r="V52" s="118" t="n"/>
      <c r="W52" s="118" t="n"/>
      <c r="X52" s="118" t="n">
        <v>0.11</v>
      </c>
      <c r="Y52" s="119" t="n">
        <v>3</v>
      </c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</row>
    <row r="53" ht="14.25" customHeight="1" s="142">
      <c r="A53" s="118" t="n">
        <v>203</v>
      </c>
      <c r="B53" s="118" t="n">
        <v>5</v>
      </c>
      <c r="C53" s="118" t="n"/>
      <c r="D53" s="118" t="n">
        <v>70</v>
      </c>
      <c r="E53" s="118" t="n"/>
      <c r="F53" s="118" t="n"/>
      <c r="G53" s="118" t="n"/>
      <c r="H53" s="118" t="n"/>
      <c r="I53" s="118" t="n"/>
      <c r="J53" s="118" t="n"/>
      <c r="K53" s="118" t="n"/>
      <c r="L53" s="118" t="n"/>
      <c r="M53" s="118" t="n"/>
      <c r="N53" s="118" t="n"/>
      <c r="O53" s="118" t="n"/>
      <c r="P53" s="118" t="n"/>
      <c r="Q53" s="118" t="n"/>
      <c r="R53" s="118" t="n"/>
      <c r="S53" s="118" t="n"/>
      <c r="T53" s="118" t="n"/>
      <c r="U53" s="118" t="n"/>
      <c r="V53" s="118" t="n"/>
      <c r="W53" s="118" t="n"/>
      <c r="X53" s="118" t="n">
        <v>0.11</v>
      </c>
      <c r="Y53" s="119" t="n">
        <v>4</v>
      </c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</row>
    <row r="54" ht="14.25" customHeight="1" s="142">
      <c r="A54" s="118" t="n">
        <v>203</v>
      </c>
      <c r="B54" s="118" t="n">
        <v>550</v>
      </c>
      <c r="C54" s="118" t="n"/>
      <c r="D54" s="118" t="n"/>
      <c r="E54" s="118" t="n">
        <v>8</v>
      </c>
      <c r="F54" s="118" t="n"/>
      <c r="G54" s="118" t="n"/>
      <c r="H54" s="118" t="n"/>
      <c r="I54" s="118" t="n"/>
      <c r="J54" s="118" t="n"/>
      <c r="K54" s="118" t="n"/>
      <c r="L54" s="118" t="n"/>
      <c r="M54" s="118" t="n"/>
      <c r="N54" s="118" t="n"/>
      <c r="O54" s="118" t="n"/>
      <c r="P54" s="118" t="n"/>
      <c r="Q54" s="118" t="n"/>
      <c r="R54" s="118" t="n"/>
      <c r="S54" s="118" t="n"/>
      <c r="T54" s="118" t="n"/>
      <c r="U54" s="118" t="n"/>
      <c r="V54" s="118" t="n"/>
      <c r="W54" s="118" t="n"/>
      <c r="X54" s="118" t="n">
        <v>0.11</v>
      </c>
      <c r="Y54" s="119" t="n">
        <v>1</v>
      </c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</row>
    <row r="55" ht="14.25" customHeight="1" s="142">
      <c r="A55" s="118" t="n">
        <v>203</v>
      </c>
      <c r="B55" s="118">
        <f>B34/2</f>
        <v/>
      </c>
      <c r="C55" s="118" t="n"/>
      <c r="D55" s="118" t="n"/>
      <c r="E55" s="118" t="n">
        <v>12</v>
      </c>
      <c r="F55" s="118" t="n"/>
      <c r="G55" s="118" t="n"/>
      <c r="H55" s="118" t="n"/>
      <c r="I55" s="118" t="n"/>
      <c r="J55" s="118" t="n"/>
      <c r="K55" s="118" t="n"/>
      <c r="L55" s="118" t="n"/>
      <c r="M55" s="118" t="n"/>
      <c r="N55" s="118" t="n"/>
      <c r="O55" s="118" t="n"/>
      <c r="P55" s="118" t="n"/>
      <c r="Q55" s="118" t="n"/>
      <c r="R55" s="118" t="n"/>
      <c r="S55" s="118" t="n"/>
      <c r="T55" s="118" t="n"/>
      <c r="U55" s="118" t="n"/>
      <c r="V55" s="118" t="n"/>
      <c r="W55" s="118" t="n"/>
      <c r="X55" s="118" t="n">
        <v>0.11</v>
      </c>
      <c r="Y55" s="119" t="n">
        <v>1</v>
      </c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</row>
    <row r="56" ht="14.25" customHeight="1" s="142">
      <c r="A56" s="118" t="n">
        <v>203</v>
      </c>
      <c r="B56" s="118" t="n">
        <v>35</v>
      </c>
      <c r="C56" s="118" t="n"/>
      <c r="D56" s="118" t="n"/>
      <c r="E56" s="118" t="n">
        <v>21</v>
      </c>
      <c r="F56" s="118" t="n"/>
      <c r="G56" s="118" t="n"/>
      <c r="H56" s="118" t="n"/>
      <c r="I56" s="118" t="n"/>
      <c r="J56" s="118" t="n"/>
      <c r="K56" s="118" t="n"/>
      <c r="L56" s="118" t="n"/>
      <c r="M56" s="118" t="n"/>
      <c r="N56" s="118" t="n"/>
      <c r="O56" s="118" t="n"/>
      <c r="P56" s="118" t="n"/>
      <c r="Q56" s="118" t="n"/>
      <c r="R56" s="118" t="n"/>
      <c r="S56" s="118" t="n"/>
      <c r="T56" s="118" t="n"/>
      <c r="U56" s="118" t="n"/>
      <c r="V56" s="118" t="n"/>
      <c r="W56" s="118" t="n"/>
      <c r="X56" s="118" t="n">
        <v>0.11</v>
      </c>
      <c r="Y56" s="119" t="n">
        <v>2</v>
      </c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</row>
    <row r="57" ht="14.25" customHeight="1" s="142">
      <c r="A57" s="118" t="n">
        <v>203</v>
      </c>
      <c r="B57" s="118">
        <f>B36/2</f>
        <v/>
      </c>
      <c r="C57" s="118" t="n"/>
      <c r="D57" s="118" t="n"/>
      <c r="E57" s="118" t="n">
        <v>40</v>
      </c>
      <c r="F57" s="118" t="n"/>
      <c r="G57" s="118" t="n"/>
      <c r="H57" s="118" t="n"/>
      <c r="I57" s="118" t="n"/>
      <c r="J57" s="118" t="n"/>
      <c r="K57" s="118" t="n"/>
      <c r="L57" s="118" t="n"/>
      <c r="M57" s="118" t="n"/>
      <c r="N57" s="118" t="n"/>
      <c r="O57" s="118" t="n"/>
      <c r="P57" s="118" t="n"/>
      <c r="Q57" s="118" t="n"/>
      <c r="R57" s="118" t="n"/>
      <c r="S57" s="118" t="n"/>
      <c r="T57" s="118" t="n"/>
      <c r="U57" s="118" t="n"/>
      <c r="V57" s="118" t="n"/>
      <c r="W57" s="118" t="n"/>
      <c r="X57" s="118" t="n">
        <v>0.11</v>
      </c>
      <c r="Y57" s="119" t="n">
        <v>3</v>
      </c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</row>
    <row r="58" ht="14.25" customHeight="1" s="142">
      <c r="A58" s="118" t="n">
        <v>203</v>
      </c>
      <c r="B58" s="118" t="n">
        <v>5</v>
      </c>
      <c r="C58" s="118" t="n"/>
      <c r="D58" s="118" t="n"/>
      <c r="E58" s="118" t="n">
        <v>74</v>
      </c>
      <c r="F58" s="118" t="n"/>
      <c r="G58" s="118" t="n"/>
      <c r="H58" s="118" t="n"/>
      <c r="I58" s="118" t="n"/>
      <c r="J58" s="118" t="n"/>
      <c r="K58" s="118" t="n"/>
      <c r="L58" s="118" t="n"/>
      <c r="M58" s="118" t="n"/>
      <c r="N58" s="118" t="n"/>
      <c r="O58" s="118" t="n"/>
      <c r="P58" s="118" t="n"/>
      <c r="Q58" s="118" t="n"/>
      <c r="R58" s="118" t="n"/>
      <c r="S58" s="118" t="n"/>
      <c r="T58" s="118" t="n"/>
      <c r="U58" s="118" t="n"/>
      <c r="V58" s="118" t="n"/>
      <c r="W58" s="118" t="n"/>
      <c r="X58" s="118" t="n">
        <v>0.11</v>
      </c>
      <c r="Y58" s="119" t="n">
        <v>4</v>
      </c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</row>
    <row r="59" ht="14.25" customHeight="1" s="142">
      <c r="A59" s="118" t="n">
        <v>203</v>
      </c>
      <c r="B59" s="118" t="n">
        <v>550</v>
      </c>
      <c r="C59" s="118" t="n"/>
      <c r="D59" s="118" t="n"/>
      <c r="E59" s="118" t="n"/>
      <c r="F59" s="118" t="n"/>
      <c r="G59" s="118" t="n"/>
      <c r="H59" s="118" t="n">
        <v>50</v>
      </c>
      <c r="I59" s="118" t="n"/>
      <c r="J59" s="118" t="n"/>
      <c r="K59" s="118" t="n"/>
      <c r="L59" s="118" t="n"/>
      <c r="M59" s="118" t="n"/>
      <c r="N59" s="118" t="n"/>
      <c r="O59" s="118" t="n"/>
      <c r="P59" s="118" t="n"/>
      <c r="Q59" s="118" t="n"/>
      <c r="R59" s="118" t="n"/>
      <c r="S59" s="118" t="n"/>
      <c r="T59" s="118" t="n"/>
      <c r="U59" s="118" t="n"/>
      <c r="V59" s="118" t="n"/>
      <c r="W59" s="118" t="n"/>
      <c r="X59" s="118" t="n">
        <v>0.11</v>
      </c>
      <c r="Y59" s="119" t="n">
        <v>1</v>
      </c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</row>
    <row r="60" ht="14.25" customHeight="1" s="142">
      <c r="A60" s="118" t="n">
        <v>203</v>
      </c>
      <c r="B60" s="118">
        <f>B39/2</f>
        <v/>
      </c>
      <c r="C60" s="118" t="n"/>
      <c r="D60" s="118" t="n"/>
      <c r="E60" s="118" t="n"/>
      <c r="F60" s="118" t="n"/>
      <c r="G60" s="118" t="n"/>
      <c r="H60" s="118" t="n">
        <v>75</v>
      </c>
      <c r="I60" s="118" t="n"/>
      <c r="J60" s="118" t="n"/>
      <c r="K60" s="118" t="n"/>
      <c r="L60" s="118" t="n"/>
      <c r="M60" s="118" t="n"/>
      <c r="N60" s="118" t="n"/>
      <c r="O60" s="118" t="n"/>
      <c r="P60" s="118" t="n"/>
      <c r="Q60" s="118" t="n"/>
      <c r="R60" s="118" t="n"/>
      <c r="S60" s="118" t="n"/>
      <c r="T60" s="118" t="n"/>
      <c r="U60" s="118" t="n"/>
      <c r="V60" s="118" t="n"/>
      <c r="W60" s="118" t="n"/>
      <c r="X60" s="118" t="n">
        <v>0.11</v>
      </c>
      <c r="Y60" s="119" t="n">
        <v>1</v>
      </c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</row>
    <row r="61" ht="14.25" customHeight="1" s="142">
      <c r="A61" s="118" t="n">
        <v>203</v>
      </c>
      <c r="B61" s="118" t="n">
        <v>35</v>
      </c>
      <c r="C61" s="118" t="n"/>
      <c r="D61" s="118" t="n"/>
      <c r="E61" s="118" t="n"/>
      <c r="F61" s="118" t="n"/>
      <c r="G61" s="118" t="n"/>
      <c r="H61" s="118" t="n">
        <v>135</v>
      </c>
      <c r="I61" s="118" t="n"/>
      <c r="J61" s="118" t="n"/>
      <c r="K61" s="118" t="n"/>
      <c r="L61" s="118" t="n"/>
      <c r="M61" s="118" t="n"/>
      <c r="N61" s="118" t="n"/>
      <c r="O61" s="118" t="n"/>
      <c r="P61" s="118" t="n"/>
      <c r="Q61" s="118" t="n"/>
      <c r="R61" s="118" t="n"/>
      <c r="S61" s="118" t="n"/>
      <c r="T61" s="118" t="n"/>
      <c r="U61" s="118" t="n"/>
      <c r="V61" s="118" t="n"/>
      <c r="W61" s="118" t="n"/>
      <c r="X61" s="118" t="n">
        <v>0.11</v>
      </c>
      <c r="Y61" s="119" t="n">
        <v>2</v>
      </c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</row>
    <row r="62" ht="14.25" customHeight="1" s="142">
      <c r="A62" s="118" t="n">
        <v>203</v>
      </c>
      <c r="B62" s="118" t="n">
        <v>10</v>
      </c>
      <c r="C62" s="118" t="n"/>
      <c r="D62" s="118" t="n"/>
      <c r="E62" s="118" t="n"/>
      <c r="F62" s="118" t="n"/>
      <c r="G62" s="118" t="n"/>
      <c r="H62" s="118" t="n">
        <v>260</v>
      </c>
      <c r="I62" s="118" t="n"/>
      <c r="J62" s="118" t="n"/>
      <c r="K62" s="118" t="n"/>
      <c r="L62" s="118" t="n"/>
      <c r="M62" s="118" t="n"/>
      <c r="N62" s="118" t="n"/>
      <c r="O62" s="118" t="n"/>
      <c r="P62" s="118" t="n"/>
      <c r="Q62" s="118" t="n"/>
      <c r="R62" s="118" t="n"/>
      <c r="S62" s="118" t="n"/>
      <c r="T62" s="118" t="n"/>
      <c r="U62" s="118" t="n"/>
      <c r="V62" s="118" t="n"/>
      <c r="W62" s="118" t="n"/>
      <c r="X62" s="118" t="n">
        <v>0.11</v>
      </c>
      <c r="Y62" s="119" t="n">
        <v>3</v>
      </c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</row>
    <row r="63" ht="14.25" customHeight="1" s="142">
      <c r="A63" s="118" t="n">
        <v>203</v>
      </c>
      <c r="B63" s="118" t="n">
        <v>5</v>
      </c>
      <c r="C63" s="118" t="n"/>
      <c r="D63" s="118" t="n"/>
      <c r="E63" s="118" t="n"/>
      <c r="F63" s="118" t="n"/>
      <c r="G63" s="118" t="n"/>
      <c r="H63" s="118" t="n">
        <v>450</v>
      </c>
      <c r="I63" s="118" t="n"/>
      <c r="J63" s="118" t="n"/>
      <c r="K63" s="118" t="n"/>
      <c r="L63" s="118" t="n"/>
      <c r="M63" s="118" t="n"/>
      <c r="N63" s="118" t="n"/>
      <c r="O63" s="118" t="n"/>
      <c r="P63" s="118" t="n"/>
      <c r="Q63" s="118" t="n"/>
      <c r="R63" s="118" t="n"/>
      <c r="S63" s="118" t="n"/>
      <c r="T63" s="118" t="n"/>
      <c r="U63" s="118" t="n"/>
      <c r="V63" s="118" t="n"/>
      <c r="W63" s="118" t="n"/>
      <c r="X63" s="118" t="n">
        <v>0.11</v>
      </c>
      <c r="Y63" s="119" t="n">
        <v>4</v>
      </c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</row>
    <row r="64" ht="14.25" customHeight="1" s="142">
      <c r="A64" s="118" t="n">
        <v>203</v>
      </c>
      <c r="B64" s="118" t="n">
        <v>550</v>
      </c>
      <c r="C64" s="118" t="n"/>
      <c r="D64" s="118" t="n"/>
      <c r="E64" s="118" t="n"/>
      <c r="F64" s="118" t="n"/>
      <c r="G64" s="118" t="n"/>
      <c r="H64" s="118" t="n"/>
      <c r="I64" s="118" t="n"/>
      <c r="J64" s="118" t="n"/>
      <c r="K64" s="118" t="n"/>
      <c r="L64" s="118" t="n"/>
      <c r="M64" s="118" t="n"/>
      <c r="N64" s="118" t="n"/>
      <c r="O64" s="118" t="n">
        <v>0.02</v>
      </c>
      <c r="P64" s="118" t="n"/>
      <c r="Q64" s="118" t="n"/>
      <c r="R64" s="118" t="n"/>
      <c r="S64" s="118" t="n"/>
      <c r="T64" s="118" t="n"/>
      <c r="U64" s="118" t="n"/>
      <c r="V64" s="118" t="n"/>
      <c r="W64" s="118" t="n"/>
      <c r="X64" s="118" t="n">
        <v>0.11</v>
      </c>
      <c r="Y64" s="119" t="n">
        <v>1</v>
      </c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</row>
    <row r="65" ht="14.25" customHeight="1" s="142">
      <c r="A65" s="118" t="n">
        <v>203</v>
      </c>
      <c r="B65" s="118">
        <f>B44/2</f>
        <v/>
      </c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  <c r="L65" s="118" t="n"/>
      <c r="M65" s="118" t="n"/>
      <c r="N65" s="118" t="n"/>
      <c r="O65" s="118" t="n">
        <v>0.04</v>
      </c>
      <c r="P65" s="118" t="n"/>
      <c r="Q65" s="118" t="n"/>
      <c r="R65" s="118" t="n"/>
      <c r="S65" s="118" t="n"/>
      <c r="T65" s="118" t="n"/>
      <c r="U65" s="118" t="n"/>
      <c r="V65" s="118" t="n"/>
      <c r="W65" s="118" t="n"/>
      <c r="X65" s="118" t="n">
        <v>0.11</v>
      </c>
      <c r="Y65" s="119" t="n">
        <v>1</v>
      </c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</row>
    <row r="66" ht="14.25" customHeight="1" s="142">
      <c r="A66" s="118" t="n">
        <v>203</v>
      </c>
      <c r="B66" s="118" t="n">
        <v>35</v>
      </c>
      <c r="C66" s="118" t="n"/>
      <c r="D66" s="118" t="n"/>
      <c r="E66" s="118" t="n"/>
      <c r="F66" s="118" t="n"/>
      <c r="G66" s="118" t="n"/>
      <c r="H66" s="118" t="n"/>
      <c r="I66" s="118" t="n"/>
      <c r="J66" s="118" t="n"/>
      <c r="K66" s="118" t="n"/>
      <c r="L66" s="118" t="n"/>
      <c r="M66" s="118" t="n"/>
      <c r="N66" s="118" t="n"/>
      <c r="O66" s="118" t="n">
        <v>0.08</v>
      </c>
      <c r="P66" s="118" t="n"/>
      <c r="Q66" s="118" t="n"/>
      <c r="R66" s="118" t="n"/>
      <c r="S66" s="118" t="n"/>
      <c r="T66" s="118" t="n"/>
      <c r="U66" s="118" t="n"/>
      <c r="V66" s="118" t="n"/>
      <c r="W66" s="118" t="n"/>
      <c r="X66" s="118" t="n">
        <v>0.11</v>
      </c>
      <c r="Y66" s="119" t="n">
        <v>2</v>
      </c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</row>
    <row r="67" ht="14.25" customHeight="1" s="142">
      <c r="A67" s="118" t="n">
        <v>203</v>
      </c>
      <c r="B67" s="118" t="n">
        <v>10</v>
      </c>
      <c r="C67" s="118" t="n"/>
      <c r="D67" s="118" t="n"/>
      <c r="E67" s="118" t="n"/>
      <c r="F67" s="118" t="n"/>
      <c r="G67" s="118" t="n"/>
      <c r="H67" s="118" t="n"/>
      <c r="I67" s="118" t="n"/>
      <c r="J67" s="118" t="n"/>
      <c r="K67" s="118" t="n"/>
      <c r="L67" s="118" t="n"/>
      <c r="M67" s="118" t="n"/>
      <c r="N67" s="118" t="n"/>
      <c r="O67" s="118" t="n">
        <v>0.15</v>
      </c>
      <c r="P67" s="118" t="n"/>
      <c r="Q67" s="118" t="n"/>
      <c r="R67" s="118" t="n"/>
      <c r="S67" s="118" t="n"/>
      <c r="T67" s="118" t="n"/>
      <c r="U67" s="118" t="n"/>
      <c r="V67" s="118" t="n"/>
      <c r="W67" s="118" t="n"/>
      <c r="X67" s="118" t="n">
        <v>0.11</v>
      </c>
      <c r="Y67" s="119" t="n">
        <v>3</v>
      </c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</row>
    <row r="68" ht="14.25" customHeight="1" s="142">
      <c r="A68" s="118" t="n">
        <v>203</v>
      </c>
      <c r="B68" s="118" t="n">
        <v>5</v>
      </c>
      <c r="C68" s="118" t="n"/>
      <c r="D68" s="118" t="n"/>
      <c r="E68" s="118" t="n"/>
      <c r="F68" s="118" t="n"/>
      <c r="G68" s="118" t="n"/>
      <c r="H68" s="118" t="n"/>
      <c r="I68" s="118" t="n"/>
      <c r="J68" s="118" t="n"/>
      <c r="K68" s="118" t="n"/>
      <c r="L68" s="118" t="n"/>
      <c r="M68" s="118" t="n"/>
      <c r="N68" s="118" t="n"/>
      <c r="O68" s="118" t="n">
        <v>0.25</v>
      </c>
      <c r="P68" s="118" t="n"/>
      <c r="Q68" s="118" t="n"/>
      <c r="R68" s="118" t="n"/>
      <c r="S68" s="118" t="n"/>
      <c r="T68" s="118" t="n"/>
      <c r="U68" s="118" t="n"/>
      <c r="V68" s="118" t="n"/>
      <c r="W68" s="118" t="n"/>
      <c r="X68" s="118" t="n">
        <v>0.11</v>
      </c>
      <c r="Y68" s="119" t="n">
        <v>4</v>
      </c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</row>
    <row r="69" ht="14.25" customHeight="1" s="142">
      <c r="A69" s="118" t="n">
        <v>203</v>
      </c>
      <c r="B69" s="118" t="n">
        <v>550</v>
      </c>
      <c r="C69" s="118" t="n"/>
      <c r="D69" s="118" t="n"/>
      <c r="E69" s="118" t="n"/>
      <c r="F69" s="118" t="n"/>
      <c r="G69" s="118" t="n"/>
      <c r="H69" s="118" t="n"/>
      <c r="I69" s="118" t="n"/>
      <c r="J69" s="118" t="n">
        <v>0.01</v>
      </c>
      <c r="K69" s="118" t="n"/>
      <c r="L69" s="118" t="n"/>
      <c r="M69" s="118" t="n"/>
      <c r="N69" s="118" t="n"/>
      <c r="O69" s="118" t="n"/>
      <c r="P69" s="118" t="n"/>
      <c r="Q69" s="118" t="n"/>
      <c r="R69" s="118" t="n"/>
      <c r="S69" s="118" t="n"/>
      <c r="T69" s="118" t="n"/>
      <c r="U69" s="118" t="n"/>
      <c r="V69" s="118" t="n"/>
      <c r="W69" s="118" t="n"/>
      <c r="X69" s="118" t="n">
        <v>0.11</v>
      </c>
      <c r="Y69" s="119" t="n">
        <v>1</v>
      </c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</row>
    <row r="70" ht="14.25" customHeight="1" s="142">
      <c r="A70" s="118" t="n">
        <v>203</v>
      </c>
      <c r="B70" s="118">
        <f>B49/2</f>
        <v/>
      </c>
      <c r="C70" s="118" t="n"/>
      <c r="D70" s="118" t="n"/>
      <c r="E70" s="118" t="n"/>
      <c r="F70" s="118" t="n"/>
      <c r="G70" s="118" t="n"/>
      <c r="H70" s="118" t="n"/>
      <c r="I70" s="118" t="n"/>
      <c r="J70" s="118" t="n">
        <v>0.02</v>
      </c>
      <c r="K70" s="118" t="n"/>
      <c r="L70" s="118" t="n"/>
      <c r="M70" s="118" t="n"/>
      <c r="N70" s="118" t="n"/>
      <c r="O70" s="118" t="n"/>
      <c r="P70" s="118" t="n"/>
      <c r="Q70" s="118" t="n"/>
      <c r="R70" s="118" t="n"/>
      <c r="S70" s="118" t="n"/>
      <c r="T70" s="118" t="n"/>
      <c r="U70" s="118" t="n"/>
      <c r="V70" s="118" t="n"/>
      <c r="W70" s="118" t="n"/>
      <c r="X70" s="118" t="n">
        <v>0.11</v>
      </c>
      <c r="Y70" s="119" t="n">
        <v>1</v>
      </c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</row>
    <row r="71" ht="14.25" customHeight="1" s="142">
      <c r="A71" s="118" t="n">
        <v>203</v>
      </c>
      <c r="B71" s="118" t="n">
        <v>35</v>
      </c>
      <c r="C71" s="118" t="n"/>
      <c r="D71" s="118" t="n"/>
      <c r="E71" s="118" t="n"/>
      <c r="F71" s="118" t="n"/>
      <c r="G71" s="118" t="n"/>
      <c r="H71" s="118" t="n"/>
      <c r="I71" s="118" t="n"/>
      <c r="J71" s="118" t="n">
        <v>0.04</v>
      </c>
      <c r="K71" s="118" t="n"/>
      <c r="L71" s="118" t="n"/>
      <c r="M71" s="118" t="n"/>
      <c r="N71" s="118" t="n"/>
      <c r="O71" s="118" t="n"/>
      <c r="P71" s="118" t="n"/>
      <c r="Q71" s="118" t="n"/>
      <c r="R71" s="118" t="n"/>
      <c r="S71" s="118" t="n"/>
      <c r="T71" s="118" t="n"/>
      <c r="U71" s="118" t="n"/>
      <c r="V71" s="118" t="n"/>
      <c r="W71" s="118" t="n"/>
      <c r="X71" s="118" t="n">
        <v>0.11</v>
      </c>
      <c r="Y71" s="119" t="n">
        <v>2</v>
      </c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</row>
    <row r="72" ht="14.25" customHeight="1" s="142">
      <c r="A72" s="118" t="n">
        <v>203</v>
      </c>
      <c r="B72" s="118" t="n">
        <v>10</v>
      </c>
      <c r="C72" s="118" t="n"/>
      <c r="D72" s="118" t="n"/>
      <c r="E72" s="118" t="n"/>
      <c r="F72" s="118" t="n"/>
      <c r="G72" s="118" t="n"/>
      <c r="H72" s="118" t="n"/>
      <c r="I72" s="118" t="n"/>
      <c r="J72" s="118" t="n">
        <v>0.09</v>
      </c>
      <c r="K72" s="118" t="n"/>
      <c r="L72" s="118" t="n"/>
      <c r="M72" s="118" t="n"/>
      <c r="N72" s="118" t="n"/>
      <c r="O72" s="118" t="n"/>
      <c r="P72" s="118" t="n"/>
      <c r="Q72" s="118" t="n"/>
      <c r="R72" s="118" t="n"/>
      <c r="S72" s="118" t="n"/>
      <c r="T72" s="118" t="n"/>
      <c r="U72" s="118" t="n"/>
      <c r="V72" s="118" t="n"/>
      <c r="W72" s="118" t="n"/>
      <c r="X72" s="118" t="n">
        <v>0.11</v>
      </c>
      <c r="Y72" s="119" t="n">
        <v>3</v>
      </c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</row>
    <row r="73" ht="14.25" customHeight="1" s="142">
      <c r="A73" s="118" t="n">
        <v>203</v>
      </c>
      <c r="B73" s="118" t="n">
        <v>5</v>
      </c>
      <c r="C73" s="118" t="n"/>
      <c r="D73" s="118" t="n"/>
      <c r="E73" s="118" t="n"/>
      <c r="F73" s="118" t="n"/>
      <c r="G73" s="118" t="n"/>
      <c r="H73" s="118" t="n"/>
      <c r="I73" s="118" t="n"/>
      <c r="J73" s="118" t="n">
        <v>0.15</v>
      </c>
      <c r="K73" s="118" t="n"/>
      <c r="L73" s="118" t="n"/>
      <c r="M73" s="118" t="n"/>
      <c r="N73" s="118" t="n"/>
      <c r="O73" s="118" t="n"/>
      <c r="P73" s="118" t="n"/>
      <c r="Q73" s="118" t="n"/>
      <c r="R73" s="118" t="n"/>
      <c r="S73" s="118" t="n"/>
      <c r="T73" s="118" t="n"/>
      <c r="U73" s="118" t="n"/>
      <c r="V73" s="118" t="n"/>
      <c r="W73" s="118" t="n"/>
      <c r="X73" s="118" t="n">
        <v>0.11</v>
      </c>
      <c r="Y73" s="119" t="n">
        <v>4</v>
      </c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</row>
    <row r="74" ht="14.25" customHeight="1" s="142">
      <c r="A74" s="118" t="n">
        <v>203</v>
      </c>
      <c r="B74" s="118" t="n">
        <v>550</v>
      </c>
      <c r="C74" s="118" t="n"/>
      <c r="D74" s="118" t="n"/>
      <c r="E74" s="118" t="n"/>
      <c r="F74" s="118" t="n"/>
      <c r="G74" s="118" t="n"/>
      <c r="H74" s="118" t="n"/>
      <c r="I74" s="118" t="n"/>
      <c r="J74" s="118" t="n"/>
      <c r="K74" s="118" t="n"/>
      <c r="L74" s="118" t="n"/>
      <c r="M74" s="118" t="n"/>
      <c r="N74" s="118" t="n"/>
      <c r="O74" s="118" t="n"/>
      <c r="P74" s="118" t="n"/>
      <c r="Q74" s="118" t="n"/>
      <c r="R74" s="118" t="n"/>
      <c r="S74" s="118" t="n"/>
      <c r="T74" s="118" t="n">
        <v>0.02</v>
      </c>
      <c r="U74" s="118" t="n"/>
      <c r="V74" s="118" t="n"/>
      <c r="W74" s="118" t="n"/>
      <c r="X74" s="118" t="n">
        <v>0.11</v>
      </c>
      <c r="Y74" s="119" t="n">
        <v>1</v>
      </c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</row>
    <row r="75" ht="14.25" customHeight="1" s="142">
      <c r="A75" s="118" t="n">
        <v>203</v>
      </c>
      <c r="B75" s="118">
        <f>B54/2</f>
        <v/>
      </c>
      <c r="C75" s="118" t="n"/>
      <c r="D75" s="118" t="n"/>
      <c r="E75" s="118" t="n"/>
      <c r="F75" s="118" t="n"/>
      <c r="G75" s="118" t="n"/>
      <c r="H75" s="118" t="n"/>
      <c r="I75" s="118" t="n"/>
      <c r="J75" s="118" t="n"/>
      <c r="K75" s="118" t="n"/>
      <c r="L75" s="118" t="n"/>
      <c r="M75" s="118" t="n"/>
      <c r="N75" s="118" t="n"/>
      <c r="O75" s="118" t="n"/>
      <c r="P75" s="118" t="n"/>
      <c r="Q75" s="118" t="n"/>
      <c r="R75" s="118" t="n"/>
      <c r="S75" s="118" t="n"/>
      <c r="T75" s="118" t="n">
        <v>0.04</v>
      </c>
      <c r="U75" s="118" t="n"/>
      <c r="V75" s="118" t="n"/>
      <c r="W75" s="118" t="n"/>
      <c r="X75" s="118" t="n">
        <v>0.11</v>
      </c>
      <c r="Y75" s="119" t="n">
        <v>1</v>
      </c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</row>
    <row r="76" ht="14.25" customHeight="1" s="142">
      <c r="A76" s="118" t="n">
        <v>203</v>
      </c>
      <c r="B76" s="118" t="n">
        <v>35</v>
      </c>
      <c r="C76" s="118" t="n"/>
      <c r="D76" s="118" t="n"/>
      <c r="E76" s="118" t="n"/>
      <c r="F76" s="118" t="n"/>
      <c r="G76" s="118" t="n"/>
      <c r="H76" s="118" t="n"/>
      <c r="I76" s="118" t="n"/>
      <c r="J76" s="118" t="n"/>
      <c r="K76" s="118" t="n"/>
      <c r="L76" s="118" t="n"/>
      <c r="M76" s="118" t="n"/>
      <c r="N76" s="118" t="n"/>
      <c r="O76" s="118" t="n"/>
      <c r="P76" s="118" t="n"/>
      <c r="Q76" s="118" t="n"/>
      <c r="R76" s="118" t="n"/>
      <c r="S76" s="118" t="n"/>
      <c r="T76" s="118" t="n">
        <v>0.08</v>
      </c>
      <c r="U76" s="118" t="n"/>
      <c r="V76" s="118" t="n"/>
      <c r="W76" s="118" t="n"/>
      <c r="X76" s="118" t="n">
        <v>0.11</v>
      </c>
      <c r="Y76" s="119" t="n">
        <v>2</v>
      </c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</row>
    <row r="77" ht="14.25" customHeight="1" s="142">
      <c r="A77" s="118" t="n">
        <v>203</v>
      </c>
      <c r="B77" s="118" t="n">
        <v>10</v>
      </c>
      <c r="C77" s="118" t="n"/>
      <c r="D77" s="118" t="n"/>
      <c r="E77" s="118" t="n"/>
      <c r="F77" s="118" t="n"/>
      <c r="G77" s="118" t="n"/>
      <c r="H77" s="118" t="n"/>
      <c r="I77" s="118" t="n"/>
      <c r="J77" s="118" t="n"/>
      <c r="K77" s="118" t="n"/>
      <c r="L77" s="118" t="n"/>
      <c r="M77" s="118" t="n"/>
      <c r="N77" s="118" t="n"/>
      <c r="O77" s="118" t="n"/>
      <c r="P77" s="118" t="n"/>
      <c r="Q77" s="118" t="n"/>
      <c r="R77" s="118" t="n"/>
      <c r="S77" s="118" t="n"/>
      <c r="T77" s="118" t="n">
        <v>0.15</v>
      </c>
      <c r="U77" s="118" t="n"/>
      <c r="V77" s="118" t="n"/>
      <c r="W77" s="118" t="n"/>
      <c r="X77" s="118" t="n">
        <v>0.11</v>
      </c>
      <c r="Y77" s="119" t="n">
        <v>3</v>
      </c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</row>
    <row r="78" ht="14.25" customHeight="1" s="142">
      <c r="A78" s="118" t="n">
        <v>203</v>
      </c>
      <c r="B78" s="118" t="n">
        <v>5</v>
      </c>
      <c r="C78" s="118" t="n"/>
      <c r="D78" s="118" t="n"/>
      <c r="E78" s="118" t="n"/>
      <c r="F78" s="118" t="n"/>
      <c r="G78" s="118" t="n"/>
      <c r="H78" s="118" t="n"/>
      <c r="I78" s="118" t="n"/>
      <c r="J78" s="118" t="n"/>
      <c r="K78" s="118" t="n"/>
      <c r="L78" s="118" t="n"/>
      <c r="M78" s="118" t="n"/>
      <c r="N78" s="118" t="n"/>
      <c r="O78" s="118" t="n"/>
      <c r="P78" s="118" t="n"/>
      <c r="Q78" s="118" t="n"/>
      <c r="R78" s="118" t="n"/>
      <c r="S78" s="118" t="n"/>
      <c r="T78" s="118" t="n">
        <v>0.25</v>
      </c>
      <c r="U78" s="118" t="n"/>
      <c r="V78" s="118" t="n"/>
      <c r="W78" s="118" t="n"/>
      <c r="X78" s="118" t="n">
        <v>0.11</v>
      </c>
      <c r="Y78" s="119" t="n">
        <v>4</v>
      </c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</row>
    <row r="79" ht="14.25" customHeight="1" s="142">
      <c r="A79" s="117" t="n">
        <v>204</v>
      </c>
      <c r="B79" s="117" t="n">
        <v>4050</v>
      </c>
      <c r="C79" s="117" t="n"/>
      <c r="D79" s="117" t="n"/>
      <c r="E79" s="117" t="n"/>
      <c r="F79" s="117" t="n"/>
      <c r="G79" s="117" t="n"/>
      <c r="H79" s="117" t="n"/>
      <c r="I79" s="117" t="n"/>
      <c r="J79" s="117" t="n"/>
      <c r="K79" s="117" t="n"/>
      <c r="L79" s="117" t="n"/>
      <c r="M79" s="117" t="n"/>
      <c r="N79" s="117" t="n"/>
      <c r="O79" s="117" t="n"/>
      <c r="P79" s="117" t="n"/>
      <c r="Q79" s="117" t="n"/>
      <c r="R79" s="117" t="n"/>
      <c r="S79" s="117" t="n"/>
      <c r="T79" s="117" t="n"/>
      <c r="U79" s="117" t="n"/>
      <c r="V79" s="117" t="n"/>
      <c r="W79" s="117" t="n"/>
      <c r="X79" s="117" t="n">
        <v>0.08</v>
      </c>
      <c r="Y79" s="117" t="n">
        <v>1</v>
      </c>
      <c r="Z79" s="121" t="n"/>
      <c r="AA79" s="121" t="n"/>
      <c r="AB79" s="121" t="n"/>
      <c r="AC79" s="121" t="n"/>
      <c r="AD79" s="121" t="n"/>
      <c r="AE79" s="121" t="n"/>
      <c r="AF79" s="121" t="n"/>
      <c r="AG79" s="121" t="n"/>
      <c r="AH79" s="121" t="n"/>
      <c r="AI79" s="121" t="n"/>
      <c r="AJ79" s="121" t="n"/>
    </row>
    <row r="80" ht="14.25" customHeight="1" s="142">
      <c r="A80" s="117" t="n">
        <v>204</v>
      </c>
      <c r="B80" s="117" t="n">
        <v>650</v>
      </c>
      <c r="C80" s="117" t="n"/>
      <c r="D80" s="117" t="n">
        <v>6</v>
      </c>
      <c r="E80" s="117" t="n"/>
      <c r="F80" s="117" t="n"/>
      <c r="G80" s="117" t="n"/>
      <c r="H80" s="117" t="n"/>
      <c r="I80" s="117" t="n"/>
      <c r="J80" s="117" t="n"/>
      <c r="K80" s="117" t="n"/>
      <c r="L80" s="117" t="n"/>
      <c r="M80" s="117" t="n"/>
      <c r="N80" s="117" t="n"/>
      <c r="O80" s="117" t="n"/>
      <c r="P80" s="117" t="n"/>
      <c r="Q80" s="117" t="n"/>
      <c r="R80" s="117" t="n"/>
      <c r="S80" s="117" t="n"/>
      <c r="T80" s="117" t="n"/>
      <c r="U80" s="117" t="n"/>
      <c r="V80" s="117" t="n"/>
      <c r="W80" s="117" t="n"/>
      <c r="X80" s="117" t="n">
        <v>0.08</v>
      </c>
      <c r="Y80" s="117" t="n">
        <v>1</v>
      </c>
      <c r="Z80" s="121" t="n"/>
      <c r="AA80" s="121" t="n"/>
      <c r="AB80" s="121" t="n"/>
      <c r="AC80" s="121" t="n"/>
      <c r="AD80" s="121" t="n"/>
      <c r="AE80" s="121" t="n"/>
      <c r="AF80" s="121" t="n"/>
      <c r="AG80" s="121" t="n"/>
      <c r="AH80" s="121" t="n"/>
      <c r="AI80" s="121" t="n"/>
      <c r="AJ80" s="121" t="n"/>
    </row>
    <row r="81" ht="14.25" customHeight="1" s="142">
      <c r="A81" s="117" t="n">
        <v>204</v>
      </c>
      <c r="B81" s="117" t="n">
        <v>150</v>
      </c>
      <c r="C81" s="117" t="n"/>
      <c r="D81" s="117" t="n">
        <v>11</v>
      </c>
      <c r="E81" s="117" t="n"/>
      <c r="F81" s="117" t="n"/>
      <c r="G81" s="117" t="n"/>
      <c r="H81" s="117" t="n"/>
      <c r="I81" s="117" t="n"/>
      <c r="J81" s="117" t="n"/>
      <c r="K81" s="117" t="n"/>
      <c r="L81" s="117" t="n"/>
      <c r="M81" s="117" t="n"/>
      <c r="N81" s="117" t="n"/>
      <c r="O81" s="117" t="n"/>
      <c r="P81" s="117" t="n"/>
      <c r="Q81" s="117" t="n"/>
      <c r="R81" s="117" t="n"/>
      <c r="S81" s="117" t="n"/>
      <c r="T81" s="117" t="n"/>
      <c r="U81" s="117" t="n"/>
      <c r="V81" s="117" t="n"/>
      <c r="W81" s="117" t="n"/>
      <c r="X81" s="117" t="n">
        <v>0.08</v>
      </c>
      <c r="Y81" s="117" t="n">
        <v>1</v>
      </c>
      <c r="Z81" s="121" t="n"/>
      <c r="AA81" s="121" t="n"/>
      <c r="AB81" s="121" t="n"/>
      <c r="AC81" s="121" t="n"/>
      <c r="AD81" s="121" t="n"/>
      <c r="AE81" s="121" t="n"/>
      <c r="AF81" s="121" t="n"/>
      <c r="AG81" s="121" t="n"/>
      <c r="AH81" s="121" t="n"/>
      <c r="AI81" s="121" t="n"/>
      <c r="AJ81" s="121" t="n"/>
    </row>
    <row r="82" ht="14.25" customHeight="1" s="142">
      <c r="A82" s="117" t="n">
        <v>204</v>
      </c>
      <c r="B82" s="117" t="n">
        <v>35</v>
      </c>
      <c r="C82" s="117" t="n"/>
      <c r="D82" s="117" t="n">
        <v>20</v>
      </c>
      <c r="E82" s="117" t="n"/>
      <c r="F82" s="117" t="n"/>
      <c r="G82" s="117" t="n"/>
      <c r="H82" s="117" t="n"/>
      <c r="I82" s="117" t="n"/>
      <c r="J82" s="117" t="n"/>
      <c r="K82" s="117" t="n"/>
      <c r="L82" s="117" t="n"/>
      <c r="M82" s="117" t="n"/>
      <c r="N82" s="117" t="n"/>
      <c r="O82" s="117" t="n"/>
      <c r="P82" s="117" t="n"/>
      <c r="Q82" s="117" t="n"/>
      <c r="R82" s="117" t="n"/>
      <c r="S82" s="117" t="n"/>
      <c r="T82" s="117" t="n"/>
      <c r="U82" s="117" t="n"/>
      <c r="V82" s="117" t="n"/>
      <c r="W82" s="117" t="n"/>
      <c r="X82" s="117" t="n">
        <v>0.08</v>
      </c>
      <c r="Y82" s="117" t="n">
        <v>2</v>
      </c>
      <c r="Z82" s="121" t="n"/>
      <c r="AA82" s="121" t="n"/>
      <c r="AB82" s="121" t="n"/>
      <c r="AC82" s="121" t="n"/>
      <c r="AD82" s="121" t="n"/>
      <c r="AE82" s="121" t="n"/>
      <c r="AF82" s="121" t="n"/>
      <c r="AG82" s="121" t="n"/>
      <c r="AH82" s="121" t="n"/>
      <c r="AI82" s="121" t="n"/>
      <c r="AJ82" s="121" t="n"/>
    </row>
    <row r="83" ht="14.25" customHeight="1" s="142">
      <c r="A83" s="117" t="n">
        <v>204</v>
      </c>
      <c r="B83" s="117" t="n">
        <v>10</v>
      </c>
      <c r="C83" s="117" t="n"/>
      <c r="D83" s="117" t="n">
        <v>38</v>
      </c>
      <c r="E83" s="117" t="n"/>
      <c r="F83" s="117" t="n"/>
      <c r="G83" s="117" t="n"/>
      <c r="H83" s="117" t="n"/>
      <c r="I83" s="117" t="n"/>
      <c r="J83" s="117" t="n"/>
      <c r="K83" s="117" t="n"/>
      <c r="L83" s="117" t="n"/>
      <c r="M83" s="117" t="n"/>
      <c r="N83" s="117" t="n"/>
      <c r="O83" s="117" t="n"/>
      <c r="P83" s="117" t="n"/>
      <c r="Q83" s="117" t="n"/>
      <c r="R83" s="117" t="n"/>
      <c r="S83" s="117" t="n"/>
      <c r="T83" s="117" t="n"/>
      <c r="U83" s="117" t="n"/>
      <c r="V83" s="117" t="n"/>
      <c r="W83" s="117" t="n"/>
      <c r="X83" s="117" t="n">
        <v>0.08</v>
      </c>
      <c r="Y83" s="117" t="n">
        <v>3</v>
      </c>
      <c r="Z83" s="121" t="n"/>
      <c r="AA83" s="121" t="n"/>
      <c r="AB83" s="121" t="n"/>
      <c r="AC83" s="121" t="n"/>
      <c r="AD83" s="121" t="n"/>
      <c r="AE83" s="121" t="n"/>
      <c r="AF83" s="121" t="n"/>
      <c r="AG83" s="121" t="n"/>
      <c r="AH83" s="121" t="n"/>
      <c r="AI83" s="121" t="n"/>
      <c r="AJ83" s="121" t="n"/>
    </row>
    <row r="84" ht="14.25" customHeight="1" s="142">
      <c r="A84" s="117" t="n">
        <v>204</v>
      </c>
      <c r="B84" s="117" t="n">
        <v>5</v>
      </c>
      <c r="C84" s="117" t="n"/>
      <c r="D84" s="117" t="n">
        <v>70</v>
      </c>
      <c r="E84" s="117" t="n"/>
      <c r="F84" s="117" t="n"/>
      <c r="G84" s="117" t="n"/>
      <c r="H84" s="117" t="n"/>
      <c r="I84" s="117" t="n"/>
      <c r="J84" s="117" t="n"/>
      <c r="K84" s="117" t="n"/>
      <c r="L84" s="117" t="n"/>
      <c r="M84" s="117" t="n"/>
      <c r="N84" s="117" t="n"/>
      <c r="O84" s="117" t="n"/>
      <c r="P84" s="117" t="n"/>
      <c r="Q84" s="117" t="n"/>
      <c r="R84" s="117" t="n"/>
      <c r="S84" s="117" t="n"/>
      <c r="T84" s="117" t="n"/>
      <c r="U84" s="117" t="n"/>
      <c r="V84" s="117" t="n"/>
      <c r="W84" s="117" t="n"/>
      <c r="X84" s="117" t="n">
        <v>0.08</v>
      </c>
      <c r="Y84" s="117" t="n">
        <v>4</v>
      </c>
      <c r="Z84" s="121" t="n"/>
      <c r="AA84" s="121" t="n"/>
      <c r="AB84" s="121" t="n"/>
      <c r="AC84" s="121" t="n"/>
      <c r="AD84" s="121" t="n"/>
      <c r="AE84" s="121" t="n"/>
      <c r="AF84" s="121" t="n"/>
      <c r="AG84" s="121" t="n"/>
      <c r="AH84" s="121" t="n"/>
      <c r="AI84" s="121" t="n"/>
      <c r="AJ84" s="121" t="n"/>
    </row>
    <row r="85" ht="14.25" customHeight="1" s="142">
      <c r="A85" s="117" t="n">
        <v>204</v>
      </c>
      <c r="B85" s="117" t="n">
        <v>650</v>
      </c>
      <c r="C85" s="117" t="n"/>
      <c r="D85" s="117" t="n"/>
      <c r="E85" s="117" t="n">
        <v>8</v>
      </c>
      <c r="F85" s="117" t="n"/>
      <c r="G85" s="117" t="n"/>
      <c r="H85" s="117" t="n"/>
      <c r="I85" s="117" t="n"/>
      <c r="J85" s="117" t="n"/>
      <c r="K85" s="117" t="n"/>
      <c r="L85" s="117" t="n"/>
      <c r="M85" s="117" t="n"/>
      <c r="N85" s="117" t="n"/>
      <c r="O85" s="117" t="n"/>
      <c r="P85" s="117" t="n"/>
      <c r="Q85" s="117" t="n"/>
      <c r="R85" s="117" t="n"/>
      <c r="S85" s="117" t="n"/>
      <c r="T85" s="117" t="n"/>
      <c r="U85" s="117" t="n"/>
      <c r="V85" s="117" t="n"/>
      <c r="W85" s="117" t="n"/>
      <c r="X85" s="117" t="n">
        <v>0.08</v>
      </c>
      <c r="Y85" s="117" t="n">
        <v>1</v>
      </c>
      <c r="Z85" s="121" t="n"/>
      <c r="AA85" s="121" t="n"/>
      <c r="AB85" s="121" t="n"/>
      <c r="AC85" s="121" t="n"/>
      <c r="AD85" s="121" t="n"/>
      <c r="AE85" s="121" t="n"/>
      <c r="AF85" s="121" t="n"/>
      <c r="AG85" s="121" t="n"/>
      <c r="AH85" s="121" t="n"/>
      <c r="AI85" s="121" t="n"/>
      <c r="AJ85" s="121" t="n"/>
    </row>
    <row r="86" ht="14.25" customHeight="1" s="142">
      <c r="A86" s="117" t="n">
        <v>204</v>
      </c>
      <c r="B86" s="117" t="n">
        <v>150</v>
      </c>
      <c r="C86" s="117" t="n"/>
      <c r="D86" s="117" t="n"/>
      <c r="E86" s="117" t="n">
        <v>12</v>
      </c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  <c r="P86" s="117" t="n"/>
      <c r="Q86" s="117" t="n"/>
      <c r="R86" s="117" t="n"/>
      <c r="S86" s="117" t="n"/>
      <c r="T86" s="117" t="n"/>
      <c r="U86" s="117" t="n"/>
      <c r="V86" s="117" t="n"/>
      <c r="W86" s="117" t="n"/>
      <c r="X86" s="117" t="n">
        <v>0.08</v>
      </c>
      <c r="Y86" s="117" t="n">
        <v>1</v>
      </c>
      <c r="Z86" s="121" t="n"/>
      <c r="AA86" s="121" t="n"/>
      <c r="AB86" s="121" t="n"/>
      <c r="AC86" s="121" t="n"/>
      <c r="AD86" s="121" t="n"/>
      <c r="AE86" s="121" t="n"/>
      <c r="AF86" s="121" t="n"/>
      <c r="AG86" s="121" t="n"/>
      <c r="AH86" s="121" t="n"/>
      <c r="AI86" s="121" t="n"/>
      <c r="AJ86" s="121" t="n"/>
    </row>
    <row r="87" ht="14.25" customHeight="1" s="142">
      <c r="A87" s="117" t="n">
        <v>204</v>
      </c>
      <c r="B87" s="117" t="n">
        <v>35</v>
      </c>
      <c r="C87" s="117" t="n"/>
      <c r="D87" s="117" t="n"/>
      <c r="E87" s="117" t="n">
        <v>21</v>
      </c>
      <c r="F87" s="117" t="n"/>
      <c r="G87" s="117" t="n"/>
      <c r="H87" s="117" t="n"/>
      <c r="I87" s="117" t="n"/>
      <c r="J87" s="117" t="n"/>
      <c r="K87" s="117" t="n"/>
      <c r="L87" s="117" t="n"/>
      <c r="M87" s="117" t="n"/>
      <c r="N87" s="117" t="n"/>
      <c r="O87" s="117" t="n"/>
      <c r="P87" s="117" t="n"/>
      <c r="Q87" s="117" t="n"/>
      <c r="R87" s="117" t="n"/>
      <c r="S87" s="117" t="n"/>
      <c r="T87" s="117" t="n"/>
      <c r="U87" s="117" t="n"/>
      <c r="V87" s="117" t="n"/>
      <c r="W87" s="117" t="n"/>
      <c r="X87" s="117" t="n">
        <v>0.08</v>
      </c>
      <c r="Y87" s="117" t="n">
        <v>2</v>
      </c>
      <c r="Z87" s="121" t="n"/>
      <c r="AA87" s="121" t="n"/>
      <c r="AB87" s="121" t="n"/>
      <c r="AC87" s="121" t="n"/>
      <c r="AD87" s="121" t="n"/>
      <c r="AE87" s="121" t="n"/>
      <c r="AF87" s="121" t="n"/>
      <c r="AG87" s="121" t="n"/>
      <c r="AH87" s="121" t="n"/>
      <c r="AI87" s="121" t="n"/>
      <c r="AJ87" s="121" t="n"/>
    </row>
    <row r="88" ht="14.25" customHeight="1" s="142">
      <c r="A88" s="117" t="n">
        <v>204</v>
      </c>
      <c r="B88" s="117" t="n">
        <v>10</v>
      </c>
      <c r="C88" s="117" t="n"/>
      <c r="D88" s="117" t="n"/>
      <c r="E88" s="117" t="n">
        <v>40</v>
      </c>
      <c r="F88" s="117" t="n"/>
      <c r="G88" s="117" t="n"/>
      <c r="H88" s="117" t="n"/>
      <c r="I88" s="117" t="n"/>
      <c r="J88" s="117" t="n"/>
      <c r="K88" s="117" t="n"/>
      <c r="L88" s="117" t="n"/>
      <c r="M88" s="117" t="n"/>
      <c r="N88" s="117" t="n"/>
      <c r="O88" s="117" t="n"/>
      <c r="P88" s="117" t="n"/>
      <c r="Q88" s="117" t="n"/>
      <c r="R88" s="117" t="n"/>
      <c r="S88" s="117" t="n"/>
      <c r="T88" s="117" t="n"/>
      <c r="U88" s="117" t="n"/>
      <c r="V88" s="117" t="n"/>
      <c r="W88" s="117" t="n"/>
      <c r="X88" s="117" t="n">
        <v>0.08</v>
      </c>
      <c r="Y88" s="117" t="n">
        <v>3</v>
      </c>
      <c r="Z88" s="121" t="n"/>
      <c r="AA88" s="121" t="n"/>
      <c r="AB88" s="121" t="n"/>
      <c r="AC88" s="121" t="n"/>
      <c r="AD88" s="121" t="n"/>
      <c r="AE88" s="121" t="n"/>
      <c r="AF88" s="121" t="n"/>
      <c r="AG88" s="121" t="n"/>
      <c r="AH88" s="121" t="n"/>
      <c r="AI88" s="121" t="n"/>
      <c r="AJ88" s="121" t="n"/>
    </row>
    <row r="89" ht="14.25" customHeight="1" s="142">
      <c r="A89" s="117" t="n">
        <v>204</v>
      </c>
      <c r="B89" s="117" t="n">
        <v>5</v>
      </c>
      <c r="C89" s="117" t="n"/>
      <c r="D89" s="117" t="n"/>
      <c r="E89" s="117" t="n">
        <v>74</v>
      </c>
      <c r="F89" s="117" t="n"/>
      <c r="G89" s="117" t="n"/>
      <c r="H89" s="117" t="n"/>
      <c r="I89" s="117" t="n"/>
      <c r="J89" s="117" t="n"/>
      <c r="K89" s="117" t="n"/>
      <c r="L89" s="117" t="n"/>
      <c r="M89" s="117" t="n"/>
      <c r="N89" s="117" t="n"/>
      <c r="O89" s="117" t="n"/>
      <c r="P89" s="117" t="n"/>
      <c r="Q89" s="117" t="n"/>
      <c r="R89" s="117" t="n"/>
      <c r="S89" s="117" t="n"/>
      <c r="T89" s="117" t="n"/>
      <c r="U89" s="117" t="n"/>
      <c r="V89" s="117" t="n"/>
      <c r="W89" s="117" t="n"/>
      <c r="X89" s="117" t="n">
        <v>0.08</v>
      </c>
      <c r="Y89" s="117" t="n">
        <v>4</v>
      </c>
      <c r="Z89" s="121" t="n"/>
      <c r="AA89" s="121" t="n"/>
      <c r="AB89" s="121" t="n"/>
      <c r="AC89" s="121" t="n"/>
      <c r="AD89" s="121" t="n"/>
      <c r="AE89" s="121" t="n"/>
      <c r="AF89" s="121" t="n"/>
      <c r="AG89" s="121" t="n"/>
      <c r="AH89" s="121" t="n"/>
      <c r="AI89" s="121" t="n"/>
      <c r="AJ89" s="121" t="n"/>
    </row>
    <row r="90" ht="14.25" customHeight="1" s="142">
      <c r="A90" s="117" t="n">
        <v>204</v>
      </c>
      <c r="B90" s="117" t="n">
        <v>650</v>
      </c>
      <c r="C90" s="117" t="n"/>
      <c r="D90" s="117" t="n"/>
      <c r="E90" s="117" t="n"/>
      <c r="F90" s="117" t="n"/>
      <c r="G90" s="117" t="n"/>
      <c r="H90" s="117" t="n">
        <v>50</v>
      </c>
      <c r="I90" s="117" t="n"/>
      <c r="J90" s="117" t="n"/>
      <c r="K90" s="117" t="n"/>
      <c r="L90" s="117" t="n"/>
      <c r="M90" s="117" t="n"/>
      <c r="N90" s="117" t="n"/>
      <c r="O90" s="117" t="n"/>
      <c r="P90" s="117" t="n"/>
      <c r="Q90" s="117" t="n"/>
      <c r="R90" s="117" t="n"/>
      <c r="S90" s="117" t="n"/>
      <c r="T90" s="117" t="n"/>
      <c r="U90" s="117" t="n"/>
      <c r="V90" s="117" t="n"/>
      <c r="W90" s="117" t="n"/>
      <c r="X90" s="117" t="n">
        <v>0.08</v>
      </c>
      <c r="Y90" s="117" t="n">
        <v>1</v>
      </c>
      <c r="Z90" s="121" t="n"/>
      <c r="AA90" s="121" t="n"/>
      <c r="AB90" s="121" t="n"/>
      <c r="AC90" s="121" t="n"/>
      <c r="AD90" s="121" t="n"/>
      <c r="AE90" s="121" t="n"/>
      <c r="AF90" s="121" t="n"/>
      <c r="AG90" s="121" t="n"/>
      <c r="AH90" s="121" t="n"/>
      <c r="AI90" s="121" t="n"/>
      <c r="AJ90" s="121" t="n"/>
    </row>
    <row r="91" ht="14.25" customHeight="1" s="142">
      <c r="A91" s="117" t="n">
        <v>204</v>
      </c>
      <c r="B91" s="117" t="n">
        <v>150</v>
      </c>
      <c r="C91" s="117" t="n"/>
      <c r="D91" s="117" t="n"/>
      <c r="E91" s="117" t="n"/>
      <c r="F91" s="117" t="n"/>
      <c r="G91" s="117" t="n"/>
      <c r="H91" s="117" t="n">
        <v>75</v>
      </c>
      <c r="I91" s="117" t="n"/>
      <c r="J91" s="117" t="n"/>
      <c r="K91" s="117" t="n"/>
      <c r="L91" s="117" t="n"/>
      <c r="M91" s="117" t="n"/>
      <c r="N91" s="117" t="n"/>
      <c r="O91" s="117" t="n"/>
      <c r="P91" s="117" t="n"/>
      <c r="Q91" s="117" t="n"/>
      <c r="R91" s="117" t="n"/>
      <c r="S91" s="117" t="n"/>
      <c r="T91" s="117" t="n"/>
      <c r="U91" s="117" t="n"/>
      <c r="V91" s="117" t="n"/>
      <c r="W91" s="117" t="n"/>
      <c r="X91" s="117" t="n">
        <v>0.08</v>
      </c>
      <c r="Y91" s="117" t="n">
        <v>1</v>
      </c>
      <c r="Z91" s="121" t="n"/>
      <c r="AA91" s="121" t="n"/>
      <c r="AB91" s="121" t="n"/>
      <c r="AC91" s="121" t="n"/>
      <c r="AD91" s="121" t="n"/>
      <c r="AE91" s="121" t="n"/>
      <c r="AF91" s="121" t="n"/>
      <c r="AG91" s="121" t="n"/>
      <c r="AH91" s="121" t="n"/>
      <c r="AI91" s="121" t="n"/>
      <c r="AJ91" s="121" t="n"/>
    </row>
    <row r="92" ht="14.25" customHeight="1" s="142">
      <c r="A92" s="117" t="n">
        <v>204</v>
      </c>
      <c r="B92" s="117" t="n">
        <v>35</v>
      </c>
      <c r="C92" s="117" t="n"/>
      <c r="D92" s="117" t="n"/>
      <c r="E92" s="117" t="n"/>
      <c r="F92" s="117" t="n"/>
      <c r="G92" s="117" t="n"/>
      <c r="H92" s="117" t="n">
        <v>135</v>
      </c>
      <c r="I92" s="117" t="n"/>
      <c r="J92" s="117" t="n"/>
      <c r="K92" s="117" t="n"/>
      <c r="L92" s="117" t="n"/>
      <c r="M92" s="117" t="n"/>
      <c r="N92" s="117" t="n"/>
      <c r="O92" s="117" t="n"/>
      <c r="P92" s="117" t="n"/>
      <c r="Q92" s="117" t="n"/>
      <c r="R92" s="117" t="n"/>
      <c r="S92" s="117" t="n"/>
      <c r="T92" s="117" t="n"/>
      <c r="U92" s="117" t="n"/>
      <c r="V92" s="117" t="n"/>
      <c r="W92" s="117" t="n"/>
      <c r="X92" s="117" t="n">
        <v>0.08</v>
      </c>
      <c r="Y92" s="117" t="n">
        <v>2</v>
      </c>
      <c r="Z92" s="121" t="n"/>
      <c r="AA92" s="121" t="n"/>
      <c r="AB92" s="121" t="n"/>
      <c r="AC92" s="121" t="n"/>
      <c r="AD92" s="121" t="n"/>
      <c r="AE92" s="121" t="n"/>
      <c r="AF92" s="121" t="n"/>
      <c r="AG92" s="121" t="n"/>
      <c r="AH92" s="121" t="n"/>
      <c r="AI92" s="121" t="n"/>
      <c r="AJ92" s="121" t="n"/>
    </row>
    <row r="93" ht="14.25" customHeight="1" s="142">
      <c r="A93" s="117" t="n">
        <v>204</v>
      </c>
      <c r="B93" s="117" t="n">
        <v>10</v>
      </c>
      <c r="C93" s="117" t="n"/>
      <c r="D93" s="117" t="n"/>
      <c r="E93" s="117" t="n"/>
      <c r="F93" s="117" t="n"/>
      <c r="G93" s="117" t="n"/>
      <c r="H93" s="117" t="n">
        <v>260</v>
      </c>
      <c r="I93" s="117" t="n"/>
      <c r="J93" s="117" t="n"/>
      <c r="K93" s="117" t="n"/>
      <c r="L93" s="117" t="n"/>
      <c r="M93" s="117" t="n"/>
      <c r="N93" s="117" t="n"/>
      <c r="O93" s="117" t="n"/>
      <c r="P93" s="117" t="n"/>
      <c r="Q93" s="117" t="n"/>
      <c r="R93" s="117" t="n"/>
      <c r="S93" s="117" t="n"/>
      <c r="T93" s="117" t="n"/>
      <c r="U93" s="117" t="n"/>
      <c r="V93" s="117" t="n"/>
      <c r="W93" s="117" t="n"/>
      <c r="X93" s="117" t="n">
        <v>0.08</v>
      </c>
      <c r="Y93" s="117" t="n">
        <v>3</v>
      </c>
      <c r="Z93" s="121" t="n"/>
      <c r="AA93" s="121" t="n"/>
      <c r="AB93" s="121" t="n"/>
      <c r="AC93" s="121" t="n"/>
      <c r="AD93" s="121" t="n"/>
      <c r="AE93" s="121" t="n"/>
      <c r="AF93" s="121" t="n"/>
      <c r="AG93" s="121" t="n"/>
      <c r="AH93" s="121" t="n"/>
      <c r="AI93" s="121" t="n"/>
      <c r="AJ93" s="121" t="n"/>
    </row>
    <row r="94" ht="14.25" customHeight="1" s="142">
      <c r="A94" s="117" t="n">
        <v>204</v>
      </c>
      <c r="B94" s="117" t="n">
        <v>5</v>
      </c>
      <c r="C94" s="117" t="n"/>
      <c r="D94" s="117" t="n"/>
      <c r="E94" s="117" t="n"/>
      <c r="F94" s="117" t="n"/>
      <c r="G94" s="117" t="n"/>
      <c r="H94" s="117" t="n">
        <v>450</v>
      </c>
      <c r="I94" s="117" t="n"/>
      <c r="J94" s="117" t="n"/>
      <c r="K94" s="117" t="n"/>
      <c r="L94" s="117" t="n"/>
      <c r="M94" s="117" t="n"/>
      <c r="N94" s="117" t="n"/>
      <c r="O94" s="117" t="n"/>
      <c r="P94" s="117" t="n"/>
      <c r="Q94" s="117" t="n"/>
      <c r="R94" s="117" t="n"/>
      <c r="S94" s="117" t="n"/>
      <c r="T94" s="117" t="n"/>
      <c r="U94" s="117" t="n"/>
      <c r="V94" s="117" t="n"/>
      <c r="W94" s="117" t="n"/>
      <c r="X94" s="117" t="n">
        <v>0.08</v>
      </c>
      <c r="Y94" s="117" t="n">
        <v>4</v>
      </c>
      <c r="Z94" s="121" t="n"/>
      <c r="AA94" s="121" t="n"/>
      <c r="AB94" s="121" t="n"/>
      <c r="AC94" s="121" t="n"/>
      <c r="AD94" s="121" t="n"/>
      <c r="AE94" s="121" t="n"/>
      <c r="AF94" s="121" t="n"/>
      <c r="AG94" s="121" t="n"/>
      <c r="AH94" s="121" t="n"/>
      <c r="AI94" s="121" t="n"/>
      <c r="AJ94" s="121" t="n"/>
    </row>
    <row r="95" ht="14.25" customHeight="1" s="142">
      <c r="A95" s="117" t="n">
        <v>204</v>
      </c>
      <c r="B95" s="117" t="n">
        <v>650</v>
      </c>
      <c r="C95" s="117" t="n"/>
      <c r="D95" s="117" t="n"/>
      <c r="E95" s="117" t="n"/>
      <c r="F95" s="117" t="n"/>
      <c r="G95" s="117" t="n"/>
      <c r="H95" s="117" t="n"/>
      <c r="I95" s="117" t="n"/>
      <c r="J95" s="117" t="n"/>
      <c r="K95" s="117" t="n"/>
      <c r="L95" s="117" t="n"/>
      <c r="M95" s="117" t="n"/>
      <c r="N95" s="117" t="n"/>
      <c r="O95" s="117" t="n">
        <v>0.02</v>
      </c>
      <c r="P95" s="117" t="n"/>
      <c r="Q95" s="117" t="n"/>
      <c r="R95" s="117" t="n"/>
      <c r="S95" s="117" t="n"/>
      <c r="T95" s="117" t="n"/>
      <c r="U95" s="117" t="n"/>
      <c r="V95" s="117" t="n"/>
      <c r="W95" s="117" t="n"/>
      <c r="X95" s="117" t="n">
        <v>0.08</v>
      </c>
      <c r="Y95" s="117" t="n">
        <v>1</v>
      </c>
      <c r="Z95" s="121" t="n"/>
      <c r="AA95" s="121" t="n"/>
      <c r="AB95" s="121" t="n"/>
      <c r="AC95" s="121" t="n"/>
      <c r="AD95" s="121" t="n"/>
      <c r="AE95" s="121" t="n"/>
      <c r="AF95" s="121" t="n"/>
      <c r="AG95" s="121" t="n"/>
      <c r="AH95" s="121" t="n"/>
      <c r="AI95" s="121" t="n"/>
      <c r="AJ95" s="121" t="n"/>
    </row>
    <row r="96" ht="14.25" customHeight="1" s="142">
      <c r="A96" s="117" t="n">
        <v>204</v>
      </c>
      <c r="B96" s="117" t="n">
        <v>150</v>
      </c>
      <c r="C96" s="117" t="n"/>
      <c r="D96" s="117" t="n"/>
      <c r="E96" s="117" t="n"/>
      <c r="F96" s="117" t="n"/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>
        <v>0.04</v>
      </c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>
        <v>0.08</v>
      </c>
      <c r="Y96" s="117" t="n">
        <v>1</v>
      </c>
      <c r="Z96" s="121" t="n"/>
      <c r="AA96" s="121" t="n"/>
      <c r="AB96" s="121" t="n"/>
      <c r="AC96" s="121" t="n"/>
      <c r="AD96" s="121" t="n"/>
      <c r="AE96" s="121" t="n"/>
      <c r="AF96" s="121" t="n"/>
      <c r="AG96" s="121" t="n"/>
      <c r="AH96" s="121" t="n"/>
      <c r="AI96" s="121" t="n"/>
      <c r="AJ96" s="121" t="n"/>
    </row>
    <row r="97" ht="14.25" customHeight="1" s="142">
      <c r="A97" s="117" t="n">
        <v>204</v>
      </c>
      <c r="B97" s="117" t="n">
        <v>35</v>
      </c>
      <c r="C97" s="117" t="n"/>
      <c r="D97" s="117" t="n"/>
      <c r="E97" s="117" t="n"/>
      <c r="F97" s="117" t="n"/>
      <c r="G97" s="117" t="n"/>
      <c r="H97" s="117" t="n"/>
      <c r="I97" s="117" t="n"/>
      <c r="J97" s="117" t="n"/>
      <c r="K97" s="117" t="n"/>
      <c r="L97" s="117" t="n"/>
      <c r="M97" s="117" t="n"/>
      <c r="N97" s="117" t="n"/>
      <c r="O97" s="117" t="n">
        <v>0.08</v>
      </c>
      <c r="P97" s="117" t="n"/>
      <c r="Q97" s="117" t="n"/>
      <c r="R97" s="117" t="n"/>
      <c r="S97" s="117" t="n"/>
      <c r="T97" s="117" t="n"/>
      <c r="U97" s="117" t="n"/>
      <c r="V97" s="117" t="n"/>
      <c r="W97" s="117" t="n"/>
      <c r="X97" s="117" t="n">
        <v>0.08</v>
      </c>
      <c r="Y97" s="117" t="n">
        <v>2</v>
      </c>
      <c r="Z97" s="121" t="n"/>
      <c r="AA97" s="121" t="n"/>
      <c r="AB97" s="121" t="n"/>
      <c r="AC97" s="121" t="n"/>
      <c r="AD97" s="121" t="n"/>
      <c r="AE97" s="121" t="n"/>
      <c r="AF97" s="121" t="n"/>
      <c r="AG97" s="121" t="n"/>
      <c r="AH97" s="121" t="n"/>
      <c r="AI97" s="121" t="n"/>
      <c r="AJ97" s="121" t="n"/>
    </row>
    <row r="98" ht="14.25" customHeight="1" s="142">
      <c r="A98" s="117" t="n">
        <v>204</v>
      </c>
      <c r="B98" s="117" t="n">
        <v>10</v>
      </c>
      <c r="C98" s="117" t="n"/>
      <c r="D98" s="117" t="n"/>
      <c r="E98" s="117" t="n"/>
      <c r="F98" s="117" t="n"/>
      <c r="G98" s="117" t="n"/>
      <c r="H98" s="117" t="n"/>
      <c r="I98" s="117" t="n"/>
      <c r="J98" s="117" t="n"/>
      <c r="K98" s="117" t="n"/>
      <c r="L98" s="117" t="n"/>
      <c r="M98" s="117" t="n"/>
      <c r="N98" s="117" t="n"/>
      <c r="O98" s="117" t="n">
        <v>0.15</v>
      </c>
      <c r="P98" s="117" t="n"/>
      <c r="Q98" s="117" t="n"/>
      <c r="R98" s="117" t="n"/>
      <c r="S98" s="117" t="n"/>
      <c r="T98" s="117" t="n"/>
      <c r="U98" s="117" t="n"/>
      <c r="V98" s="117" t="n"/>
      <c r="W98" s="117" t="n"/>
      <c r="X98" s="117" t="n">
        <v>0.08</v>
      </c>
      <c r="Y98" s="117" t="n">
        <v>3</v>
      </c>
      <c r="Z98" s="121" t="n"/>
      <c r="AA98" s="121" t="n"/>
      <c r="AB98" s="121" t="n"/>
      <c r="AC98" s="121" t="n"/>
      <c r="AD98" s="121" t="n"/>
      <c r="AE98" s="121" t="n"/>
      <c r="AF98" s="121" t="n"/>
      <c r="AG98" s="121" t="n"/>
      <c r="AH98" s="121" t="n"/>
      <c r="AI98" s="121" t="n"/>
      <c r="AJ98" s="121" t="n"/>
    </row>
    <row r="99" ht="14.25" customHeight="1" s="142">
      <c r="A99" s="117" t="n">
        <v>204</v>
      </c>
      <c r="B99" s="117" t="n">
        <v>5</v>
      </c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7" t="n"/>
      <c r="N99" s="117" t="n"/>
      <c r="O99" s="117" t="n">
        <v>0.25</v>
      </c>
      <c r="P99" s="117" t="n"/>
      <c r="Q99" s="117" t="n"/>
      <c r="R99" s="117" t="n"/>
      <c r="S99" s="117" t="n"/>
      <c r="T99" s="117" t="n"/>
      <c r="U99" s="117" t="n"/>
      <c r="V99" s="117" t="n"/>
      <c r="W99" s="117" t="n"/>
      <c r="X99" s="117" t="n">
        <v>0.08</v>
      </c>
      <c r="Y99" s="117" t="n">
        <v>4</v>
      </c>
      <c r="Z99" s="121" t="n"/>
      <c r="AA99" s="121" t="n"/>
      <c r="AB99" s="121" t="n"/>
      <c r="AC99" s="121" t="n"/>
      <c r="AD99" s="121" t="n"/>
      <c r="AE99" s="121" t="n"/>
      <c r="AF99" s="121" t="n"/>
      <c r="AG99" s="121" t="n"/>
      <c r="AH99" s="121" t="n"/>
      <c r="AI99" s="121" t="n"/>
      <c r="AJ99" s="121" t="n"/>
    </row>
    <row r="100" ht="14.25" customHeight="1" s="142">
      <c r="A100" s="117" t="n">
        <v>204</v>
      </c>
      <c r="B100" s="117" t="n">
        <v>650</v>
      </c>
      <c r="C100" s="117" t="n"/>
      <c r="D100" s="117" t="n"/>
      <c r="E100" s="117" t="n"/>
      <c r="F100" s="117" t="n"/>
      <c r="G100" s="117" t="n"/>
      <c r="H100" s="117" t="n"/>
      <c r="I100" s="117" t="n"/>
      <c r="J100" s="117" t="n">
        <v>0.01</v>
      </c>
      <c r="K100" s="117" t="n"/>
      <c r="L100" s="117" t="n"/>
      <c r="M100" s="117" t="n"/>
      <c r="N100" s="117" t="n"/>
      <c r="O100" s="117" t="n"/>
      <c r="P100" s="117" t="n"/>
      <c r="Q100" s="117" t="n"/>
      <c r="R100" s="117" t="n"/>
      <c r="S100" s="117" t="n"/>
      <c r="T100" s="117" t="n"/>
      <c r="U100" s="117" t="n"/>
      <c r="V100" s="117" t="n"/>
      <c r="W100" s="117" t="n"/>
      <c r="X100" s="117" t="n">
        <v>0.08</v>
      </c>
      <c r="Y100" s="117" t="n">
        <v>1</v>
      </c>
      <c r="Z100" s="121" t="n"/>
      <c r="AA100" s="121" t="n"/>
      <c r="AB100" s="121" t="n"/>
      <c r="AC100" s="121" t="n"/>
      <c r="AD100" s="121" t="n"/>
      <c r="AE100" s="121" t="n"/>
      <c r="AF100" s="121" t="n"/>
      <c r="AG100" s="121" t="n"/>
      <c r="AH100" s="121" t="n"/>
      <c r="AI100" s="121" t="n"/>
      <c r="AJ100" s="121" t="n"/>
    </row>
    <row r="101" ht="14.25" customHeight="1" s="142">
      <c r="A101" s="117" t="n">
        <v>204</v>
      </c>
      <c r="B101" s="117" t="n">
        <v>150</v>
      </c>
      <c r="C101" s="117" t="n"/>
      <c r="D101" s="117" t="n"/>
      <c r="E101" s="117" t="n"/>
      <c r="F101" s="117" t="n"/>
      <c r="G101" s="117" t="n"/>
      <c r="H101" s="117" t="n"/>
      <c r="I101" s="117" t="n"/>
      <c r="J101" s="117" t="n">
        <v>0.02</v>
      </c>
      <c r="K101" s="117" t="n"/>
      <c r="L101" s="117" t="n"/>
      <c r="M101" s="117" t="n"/>
      <c r="N101" s="117" t="n"/>
      <c r="O101" s="117" t="n"/>
      <c r="P101" s="117" t="n"/>
      <c r="Q101" s="117" t="n"/>
      <c r="R101" s="117" t="n"/>
      <c r="S101" s="117" t="n"/>
      <c r="T101" s="117" t="n"/>
      <c r="U101" s="117" t="n"/>
      <c r="V101" s="117" t="n"/>
      <c r="W101" s="117" t="n"/>
      <c r="X101" s="117" t="n">
        <v>0.08</v>
      </c>
      <c r="Y101" s="117" t="n">
        <v>1</v>
      </c>
      <c r="Z101" s="121" t="n"/>
      <c r="AA101" s="121" t="n"/>
      <c r="AB101" s="121" t="n"/>
      <c r="AC101" s="121" t="n"/>
      <c r="AD101" s="121" t="n"/>
      <c r="AE101" s="121" t="n"/>
      <c r="AF101" s="121" t="n"/>
      <c r="AG101" s="121" t="n"/>
      <c r="AH101" s="121" t="n"/>
      <c r="AI101" s="121" t="n"/>
      <c r="AJ101" s="121" t="n"/>
    </row>
    <row r="102" ht="14.25" customHeight="1" s="142">
      <c r="A102" s="117" t="n">
        <v>204</v>
      </c>
      <c r="B102" s="117" t="n">
        <v>35</v>
      </c>
      <c r="C102" s="117" t="n"/>
      <c r="D102" s="117" t="n"/>
      <c r="E102" s="117" t="n"/>
      <c r="F102" s="117" t="n"/>
      <c r="G102" s="117" t="n"/>
      <c r="H102" s="117" t="n"/>
      <c r="I102" s="117" t="n"/>
      <c r="J102" s="117" t="n">
        <v>0.04</v>
      </c>
      <c r="K102" s="117" t="n"/>
      <c r="L102" s="117" t="n"/>
      <c r="M102" s="117" t="n"/>
      <c r="N102" s="117" t="n"/>
      <c r="O102" s="117" t="n"/>
      <c r="P102" s="117" t="n"/>
      <c r="Q102" s="117" t="n"/>
      <c r="R102" s="117" t="n"/>
      <c r="S102" s="117" t="n"/>
      <c r="T102" s="117" t="n"/>
      <c r="U102" s="117" t="n"/>
      <c r="V102" s="117" t="n"/>
      <c r="W102" s="117" t="n"/>
      <c r="X102" s="117" t="n">
        <v>0.08</v>
      </c>
      <c r="Y102" s="117" t="n">
        <v>2</v>
      </c>
      <c r="Z102" s="121" t="n"/>
      <c r="AA102" s="121" t="n"/>
      <c r="AB102" s="121" t="n"/>
      <c r="AC102" s="121" t="n"/>
      <c r="AD102" s="121" t="n"/>
      <c r="AE102" s="121" t="n"/>
      <c r="AF102" s="121" t="n"/>
      <c r="AG102" s="121" t="n"/>
      <c r="AH102" s="121" t="n"/>
      <c r="AI102" s="121" t="n"/>
      <c r="AJ102" s="121" t="n"/>
    </row>
    <row r="103" ht="14.25" customHeight="1" s="142">
      <c r="A103" s="117" t="n">
        <v>204</v>
      </c>
      <c r="B103" s="117" t="n">
        <v>10</v>
      </c>
      <c r="C103" s="117" t="n"/>
      <c r="D103" s="117" t="n"/>
      <c r="E103" s="117" t="n"/>
      <c r="F103" s="117" t="n"/>
      <c r="G103" s="117" t="n"/>
      <c r="H103" s="117" t="n"/>
      <c r="I103" s="117" t="n"/>
      <c r="J103" s="117" t="n">
        <v>0.09</v>
      </c>
      <c r="K103" s="117" t="n"/>
      <c r="L103" s="117" t="n"/>
      <c r="M103" s="117" t="n"/>
      <c r="N103" s="117" t="n"/>
      <c r="O103" s="117" t="n"/>
      <c r="P103" s="117" t="n"/>
      <c r="Q103" s="117" t="n"/>
      <c r="R103" s="117" t="n"/>
      <c r="S103" s="117" t="n"/>
      <c r="T103" s="117" t="n"/>
      <c r="U103" s="117" t="n"/>
      <c r="V103" s="117" t="n"/>
      <c r="W103" s="117" t="n"/>
      <c r="X103" s="117" t="n">
        <v>0.08</v>
      </c>
      <c r="Y103" s="117" t="n">
        <v>3</v>
      </c>
      <c r="Z103" s="121" t="n"/>
      <c r="AA103" s="121" t="n"/>
      <c r="AB103" s="121" t="n"/>
      <c r="AC103" s="121" t="n"/>
      <c r="AD103" s="121" t="n"/>
      <c r="AE103" s="121" t="n"/>
      <c r="AF103" s="121" t="n"/>
      <c r="AG103" s="121" t="n"/>
      <c r="AH103" s="121" t="n"/>
      <c r="AI103" s="121" t="n"/>
      <c r="AJ103" s="121" t="n"/>
    </row>
    <row r="104" ht="14.25" customHeight="1" s="142">
      <c r="A104" s="117" t="n">
        <v>204</v>
      </c>
      <c r="B104" s="117" t="n">
        <v>5</v>
      </c>
      <c r="C104" s="117" t="n"/>
      <c r="D104" s="117" t="n"/>
      <c r="E104" s="117" t="n"/>
      <c r="F104" s="117" t="n"/>
      <c r="G104" s="117" t="n"/>
      <c r="H104" s="117" t="n"/>
      <c r="I104" s="117" t="n"/>
      <c r="J104" s="117" t="n">
        <v>0.15</v>
      </c>
      <c r="K104" s="117" t="n"/>
      <c r="L104" s="117" t="n"/>
      <c r="M104" s="117" t="n"/>
      <c r="N104" s="117" t="n"/>
      <c r="O104" s="117" t="n"/>
      <c r="P104" s="117" t="n"/>
      <c r="Q104" s="117" t="n"/>
      <c r="R104" s="117" t="n"/>
      <c r="S104" s="117" t="n"/>
      <c r="T104" s="117" t="n"/>
      <c r="U104" s="117" t="n"/>
      <c r="V104" s="117" t="n"/>
      <c r="W104" s="117" t="n"/>
      <c r="X104" s="117" t="n">
        <v>0.08</v>
      </c>
      <c r="Y104" s="117" t="n">
        <v>4</v>
      </c>
      <c r="Z104" s="121" t="n"/>
      <c r="AA104" s="121" t="n"/>
      <c r="AB104" s="121" t="n"/>
      <c r="AC104" s="121" t="n"/>
      <c r="AD104" s="121" t="n"/>
      <c r="AE104" s="121" t="n"/>
      <c r="AF104" s="121" t="n"/>
      <c r="AG104" s="121" t="n"/>
      <c r="AH104" s="121" t="n"/>
      <c r="AI104" s="121" t="n"/>
      <c r="AJ104" s="121" t="n"/>
    </row>
    <row r="105" ht="14.25" customHeight="1" s="142">
      <c r="A105" s="117" t="n">
        <v>204</v>
      </c>
      <c r="B105" s="117" t="n">
        <v>650</v>
      </c>
      <c r="C105" s="117" t="n"/>
      <c r="D105" s="117" t="n"/>
      <c r="E105" s="117" t="n"/>
      <c r="F105" s="117" t="n"/>
      <c r="G105" s="117" t="n"/>
      <c r="H105" s="117" t="n"/>
      <c r="I105" s="117" t="n"/>
      <c r="J105" s="117" t="n"/>
      <c r="K105" s="117" t="n"/>
      <c r="L105" s="117" t="n"/>
      <c r="M105" s="117" t="n"/>
      <c r="N105" s="117" t="n"/>
      <c r="O105" s="117" t="n"/>
      <c r="P105" s="117" t="n"/>
      <c r="Q105" s="117" t="n"/>
      <c r="R105" s="117" t="n"/>
      <c r="S105" s="117" t="n"/>
      <c r="T105" s="117" t="n">
        <v>0.02</v>
      </c>
      <c r="U105" s="117" t="n"/>
      <c r="V105" s="117" t="n"/>
      <c r="W105" s="117" t="n"/>
      <c r="X105" s="117" t="n">
        <v>0.08</v>
      </c>
      <c r="Y105" s="117" t="n">
        <v>1</v>
      </c>
      <c r="Z105" s="121" t="n"/>
      <c r="AA105" s="121" t="n"/>
      <c r="AB105" s="121" t="n"/>
      <c r="AC105" s="121" t="n"/>
      <c r="AD105" s="121" t="n"/>
      <c r="AE105" s="121" t="n"/>
      <c r="AF105" s="121" t="n"/>
      <c r="AG105" s="121" t="n"/>
      <c r="AH105" s="121" t="n"/>
      <c r="AI105" s="121" t="n"/>
      <c r="AJ105" s="121" t="n"/>
    </row>
    <row r="106" ht="14.25" customHeight="1" s="142">
      <c r="A106" s="117" t="n">
        <v>204</v>
      </c>
      <c r="B106" s="117" t="n">
        <v>150</v>
      </c>
      <c r="C106" s="117" t="n"/>
      <c r="D106" s="117" t="n"/>
      <c r="E106" s="117" t="n"/>
      <c r="F106" s="117" t="n"/>
      <c r="G106" s="117" t="n"/>
      <c r="H106" s="117" t="n"/>
      <c r="I106" s="117" t="n"/>
      <c r="J106" s="117" t="n"/>
      <c r="K106" s="117" t="n"/>
      <c r="L106" s="117" t="n"/>
      <c r="M106" s="117" t="n"/>
      <c r="N106" s="117" t="n"/>
      <c r="O106" s="117" t="n"/>
      <c r="P106" s="117" t="n"/>
      <c r="Q106" s="117" t="n"/>
      <c r="R106" s="117" t="n"/>
      <c r="S106" s="117" t="n"/>
      <c r="T106" s="117" t="n">
        <v>0.04</v>
      </c>
      <c r="U106" s="117" t="n"/>
      <c r="V106" s="117" t="n"/>
      <c r="W106" s="117" t="n"/>
      <c r="X106" s="117" t="n">
        <v>0.08</v>
      </c>
      <c r="Y106" s="117" t="n">
        <v>1</v>
      </c>
      <c r="Z106" s="121" t="n"/>
      <c r="AA106" s="121" t="n"/>
      <c r="AB106" s="121" t="n"/>
      <c r="AC106" s="121" t="n"/>
      <c r="AD106" s="121" t="n"/>
      <c r="AE106" s="121" t="n"/>
      <c r="AF106" s="121" t="n"/>
      <c r="AG106" s="121" t="n"/>
      <c r="AH106" s="121" t="n"/>
      <c r="AI106" s="121" t="n"/>
      <c r="AJ106" s="121" t="n"/>
    </row>
    <row r="107" ht="14.25" customHeight="1" s="142">
      <c r="A107" s="117" t="n">
        <v>204</v>
      </c>
      <c r="B107" s="117" t="n">
        <v>35</v>
      </c>
      <c r="C107" s="117" t="n"/>
      <c r="D107" s="117" t="n"/>
      <c r="E107" s="117" t="n"/>
      <c r="F107" s="117" t="n"/>
      <c r="G107" s="117" t="n"/>
      <c r="H107" s="117" t="n"/>
      <c r="I107" s="117" t="n"/>
      <c r="J107" s="117" t="n"/>
      <c r="K107" s="117" t="n"/>
      <c r="L107" s="117" t="n"/>
      <c r="M107" s="117" t="n"/>
      <c r="N107" s="117" t="n"/>
      <c r="O107" s="117" t="n"/>
      <c r="P107" s="117" t="n"/>
      <c r="Q107" s="117" t="n"/>
      <c r="R107" s="117" t="n"/>
      <c r="S107" s="117" t="n"/>
      <c r="T107" s="117" t="n">
        <v>0.08</v>
      </c>
      <c r="U107" s="117" t="n"/>
      <c r="V107" s="117" t="n"/>
      <c r="W107" s="117" t="n"/>
      <c r="X107" s="117" t="n">
        <v>0.08</v>
      </c>
      <c r="Y107" s="117" t="n">
        <v>2</v>
      </c>
      <c r="Z107" s="121" t="n"/>
      <c r="AA107" s="121" t="n"/>
      <c r="AB107" s="121" t="n"/>
      <c r="AC107" s="121" t="n"/>
      <c r="AD107" s="121" t="n"/>
      <c r="AE107" s="121" t="n"/>
      <c r="AF107" s="121" t="n"/>
      <c r="AG107" s="121" t="n"/>
      <c r="AH107" s="121" t="n"/>
      <c r="AI107" s="121" t="n"/>
      <c r="AJ107" s="121" t="n"/>
    </row>
    <row r="108" ht="14.25" customHeight="1" s="142">
      <c r="A108" s="117" t="n">
        <v>204</v>
      </c>
      <c r="B108" s="117" t="n">
        <v>10</v>
      </c>
      <c r="C108" s="117" t="n"/>
      <c r="D108" s="117" t="n"/>
      <c r="E108" s="117" t="n"/>
      <c r="F108" s="117" t="n"/>
      <c r="G108" s="117" t="n"/>
      <c r="H108" s="117" t="n"/>
      <c r="I108" s="117" t="n"/>
      <c r="J108" s="117" t="n"/>
      <c r="K108" s="117" t="n"/>
      <c r="L108" s="117" t="n"/>
      <c r="M108" s="117" t="n"/>
      <c r="N108" s="117" t="n"/>
      <c r="O108" s="117" t="n"/>
      <c r="P108" s="117" t="n"/>
      <c r="Q108" s="117" t="n"/>
      <c r="R108" s="117" t="n"/>
      <c r="S108" s="117" t="n"/>
      <c r="T108" s="117" t="n">
        <v>0.15</v>
      </c>
      <c r="U108" s="117" t="n"/>
      <c r="V108" s="117" t="n"/>
      <c r="W108" s="117" t="n"/>
      <c r="X108" s="117" t="n">
        <v>0.08</v>
      </c>
      <c r="Y108" s="117" t="n">
        <v>3</v>
      </c>
      <c r="Z108" s="121" t="n"/>
      <c r="AA108" s="121" t="n"/>
      <c r="AB108" s="121" t="n"/>
      <c r="AC108" s="121" t="n"/>
      <c r="AD108" s="121" t="n"/>
      <c r="AE108" s="121" t="n"/>
      <c r="AF108" s="121" t="n"/>
      <c r="AG108" s="121" t="n"/>
      <c r="AH108" s="121" t="n"/>
      <c r="AI108" s="121" t="n"/>
      <c r="AJ108" s="121" t="n"/>
    </row>
    <row r="109" ht="14.25" customHeight="1" s="142">
      <c r="A109" s="117" t="n">
        <v>204</v>
      </c>
      <c r="B109" s="117" t="n">
        <v>5</v>
      </c>
      <c r="C109" s="117" t="n"/>
      <c r="D109" s="117" t="n"/>
      <c r="E109" s="117" t="n"/>
      <c r="F109" s="117" t="n"/>
      <c r="G109" s="117" t="n"/>
      <c r="H109" s="117" t="n"/>
      <c r="I109" s="117" t="n"/>
      <c r="J109" s="117" t="n"/>
      <c r="K109" s="117" t="n"/>
      <c r="L109" s="117" t="n"/>
      <c r="M109" s="117" t="n"/>
      <c r="N109" s="117" t="n"/>
      <c r="O109" s="117" t="n"/>
      <c r="P109" s="117" t="n"/>
      <c r="Q109" s="117" t="n"/>
      <c r="R109" s="117" t="n"/>
      <c r="S109" s="117" t="n"/>
      <c r="T109" s="117" t="n">
        <v>0.25</v>
      </c>
      <c r="U109" s="117" t="n"/>
      <c r="V109" s="117" t="n"/>
      <c r="W109" s="117" t="n"/>
      <c r="X109" s="117" t="n">
        <v>0.08</v>
      </c>
      <c r="Y109" s="117" t="n">
        <v>4</v>
      </c>
      <c r="Z109" s="121" t="n"/>
      <c r="AA109" s="121" t="n"/>
      <c r="AB109" s="121" t="n"/>
      <c r="AC109" s="121" t="n"/>
      <c r="AD109" s="121" t="n"/>
      <c r="AE109" s="121" t="n"/>
      <c r="AF109" s="121" t="n"/>
      <c r="AG109" s="121" t="n"/>
      <c r="AH109" s="121" t="n"/>
      <c r="AI109" s="121" t="n"/>
      <c r="AJ109" s="121" t="n"/>
    </row>
    <row r="110" ht="14.25" customHeight="1" s="142">
      <c r="A110" s="117" t="n">
        <v>204</v>
      </c>
      <c r="B110" s="117" t="n">
        <v>650</v>
      </c>
      <c r="C110" s="117" t="n"/>
      <c r="D110" s="117" t="n"/>
      <c r="E110" s="117" t="n"/>
      <c r="F110" s="117" t="n"/>
      <c r="G110" s="117" t="n"/>
      <c r="H110" s="117" t="n"/>
      <c r="I110" s="117" t="n"/>
      <c r="J110" s="117" t="n"/>
      <c r="K110" s="117" t="n"/>
      <c r="L110" s="117" t="n"/>
      <c r="M110" s="117" t="n"/>
      <c r="N110" s="117" t="n"/>
      <c r="O110" s="117" t="n"/>
      <c r="P110" s="117" t="n"/>
      <c r="Q110" s="117" t="n"/>
      <c r="R110" s="117" t="n"/>
      <c r="S110" s="117" t="n"/>
      <c r="T110" s="117" t="n"/>
      <c r="U110" s="117" t="n">
        <v>10</v>
      </c>
      <c r="V110" s="117" t="n"/>
      <c r="W110" s="117" t="n"/>
      <c r="X110" s="117" t="n">
        <v>0.08</v>
      </c>
      <c r="Y110" s="117" t="n">
        <v>1</v>
      </c>
      <c r="Z110" s="121" t="n"/>
      <c r="AA110" s="121" t="n"/>
      <c r="AB110" s="121" t="n"/>
      <c r="AC110" s="121" t="n"/>
      <c r="AD110" s="121" t="n"/>
      <c r="AE110" s="121" t="n"/>
      <c r="AF110" s="121" t="n"/>
      <c r="AG110" s="121" t="n"/>
      <c r="AH110" s="121" t="n"/>
      <c r="AI110" s="121" t="n"/>
      <c r="AJ110" s="121" t="n"/>
    </row>
    <row r="111" ht="14.25" customHeight="1" s="142">
      <c r="A111" s="117" t="n">
        <v>204</v>
      </c>
      <c r="B111" s="117" t="n">
        <v>150</v>
      </c>
      <c r="C111" s="117" t="n"/>
      <c r="D111" s="117" t="n"/>
      <c r="E111" s="117" t="n"/>
      <c r="F111" s="117" t="n"/>
      <c r="G111" s="117" t="n"/>
      <c r="H111" s="117" t="n"/>
      <c r="I111" s="117" t="n"/>
      <c r="J111" s="117" t="n"/>
      <c r="K111" s="117" t="n"/>
      <c r="L111" s="117" t="n"/>
      <c r="M111" s="117" t="n"/>
      <c r="N111" s="117" t="n"/>
      <c r="O111" s="117" t="n"/>
      <c r="P111" s="117" t="n"/>
      <c r="Q111" s="117" t="n"/>
      <c r="R111" s="117" t="n"/>
      <c r="S111" s="117" t="n"/>
      <c r="T111" s="117" t="n"/>
      <c r="U111" s="117" t="n">
        <v>25</v>
      </c>
      <c r="V111" s="117" t="n"/>
      <c r="W111" s="117" t="n"/>
      <c r="X111" s="117" t="n">
        <v>0.08</v>
      </c>
      <c r="Y111" s="117" t="n">
        <v>1</v>
      </c>
      <c r="Z111" s="121" t="n"/>
      <c r="AA111" s="121" t="n"/>
      <c r="AB111" s="121" t="n"/>
      <c r="AC111" s="121" t="n"/>
      <c r="AD111" s="121" t="n"/>
      <c r="AE111" s="121" t="n"/>
      <c r="AF111" s="121" t="n"/>
      <c r="AG111" s="121" t="n"/>
      <c r="AH111" s="121" t="n"/>
      <c r="AI111" s="121" t="n"/>
      <c r="AJ111" s="121" t="n"/>
    </row>
    <row r="112" ht="14.25" customHeight="1" s="142">
      <c r="A112" s="117" t="n">
        <v>204</v>
      </c>
      <c r="B112" s="117" t="n">
        <v>35</v>
      </c>
      <c r="C112" s="117" t="n"/>
      <c r="D112" s="117" t="n"/>
      <c r="E112" s="117" t="n"/>
      <c r="F112" s="117" t="n"/>
      <c r="G112" s="117" t="n"/>
      <c r="H112" s="117" t="n"/>
      <c r="I112" s="117" t="n"/>
      <c r="J112" s="117" t="n"/>
      <c r="K112" s="117" t="n"/>
      <c r="L112" s="117" t="n"/>
      <c r="M112" s="117" t="n"/>
      <c r="N112" s="117" t="n"/>
      <c r="O112" s="117" t="n"/>
      <c r="P112" s="117" t="n"/>
      <c r="Q112" s="117" t="n"/>
      <c r="R112" s="117" t="n"/>
      <c r="S112" s="117" t="n"/>
      <c r="T112" s="117" t="n"/>
      <c r="U112" s="117" t="n">
        <v>40</v>
      </c>
      <c r="V112" s="117" t="n"/>
      <c r="W112" s="117" t="n"/>
      <c r="X112" s="117" t="n">
        <v>0.08</v>
      </c>
      <c r="Y112" s="117" t="n">
        <v>2</v>
      </c>
      <c r="Z112" s="121" t="n"/>
      <c r="AA112" s="121" t="n"/>
      <c r="AB112" s="121" t="n"/>
      <c r="AC112" s="121" t="n"/>
      <c r="AD112" s="121" t="n"/>
      <c r="AE112" s="121" t="n"/>
      <c r="AF112" s="121" t="n"/>
      <c r="AG112" s="121" t="n"/>
      <c r="AH112" s="121" t="n"/>
      <c r="AI112" s="121" t="n"/>
      <c r="AJ112" s="121" t="n"/>
    </row>
    <row r="113" ht="14.25" customHeight="1" s="142">
      <c r="A113" s="117" t="n">
        <v>204</v>
      </c>
      <c r="B113" s="117" t="n">
        <v>10</v>
      </c>
      <c r="C113" s="117" t="n"/>
      <c r="D113" s="117" t="n"/>
      <c r="E113" s="117" t="n"/>
      <c r="F113" s="117" t="n"/>
      <c r="G113" s="117" t="n"/>
      <c r="H113" s="117" t="n"/>
      <c r="I113" s="117" t="n"/>
      <c r="J113" s="117" t="n"/>
      <c r="K113" s="117" t="n"/>
      <c r="L113" s="117" t="n"/>
      <c r="M113" s="117" t="n"/>
      <c r="N113" s="117" t="n"/>
      <c r="O113" s="117" t="n"/>
      <c r="P113" s="117" t="n"/>
      <c r="Q113" s="117" t="n"/>
      <c r="R113" s="117" t="n"/>
      <c r="S113" s="117" t="n"/>
      <c r="T113" s="117" t="n"/>
      <c r="U113" s="117" t="n">
        <v>95</v>
      </c>
      <c r="V113" s="117" t="n"/>
      <c r="W113" s="117" t="n"/>
      <c r="X113" s="117" t="n">
        <v>0.08</v>
      </c>
      <c r="Y113" s="117" t="n">
        <v>3</v>
      </c>
      <c r="Z113" s="121" t="n"/>
      <c r="AA113" s="121" t="n"/>
      <c r="AB113" s="121" t="n"/>
      <c r="AC113" s="121" t="n"/>
      <c r="AD113" s="121" t="n"/>
      <c r="AE113" s="121" t="n"/>
      <c r="AF113" s="121" t="n"/>
      <c r="AG113" s="121" t="n"/>
      <c r="AH113" s="121" t="n"/>
      <c r="AI113" s="121" t="n"/>
      <c r="AJ113" s="121" t="n"/>
    </row>
    <row r="114" ht="14.25" customHeight="1" s="142">
      <c r="A114" s="117" t="n">
        <v>204</v>
      </c>
      <c r="B114" s="117" t="n">
        <v>5</v>
      </c>
      <c r="C114" s="117" t="n"/>
      <c r="D114" s="117" t="n"/>
      <c r="E114" s="117" t="n"/>
      <c r="F114" s="117" t="n"/>
      <c r="G114" s="117" t="n"/>
      <c r="H114" s="117" t="n"/>
      <c r="I114" s="117" t="n"/>
      <c r="J114" s="117" t="n"/>
      <c r="K114" s="117" t="n"/>
      <c r="L114" s="117" t="n"/>
      <c r="M114" s="117" t="n"/>
      <c r="N114" s="117" t="n"/>
      <c r="O114" s="117" t="n"/>
      <c r="P114" s="117" t="n"/>
      <c r="Q114" s="117" t="n"/>
      <c r="R114" s="117" t="n"/>
      <c r="S114" s="117" t="n"/>
      <c r="T114" s="117" t="n"/>
      <c r="U114" s="117" t="n">
        <v>150</v>
      </c>
      <c r="V114" s="117" t="n"/>
      <c r="W114" s="117" t="n"/>
      <c r="X114" s="117" t="n">
        <v>0.08</v>
      </c>
      <c r="Y114" s="117" t="n">
        <v>4</v>
      </c>
      <c r="Z114" s="121" t="n"/>
      <c r="AA114" s="121" t="n"/>
      <c r="AB114" s="121" t="n"/>
      <c r="AC114" s="121" t="n"/>
      <c r="AD114" s="121" t="n"/>
      <c r="AE114" s="121" t="n"/>
      <c r="AF114" s="121" t="n"/>
      <c r="AG114" s="121" t="n"/>
      <c r="AH114" s="121" t="n"/>
      <c r="AI114" s="121" t="n"/>
      <c r="AJ114" s="121" t="n"/>
    </row>
    <row r="115" ht="14.25" customHeight="1" s="142">
      <c r="A115" s="115">
        <f>A2+4</f>
        <v/>
      </c>
      <c r="B115" s="115" t="n">
        <v>1900</v>
      </c>
      <c r="C115" s="115" t="n">
        <v>90</v>
      </c>
      <c r="D115" s="115" t="n"/>
      <c r="E115" s="115" t="n"/>
      <c r="F115" s="115" t="n"/>
      <c r="G115" s="115" t="n"/>
      <c r="H115" s="115" t="n"/>
      <c r="I115" s="115" t="n"/>
      <c r="J115" s="115" t="n"/>
      <c r="K115" s="115" t="n"/>
      <c r="L115" s="115" t="n"/>
      <c r="M115" s="115" t="n"/>
      <c r="N115" s="115" t="n"/>
      <c r="O115" s="115" t="n"/>
      <c r="P115" s="115" t="n"/>
      <c r="Q115" s="115" t="n"/>
      <c r="R115" s="115" t="n"/>
      <c r="S115" s="115" t="n"/>
      <c r="T115" s="115" t="n"/>
      <c r="U115" s="115" t="n"/>
      <c r="V115" s="115" t="n"/>
      <c r="W115" s="115" t="n"/>
      <c r="X115" s="115" t="n">
        <v>0.15</v>
      </c>
      <c r="Y115" s="115" t="n">
        <v>1</v>
      </c>
      <c r="Z115" s="116" t="n"/>
      <c r="AA115" s="116" t="n"/>
      <c r="AB115" s="116" t="n"/>
      <c r="AC115" s="116" t="n"/>
      <c r="AD115" s="116" t="n"/>
      <c r="AE115" s="116" t="n"/>
      <c r="AF115" s="116" t="n"/>
      <c r="AG115" s="116" t="n"/>
      <c r="AH115" s="116" t="n"/>
      <c r="AI115" s="116" t="n"/>
      <c r="AJ115" s="116" t="n"/>
    </row>
    <row r="116" ht="14.25" customHeight="1" s="142">
      <c r="A116" s="115">
        <f>A3+4</f>
        <v/>
      </c>
      <c r="B116" s="115" t="n">
        <v>400</v>
      </c>
      <c r="C116" s="115" t="n">
        <v>165</v>
      </c>
      <c r="D116" s="115" t="n"/>
      <c r="E116" s="115" t="n"/>
      <c r="F116" s="115" t="n"/>
      <c r="G116" s="115" t="n"/>
      <c r="H116" s="115" t="n"/>
      <c r="I116" s="115" t="n"/>
      <c r="J116" s="115" t="n"/>
      <c r="K116" s="115" t="n"/>
      <c r="L116" s="115" t="n"/>
      <c r="M116" s="115" t="n"/>
      <c r="N116" s="115" t="n"/>
      <c r="O116" s="115" t="n"/>
      <c r="P116" s="115" t="n"/>
      <c r="Q116" s="115" t="n"/>
      <c r="R116" s="115" t="n"/>
      <c r="S116" s="115" t="n"/>
      <c r="T116" s="115" t="n"/>
      <c r="U116" s="115" t="n"/>
      <c r="V116" s="115" t="n"/>
      <c r="W116" s="115" t="n"/>
      <c r="X116" s="115" t="n">
        <v>0.15</v>
      </c>
      <c r="Y116" s="115" t="n">
        <v>1</v>
      </c>
      <c r="Z116" s="116" t="n"/>
      <c r="AA116" s="116" t="n"/>
      <c r="AB116" s="116" t="n"/>
      <c r="AC116" s="116" t="n"/>
      <c r="AD116" s="116" t="n"/>
      <c r="AE116" s="116" t="n"/>
      <c r="AF116" s="116" t="n"/>
      <c r="AG116" s="116" t="n"/>
      <c r="AH116" s="116" t="n"/>
      <c r="AI116" s="116" t="n"/>
      <c r="AJ116" s="116" t="n"/>
    </row>
    <row r="117" ht="14.25" customHeight="1" s="142">
      <c r="A117" s="115">
        <f>A4+4</f>
        <v/>
      </c>
      <c r="B117" s="115" t="n">
        <v>150</v>
      </c>
      <c r="C117" s="115" t="n">
        <v>300</v>
      </c>
      <c r="D117" s="115" t="n"/>
      <c r="E117" s="115" t="n"/>
      <c r="F117" s="115" t="n"/>
      <c r="G117" s="115" t="n"/>
      <c r="H117" s="115" t="n"/>
      <c r="I117" s="115" t="n"/>
      <c r="J117" s="115" t="n"/>
      <c r="K117" s="115" t="n"/>
      <c r="L117" s="115" t="n"/>
      <c r="M117" s="115" t="n"/>
      <c r="N117" s="115" t="n"/>
      <c r="O117" s="115" t="n"/>
      <c r="P117" s="115" t="n"/>
      <c r="Q117" s="115" t="n"/>
      <c r="R117" s="115" t="n"/>
      <c r="S117" s="115" t="n"/>
      <c r="T117" s="115" t="n"/>
      <c r="U117" s="115" t="n"/>
      <c r="V117" s="115" t="n"/>
      <c r="W117" s="115" t="n"/>
      <c r="X117" s="115" t="n">
        <v>0.15</v>
      </c>
      <c r="Y117" s="115" t="n">
        <v>2</v>
      </c>
      <c r="Z117" s="116" t="n"/>
      <c r="AA117" s="116" t="n"/>
      <c r="AB117" s="116" t="n"/>
      <c r="AC117" s="116" t="n"/>
      <c r="AD117" s="116" t="n"/>
      <c r="AE117" s="116" t="n"/>
      <c r="AF117" s="116" t="n"/>
      <c r="AG117" s="116" t="n"/>
      <c r="AH117" s="116" t="n"/>
      <c r="AI117" s="116" t="n"/>
      <c r="AJ117" s="116" t="n"/>
    </row>
    <row r="118" ht="14.25" customHeight="1" s="142">
      <c r="A118" s="115">
        <f>A5+4</f>
        <v/>
      </c>
      <c r="B118" s="115" t="n">
        <v>40</v>
      </c>
      <c r="C118" s="115" t="n">
        <v>570</v>
      </c>
      <c r="D118" s="115" t="n"/>
      <c r="E118" s="115" t="n"/>
      <c r="F118" s="115" t="n"/>
      <c r="G118" s="115" t="n"/>
      <c r="H118" s="115" t="n"/>
      <c r="I118" s="115" t="n"/>
      <c r="J118" s="115" t="n"/>
      <c r="K118" s="115" t="n"/>
      <c r="L118" s="115" t="n"/>
      <c r="M118" s="115" t="n"/>
      <c r="N118" s="115" t="n"/>
      <c r="O118" s="115" t="n"/>
      <c r="P118" s="115" t="n"/>
      <c r="Q118" s="115" t="n"/>
      <c r="R118" s="115" t="n"/>
      <c r="S118" s="115" t="n"/>
      <c r="T118" s="115" t="n"/>
      <c r="U118" s="115" t="n"/>
      <c r="V118" s="115" t="n"/>
      <c r="W118" s="115" t="n"/>
      <c r="X118" s="115" t="n">
        <v>0.15</v>
      </c>
      <c r="Y118" s="115" t="n">
        <v>3</v>
      </c>
      <c r="Z118" s="116" t="n"/>
      <c r="AA118" s="116" t="n"/>
      <c r="AB118" s="116" t="n"/>
      <c r="AC118" s="116" t="n"/>
      <c r="AD118" s="116" t="n"/>
      <c r="AE118" s="116" t="n"/>
      <c r="AF118" s="116" t="n"/>
      <c r="AG118" s="116" t="n"/>
      <c r="AH118" s="116" t="n"/>
      <c r="AI118" s="116" t="n"/>
      <c r="AJ118" s="116" t="n"/>
    </row>
    <row r="119" ht="14.25" customHeight="1" s="142">
      <c r="A119" s="115">
        <f>A6+4</f>
        <v/>
      </c>
      <c r="B119" s="115" t="n">
        <v>10</v>
      </c>
      <c r="C119" s="115" t="n">
        <v>1050</v>
      </c>
      <c r="D119" s="115" t="n"/>
      <c r="E119" s="115" t="n"/>
      <c r="F119" s="115" t="n"/>
      <c r="G119" s="115" t="n"/>
      <c r="H119" s="115" t="n"/>
      <c r="I119" s="115" t="n"/>
      <c r="J119" s="115" t="n"/>
      <c r="K119" s="115" t="n"/>
      <c r="L119" s="115" t="n"/>
      <c r="M119" s="115" t="n"/>
      <c r="N119" s="115" t="n"/>
      <c r="O119" s="115" t="n"/>
      <c r="P119" s="115" t="n"/>
      <c r="Q119" s="115" t="n"/>
      <c r="R119" s="115" t="n"/>
      <c r="S119" s="115" t="n"/>
      <c r="T119" s="115" t="n"/>
      <c r="U119" s="115" t="n"/>
      <c r="V119" s="115" t="n"/>
      <c r="W119" s="115" t="n"/>
      <c r="X119" s="115" t="n">
        <v>0.15</v>
      </c>
      <c r="Y119" s="115" t="n">
        <v>4</v>
      </c>
      <c r="Z119" s="116" t="n"/>
      <c r="AA119" s="116" t="n"/>
      <c r="AB119" s="116" t="n"/>
      <c r="AC119" s="116" t="n"/>
      <c r="AD119" s="116" t="n"/>
      <c r="AE119" s="116" t="n"/>
      <c r="AF119" s="116" t="n"/>
      <c r="AG119" s="116" t="n"/>
      <c r="AH119" s="116" t="n"/>
      <c r="AI119" s="116" t="n"/>
      <c r="AJ119" s="116" t="n"/>
    </row>
    <row r="120" ht="14.25" customHeight="1" s="142">
      <c r="A120" s="115">
        <f>A7+4</f>
        <v/>
      </c>
      <c r="B120" s="115" t="n">
        <v>1900</v>
      </c>
      <c r="C120" s="115" t="n"/>
      <c r="D120" s="115" t="n"/>
      <c r="E120" s="115" t="n"/>
      <c r="F120" s="115" t="n">
        <v>9</v>
      </c>
      <c r="G120" s="115" t="n"/>
      <c r="H120" s="115" t="n"/>
      <c r="I120" s="115" t="n"/>
      <c r="J120" s="115" t="n"/>
      <c r="K120" s="115" t="n"/>
      <c r="L120" s="115" t="n"/>
      <c r="M120" s="115" t="n"/>
      <c r="N120" s="115" t="n"/>
      <c r="O120" s="115" t="n"/>
      <c r="P120" s="115" t="n"/>
      <c r="Q120" s="115" t="n"/>
      <c r="R120" s="115" t="n"/>
      <c r="S120" s="115" t="n"/>
      <c r="T120" s="115" t="n"/>
      <c r="U120" s="115" t="n"/>
      <c r="V120" s="115" t="n"/>
      <c r="W120" s="115" t="n"/>
      <c r="X120" s="115" t="n">
        <v>0.15</v>
      </c>
      <c r="Y120" s="115" t="n">
        <v>1</v>
      </c>
      <c r="Z120" s="116" t="n"/>
      <c r="AA120" s="116" t="n"/>
      <c r="AB120" s="116" t="n"/>
      <c r="AC120" s="116" t="n"/>
      <c r="AD120" s="116" t="n"/>
      <c r="AE120" s="116" t="n"/>
      <c r="AF120" s="116" t="n"/>
      <c r="AG120" s="116" t="n"/>
      <c r="AH120" s="116" t="n"/>
      <c r="AI120" s="116" t="n"/>
      <c r="AJ120" s="116" t="n"/>
    </row>
    <row r="121" ht="14.25" customHeight="1" s="142">
      <c r="A121" s="115">
        <f>A8+4</f>
        <v/>
      </c>
      <c r="B121" s="115" t="n">
        <v>400</v>
      </c>
      <c r="C121" s="115" t="n"/>
      <c r="D121" s="115" t="n"/>
      <c r="E121" s="115" t="n"/>
      <c r="F121" s="115" t="n">
        <v>14</v>
      </c>
      <c r="G121" s="115" t="n"/>
      <c r="H121" s="115" t="n"/>
      <c r="I121" s="115" t="n"/>
      <c r="J121" s="115" t="n"/>
      <c r="K121" s="115" t="n"/>
      <c r="L121" s="115" t="n"/>
      <c r="M121" s="115" t="n"/>
      <c r="N121" s="115" t="n"/>
      <c r="O121" s="115" t="n"/>
      <c r="P121" s="115" t="n"/>
      <c r="Q121" s="115" t="n"/>
      <c r="R121" s="115" t="n"/>
      <c r="S121" s="115" t="n"/>
      <c r="T121" s="115" t="n"/>
      <c r="U121" s="115" t="n"/>
      <c r="V121" s="115" t="n"/>
      <c r="W121" s="115" t="n"/>
      <c r="X121" s="115" t="n">
        <v>0.15</v>
      </c>
      <c r="Y121" s="115" t="n">
        <v>1</v>
      </c>
      <c r="Z121" s="116" t="n"/>
      <c r="AA121" s="116" t="n"/>
      <c r="AB121" s="116" t="n"/>
      <c r="AC121" s="116" t="n"/>
      <c r="AD121" s="116" t="n"/>
      <c r="AE121" s="116" t="n"/>
      <c r="AF121" s="116" t="n"/>
      <c r="AG121" s="116" t="n"/>
      <c r="AH121" s="116" t="n"/>
      <c r="AI121" s="116" t="n"/>
      <c r="AJ121" s="116" t="n"/>
    </row>
    <row r="122" ht="14.25" customHeight="1" s="142">
      <c r="A122" s="115">
        <f>A9+4</f>
        <v/>
      </c>
      <c r="B122" s="115" t="n">
        <v>150</v>
      </c>
      <c r="C122" s="115" t="n"/>
      <c r="D122" s="115" t="n"/>
      <c r="E122" s="115" t="n"/>
      <c r="F122" s="115" t="n">
        <v>23</v>
      </c>
      <c r="G122" s="115" t="n"/>
      <c r="H122" s="115" t="n"/>
      <c r="I122" s="115" t="n"/>
      <c r="J122" s="115" t="n"/>
      <c r="K122" s="115" t="n"/>
      <c r="L122" s="115" t="n"/>
      <c r="M122" s="115" t="n"/>
      <c r="N122" s="115" t="n"/>
      <c r="O122" s="115" t="n"/>
      <c r="P122" s="115" t="n"/>
      <c r="Q122" s="115" t="n"/>
      <c r="R122" s="115" t="n"/>
      <c r="S122" s="115" t="n"/>
      <c r="T122" s="115" t="n"/>
      <c r="U122" s="115" t="n"/>
      <c r="V122" s="115" t="n"/>
      <c r="W122" s="115" t="n"/>
      <c r="X122" s="115" t="n">
        <v>0.15</v>
      </c>
      <c r="Y122" s="115" t="n">
        <v>2</v>
      </c>
      <c r="Z122" s="116" t="n"/>
      <c r="AA122" s="116" t="n"/>
      <c r="AB122" s="116" t="n"/>
      <c r="AC122" s="116" t="n"/>
      <c r="AD122" s="116" t="n"/>
      <c r="AE122" s="116" t="n"/>
      <c r="AF122" s="116" t="n"/>
      <c r="AG122" s="116" t="n"/>
      <c r="AH122" s="116" t="n"/>
      <c r="AI122" s="116" t="n"/>
      <c r="AJ122" s="116" t="n"/>
    </row>
    <row r="123" ht="14.25" customHeight="1" s="142">
      <c r="A123" s="115">
        <f>A10+4</f>
        <v/>
      </c>
      <c r="B123" s="115" t="n">
        <v>40</v>
      </c>
      <c r="C123" s="115" t="n"/>
      <c r="D123" s="115" t="n"/>
      <c r="E123" s="115" t="n"/>
      <c r="F123" s="115" t="n">
        <v>35</v>
      </c>
      <c r="G123" s="115" t="n"/>
      <c r="H123" s="115" t="n"/>
      <c r="I123" s="115" t="n"/>
      <c r="J123" s="115" t="n"/>
      <c r="K123" s="115" t="n"/>
      <c r="L123" s="115" t="n"/>
      <c r="M123" s="115" t="n"/>
      <c r="N123" s="115" t="n"/>
      <c r="O123" s="115" t="n"/>
      <c r="P123" s="115" t="n"/>
      <c r="Q123" s="115" t="n"/>
      <c r="R123" s="115" t="n"/>
      <c r="S123" s="115" t="n"/>
      <c r="T123" s="115" t="n"/>
      <c r="U123" s="115" t="n"/>
      <c r="V123" s="115" t="n"/>
      <c r="W123" s="115" t="n"/>
      <c r="X123" s="115" t="n">
        <v>0.15</v>
      </c>
      <c r="Y123" s="115" t="n">
        <v>3</v>
      </c>
      <c r="Z123" s="116" t="n"/>
      <c r="AA123" s="116" t="n"/>
      <c r="AB123" s="116" t="n"/>
      <c r="AC123" s="116" t="n"/>
      <c r="AD123" s="116" t="n"/>
      <c r="AE123" s="116" t="n"/>
      <c r="AF123" s="116" t="n"/>
      <c r="AG123" s="116" t="n"/>
      <c r="AH123" s="116" t="n"/>
      <c r="AI123" s="116" t="n"/>
      <c r="AJ123" s="116" t="n"/>
    </row>
    <row r="124" ht="14.25" customHeight="1" s="142">
      <c r="A124" s="115">
        <f>A11+4</f>
        <v/>
      </c>
      <c r="B124" s="115" t="n">
        <v>10</v>
      </c>
      <c r="C124" s="115" t="n"/>
      <c r="D124" s="115" t="n"/>
      <c r="E124" s="115" t="n"/>
      <c r="F124" s="115" t="n">
        <v>81</v>
      </c>
      <c r="G124" s="115" t="n"/>
      <c r="H124" s="115" t="n"/>
      <c r="I124" s="115" t="n"/>
      <c r="J124" s="115" t="n"/>
      <c r="K124" s="115" t="n"/>
      <c r="L124" s="115" t="n"/>
      <c r="M124" s="115" t="n"/>
      <c r="N124" s="115" t="n"/>
      <c r="O124" s="115" t="n"/>
      <c r="P124" s="115" t="n"/>
      <c r="Q124" s="115" t="n"/>
      <c r="R124" s="115" t="n"/>
      <c r="S124" s="115" t="n"/>
      <c r="T124" s="115" t="n"/>
      <c r="U124" s="115" t="n"/>
      <c r="V124" s="115" t="n"/>
      <c r="W124" s="115" t="n"/>
      <c r="X124" s="115" t="n">
        <v>0.15</v>
      </c>
      <c r="Y124" s="115" t="n">
        <v>4</v>
      </c>
      <c r="Z124" s="116" t="n"/>
      <c r="AA124" s="116" t="n"/>
      <c r="AB124" s="116" t="n"/>
      <c r="AC124" s="116" t="n"/>
      <c r="AD124" s="116" t="n"/>
      <c r="AE124" s="116" t="n"/>
      <c r="AF124" s="116" t="n"/>
      <c r="AG124" s="116" t="n"/>
      <c r="AH124" s="116" t="n"/>
      <c r="AI124" s="116" t="n"/>
      <c r="AJ124" s="116" t="n"/>
    </row>
    <row r="125" ht="14.25" customHeight="1" s="142">
      <c r="A125" s="115">
        <f>A12+4</f>
        <v/>
      </c>
      <c r="B125" s="115" t="n">
        <v>1900</v>
      </c>
      <c r="C125" s="115" t="n"/>
      <c r="D125" s="115" t="n"/>
      <c r="E125" s="115" t="n"/>
      <c r="F125" s="115" t="n"/>
      <c r="G125" s="115" t="n">
        <v>13</v>
      </c>
      <c r="H125" s="115" t="n"/>
      <c r="I125" s="115" t="n"/>
      <c r="J125" s="115" t="n"/>
      <c r="K125" s="115" t="n"/>
      <c r="L125" s="115" t="n"/>
      <c r="M125" s="115" t="n"/>
      <c r="N125" s="115" t="n"/>
      <c r="O125" s="115" t="n"/>
      <c r="P125" s="115" t="n"/>
      <c r="Q125" s="115" t="n"/>
      <c r="R125" s="115" t="n"/>
      <c r="S125" s="115" t="n"/>
      <c r="T125" s="115" t="n"/>
      <c r="U125" s="115" t="n"/>
      <c r="V125" s="115" t="n"/>
      <c r="W125" s="115" t="n"/>
      <c r="X125" s="115" t="n">
        <v>0.15</v>
      </c>
      <c r="Y125" s="115" t="n">
        <v>1</v>
      </c>
      <c r="Z125" s="116" t="n"/>
      <c r="AA125" s="116" t="n"/>
      <c r="AB125" s="116" t="n"/>
      <c r="AC125" s="116" t="n"/>
      <c r="AD125" s="116" t="n"/>
      <c r="AE125" s="116" t="n"/>
      <c r="AF125" s="116" t="n"/>
      <c r="AG125" s="116" t="n"/>
      <c r="AH125" s="116" t="n"/>
      <c r="AI125" s="116" t="n"/>
      <c r="AJ125" s="116" t="n"/>
    </row>
    <row r="126" ht="14.25" customHeight="1" s="142">
      <c r="A126" s="115">
        <f>A13+4</f>
        <v/>
      </c>
      <c r="B126" s="115" t="n">
        <v>400</v>
      </c>
      <c r="C126" s="115" t="n"/>
      <c r="D126" s="115" t="n"/>
      <c r="E126" s="115" t="n"/>
      <c r="F126" s="115" t="n"/>
      <c r="G126" s="115" t="n">
        <v>19</v>
      </c>
      <c r="H126" s="115" t="n"/>
      <c r="I126" s="115" t="n"/>
      <c r="J126" s="115" t="n"/>
      <c r="K126" s="115" t="n"/>
      <c r="L126" s="115" t="n"/>
      <c r="M126" s="115" t="n"/>
      <c r="N126" s="115" t="n"/>
      <c r="O126" s="115" t="n"/>
      <c r="P126" s="115" t="n"/>
      <c r="Q126" s="115" t="n"/>
      <c r="R126" s="115" t="n"/>
      <c r="S126" s="115" t="n"/>
      <c r="T126" s="115" t="n"/>
      <c r="U126" s="115" t="n"/>
      <c r="V126" s="115" t="n"/>
      <c r="W126" s="115" t="n"/>
      <c r="X126" s="115" t="n">
        <v>0.15</v>
      </c>
      <c r="Y126" s="115" t="n">
        <v>1</v>
      </c>
      <c r="Z126" s="116" t="n"/>
      <c r="AA126" s="116" t="n"/>
      <c r="AB126" s="116" t="n"/>
      <c r="AC126" s="116" t="n"/>
      <c r="AD126" s="116" t="n"/>
      <c r="AE126" s="116" t="n"/>
      <c r="AF126" s="116" t="n"/>
      <c r="AG126" s="116" t="n"/>
      <c r="AH126" s="116" t="n"/>
      <c r="AI126" s="116" t="n"/>
      <c r="AJ126" s="116" t="n"/>
    </row>
    <row r="127" ht="14.25" customHeight="1" s="142">
      <c r="A127" s="115">
        <f>A14+4</f>
        <v/>
      </c>
      <c r="B127" s="115" t="n">
        <v>150</v>
      </c>
      <c r="C127" s="115" t="n"/>
      <c r="D127" s="115" t="n"/>
      <c r="E127" s="115" t="n"/>
      <c r="F127" s="115" t="n"/>
      <c r="G127" s="115" t="n">
        <v>32</v>
      </c>
      <c r="H127" s="115" t="n"/>
      <c r="I127" s="115" t="n"/>
      <c r="J127" s="115" t="n"/>
      <c r="K127" s="115" t="n"/>
      <c r="L127" s="115" t="n"/>
      <c r="M127" s="115" t="n"/>
      <c r="N127" s="115" t="n"/>
      <c r="O127" s="115" t="n"/>
      <c r="P127" s="115" t="n"/>
      <c r="Q127" s="115" t="n"/>
      <c r="R127" s="115" t="n"/>
      <c r="S127" s="115" t="n"/>
      <c r="T127" s="115" t="n"/>
      <c r="U127" s="115" t="n"/>
      <c r="V127" s="115" t="n"/>
      <c r="W127" s="115" t="n"/>
      <c r="X127" s="115" t="n">
        <v>0.15</v>
      </c>
      <c r="Y127" s="115" t="n">
        <v>2</v>
      </c>
      <c r="Z127" s="116" t="n"/>
      <c r="AA127" s="116" t="n"/>
      <c r="AB127" s="116" t="n"/>
      <c r="AC127" s="116" t="n"/>
      <c r="AD127" s="116" t="n"/>
      <c r="AE127" s="116" t="n"/>
      <c r="AF127" s="116" t="n"/>
      <c r="AG127" s="116" t="n"/>
      <c r="AH127" s="116" t="n"/>
      <c r="AI127" s="116" t="n"/>
      <c r="AJ127" s="116" t="n"/>
    </row>
    <row r="128" ht="14.25" customHeight="1" s="142">
      <c r="A128" s="115">
        <f>A15+4</f>
        <v/>
      </c>
      <c r="B128" s="115" t="n">
        <v>40</v>
      </c>
      <c r="C128" s="115" t="n"/>
      <c r="D128" s="115" t="n"/>
      <c r="E128" s="115" t="n"/>
      <c r="F128" s="115" t="n"/>
      <c r="G128" s="115" t="n">
        <v>61</v>
      </c>
      <c r="H128" s="115" t="n"/>
      <c r="I128" s="115" t="n"/>
      <c r="J128" s="115" t="n"/>
      <c r="K128" s="115" t="n"/>
      <c r="L128" s="115" t="n"/>
      <c r="M128" s="115" t="n"/>
      <c r="N128" s="115" t="n"/>
      <c r="O128" s="115" t="n"/>
      <c r="P128" s="115" t="n"/>
      <c r="Q128" s="115" t="n"/>
      <c r="R128" s="115" t="n"/>
      <c r="S128" s="115" t="n"/>
      <c r="T128" s="115" t="n"/>
      <c r="U128" s="115" t="n"/>
      <c r="V128" s="115" t="n"/>
      <c r="W128" s="115" t="n"/>
      <c r="X128" s="115" t="n">
        <v>0.15</v>
      </c>
      <c r="Y128" s="115" t="n">
        <v>3</v>
      </c>
      <c r="Z128" s="116" t="n"/>
      <c r="AA128" s="116" t="n"/>
      <c r="AB128" s="116" t="n"/>
      <c r="AC128" s="116" t="n"/>
      <c r="AD128" s="116" t="n"/>
      <c r="AE128" s="116" t="n"/>
      <c r="AF128" s="116" t="n"/>
      <c r="AG128" s="116" t="n"/>
      <c r="AH128" s="116" t="n"/>
      <c r="AI128" s="116" t="n"/>
      <c r="AJ128" s="116" t="n"/>
    </row>
    <row r="129" ht="14.25" customHeight="1" s="142">
      <c r="A129" s="115">
        <f>A16+4</f>
        <v/>
      </c>
      <c r="B129" s="115" t="n">
        <v>10</v>
      </c>
      <c r="C129" s="115" t="n"/>
      <c r="D129" s="115" t="n"/>
      <c r="E129" s="115" t="n"/>
      <c r="F129" s="115" t="n"/>
      <c r="G129" s="115" t="n">
        <v>103</v>
      </c>
      <c r="H129" s="115" t="n"/>
      <c r="I129" s="115" t="n"/>
      <c r="J129" s="115" t="n"/>
      <c r="K129" s="115" t="n"/>
      <c r="L129" s="115" t="n"/>
      <c r="M129" s="115" t="n"/>
      <c r="N129" s="115" t="n"/>
      <c r="O129" s="115" t="n"/>
      <c r="P129" s="115" t="n"/>
      <c r="Q129" s="115" t="n"/>
      <c r="R129" s="115" t="n"/>
      <c r="S129" s="115" t="n"/>
      <c r="T129" s="115" t="n"/>
      <c r="U129" s="115" t="n"/>
      <c r="V129" s="115" t="n"/>
      <c r="W129" s="115" t="n"/>
      <c r="X129" s="115" t="n">
        <v>0.15</v>
      </c>
      <c r="Y129" s="115" t="n">
        <v>4</v>
      </c>
      <c r="Z129" s="116" t="n"/>
      <c r="AA129" s="116" t="n"/>
      <c r="AB129" s="116" t="n"/>
      <c r="AC129" s="116" t="n"/>
      <c r="AD129" s="116" t="n"/>
      <c r="AE129" s="116" t="n"/>
      <c r="AF129" s="116" t="n"/>
      <c r="AG129" s="116" t="n"/>
      <c r="AH129" s="116" t="n"/>
      <c r="AI129" s="116" t="n"/>
      <c r="AJ129" s="116" t="n"/>
    </row>
    <row r="130" ht="14.25" customHeight="1" s="142">
      <c r="A130" s="115">
        <f>A17+4</f>
        <v/>
      </c>
      <c r="B130" s="115" t="n">
        <v>1900</v>
      </c>
      <c r="C130" s="115" t="n"/>
      <c r="D130" s="115" t="n"/>
      <c r="E130" s="115" t="n"/>
      <c r="F130" s="115" t="n"/>
      <c r="G130" s="115" t="n"/>
      <c r="H130" s="115" t="n"/>
      <c r="I130" s="115" t="n"/>
      <c r="J130" s="115" t="n"/>
      <c r="K130" s="115" t="n">
        <v>0.01</v>
      </c>
      <c r="L130" s="115" t="n"/>
      <c r="M130" s="115" t="n"/>
      <c r="N130" s="115" t="n"/>
      <c r="O130" s="115" t="n"/>
      <c r="P130" s="115" t="n"/>
      <c r="Q130" s="115" t="n"/>
      <c r="R130" s="115" t="n"/>
      <c r="S130" s="115" t="n"/>
      <c r="T130" s="115" t="n"/>
      <c r="U130" s="115" t="n"/>
      <c r="V130" s="115" t="n"/>
      <c r="W130" s="115" t="n"/>
      <c r="X130" s="115" t="n">
        <v>0.15</v>
      </c>
      <c r="Y130" s="115" t="n">
        <v>1</v>
      </c>
      <c r="Z130" s="116" t="n"/>
      <c r="AA130" s="116" t="n"/>
      <c r="AB130" s="116" t="n"/>
      <c r="AC130" s="116" t="n"/>
      <c r="AD130" s="116" t="n"/>
      <c r="AE130" s="116" t="n"/>
      <c r="AF130" s="116" t="n"/>
      <c r="AG130" s="116" t="n"/>
      <c r="AH130" s="116" t="n"/>
      <c r="AI130" s="116" t="n"/>
      <c r="AJ130" s="116" t="n"/>
    </row>
    <row r="131" ht="14.25" customHeight="1" s="142">
      <c r="A131" s="115">
        <f>A18+4</f>
        <v/>
      </c>
      <c r="B131" s="115" t="n">
        <v>400</v>
      </c>
      <c r="C131" s="115" t="n"/>
      <c r="D131" s="115" t="n"/>
      <c r="E131" s="115" t="n"/>
      <c r="F131" s="115" t="n"/>
      <c r="G131" s="115" t="n"/>
      <c r="H131" s="115" t="n"/>
      <c r="I131" s="115" t="n"/>
      <c r="J131" s="115" t="n"/>
      <c r="K131" s="115" t="n">
        <v>0.03</v>
      </c>
      <c r="L131" s="115" t="n"/>
      <c r="M131" s="115" t="n"/>
      <c r="N131" s="115" t="n"/>
      <c r="O131" s="115" t="n"/>
      <c r="P131" s="115" t="n"/>
      <c r="Q131" s="115" t="n"/>
      <c r="R131" s="115" t="n"/>
      <c r="S131" s="115" t="n"/>
      <c r="T131" s="115" t="n"/>
      <c r="U131" s="115" t="n"/>
      <c r="V131" s="115" t="n"/>
      <c r="W131" s="115" t="n"/>
      <c r="X131" s="115" t="n">
        <v>0.15</v>
      </c>
      <c r="Y131" s="115" t="n">
        <v>1</v>
      </c>
      <c r="Z131" s="116" t="n"/>
      <c r="AA131" s="116" t="n"/>
      <c r="AB131" s="116" t="n"/>
      <c r="AC131" s="116" t="n"/>
      <c r="AD131" s="116" t="n"/>
      <c r="AE131" s="116" t="n"/>
      <c r="AF131" s="116" t="n"/>
      <c r="AG131" s="116" t="n"/>
      <c r="AH131" s="116" t="n"/>
      <c r="AI131" s="116" t="n"/>
      <c r="AJ131" s="116" t="n"/>
    </row>
    <row r="132" ht="14.25" customHeight="1" s="142">
      <c r="A132" s="115">
        <f>A19+4</f>
        <v/>
      </c>
      <c r="B132" s="115" t="n">
        <v>150</v>
      </c>
      <c r="C132" s="115" t="n"/>
      <c r="D132" s="115" t="n"/>
      <c r="E132" s="115" t="n"/>
      <c r="F132" s="115" t="n"/>
      <c r="G132" s="115" t="n"/>
      <c r="H132" s="115" t="n"/>
      <c r="I132" s="115" t="n"/>
      <c r="J132" s="115" t="n"/>
      <c r="K132" s="115" t="n">
        <v>0.05</v>
      </c>
      <c r="L132" s="115" t="n"/>
      <c r="M132" s="115" t="n"/>
      <c r="N132" s="115" t="n"/>
      <c r="O132" s="115" t="n"/>
      <c r="P132" s="115" t="n"/>
      <c r="Q132" s="115" t="n"/>
      <c r="R132" s="115" t="n"/>
      <c r="S132" s="115" t="n"/>
      <c r="T132" s="115" t="n"/>
      <c r="U132" s="115" t="n"/>
      <c r="V132" s="115" t="n"/>
      <c r="W132" s="115" t="n"/>
      <c r="X132" s="115" t="n">
        <v>0.15</v>
      </c>
      <c r="Y132" s="115" t="n">
        <v>2</v>
      </c>
      <c r="Z132" s="116" t="n"/>
      <c r="AA132" s="116" t="n"/>
      <c r="AB132" s="116" t="n"/>
      <c r="AC132" s="116" t="n"/>
      <c r="AD132" s="116" t="n"/>
      <c r="AE132" s="116" t="n"/>
      <c r="AF132" s="116" t="n"/>
      <c r="AG132" s="116" t="n"/>
      <c r="AH132" s="116" t="n"/>
      <c r="AI132" s="116" t="n"/>
      <c r="AJ132" s="116" t="n"/>
    </row>
    <row r="133" ht="14.25" customHeight="1" s="142">
      <c r="A133" s="115">
        <f>A20+4</f>
        <v/>
      </c>
      <c r="B133" s="115" t="n">
        <v>40</v>
      </c>
      <c r="C133" s="115" t="n"/>
      <c r="D133" s="115" t="n"/>
      <c r="E133" s="115" t="n"/>
      <c r="F133" s="115" t="n"/>
      <c r="G133" s="115" t="n"/>
      <c r="H133" s="115" t="n"/>
      <c r="I133" s="115" t="n"/>
      <c r="J133" s="115" t="n"/>
      <c r="K133" s="115" t="n">
        <v>0.09</v>
      </c>
      <c r="L133" s="115" t="n"/>
      <c r="M133" s="115" t="n"/>
      <c r="N133" s="115" t="n"/>
      <c r="O133" s="115" t="n"/>
      <c r="P133" s="115" t="n"/>
      <c r="Q133" s="115" t="n"/>
      <c r="R133" s="115" t="n"/>
      <c r="S133" s="115" t="n"/>
      <c r="T133" s="115" t="n"/>
      <c r="U133" s="115" t="n"/>
      <c r="V133" s="115" t="n"/>
      <c r="W133" s="115" t="n"/>
      <c r="X133" s="115" t="n">
        <v>0.15</v>
      </c>
      <c r="Y133" s="115" t="n">
        <v>3</v>
      </c>
      <c r="Z133" s="116" t="n"/>
      <c r="AA133" s="116" t="n"/>
      <c r="AB133" s="116" t="n"/>
      <c r="AC133" s="116" t="n"/>
      <c r="AD133" s="116" t="n"/>
      <c r="AE133" s="116" t="n"/>
      <c r="AF133" s="116" t="n"/>
      <c r="AG133" s="116" t="n"/>
      <c r="AH133" s="116" t="n"/>
      <c r="AI133" s="116" t="n"/>
      <c r="AJ133" s="116" t="n"/>
    </row>
    <row r="134" ht="14.25" customHeight="1" s="142">
      <c r="A134" s="115">
        <f>A21+4</f>
        <v/>
      </c>
      <c r="B134" s="115" t="n">
        <v>10</v>
      </c>
      <c r="C134" s="115" t="n"/>
      <c r="D134" s="115" t="n"/>
      <c r="E134" s="115" t="n"/>
      <c r="F134" s="115" t="n"/>
      <c r="G134" s="115" t="n"/>
      <c r="H134" s="115" t="n"/>
      <c r="I134" s="115" t="n"/>
      <c r="J134" s="115" t="n"/>
      <c r="K134" s="115" t="n">
        <v>0.15</v>
      </c>
      <c r="L134" s="115" t="n"/>
      <c r="M134" s="115" t="n"/>
      <c r="N134" s="115" t="n"/>
      <c r="O134" s="115" t="n"/>
      <c r="P134" s="115" t="n"/>
      <c r="Q134" s="115" t="n"/>
      <c r="R134" s="115" t="n"/>
      <c r="S134" s="115" t="n"/>
      <c r="T134" s="115" t="n"/>
      <c r="U134" s="115" t="n"/>
      <c r="V134" s="115" t="n"/>
      <c r="W134" s="115" t="n"/>
      <c r="X134" s="115" t="n">
        <v>0.15</v>
      </c>
      <c r="Y134" s="115" t="n">
        <v>4</v>
      </c>
      <c r="Z134" s="116" t="n"/>
      <c r="AA134" s="116" t="n"/>
      <c r="AB134" s="116" t="n"/>
      <c r="AC134" s="116" t="n"/>
      <c r="AD134" s="116" t="n"/>
      <c r="AE134" s="116" t="n"/>
      <c r="AF134" s="116" t="n"/>
      <c r="AG134" s="116" t="n"/>
      <c r="AH134" s="116" t="n"/>
      <c r="AI134" s="116" t="n"/>
      <c r="AJ134" s="116" t="n"/>
    </row>
    <row r="135" ht="14.25" customHeight="1" s="142">
      <c r="A135" s="135">
        <f>A22+4</f>
        <v/>
      </c>
      <c r="B135" s="135" t="n">
        <v>2500</v>
      </c>
      <c r="C135" s="141" t="n"/>
      <c r="D135" s="141" t="n"/>
      <c r="E135" s="141" t="n"/>
      <c r="F135" s="141" t="n"/>
      <c r="G135" s="141" t="n"/>
      <c r="H135" s="141" t="n"/>
      <c r="I135" s="141" t="n"/>
      <c r="J135" s="141" t="n"/>
      <c r="K135" s="141" t="n"/>
      <c r="L135" s="135" t="n"/>
      <c r="M135" s="135" t="n"/>
      <c r="N135" s="135" t="n"/>
      <c r="O135" s="135" t="n"/>
      <c r="P135" s="135" t="n"/>
      <c r="Q135" s="135" t="n"/>
      <c r="R135" s="135" t="n"/>
      <c r="S135" s="135" t="n"/>
      <c r="T135" s="135" t="n"/>
      <c r="U135" s="135" t="n"/>
      <c r="V135" s="135" t="n"/>
      <c r="W135" s="135" t="n"/>
      <c r="X135" s="135" t="n">
        <v>0.13</v>
      </c>
      <c r="Y135" s="135" t="n">
        <v>1</v>
      </c>
    </row>
    <row r="136" ht="14.25" customHeight="1" s="142">
      <c r="A136" s="135">
        <f>A23+4</f>
        <v/>
      </c>
      <c r="B136" s="117">
        <f>B115/2</f>
        <v/>
      </c>
      <c r="C136" s="135" t="n">
        <v>90</v>
      </c>
      <c r="D136" s="135" t="n"/>
      <c r="E136" s="135" t="n"/>
      <c r="F136" s="135" t="n"/>
      <c r="G136" s="135" t="n"/>
      <c r="H136" s="135" t="n"/>
      <c r="I136" s="135" t="n"/>
      <c r="J136" s="135" t="n"/>
      <c r="K136" s="135" t="n"/>
      <c r="L136" s="135" t="n"/>
      <c r="M136" s="135" t="n"/>
      <c r="N136" s="135" t="n"/>
      <c r="O136" s="135" t="n"/>
      <c r="P136" s="135" t="n"/>
      <c r="Q136" s="135" t="n"/>
      <c r="R136" s="135" t="n"/>
      <c r="S136" s="135" t="n"/>
      <c r="T136" s="135" t="n"/>
      <c r="U136" s="135" t="n"/>
      <c r="V136" s="135" t="n"/>
      <c r="W136" s="135" t="n"/>
      <c r="X136" s="135" t="n">
        <v>0.13</v>
      </c>
      <c r="Y136" s="135" t="n">
        <v>1</v>
      </c>
    </row>
    <row r="137" ht="14.25" customHeight="1" s="142">
      <c r="A137" s="135">
        <f>A24+4</f>
        <v/>
      </c>
      <c r="B137" s="117">
        <f>B116/2</f>
        <v/>
      </c>
      <c r="C137" s="135" t="n">
        <v>165</v>
      </c>
      <c r="D137" s="135" t="n"/>
      <c r="E137" s="135" t="n"/>
      <c r="F137" s="135" t="n"/>
      <c r="G137" s="135" t="n"/>
      <c r="H137" s="135" t="n"/>
      <c r="I137" s="135" t="n"/>
      <c r="J137" s="135" t="n"/>
      <c r="K137" s="135" t="n"/>
      <c r="L137" s="135" t="n"/>
      <c r="M137" s="135" t="n"/>
      <c r="N137" s="135" t="n"/>
      <c r="O137" s="135" t="n"/>
      <c r="P137" s="135" t="n"/>
      <c r="Q137" s="135" t="n"/>
      <c r="R137" s="135" t="n"/>
      <c r="S137" s="135" t="n"/>
      <c r="T137" s="135" t="n"/>
      <c r="U137" s="135" t="n"/>
      <c r="V137" s="135" t="n"/>
      <c r="W137" s="135" t="n"/>
      <c r="X137" s="135" t="n">
        <v>0.13</v>
      </c>
      <c r="Y137" s="135" t="n">
        <v>1</v>
      </c>
    </row>
    <row r="138" ht="14.25" customHeight="1" s="142">
      <c r="A138" s="135">
        <f>A25+4</f>
        <v/>
      </c>
      <c r="B138" s="117">
        <f>B117/2</f>
        <v/>
      </c>
      <c r="C138" s="135" t="n">
        <v>300</v>
      </c>
      <c r="D138" s="135" t="n"/>
      <c r="E138" s="135" t="n"/>
      <c r="F138" s="135" t="n"/>
      <c r="G138" s="135" t="n"/>
      <c r="H138" s="135" t="n"/>
      <c r="I138" s="135" t="n"/>
      <c r="J138" s="135" t="n"/>
      <c r="K138" s="135" t="n"/>
      <c r="L138" s="135" t="n"/>
      <c r="M138" s="135" t="n"/>
      <c r="N138" s="135" t="n"/>
      <c r="O138" s="135" t="n"/>
      <c r="P138" s="135" t="n"/>
      <c r="Q138" s="135" t="n"/>
      <c r="R138" s="135" t="n"/>
      <c r="S138" s="135" t="n"/>
      <c r="T138" s="135" t="n"/>
      <c r="U138" s="135" t="n"/>
      <c r="V138" s="135" t="n"/>
      <c r="W138" s="135" t="n"/>
      <c r="X138" s="135" t="n">
        <v>0.13</v>
      </c>
      <c r="Y138" s="135" t="n">
        <v>2</v>
      </c>
    </row>
    <row r="139" ht="14.25" customHeight="1" s="142">
      <c r="A139" s="135">
        <f>A26+4</f>
        <v/>
      </c>
      <c r="B139" s="117">
        <f>B118/2</f>
        <v/>
      </c>
      <c r="C139" s="135" t="n">
        <v>570</v>
      </c>
      <c r="D139" s="135" t="n"/>
      <c r="E139" s="135" t="n"/>
      <c r="F139" s="135" t="n"/>
      <c r="G139" s="135" t="n"/>
      <c r="H139" s="135" t="n"/>
      <c r="I139" s="135" t="n"/>
      <c r="J139" s="135" t="n"/>
      <c r="K139" s="135" t="n"/>
      <c r="L139" s="135" t="n"/>
      <c r="M139" s="135" t="n"/>
      <c r="N139" s="135" t="n"/>
      <c r="O139" s="135" t="n"/>
      <c r="P139" s="135" t="n"/>
      <c r="Q139" s="135" t="n"/>
      <c r="R139" s="135" t="n"/>
      <c r="S139" s="135" t="n"/>
      <c r="T139" s="135" t="n"/>
      <c r="U139" s="135" t="n"/>
      <c r="V139" s="135" t="n"/>
      <c r="W139" s="135" t="n"/>
      <c r="X139" s="135" t="n">
        <v>0.13</v>
      </c>
      <c r="Y139" s="135" t="n">
        <v>3</v>
      </c>
    </row>
    <row r="140" ht="14.25" customHeight="1" s="142">
      <c r="A140" s="135">
        <f>A27+4</f>
        <v/>
      </c>
      <c r="B140" s="117">
        <f>B119/2</f>
        <v/>
      </c>
      <c r="C140" s="135" t="n">
        <v>1050</v>
      </c>
      <c r="D140" s="135" t="n"/>
      <c r="E140" s="135" t="n"/>
      <c r="F140" s="135" t="n"/>
      <c r="G140" s="135" t="n"/>
      <c r="H140" s="135" t="n"/>
      <c r="I140" s="135" t="n"/>
      <c r="J140" s="135" t="n"/>
      <c r="K140" s="135" t="n"/>
      <c r="L140" s="135" t="n"/>
      <c r="M140" s="135" t="n"/>
      <c r="N140" s="135" t="n"/>
      <c r="O140" s="135" t="n"/>
      <c r="P140" s="135" t="n"/>
      <c r="Q140" s="135" t="n"/>
      <c r="R140" s="135" t="n"/>
      <c r="S140" s="135" t="n"/>
      <c r="T140" s="135" t="n"/>
      <c r="U140" s="135" t="n"/>
      <c r="V140" s="135" t="n"/>
      <c r="W140" s="135" t="n"/>
      <c r="X140" s="135" t="n">
        <v>0.13</v>
      </c>
      <c r="Y140" s="135" t="n">
        <v>4</v>
      </c>
    </row>
    <row r="141" ht="14.25" customHeight="1" s="142">
      <c r="A141" s="135">
        <f>A28+4</f>
        <v/>
      </c>
      <c r="B141" s="117">
        <f>B120/2</f>
        <v/>
      </c>
      <c r="C141" s="135" t="n"/>
      <c r="D141" s="135" t="n"/>
      <c r="E141" s="7" t="n"/>
      <c r="F141" s="135" t="n">
        <v>9</v>
      </c>
      <c r="G141" s="135" t="n"/>
      <c r="H141" s="135" t="n"/>
      <c r="I141" s="135" t="n"/>
      <c r="J141" s="135" t="n"/>
      <c r="K141" s="135" t="n"/>
      <c r="L141" s="135" t="n"/>
      <c r="M141" s="135" t="n"/>
      <c r="N141" s="135" t="n"/>
      <c r="O141" s="135" t="n"/>
      <c r="P141" s="135" t="n"/>
      <c r="Q141" s="135" t="n"/>
      <c r="R141" s="135" t="n"/>
      <c r="S141" s="135" t="n"/>
      <c r="T141" s="135" t="n"/>
      <c r="U141" s="135" t="n"/>
      <c r="V141" s="135" t="n"/>
      <c r="W141" s="135" t="n"/>
      <c r="X141" s="135" t="n">
        <v>0.13</v>
      </c>
      <c r="Y141" s="135" t="n">
        <v>1</v>
      </c>
    </row>
    <row r="142" ht="14.25" customHeight="1" s="142">
      <c r="A142" s="135">
        <f>A29+4</f>
        <v/>
      </c>
      <c r="B142" s="117">
        <f>B121/2</f>
        <v/>
      </c>
      <c r="C142" s="135" t="n"/>
      <c r="D142" s="135" t="n"/>
      <c r="E142" s="135" t="n"/>
      <c r="F142" s="135" t="n">
        <v>14</v>
      </c>
      <c r="G142" s="135" t="n"/>
      <c r="H142" s="135" t="n"/>
      <c r="I142" s="135" t="n"/>
      <c r="J142" s="135" t="n"/>
      <c r="K142" s="135" t="n"/>
      <c r="L142" s="135" t="n"/>
      <c r="M142" s="135" t="n"/>
      <c r="N142" s="135" t="n"/>
      <c r="O142" s="135" t="n"/>
      <c r="P142" s="135" t="n"/>
      <c r="Q142" s="135" t="n"/>
      <c r="R142" s="135" t="n"/>
      <c r="S142" s="135" t="n"/>
      <c r="T142" s="135" t="n"/>
      <c r="U142" s="135" t="n"/>
      <c r="V142" s="135" t="n"/>
      <c r="W142" s="135" t="n"/>
      <c r="X142" s="135" t="n">
        <v>0.13</v>
      </c>
      <c r="Y142" s="135" t="n">
        <v>1</v>
      </c>
    </row>
    <row r="143" ht="14.25" customHeight="1" s="142">
      <c r="A143" s="135">
        <f>A30+4</f>
        <v/>
      </c>
      <c r="B143" s="117">
        <f>B122/2</f>
        <v/>
      </c>
      <c r="C143" s="135" t="n"/>
      <c r="D143" s="135" t="n"/>
      <c r="E143" s="135" t="n"/>
      <c r="F143" s="135" t="n">
        <v>23</v>
      </c>
      <c r="G143" s="135" t="n"/>
      <c r="H143" s="135" t="n"/>
      <c r="I143" s="135" t="n"/>
      <c r="J143" s="135" t="n"/>
      <c r="K143" s="135" t="n"/>
      <c r="L143" s="135" t="n"/>
      <c r="M143" s="135" t="n"/>
      <c r="N143" s="135" t="n"/>
      <c r="O143" s="135" t="n"/>
      <c r="P143" s="135" t="n"/>
      <c r="Q143" s="135" t="n"/>
      <c r="R143" s="135" t="n"/>
      <c r="S143" s="135" t="n"/>
      <c r="T143" s="135" t="n"/>
      <c r="U143" s="135" t="n"/>
      <c r="V143" s="135" t="n"/>
      <c r="W143" s="135" t="n"/>
      <c r="X143" s="135" t="n">
        <v>0.13</v>
      </c>
      <c r="Y143" s="135" t="n">
        <v>2</v>
      </c>
    </row>
    <row r="144" ht="14.25" customHeight="1" s="142">
      <c r="A144" s="135">
        <f>A31+4</f>
        <v/>
      </c>
      <c r="B144" s="117">
        <f>B123/2</f>
        <v/>
      </c>
      <c r="C144" s="135" t="n"/>
      <c r="D144" s="135" t="n"/>
      <c r="E144" s="135" t="n"/>
      <c r="F144" s="135" t="n">
        <v>35</v>
      </c>
      <c r="G144" s="135" t="n"/>
      <c r="H144" s="135" t="n"/>
      <c r="I144" s="135" t="n"/>
      <c r="J144" s="135" t="n"/>
      <c r="K144" s="135" t="n"/>
      <c r="L144" s="135" t="n"/>
      <c r="M144" s="135" t="n"/>
      <c r="N144" s="135" t="n"/>
      <c r="O144" s="135" t="n"/>
      <c r="P144" s="135" t="n"/>
      <c r="Q144" s="135" t="n"/>
      <c r="R144" s="135" t="n"/>
      <c r="S144" s="135" t="n"/>
      <c r="T144" s="135" t="n"/>
      <c r="U144" s="135" t="n"/>
      <c r="V144" s="135" t="n"/>
      <c r="W144" s="135" t="n"/>
      <c r="X144" s="135" t="n">
        <v>0.13</v>
      </c>
      <c r="Y144" s="135" t="n">
        <v>3</v>
      </c>
    </row>
    <row r="145" ht="14.25" customHeight="1" s="142">
      <c r="A145" s="135">
        <f>A32+4</f>
        <v/>
      </c>
      <c r="B145" s="117">
        <f>B124/2</f>
        <v/>
      </c>
      <c r="C145" s="135" t="n"/>
      <c r="D145" s="135" t="n"/>
      <c r="E145" s="135" t="n"/>
      <c r="F145" s="135" t="n">
        <v>81</v>
      </c>
      <c r="G145" s="135" t="n"/>
      <c r="H145" s="135" t="n"/>
      <c r="I145" s="135" t="n"/>
      <c r="J145" s="135" t="n"/>
      <c r="K145" s="135" t="n"/>
      <c r="L145" s="135" t="n"/>
      <c r="M145" s="135" t="n"/>
      <c r="N145" s="135" t="n"/>
      <c r="O145" s="135" t="n"/>
      <c r="P145" s="135" t="n"/>
      <c r="Q145" s="135" t="n"/>
      <c r="R145" s="135" t="n"/>
      <c r="S145" s="135" t="n"/>
      <c r="T145" s="135" t="n"/>
      <c r="U145" s="135" t="n"/>
      <c r="V145" s="135" t="n"/>
      <c r="W145" s="135" t="n"/>
      <c r="X145" s="135" t="n">
        <v>0.13</v>
      </c>
      <c r="Y145" s="135" t="n">
        <v>4</v>
      </c>
    </row>
    <row r="146" ht="14.25" customHeight="1" s="142">
      <c r="A146" s="135">
        <f>A33+4</f>
        <v/>
      </c>
      <c r="B146" s="117">
        <f>B125/2</f>
        <v/>
      </c>
      <c r="C146" s="135" t="n"/>
      <c r="D146" s="135" t="n"/>
      <c r="E146" s="135" t="n"/>
      <c r="F146" s="135" t="n"/>
      <c r="G146" s="135" t="n">
        <v>13</v>
      </c>
      <c r="H146" s="135" t="n"/>
      <c r="I146" s="135" t="n"/>
      <c r="J146" s="135" t="n"/>
      <c r="K146" s="135" t="n"/>
      <c r="L146" s="135" t="n"/>
      <c r="M146" s="135" t="n"/>
      <c r="N146" s="135" t="n"/>
      <c r="O146" s="135" t="n"/>
      <c r="P146" s="135" t="n"/>
      <c r="Q146" s="135" t="n"/>
      <c r="R146" s="135" t="n"/>
      <c r="S146" s="135" t="n"/>
      <c r="T146" s="135" t="n"/>
      <c r="U146" s="135" t="n"/>
      <c r="V146" s="135" t="n"/>
      <c r="W146" s="135" t="n"/>
      <c r="X146" s="135" t="n">
        <v>0.13</v>
      </c>
      <c r="Y146" s="135" t="n">
        <v>1</v>
      </c>
    </row>
    <row r="147" ht="14.25" customHeight="1" s="142">
      <c r="A147" s="135">
        <f>A34+4</f>
        <v/>
      </c>
      <c r="B147" s="117">
        <f>B126/2</f>
        <v/>
      </c>
      <c r="C147" s="135" t="n"/>
      <c r="D147" s="135" t="n"/>
      <c r="E147" s="135" t="n"/>
      <c r="F147" s="135" t="n"/>
      <c r="G147" s="135" t="n">
        <v>19</v>
      </c>
      <c r="H147" s="135" t="n"/>
      <c r="I147" s="135" t="n"/>
      <c r="J147" s="135" t="n"/>
      <c r="K147" s="135" t="n"/>
      <c r="L147" s="135" t="n"/>
      <c r="M147" s="135" t="n"/>
      <c r="N147" s="135" t="n"/>
      <c r="O147" s="135" t="n"/>
      <c r="P147" s="135" t="n"/>
      <c r="Q147" s="135" t="n"/>
      <c r="R147" s="135" t="n"/>
      <c r="S147" s="135" t="n"/>
      <c r="T147" s="135" t="n"/>
      <c r="U147" s="135" t="n"/>
      <c r="V147" s="135" t="n"/>
      <c r="W147" s="135" t="n"/>
      <c r="X147" s="135" t="n">
        <v>0.13</v>
      </c>
      <c r="Y147" s="135" t="n">
        <v>1</v>
      </c>
    </row>
    <row r="148" ht="14.25" customHeight="1" s="142">
      <c r="A148" s="135">
        <f>A35+4</f>
        <v/>
      </c>
      <c r="B148" s="117">
        <f>B127/2</f>
        <v/>
      </c>
      <c r="C148" s="135" t="n"/>
      <c r="D148" s="135" t="n"/>
      <c r="E148" s="135" t="n"/>
      <c r="F148" s="135" t="n"/>
      <c r="G148" s="135" t="n">
        <v>32</v>
      </c>
      <c r="H148" s="135" t="n"/>
      <c r="I148" s="135" t="n"/>
      <c r="J148" s="135" t="n"/>
      <c r="K148" s="135" t="n"/>
      <c r="L148" s="135" t="n"/>
      <c r="M148" s="135" t="n"/>
      <c r="N148" s="135" t="n"/>
      <c r="O148" s="135" t="n"/>
      <c r="P148" s="135" t="n"/>
      <c r="Q148" s="135" t="n"/>
      <c r="R148" s="135" t="n"/>
      <c r="S148" s="135" t="n"/>
      <c r="T148" s="135" t="n"/>
      <c r="U148" s="135" t="n"/>
      <c r="V148" s="135" t="n"/>
      <c r="W148" s="135" t="n"/>
      <c r="X148" s="135" t="n">
        <v>0.13</v>
      </c>
      <c r="Y148" s="135" t="n">
        <v>2</v>
      </c>
    </row>
    <row r="149" ht="14.25" customHeight="1" s="142">
      <c r="A149" s="135">
        <f>A36+4</f>
        <v/>
      </c>
      <c r="B149" s="117">
        <f>B128/2</f>
        <v/>
      </c>
      <c r="C149" s="135" t="n"/>
      <c r="D149" s="135" t="n"/>
      <c r="E149" s="135" t="n"/>
      <c r="F149" s="135" t="n"/>
      <c r="G149" s="135" t="n">
        <v>61</v>
      </c>
      <c r="H149" s="135" t="n"/>
      <c r="I149" s="135" t="n"/>
      <c r="J149" s="135" t="n"/>
      <c r="K149" s="135" t="n"/>
      <c r="L149" s="135" t="n"/>
      <c r="M149" s="135" t="n"/>
      <c r="N149" s="135" t="n"/>
      <c r="O149" s="135" t="n"/>
      <c r="P149" s="135" t="n"/>
      <c r="Q149" s="135" t="n"/>
      <c r="R149" s="135" t="n"/>
      <c r="S149" s="135" t="n"/>
      <c r="T149" s="135" t="n"/>
      <c r="U149" s="135" t="n"/>
      <c r="V149" s="135" t="n"/>
      <c r="W149" s="135" t="n"/>
      <c r="X149" s="135" t="n">
        <v>0.13</v>
      </c>
      <c r="Y149" s="135" t="n">
        <v>3</v>
      </c>
    </row>
    <row r="150" ht="14.25" customHeight="1" s="142">
      <c r="A150" s="135">
        <f>A37+4</f>
        <v/>
      </c>
      <c r="B150" s="117">
        <f>B129/2</f>
        <v/>
      </c>
      <c r="C150" s="135" t="n"/>
      <c r="D150" s="135" t="n"/>
      <c r="E150" s="135" t="n"/>
      <c r="F150" s="135" t="n"/>
      <c r="G150" s="135" t="n">
        <v>103</v>
      </c>
      <c r="H150" s="135" t="n"/>
      <c r="I150" s="135" t="n"/>
      <c r="J150" s="135" t="n"/>
      <c r="K150" s="135" t="n"/>
      <c r="L150" s="135" t="n"/>
      <c r="M150" s="135" t="n"/>
      <c r="N150" s="135" t="n"/>
      <c r="O150" s="135" t="n"/>
      <c r="P150" s="135" t="n"/>
      <c r="Q150" s="135" t="n"/>
      <c r="R150" s="135" t="n"/>
      <c r="S150" s="135" t="n"/>
      <c r="T150" s="135" t="n"/>
      <c r="U150" s="135" t="n"/>
      <c r="V150" s="135" t="n"/>
      <c r="W150" s="135" t="n"/>
      <c r="X150" s="135" t="n">
        <v>0.13</v>
      </c>
      <c r="Y150" s="135" t="n">
        <v>4</v>
      </c>
    </row>
    <row r="151" ht="14.25" customHeight="1" s="142">
      <c r="A151" s="135">
        <f>A38+4</f>
        <v/>
      </c>
      <c r="B151" s="117">
        <f>B130/2</f>
        <v/>
      </c>
      <c r="C151" s="135" t="n"/>
      <c r="D151" s="135" t="n"/>
      <c r="E151" s="135" t="n"/>
      <c r="F151" s="135" t="n"/>
      <c r="G151" s="135" t="n"/>
      <c r="H151" s="135" t="n"/>
      <c r="I151" s="135" t="n"/>
      <c r="J151" s="135" t="n"/>
      <c r="K151" s="135" t="n">
        <v>0.01</v>
      </c>
      <c r="L151" s="135" t="n"/>
      <c r="M151" s="135" t="n"/>
      <c r="N151" s="135" t="n"/>
      <c r="O151" s="135" t="n"/>
      <c r="P151" s="135" t="n"/>
      <c r="Q151" s="135" t="n"/>
      <c r="R151" s="135" t="n"/>
      <c r="S151" s="135" t="n"/>
      <c r="T151" s="135" t="n"/>
      <c r="U151" s="135" t="n"/>
      <c r="V151" s="135" t="n"/>
      <c r="W151" s="135" t="n"/>
      <c r="X151" s="135" t="n">
        <v>0.13</v>
      </c>
      <c r="Y151" s="135" t="n">
        <v>1</v>
      </c>
    </row>
    <row r="152" ht="14.25" customHeight="1" s="142">
      <c r="A152" s="135">
        <f>A39+4</f>
        <v/>
      </c>
      <c r="B152" s="117">
        <f>B131/2</f>
        <v/>
      </c>
      <c r="C152" s="135" t="n"/>
      <c r="D152" s="135" t="n"/>
      <c r="E152" s="135" t="n"/>
      <c r="F152" s="135" t="n"/>
      <c r="G152" s="135" t="n"/>
      <c r="H152" s="135" t="n"/>
      <c r="I152" s="135" t="n"/>
      <c r="J152" s="135" t="n"/>
      <c r="K152" s="135" t="n">
        <v>0.03</v>
      </c>
      <c r="L152" s="135" t="n"/>
      <c r="M152" s="135" t="n"/>
      <c r="N152" s="135" t="n"/>
      <c r="O152" s="135" t="n"/>
      <c r="P152" s="135" t="n"/>
      <c r="Q152" s="135" t="n"/>
      <c r="R152" s="135" t="n"/>
      <c r="S152" s="135" t="n"/>
      <c r="T152" s="135" t="n"/>
      <c r="U152" s="135" t="n"/>
      <c r="V152" s="135" t="n"/>
      <c r="W152" s="135" t="n"/>
      <c r="X152" s="135" t="n">
        <v>0.13</v>
      </c>
      <c r="Y152" s="135" t="n">
        <v>1</v>
      </c>
    </row>
    <row r="153" ht="14.25" customHeight="1" s="142">
      <c r="A153" s="135">
        <f>A40+4</f>
        <v/>
      </c>
      <c r="B153" s="117">
        <f>B132/2</f>
        <v/>
      </c>
      <c r="C153" s="135" t="n"/>
      <c r="D153" s="135" t="n"/>
      <c r="E153" s="135" t="n"/>
      <c r="F153" s="135" t="n"/>
      <c r="G153" s="135" t="n"/>
      <c r="H153" s="135" t="n"/>
      <c r="I153" s="135" t="n"/>
      <c r="J153" s="135" t="n"/>
      <c r="K153" s="135" t="n">
        <v>0.05</v>
      </c>
      <c r="L153" s="135" t="n"/>
      <c r="M153" s="135" t="n"/>
      <c r="N153" s="135" t="n"/>
      <c r="O153" s="135" t="n"/>
      <c r="P153" s="135" t="n"/>
      <c r="Q153" s="135" t="n"/>
      <c r="R153" s="135" t="n"/>
      <c r="S153" s="135" t="n"/>
      <c r="T153" s="135" t="n"/>
      <c r="U153" s="135" t="n"/>
      <c r="V153" s="135" t="n"/>
      <c r="W153" s="135" t="n"/>
      <c r="X153" s="135" t="n">
        <v>0.13</v>
      </c>
      <c r="Y153" s="135" t="n">
        <v>2</v>
      </c>
    </row>
    <row r="154" ht="14.25" customHeight="1" s="142">
      <c r="A154" s="135">
        <f>A41+4</f>
        <v/>
      </c>
      <c r="B154" s="117">
        <f>B133/2</f>
        <v/>
      </c>
      <c r="C154" s="135" t="n"/>
      <c r="D154" s="135" t="n"/>
      <c r="E154" s="135" t="n"/>
      <c r="F154" s="135" t="n"/>
      <c r="G154" s="135" t="n"/>
      <c r="H154" s="135" t="n"/>
      <c r="I154" s="135" t="n"/>
      <c r="J154" s="135" t="n"/>
      <c r="K154" s="135" t="n">
        <v>0.09</v>
      </c>
      <c r="L154" s="135" t="n"/>
      <c r="M154" s="135" t="n"/>
      <c r="N154" s="135" t="n"/>
      <c r="O154" s="135" t="n"/>
      <c r="P154" s="135" t="n"/>
      <c r="Q154" s="135" t="n"/>
      <c r="R154" s="135" t="n"/>
      <c r="S154" s="135" t="n"/>
      <c r="T154" s="135" t="n"/>
      <c r="U154" s="135" t="n"/>
      <c r="V154" s="135" t="n"/>
      <c r="W154" s="135" t="n"/>
      <c r="X154" s="135" t="n">
        <v>0.13</v>
      </c>
      <c r="Y154" s="135" t="n">
        <v>3</v>
      </c>
    </row>
    <row r="155" ht="14.25" customHeight="1" s="142">
      <c r="A155" s="135">
        <f>A42+4</f>
        <v/>
      </c>
      <c r="B155" s="117">
        <f>B134/2</f>
        <v/>
      </c>
      <c r="C155" s="135" t="n"/>
      <c r="D155" s="135" t="n"/>
      <c r="E155" s="135" t="n"/>
      <c r="F155" s="135" t="n"/>
      <c r="G155" s="135" t="n"/>
      <c r="H155" s="135" t="n"/>
      <c r="I155" s="135" t="n"/>
      <c r="J155" s="135" t="n"/>
      <c r="K155" s="135" t="n">
        <v>0.15</v>
      </c>
      <c r="L155" s="135" t="n"/>
      <c r="M155" s="135" t="n"/>
      <c r="N155" s="135" t="n"/>
      <c r="O155" s="135" t="n"/>
      <c r="P155" s="135" t="n"/>
      <c r="Q155" s="135" t="n"/>
      <c r="R155" s="135" t="n"/>
      <c r="S155" s="135" t="n"/>
      <c r="T155" s="135" t="n"/>
      <c r="U155" s="135" t="n"/>
      <c r="V155" s="135" t="n"/>
      <c r="W155" s="135" t="n"/>
      <c r="X155" s="135" t="n">
        <v>0.13</v>
      </c>
      <c r="Y155" s="135" t="n">
        <v>4</v>
      </c>
    </row>
    <row r="156" ht="14.25" customHeight="1" s="142">
      <c r="A156" s="135">
        <f>A43+4</f>
        <v/>
      </c>
      <c r="B156" s="117" t="n">
        <v>1900</v>
      </c>
      <c r="C156" s="135" t="n"/>
      <c r="D156" s="135" t="n"/>
      <c r="E156" s="135" t="n"/>
      <c r="F156" s="135" t="n"/>
      <c r="G156" s="135" t="n"/>
      <c r="H156" s="135" t="n"/>
      <c r="I156" s="135" t="n"/>
      <c r="J156" s="135" t="n"/>
      <c r="K156" s="135" t="n"/>
      <c r="L156" s="135" t="n"/>
      <c r="M156" s="135" t="n"/>
      <c r="N156" s="135" t="n">
        <v>0.01</v>
      </c>
      <c r="O156" s="135" t="n"/>
      <c r="P156" s="135" t="n"/>
      <c r="Q156" s="135" t="n"/>
      <c r="R156" s="135" t="n"/>
      <c r="S156" s="135" t="n"/>
      <c r="T156" s="135" t="n"/>
      <c r="U156" s="135" t="n"/>
      <c r="V156" s="135" t="n"/>
      <c r="W156" s="135" t="n"/>
      <c r="X156" s="135" t="n">
        <v>0.13</v>
      </c>
      <c r="Y156" s="135" t="n">
        <v>1</v>
      </c>
    </row>
    <row r="157" ht="14.25" customHeight="1" s="142">
      <c r="A157" s="135">
        <f>A44+4</f>
        <v/>
      </c>
      <c r="B157" s="117" t="n">
        <v>400</v>
      </c>
      <c r="C157" s="135" t="n"/>
      <c r="D157" s="135" t="n"/>
      <c r="E157" s="135" t="n"/>
      <c r="F157" s="135" t="n"/>
      <c r="G157" s="135" t="n"/>
      <c r="H157" s="135" t="n"/>
      <c r="I157" s="135" t="n"/>
      <c r="J157" s="135" t="n"/>
      <c r="K157" s="135" t="n"/>
      <c r="L157" s="135" t="n"/>
      <c r="M157" s="135" t="n"/>
      <c r="N157" s="135" t="n">
        <v>0.03</v>
      </c>
      <c r="O157" s="135" t="n"/>
      <c r="P157" s="135" t="n"/>
      <c r="Q157" s="135" t="n"/>
      <c r="R157" s="135" t="n"/>
      <c r="S157" s="135" t="n"/>
      <c r="T157" s="135" t="n"/>
      <c r="U157" s="135" t="n"/>
      <c r="V157" s="135" t="n"/>
      <c r="W157" s="135" t="n"/>
      <c r="X157" s="135" t="n">
        <v>0.13</v>
      </c>
      <c r="Y157" s="135" t="n">
        <v>1</v>
      </c>
    </row>
    <row r="158" ht="14.25" customHeight="1" s="142">
      <c r="A158" s="135">
        <f>A45+4</f>
        <v/>
      </c>
      <c r="B158" s="117" t="n">
        <v>150</v>
      </c>
      <c r="C158" s="135" t="n"/>
      <c r="D158" s="135" t="n"/>
      <c r="E158" s="135" t="n"/>
      <c r="F158" s="135" t="n"/>
      <c r="G158" s="135" t="n"/>
      <c r="H158" s="135" t="n"/>
      <c r="I158" s="135" t="n"/>
      <c r="J158" s="135" t="n"/>
      <c r="K158" s="135" t="n"/>
      <c r="L158" s="135" t="n"/>
      <c r="M158" s="135" t="n"/>
      <c r="N158" s="135" t="n">
        <v>0.05</v>
      </c>
      <c r="O158" s="135" t="n"/>
      <c r="P158" s="135" t="n"/>
      <c r="Q158" s="135" t="n"/>
      <c r="R158" s="135" t="n"/>
      <c r="S158" s="135" t="n"/>
      <c r="T158" s="135" t="n"/>
      <c r="U158" s="135" t="n"/>
      <c r="V158" s="135" t="n"/>
      <c r="W158" s="135" t="n"/>
      <c r="X158" s="135" t="n">
        <v>0.13</v>
      </c>
      <c r="Y158" s="135" t="n">
        <v>2</v>
      </c>
    </row>
    <row r="159" ht="14.25" customHeight="1" s="142">
      <c r="A159" s="135">
        <f>A46+4</f>
        <v/>
      </c>
      <c r="B159" s="117" t="n">
        <v>40</v>
      </c>
      <c r="C159" s="135" t="n"/>
      <c r="D159" s="135" t="n"/>
      <c r="E159" s="135" t="n"/>
      <c r="F159" s="135" t="n"/>
      <c r="G159" s="135" t="n"/>
      <c r="H159" s="135" t="n"/>
      <c r="I159" s="135" t="n"/>
      <c r="J159" s="135" t="n"/>
      <c r="K159" s="135" t="n"/>
      <c r="L159" s="135" t="n"/>
      <c r="M159" s="135" t="n"/>
      <c r="N159" s="135" t="n">
        <v>0.09</v>
      </c>
      <c r="O159" s="135" t="n"/>
      <c r="P159" s="135" t="n"/>
      <c r="Q159" s="135" t="n"/>
      <c r="R159" s="135" t="n"/>
      <c r="S159" s="135" t="n"/>
      <c r="T159" s="135" t="n"/>
      <c r="U159" s="135" t="n"/>
      <c r="V159" s="135" t="n"/>
      <c r="W159" s="135" t="n"/>
      <c r="X159" s="135" t="n">
        <v>0.13</v>
      </c>
      <c r="Y159" s="135" t="n">
        <v>3</v>
      </c>
    </row>
    <row r="160" ht="14.25" customHeight="1" s="142">
      <c r="A160" s="135">
        <f>A47+4</f>
        <v/>
      </c>
      <c r="B160" s="117" t="n">
        <v>10</v>
      </c>
      <c r="C160" s="135" t="n"/>
      <c r="D160" s="135" t="n"/>
      <c r="E160" s="135" t="n"/>
      <c r="F160" s="135" t="n"/>
      <c r="G160" s="135" t="n"/>
      <c r="H160" s="135" t="n"/>
      <c r="I160" s="135" t="n"/>
      <c r="J160" s="135" t="n"/>
      <c r="K160" s="135" t="n"/>
      <c r="L160" s="135" t="n"/>
      <c r="M160" s="135" t="n"/>
      <c r="N160" s="135" t="n">
        <v>0.15</v>
      </c>
      <c r="O160" s="135" t="n"/>
      <c r="P160" s="135" t="n"/>
      <c r="Q160" s="135" t="n"/>
      <c r="R160" s="135" t="n"/>
      <c r="S160" s="135" t="n"/>
      <c r="T160" s="135" t="n"/>
      <c r="U160" s="135" t="n"/>
      <c r="V160" s="135" t="n"/>
      <c r="W160" s="135" t="n"/>
      <c r="X160" s="135" t="n">
        <v>0.13</v>
      </c>
      <c r="Y160" s="135" t="n">
        <v>4</v>
      </c>
    </row>
    <row r="161" ht="14.25" customHeight="1" s="142">
      <c r="A161" s="118">
        <f>A48+4</f>
        <v/>
      </c>
      <c r="B161" s="118" t="n">
        <v>5350</v>
      </c>
      <c r="C161" s="118" t="n"/>
      <c r="D161" s="118" t="n"/>
      <c r="E161" s="118" t="n"/>
      <c r="F161" s="118" t="n"/>
      <c r="G161" s="118" t="n"/>
      <c r="H161" s="118" t="n"/>
      <c r="I161" s="118" t="n"/>
      <c r="J161" s="118" t="n"/>
      <c r="K161" s="118" t="n"/>
      <c r="L161" s="118" t="n"/>
      <c r="M161" s="118" t="n"/>
      <c r="N161" s="118" t="n"/>
      <c r="O161" s="118" t="n"/>
      <c r="P161" s="118" t="n"/>
      <c r="Q161" s="118" t="n"/>
      <c r="R161" s="118" t="n"/>
      <c r="S161" s="118" t="n"/>
      <c r="T161" s="118" t="n"/>
      <c r="U161" s="118" t="n"/>
      <c r="V161" s="118" t="n"/>
      <c r="W161" s="118" t="n"/>
      <c r="X161" s="118" t="n">
        <v>0.11</v>
      </c>
      <c r="Y161" s="119" t="n">
        <v>1</v>
      </c>
      <c r="Z161" s="120" t="n"/>
      <c r="AA161" s="120" t="n"/>
      <c r="AB161" s="120" t="n"/>
      <c r="AC161" s="120" t="n"/>
      <c r="AD161" s="120" t="n"/>
      <c r="AE161" s="120" t="n"/>
      <c r="AF161" s="120" t="n"/>
      <c r="AG161" s="120" t="n"/>
      <c r="AH161" s="120" t="n"/>
      <c r="AI161" s="120" t="n"/>
      <c r="AJ161" s="120" t="n"/>
    </row>
    <row r="162" ht="14.25" customHeight="1" s="142">
      <c r="A162" s="118">
        <f>A49+4</f>
        <v/>
      </c>
      <c r="B162" s="118" t="n">
        <v>550</v>
      </c>
      <c r="C162" s="118" t="n">
        <v>90</v>
      </c>
      <c r="D162" s="118" t="n"/>
      <c r="E162" s="118" t="n"/>
      <c r="F162" s="118" t="n"/>
      <c r="G162" s="118" t="n"/>
      <c r="H162" s="118" t="n"/>
      <c r="I162" s="118" t="n"/>
      <c r="J162" s="118" t="n"/>
      <c r="K162" s="118" t="n"/>
      <c r="L162" s="118" t="n"/>
      <c r="M162" s="118" t="n"/>
      <c r="N162" s="118" t="n"/>
      <c r="O162" s="118" t="n"/>
      <c r="P162" s="118" t="n"/>
      <c r="Q162" s="118" t="n"/>
      <c r="R162" s="118" t="n"/>
      <c r="S162" s="118" t="n"/>
      <c r="T162" s="118" t="n"/>
      <c r="U162" s="118" t="n"/>
      <c r="V162" s="118" t="n"/>
      <c r="W162" s="118" t="n"/>
      <c r="X162" s="118" t="n">
        <v>0.11</v>
      </c>
      <c r="Y162" s="119" t="n">
        <v>1</v>
      </c>
      <c r="Z162" s="120" t="n"/>
      <c r="AA162" s="120" t="n"/>
      <c r="AB162" s="120" t="n"/>
      <c r="AC162" s="120" t="n"/>
      <c r="AD162" s="120" t="n"/>
      <c r="AE162" s="120" t="n"/>
      <c r="AF162" s="120" t="n"/>
      <c r="AG162" s="120" t="n"/>
      <c r="AH162" s="120" t="n"/>
      <c r="AI162" s="120" t="n"/>
      <c r="AJ162" s="120" t="n"/>
    </row>
    <row r="163" ht="14.25" customHeight="1" s="142">
      <c r="A163" s="118">
        <f>A50+4</f>
        <v/>
      </c>
      <c r="B163" s="118">
        <f>B142/2</f>
        <v/>
      </c>
      <c r="C163" s="118" t="n">
        <v>165</v>
      </c>
      <c r="D163" s="118" t="n"/>
      <c r="E163" s="118" t="n"/>
      <c r="F163" s="118" t="n"/>
      <c r="G163" s="118" t="n"/>
      <c r="H163" s="118" t="n"/>
      <c r="I163" s="118" t="n"/>
      <c r="J163" s="118" t="n"/>
      <c r="K163" s="118" t="n"/>
      <c r="L163" s="118" t="n"/>
      <c r="M163" s="118" t="n"/>
      <c r="N163" s="118" t="n"/>
      <c r="O163" s="118" t="n"/>
      <c r="P163" s="118" t="n"/>
      <c r="Q163" s="118" t="n"/>
      <c r="R163" s="118" t="n"/>
      <c r="S163" s="118" t="n"/>
      <c r="T163" s="118" t="n"/>
      <c r="U163" s="118" t="n"/>
      <c r="V163" s="118" t="n"/>
      <c r="W163" s="118" t="n"/>
      <c r="X163" s="118" t="n">
        <v>0.11</v>
      </c>
      <c r="Y163" s="119" t="n">
        <v>1</v>
      </c>
      <c r="Z163" s="120" t="n"/>
      <c r="AA163" s="120" t="n"/>
      <c r="AB163" s="120" t="n"/>
      <c r="AC163" s="120" t="n"/>
      <c r="AD163" s="120" t="n"/>
      <c r="AE163" s="120" t="n"/>
      <c r="AF163" s="120" t="n"/>
      <c r="AG163" s="120" t="n"/>
      <c r="AH163" s="120" t="n"/>
      <c r="AI163" s="120" t="n"/>
      <c r="AJ163" s="120" t="n"/>
    </row>
    <row r="164" ht="14.25" customHeight="1" s="142">
      <c r="A164" s="118">
        <f>A51+4</f>
        <v/>
      </c>
      <c r="B164" s="118" t="n">
        <v>35</v>
      </c>
      <c r="C164" s="118" t="n">
        <v>300</v>
      </c>
      <c r="D164" s="118" t="n"/>
      <c r="E164" s="118" t="n"/>
      <c r="F164" s="118" t="n"/>
      <c r="G164" s="118" t="n"/>
      <c r="H164" s="118" t="n"/>
      <c r="I164" s="118" t="n"/>
      <c r="J164" s="118" t="n"/>
      <c r="K164" s="118" t="n"/>
      <c r="L164" s="118" t="n"/>
      <c r="M164" s="118" t="n"/>
      <c r="N164" s="118" t="n"/>
      <c r="O164" s="118" t="n"/>
      <c r="P164" s="118" t="n"/>
      <c r="Q164" s="118" t="n"/>
      <c r="R164" s="118" t="n"/>
      <c r="S164" s="118" t="n"/>
      <c r="T164" s="118" t="n"/>
      <c r="U164" s="118" t="n"/>
      <c r="V164" s="118" t="n"/>
      <c r="W164" s="118" t="n"/>
      <c r="X164" s="118" t="n">
        <v>0.11</v>
      </c>
      <c r="Y164" s="119" t="n">
        <v>2</v>
      </c>
      <c r="Z164" s="120" t="n"/>
      <c r="AA164" s="120" t="n"/>
      <c r="AB164" s="120" t="n"/>
      <c r="AC164" s="120" t="n"/>
      <c r="AD164" s="120" t="n"/>
      <c r="AE164" s="120" t="n"/>
      <c r="AF164" s="120" t="n"/>
      <c r="AG164" s="120" t="n"/>
      <c r="AH164" s="120" t="n"/>
      <c r="AI164" s="120" t="n"/>
      <c r="AJ164" s="120" t="n"/>
    </row>
    <row r="165" ht="14.25" customHeight="1" s="142">
      <c r="A165" s="118">
        <f>A52+4</f>
        <v/>
      </c>
      <c r="B165" s="118">
        <f>B144/2</f>
        <v/>
      </c>
      <c r="C165" s="118" t="n">
        <v>570</v>
      </c>
      <c r="D165" s="118" t="n"/>
      <c r="E165" s="118" t="n"/>
      <c r="F165" s="118" t="n"/>
      <c r="G165" s="118" t="n"/>
      <c r="H165" s="118" t="n"/>
      <c r="I165" s="118" t="n"/>
      <c r="J165" s="118" t="n"/>
      <c r="K165" s="118" t="n"/>
      <c r="L165" s="118" t="n"/>
      <c r="M165" s="118" t="n"/>
      <c r="N165" s="118" t="n"/>
      <c r="O165" s="118" t="n"/>
      <c r="P165" s="118" t="n"/>
      <c r="Q165" s="118" t="n"/>
      <c r="R165" s="118" t="n"/>
      <c r="S165" s="118" t="n"/>
      <c r="T165" s="118" t="n"/>
      <c r="U165" s="118" t="n"/>
      <c r="V165" s="118" t="n"/>
      <c r="W165" s="118" t="n"/>
      <c r="X165" s="118" t="n">
        <v>0.11</v>
      </c>
      <c r="Y165" s="119" t="n">
        <v>3</v>
      </c>
      <c r="Z165" s="120" t="n"/>
      <c r="AA165" s="120" t="n"/>
      <c r="AB165" s="120" t="n"/>
      <c r="AC165" s="120" t="n"/>
      <c r="AD165" s="120" t="n"/>
      <c r="AE165" s="120" t="n"/>
      <c r="AF165" s="120" t="n"/>
      <c r="AG165" s="120" t="n"/>
      <c r="AH165" s="120" t="n"/>
      <c r="AI165" s="120" t="n"/>
      <c r="AJ165" s="120" t="n"/>
    </row>
    <row r="166" ht="14.25" customHeight="1" s="142">
      <c r="A166" s="118">
        <f>A53+4</f>
        <v/>
      </c>
      <c r="B166" s="118" t="n">
        <v>5</v>
      </c>
      <c r="C166" s="118" t="n">
        <v>1050</v>
      </c>
      <c r="D166" s="118" t="n"/>
      <c r="E166" s="118" t="n"/>
      <c r="F166" s="118" t="n"/>
      <c r="G166" s="118" t="n"/>
      <c r="H166" s="118" t="n"/>
      <c r="I166" s="118" t="n"/>
      <c r="J166" s="118" t="n"/>
      <c r="K166" s="118" t="n"/>
      <c r="L166" s="118" t="n"/>
      <c r="M166" s="118" t="n"/>
      <c r="N166" s="118" t="n"/>
      <c r="O166" s="118" t="n"/>
      <c r="P166" s="118" t="n"/>
      <c r="Q166" s="118" t="n"/>
      <c r="R166" s="118" t="n"/>
      <c r="S166" s="118" t="n"/>
      <c r="T166" s="118" t="n"/>
      <c r="U166" s="118" t="n"/>
      <c r="V166" s="118" t="n"/>
      <c r="W166" s="118" t="n"/>
      <c r="X166" s="118" t="n">
        <v>0.11</v>
      </c>
      <c r="Y166" s="119" t="n">
        <v>4</v>
      </c>
      <c r="Z166" s="120" t="n"/>
      <c r="AA166" s="120" t="n"/>
      <c r="AB166" s="120" t="n"/>
      <c r="AC166" s="120" t="n"/>
      <c r="AD166" s="120" t="n"/>
      <c r="AE166" s="120" t="n"/>
      <c r="AF166" s="120" t="n"/>
      <c r="AG166" s="120" t="n"/>
      <c r="AH166" s="120" t="n"/>
      <c r="AI166" s="120" t="n"/>
      <c r="AJ166" s="120" t="n"/>
    </row>
    <row r="167" ht="14.25" customHeight="1" s="142">
      <c r="A167" s="118">
        <f>A54+4</f>
        <v/>
      </c>
      <c r="B167" s="118" t="n">
        <v>550</v>
      </c>
      <c r="C167" s="118" t="n"/>
      <c r="D167" s="118" t="n"/>
      <c r="E167" s="118" t="n"/>
      <c r="F167" s="118" t="n">
        <v>9</v>
      </c>
      <c r="G167" s="118" t="n"/>
      <c r="H167" s="118" t="n"/>
      <c r="I167" s="118" t="n"/>
      <c r="J167" s="118" t="n"/>
      <c r="K167" s="118" t="n"/>
      <c r="L167" s="118" t="n"/>
      <c r="M167" s="118" t="n"/>
      <c r="N167" s="118" t="n"/>
      <c r="O167" s="118" t="n"/>
      <c r="P167" s="118" t="n"/>
      <c r="Q167" s="118" t="n"/>
      <c r="R167" s="118" t="n"/>
      <c r="S167" s="118" t="n"/>
      <c r="T167" s="118" t="n"/>
      <c r="U167" s="118" t="n"/>
      <c r="V167" s="118" t="n"/>
      <c r="W167" s="118" t="n"/>
      <c r="X167" s="118" t="n">
        <v>0.11</v>
      </c>
      <c r="Y167" s="119" t="n">
        <v>1</v>
      </c>
      <c r="Z167" s="120" t="n"/>
      <c r="AA167" s="120" t="n"/>
      <c r="AB167" s="120" t="n"/>
      <c r="AC167" s="120" t="n"/>
      <c r="AD167" s="120" t="n"/>
      <c r="AE167" s="120" t="n"/>
      <c r="AF167" s="120" t="n"/>
      <c r="AG167" s="120" t="n"/>
      <c r="AH167" s="120" t="n"/>
      <c r="AI167" s="120" t="n"/>
      <c r="AJ167" s="120" t="n"/>
    </row>
    <row r="168" ht="14.25" customHeight="1" s="142">
      <c r="A168" s="118">
        <f>A55+4</f>
        <v/>
      </c>
      <c r="B168" s="118">
        <f>B147/2</f>
        <v/>
      </c>
      <c r="C168" s="118" t="n"/>
      <c r="D168" s="118" t="n"/>
      <c r="E168" s="118" t="n"/>
      <c r="F168" s="118" t="n">
        <v>14</v>
      </c>
      <c r="G168" s="118" t="n"/>
      <c r="H168" s="118" t="n"/>
      <c r="I168" s="118" t="n"/>
      <c r="J168" s="118" t="n"/>
      <c r="K168" s="118" t="n"/>
      <c r="L168" s="118" t="n"/>
      <c r="M168" s="118" t="n"/>
      <c r="N168" s="118" t="n"/>
      <c r="O168" s="118" t="n"/>
      <c r="P168" s="118" t="n"/>
      <c r="Q168" s="118" t="n"/>
      <c r="R168" s="118" t="n"/>
      <c r="S168" s="118" t="n"/>
      <c r="T168" s="118" t="n"/>
      <c r="U168" s="118" t="n"/>
      <c r="V168" s="118" t="n"/>
      <c r="W168" s="118" t="n"/>
      <c r="X168" s="118" t="n">
        <v>0.11</v>
      </c>
      <c r="Y168" s="119" t="n">
        <v>1</v>
      </c>
      <c r="Z168" s="120" t="n"/>
      <c r="AA168" s="120" t="n"/>
      <c r="AB168" s="120" t="n"/>
      <c r="AC168" s="120" t="n"/>
      <c r="AD168" s="120" t="n"/>
      <c r="AE168" s="120" t="n"/>
      <c r="AF168" s="120" t="n"/>
      <c r="AG168" s="120" t="n"/>
      <c r="AH168" s="120" t="n"/>
      <c r="AI168" s="120" t="n"/>
      <c r="AJ168" s="120" t="n"/>
    </row>
    <row r="169" ht="14.25" customHeight="1" s="142">
      <c r="A169" s="118">
        <f>A56+4</f>
        <v/>
      </c>
      <c r="B169" s="118" t="n">
        <v>35</v>
      </c>
      <c r="C169" s="118" t="n"/>
      <c r="D169" s="118" t="n"/>
      <c r="E169" s="118" t="n"/>
      <c r="F169" s="118" t="n">
        <v>23</v>
      </c>
      <c r="G169" s="118" t="n"/>
      <c r="H169" s="118" t="n"/>
      <c r="I169" s="118" t="n"/>
      <c r="J169" s="118" t="n"/>
      <c r="K169" s="118" t="n"/>
      <c r="L169" s="118" t="n"/>
      <c r="M169" s="118" t="n"/>
      <c r="N169" s="118" t="n"/>
      <c r="O169" s="118" t="n"/>
      <c r="P169" s="118" t="n"/>
      <c r="Q169" s="118" t="n"/>
      <c r="R169" s="118" t="n"/>
      <c r="S169" s="118" t="n"/>
      <c r="T169" s="118" t="n"/>
      <c r="U169" s="118" t="n"/>
      <c r="V169" s="118" t="n"/>
      <c r="W169" s="118" t="n"/>
      <c r="X169" s="118" t="n">
        <v>0.11</v>
      </c>
      <c r="Y169" s="119" t="n">
        <v>2</v>
      </c>
      <c r="Z169" s="120" t="n"/>
      <c r="AA169" s="120" t="n"/>
      <c r="AB169" s="120" t="n"/>
      <c r="AC169" s="120" t="n"/>
      <c r="AD169" s="120" t="n"/>
      <c r="AE169" s="120" t="n"/>
      <c r="AF169" s="120" t="n"/>
      <c r="AG169" s="120" t="n"/>
      <c r="AH169" s="120" t="n"/>
      <c r="AI169" s="120" t="n"/>
      <c r="AJ169" s="120" t="n"/>
    </row>
    <row r="170" ht="14.25" customHeight="1" s="142">
      <c r="A170" s="118">
        <f>A57+4</f>
        <v/>
      </c>
      <c r="B170" s="118">
        <f>B149/2</f>
        <v/>
      </c>
      <c r="C170" s="118" t="n"/>
      <c r="D170" s="118" t="n"/>
      <c r="E170" s="118" t="n"/>
      <c r="F170" s="118" t="n">
        <v>35</v>
      </c>
      <c r="G170" s="118" t="n"/>
      <c r="H170" s="118" t="n"/>
      <c r="I170" s="118" t="n"/>
      <c r="J170" s="118" t="n"/>
      <c r="K170" s="118" t="n"/>
      <c r="L170" s="118" t="n"/>
      <c r="M170" s="118" t="n"/>
      <c r="N170" s="118" t="n"/>
      <c r="O170" s="118" t="n"/>
      <c r="P170" s="118" t="n"/>
      <c r="Q170" s="118" t="n"/>
      <c r="R170" s="118" t="n"/>
      <c r="S170" s="118" t="n"/>
      <c r="T170" s="118" t="n"/>
      <c r="U170" s="118" t="n"/>
      <c r="V170" s="118" t="n"/>
      <c r="W170" s="118" t="n"/>
      <c r="X170" s="118" t="n">
        <v>0.11</v>
      </c>
      <c r="Y170" s="119" t="n">
        <v>3</v>
      </c>
      <c r="Z170" s="120" t="n"/>
      <c r="AA170" s="120" t="n"/>
      <c r="AB170" s="120" t="n"/>
      <c r="AC170" s="120" t="n"/>
      <c r="AD170" s="120" t="n"/>
      <c r="AE170" s="120" t="n"/>
      <c r="AF170" s="120" t="n"/>
      <c r="AG170" s="120" t="n"/>
      <c r="AH170" s="120" t="n"/>
      <c r="AI170" s="120" t="n"/>
      <c r="AJ170" s="120" t="n"/>
    </row>
    <row r="171" ht="14.25" customHeight="1" s="142">
      <c r="A171" s="118">
        <f>A58+4</f>
        <v/>
      </c>
      <c r="B171" s="118" t="n">
        <v>5</v>
      </c>
      <c r="C171" s="118" t="n"/>
      <c r="D171" s="118" t="n"/>
      <c r="E171" s="118" t="n"/>
      <c r="F171" s="118" t="n">
        <v>81</v>
      </c>
      <c r="G171" s="118" t="n"/>
      <c r="H171" s="118" t="n"/>
      <c r="I171" s="118" t="n"/>
      <c r="J171" s="118" t="n"/>
      <c r="K171" s="118" t="n"/>
      <c r="L171" s="118" t="n"/>
      <c r="M171" s="118" t="n"/>
      <c r="N171" s="118" t="n"/>
      <c r="O171" s="118" t="n"/>
      <c r="P171" s="118" t="n"/>
      <c r="Q171" s="118" t="n"/>
      <c r="R171" s="118" t="n"/>
      <c r="S171" s="118" t="n"/>
      <c r="T171" s="118" t="n"/>
      <c r="U171" s="118" t="n"/>
      <c r="V171" s="118" t="n"/>
      <c r="W171" s="118" t="n"/>
      <c r="X171" s="118" t="n">
        <v>0.11</v>
      </c>
      <c r="Y171" s="119" t="n">
        <v>4</v>
      </c>
      <c r="Z171" s="120" t="n"/>
      <c r="AA171" s="120" t="n"/>
      <c r="AB171" s="120" t="n"/>
      <c r="AC171" s="120" t="n"/>
      <c r="AD171" s="120" t="n"/>
      <c r="AE171" s="120" t="n"/>
      <c r="AF171" s="120" t="n"/>
      <c r="AG171" s="120" t="n"/>
      <c r="AH171" s="120" t="n"/>
      <c r="AI171" s="120" t="n"/>
      <c r="AJ171" s="120" t="n"/>
    </row>
    <row r="172" ht="14.25" customHeight="1" s="142">
      <c r="A172" s="118">
        <f>A59+4</f>
        <v/>
      </c>
      <c r="B172" s="118" t="n">
        <v>550</v>
      </c>
      <c r="C172" s="118" t="n"/>
      <c r="D172" s="118" t="n"/>
      <c r="E172" s="118" t="n"/>
      <c r="F172" s="118" t="n"/>
      <c r="G172" s="118" t="n">
        <v>13</v>
      </c>
      <c r="H172" s="118" t="n"/>
      <c r="I172" s="118" t="n"/>
      <c r="J172" s="118" t="n"/>
      <c r="K172" s="118" t="n"/>
      <c r="L172" s="118" t="n"/>
      <c r="M172" s="118" t="n"/>
      <c r="N172" s="118" t="n"/>
      <c r="O172" s="118" t="n"/>
      <c r="P172" s="118" t="n"/>
      <c r="Q172" s="118" t="n"/>
      <c r="R172" s="118" t="n"/>
      <c r="S172" s="118" t="n"/>
      <c r="T172" s="118" t="n"/>
      <c r="U172" s="118" t="n"/>
      <c r="V172" s="118" t="n"/>
      <c r="W172" s="118" t="n"/>
      <c r="X172" s="118" t="n">
        <v>0.11</v>
      </c>
      <c r="Y172" s="119" t="n">
        <v>1</v>
      </c>
      <c r="Z172" s="120" t="n"/>
      <c r="AA172" s="120" t="n"/>
      <c r="AB172" s="120" t="n"/>
      <c r="AC172" s="120" t="n"/>
      <c r="AD172" s="120" t="n"/>
      <c r="AE172" s="120" t="n"/>
      <c r="AF172" s="120" t="n"/>
      <c r="AG172" s="120" t="n"/>
      <c r="AH172" s="120" t="n"/>
      <c r="AI172" s="120" t="n"/>
      <c r="AJ172" s="120" t="n"/>
    </row>
    <row r="173" ht="14.25" customHeight="1" s="142">
      <c r="A173" s="118">
        <f>A60+4</f>
        <v/>
      </c>
      <c r="B173" s="118">
        <f>B152/2</f>
        <v/>
      </c>
      <c r="C173" s="118" t="n"/>
      <c r="D173" s="118" t="n"/>
      <c r="E173" s="118" t="n"/>
      <c r="F173" s="118" t="n"/>
      <c r="G173" s="118" t="n">
        <v>19</v>
      </c>
      <c r="H173" s="118" t="n"/>
      <c r="I173" s="118" t="n"/>
      <c r="J173" s="118" t="n"/>
      <c r="K173" s="118" t="n"/>
      <c r="L173" s="118" t="n"/>
      <c r="M173" s="118" t="n"/>
      <c r="N173" s="118" t="n"/>
      <c r="O173" s="118" t="n"/>
      <c r="P173" s="118" t="n"/>
      <c r="Q173" s="118" t="n"/>
      <c r="R173" s="118" t="n"/>
      <c r="S173" s="118" t="n"/>
      <c r="T173" s="118" t="n"/>
      <c r="U173" s="118" t="n"/>
      <c r="V173" s="118" t="n"/>
      <c r="W173" s="118" t="n"/>
      <c r="X173" s="118" t="n">
        <v>0.11</v>
      </c>
      <c r="Y173" s="119" t="n">
        <v>1</v>
      </c>
      <c r="Z173" s="120" t="n"/>
      <c r="AA173" s="120" t="n"/>
      <c r="AB173" s="120" t="n"/>
      <c r="AC173" s="120" t="n"/>
      <c r="AD173" s="120" t="n"/>
      <c r="AE173" s="120" t="n"/>
      <c r="AF173" s="120" t="n"/>
      <c r="AG173" s="120" t="n"/>
      <c r="AH173" s="120" t="n"/>
      <c r="AI173" s="120" t="n"/>
      <c r="AJ173" s="120" t="n"/>
    </row>
    <row r="174" ht="14.25" customHeight="1" s="142">
      <c r="A174" s="118">
        <f>A61+4</f>
        <v/>
      </c>
      <c r="B174" s="118" t="n">
        <v>35</v>
      </c>
      <c r="C174" s="118" t="n"/>
      <c r="D174" s="118" t="n"/>
      <c r="E174" s="118" t="n"/>
      <c r="F174" s="118" t="n"/>
      <c r="G174" s="118" t="n">
        <v>32</v>
      </c>
      <c r="H174" s="118" t="n"/>
      <c r="I174" s="118" t="n"/>
      <c r="J174" s="118" t="n"/>
      <c r="K174" s="118" t="n"/>
      <c r="L174" s="118" t="n"/>
      <c r="M174" s="118" t="n"/>
      <c r="N174" s="118" t="n"/>
      <c r="O174" s="118" t="n"/>
      <c r="P174" s="118" t="n"/>
      <c r="Q174" s="118" t="n"/>
      <c r="R174" s="118" t="n"/>
      <c r="S174" s="118" t="n"/>
      <c r="T174" s="118" t="n"/>
      <c r="U174" s="118" t="n"/>
      <c r="V174" s="118" t="n"/>
      <c r="W174" s="118" t="n"/>
      <c r="X174" s="118" t="n">
        <v>0.11</v>
      </c>
      <c r="Y174" s="119" t="n">
        <v>2</v>
      </c>
      <c r="Z174" s="120" t="n"/>
      <c r="AA174" s="120" t="n"/>
      <c r="AB174" s="120" t="n"/>
      <c r="AC174" s="120" t="n"/>
      <c r="AD174" s="120" t="n"/>
      <c r="AE174" s="120" t="n"/>
      <c r="AF174" s="120" t="n"/>
      <c r="AG174" s="120" t="n"/>
      <c r="AH174" s="120" t="n"/>
      <c r="AI174" s="120" t="n"/>
      <c r="AJ174" s="120" t="n"/>
    </row>
    <row r="175" ht="14.25" customHeight="1" s="142">
      <c r="A175" s="118">
        <f>A62+4</f>
        <v/>
      </c>
      <c r="B175" s="118" t="n">
        <v>10</v>
      </c>
      <c r="C175" s="118" t="n"/>
      <c r="D175" s="118" t="n"/>
      <c r="E175" s="118" t="n"/>
      <c r="F175" s="118" t="n"/>
      <c r="G175" s="118" t="n">
        <v>61</v>
      </c>
      <c r="H175" s="118" t="n"/>
      <c r="I175" s="118" t="n"/>
      <c r="J175" s="118" t="n"/>
      <c r="K175" s="118" t="n"/>
      <c r="L175" s="118" t="n"/>
      <c r="M175" s="118" t="n"/>
      <c r="N175" s="118" t="n"/>
      <c r="O175" s="118" t="n"/>
      <c r="P175" s="118" t="n"/>
      <c r="Q175" s="118" t="n"/>
      <c r="R175" s="118" t="n"/>
      <c r="S175" s="118" t="n"/>
      <c r="T175" s="118" t="n"/>
      <c r="U175" s="118" t="n"/>
      <c r="V175" s="118" t="n"/>
      <c r="W175" s="118" t="n"/>
      <c r="X175" s="118" t="n">
        <v>0.11</v>
      </c>
      <c r="Y175" s="119" t="n">
        <v>3</v>
      </c>
      <c r="Z175" s="120" t="n"/>
      <c r="AA175" s="120" t="n"/>
      <c r="AB175" s="120" t="n"/>
      <c r="AC175" s="120" t="n"/>
      <c r="AD175" s="120" t="n"/>
      <c r="AE175" s="120" t="n"/>
      <c r="AF175" s="120" t="n"/>
      <c r="AG175" s="120" t="n"/>
      <c r="AH175" s="120" t="n"/>
      <c r="AI175" s="120" t="n"/>
      <c r="AJ175" s="120" t="n"/>
    </row>
    <row r="176" ht="14.25" customHeight="1" s="142">
      <c r="A176" s="118">
        <f>A63+4</f>
        <v/>
      </c>
      <c r="B176" s="118" t="n">
        <v>5</v>
      </c>
      <c r="C176" s="118" t="n"/>
      <c r="D176" s="118" t="n"/>
      <c r="E176" s="118" t="n"/>
      <c r="F176" s="118" t="n"/>
      <c r="G176" s="118" t="n">
        <v>103</v>
      </c>
      <c r="H176" s="118" t="n"/>
      <c r="I176" s="118" t="n"/>
      <c r="J176" s="118" t="n"/>
      <c r="K176" s="118" t="n"/>
      <c r="L176" s="118" t="n"/>
      <c r="M176" s="118" t="n"/>
      <c r="N176" s="118" t="n"/>
      <c r="O176" s="118" t="n"/>
      <c r="P176" s="118" t="n"/>
      <c r="Q176" s="118" t="n"/>
      <c r="R176" s="118" t="n"/>
      <c r="S176" s="118" t="n"/>
      <c r="T176" s="118" t="n"/>
      <c r="U176" s="118" t="n"/>
      <c r="V176" s="118" t="n"/>
      <c r="W176" s="118" t="n"/>
      <c r="X176" s="118" t="n">
        <v>0.11</v>
      </c>
      <c r="Y176" s="119" t="n">
        <v>4</v>
      </c>
      <c r="Z176" s="120" t="n"/>
      <c r="AA176" s="120" t="n"/>
      <c r="AB176" s="120" t="n"/>
      <c r="AC176" s="120" t="n"/>
      <c r="AD176" s="120" t="n"/>
      <c r="AE176" s="120" t="n"/>
      <c r="AF176" s="120" t="n"/>
      <c r="AG176" s="120" t="n"/>
      <c r="AH176" s="120" t="n"/>
      <c r="AI176" s="120" t="n"/>
      <c r="AJ176" s="120" t="n"/>
    </row>
    <row r="177" ht="14.25" customHeight="1" s="142">
      <c r="A177" s="118">
        <f>A64+4</f>
        <v/>
      </c>
      <c r="B177" s="118" t="n">
        <v>550</v>
      </c>
      <c r="C177" s="118" t="n"/>
      <c r="D177" s="118" t="n"/>
      <c r="E177" s="118" t="n"/>
      <c r="F177" s="118" t="n"/>
      <c r="G177" s="118" t="n"/>
      <c r="H177" s="118" t="n"/>
      <c r="I177" s="118" t="n"/>
      <c r="J177" s="118" t="n"/>
      <c r="K177" s="118" t="n">
        <v>0.01</v>
      </c>
      <c r="L177" s="118" t="n"/>
      <c r="M177" s="118" t="n"/>
      <c r="N177" s="118" t="n"/>
      <c r="O177" s="118" t="n"/>
      <c r="P177" s="118" t="n"/>
      <c r="Q177" s="118" t="n"/>
      <c r="R177" s="118" t="n"/>
      <c r="S177" s="118" t="n"/>
      <c r="T177" s="118" t="n"/>
      <c r="U177" s="118" t="n"/>
      <c r="V177" s="118" t="n"/>
      <c r="W177" s="118" t="n"/>
      <c r="X177" s="118" t="n">
        <v>0.11</v>
      </c>
      <c r="Y177" s="119" t="n">
        <v>1</v>
      </c>
      <c r="Z177" s="120" t="n"/>
      <c r="AA177" s="120" t="n"/>
      <c r="AB177" s="120" t="n"/>
      <c r="AC177" s="120" t="n"/>
      <c r="AD177" s="120" t="n"/>
      <c r="AE177" s="120" t="n"/>
      <c r="AF177" s="120" t="n"/>
      <c r="AG177" s="120" t="n"/>
      <c r="AH177" s="120" t="n"/>
      <c r="AI177" s="120" t="n"/>
      <c r="AJ177" s="120" t="n"/>
    </row>
    <row r="178" ht="14.25" customHeight="1" s="142">
      <c r="A178" s="118">
        <f>A65+4</f>
        <v/>
      </c>
      <c r="B178" s="118">
        <f>B157/2</f>
        <v/>
      </c>
      <c r="C178" s="118" t="n"/>
      <c r="D178" s="118" t="n"/>
      <c r="E178" s="118" t="n"/>
      <c r="F178" s="118" t="n"/>
      <c r="G178" s="118" t="n"/>
      <c r="H178" s="118" t="n"/>
      <c r="I178" s="118" t="n"/>
      <c r="J178" s="118" t="n"/>
      <c r="K178" s="118" t="n">
        <v>0.03</v>
      </c>
      <c r="L178" s="118" t="n"/>
      <c r="M178" s="118" t="n"/>
      <c r="N178" s="118" t="n"/>
      <c r="O178" s="118" t="n"/>
      <c r="P178" s="118" t="n"/>
      <c r="Q178" s="118" t="n"/>
      <c r="R178" s="118" t="n"/>
      <c r="S178" s="118" t="n"/>
      <c r="T178" s="118" t="n"/>
      <c r="U178" s="118" t="n"/>
      <c r="V178" s="118" t="n"/>
      <c r="W178" s="118" t="n"/>
      <c r="X178" s="118" t="n">
        <v>0.11</v>
      </c>
      <c r="Y178" s="119" t="n">
        <v>1</v>
      </c>
      <c r="Z178" s="120" t="n"/>
      <c r="AA178" s="120" t="n"/>
      <c r="AB178" s="120" t="n"/>
      <c r="AC178" s="120" t="n"/>
      <c r="AD178" s="120" t="n"/>
      <c r="AE178" s="120" t="n"/>
      <c r="AF178" s="120" t="n"/>
      <c r="AG178" s="120" t="n"/>
      <c r="AH178" s="120" t="n"/>
      <c r="AI178" s="120" t="n"/>
      <c r="AJ178" s="120" t="n"/>
    </row>
    <row r="179" ht="14.25" customHeight="1" s="142">
      <c r="A179" s="118">
        <f>A66+4</f>
        <v/>
      </c>
      <c r="B179" s="118" t="n">
        <v>35</v>
      </c>
      <c r="C179" s="118" t="n"/>
      <c r="D179" s="118" t="n"/>
      <c r="E179" s="118" t="n"/>
      <c r="F179" s="118" t="n"/>
      <c r="G179" s="118" t="n"/>
      <c r="H179" s="118" t="n"/>
      <c r="I179" s="118" t="n"/>
      <c r="J179" s="118" t="n"/>
      <c r="K179" s="118" t="n">
        <v>0.05</v>
      </c>
      <c r="L179" s="118" t="n"/>
      <c r="M179" s="118" t="n"/>
      <c r="N179" s="118" t="n"/>
      <c r="O179" s="118" t="n"/>
      <c r="P179" s="118" t="n"/>
      <c r="Q179" s="118" t="n"/>
      <c r="R179" s="118" t="n"/>
      <c r="S179" s="118" t="n"/>
      <c r="T179" s="118" t="n"/>
      <c r="U179" s="118" t="n"/>
      <c r="V179" s="118" t="n"/>
      <c r="W179" s="118" t="n"/>
      <c r="X179" s="118" t="n">
        <v>0.11</v>
      </c>
      <c r="Y179" s="119" t="n">
        <v>2</v>
      </c>
      <c r="Z179" s="120" t="n"/>
      <c r="AA179" s="120" t="n"/>
      <c r="AB179" s="120" t="n"/>
      <c r="AC179" s="120" t="n"/>
      <c r="AD179" s="120" t="n"/>
      <c r="AE179" s="120" t="n"/>
      <c r="AF179" s="120" t="n"/>
      <c r="AG179" s="120" t="n"/>
      <c r="AH179" s="120" t="n"/>
      <c r="AI179" s="120" t="n"/>
      <c r="AJ179" s="120" t="n"/>
    </row>
    <row r="180" ht="14.25" customHeight="1" s="142">
      <c r="A180" s="118">
        <f>A67+4</f>
        <v/>
      </c>
      <c r="B180" s="118" t="n">
        <v>10</v>
      </c>
      <c r="C180" s="118" t="n"/>
      <c r="D180" s="118" t="n"/>
      <c r="E180" s="118" t="n"/>
      <c r="F180" s="118" t="n"/>
      <c r="G180" s="118" t="n"/>
      <c r="H180" s="118" t="n"/>
      <c r="I180" s="118" t="n"/>
      <c r="J180" s="118" t="n"/>
      <c r="K180" s="118" t="n">
        <v>0.09</v>
      </c>
      <c r="L180" s="118" t="n"/>
      <c r="M180" s="118" t="n"/>
      <c r="N180" s="118" t="n"/>
      <c r="O180" s="118" t="n"/>
      <c r="P180" s="118" t="n"/>
      <c r="Q180" s="118" t="n"/>
      <c r="R180" s="118" t="n"/>
      <c r="S180" s="118" t="n"/>
      <c r="T180" s="118" t="n"/>
      <c r="U180" s="118" t="n"/>
      <c r="V180" s="118" t="n"/>
      <c r="W180" s="118" t="n"/>
      <c r="X180" s="118" t="n">
        <v>0.11</v>
      </c>
      <c r="Y180" s="119" t="n">
        <v>3</v>
      </c>
      <c r="Z180" s="120" t="n"/>
      <c r="AA180" s="120" t="n"/>
      <c r="AB180" s="120" t="n"/>
      <c r="AC180" s="120" t="n"/>
      <c r="AD180" s="120" t="n"/>
      <c r="AE180" s="120" t="n"/>
      <c r="AF180" s="120" t="n"/>
      <c r="AG180" s="120" t="n"/>
      <c r="AH180" s="120" t="n"/>
      <c r="AI180" s="120" t="n"/>
      <c r="AJ180" s="120" t="n"/>
    </row>
    <row r="181" ht="14.25" customHeight="1" s="142">
      <c r="A181" s="118">
        <f>A68+4</f>
        <v/>
      </c>
      <c r="B181" s="118" t="n">
        <v>5</v>
      </c>
      <c r="C181" s="118" t="n"/>
      <c r="D181" s="118" t="n"/>
      <c r="E181" s="118" t="n"/>
      <c r="F181" s="118" t="n"/>
      <c r="G181" s="118" t="n"/>
      <c r="H181" s="118" t="n"/>
      <c r="I181" s="118" t="n"/>
      <c r="J181" s="118" t="n"/>
      <c r="K181" s="118" t="n">
        <v>0.15</v>
      </c>
      <c r="L181" s="118" t="n"/>
      <c r="M181" s="118" t="n"/>
      <c r="N181" s="118" t="n"/>
      <c r="O181" s="118" t="n"/>
      <c r="P181" s="118" t="n"/>
      <c r="Q181" s="118" t="n"/>
      <c r="R181" s="118" t="n"/>
      <c r="S181" s="118" t="n"/>
      <c r="T181" s="118" t="n"/>
      <c r="U181" s="118" t="n"/>
      <c r="V181" s="118" t="n"/>
      <c r="W181" s="118" t="n"/>
      <c r="X181" s="118" t="n">
        <v>0.11</v>
      </c>
      <c r="Y181" s="119" t="n">
        <v>4</v>
      </c>
      <c r="Z181" s="120" t="n"/>
      <c r="AA181" s="120" t="n"/>
      <c r="AB181" s="120" t="n"/>
      <c r="AC181" s="120" t="n"/>
      <c r="AD181" s="120" t="n"/>
      <c r="AE181" s="120" t="n"/>
      <c r="AF181" s="120" t="n"/>
      <c r="AG181" s="120" t="n"/>
      <c r="AH181" s="120" t="n"/>
      <c r="AI181" s="120" t="n"/>
      <c r="AJ181" s="120" t="n"/>
    </row>
    <row r="182" ht="14.25" customHeight="1" s="142">
      <c r="A182" s="118">
        <f>A69+4</f>
        <v/>
      </c>
      <c r="B182" s="118" t="n">
        <v>550</v>
      </c>
      <c r="C182" s="118" t="n"/>
      <c r="D182" s="118" t="n"/>
      <c r="E182" s="118" t="n"/>
      <c r="F182" s="118" t="n"/>
      <c r="G182" s="118" t="n"/>
      <c r="H182" s="118" t="n"/>
      <c r="I182" s="118" t="n"/>
      <c r="J182" s="118" t="n"/>
      <c r="K182" s="118" t="n"/>
      <c r="L182" s="118" t="n"/>
      <c r="M182" s="118" t="n"/>
      <c r="N182" s="118" t="n">
        <v>0.01</v>
      </c>
      <c r="O182" s="118" t="n"/>
      <c r="P182" s="118" t="n"/>
      <c r="Q182" s="118" t="n"/>
      <c r="R182" s="118" t="n"/>
      <c r="S182" s="118" t="n"/>
      <c r="T182" s="118" t="n"/>
      <c r="U182" s="118" t="n"/>
      <c r="V182" s="118" t="n"/>
      <c r="W182" s="118" t="n"/>
      <c r="X182" s="118" t="n">
        <v>0.11</v>
      </c>
      <c r="Y182" s="119" t="n">
        <v>1</v>
      </c>
      <c r="Z182" s="120" t="n"/>
      <c r="AA182" s="120" t="n"/>
      <c r="AB182" s="120" t="n"/>
      <c r="AC182" s="120" t="n"/>
      <c r="AD182" s="120" t="n"/>
      <c r="AE182" s="120" t="n"/>
      <c r="AF182" s="120" t="n"/>
      <c r="AG182" s="120" t="n"/>
      <c r="AH182" s="120" t="n"/>
      <c r="AI182" s="120" t="n"/>
      <c r="AJ182" s="120" t="n"/>
    </row>
    <row r="183" ht="14.25" customHeight="1" s="142">
      <c r="A183" s="118">
        <f>A70+4</f>
        <v/>
      </c>
      <c r="B183" s="118">
        <f>B162/2</f>
        <v/>
      </c>
      <c r="C183" s="118" t="n"/>
      <c r="D183" s="118" t="n"/>
      <c r="E183" s="118" t="n"/>
      <c r="F183" s="118" t="n"/>
      <c r="G183" s="118" t="n"/>
      <c r="H183" s="118" t="n"/>
      <c r="I183" s="118" t="n"/>
      <c r="J183" s="118" t="n"/>
      <c r="K183" s="118" t="n"/>
      <c r="L183" s="118" t="n"/>
      <c r="M183" s="118" t="n"/>
      <c r="N183" s="118" t="n">
        <v>0.03</v>
      </c>
      <c r="O183" s="118" t="n"/>
      <c r="P183" s="118" t="n"/>
      <c r="Q183" s="118" t="n"/>
      <c r="R183" s="118" t="n"/>
      <c r="S183" s="118" t="n"/>
      <c r="T183" s="118" t="n"/>
      <c r="U183" s="118" t="n"/>
      <c r="V183" s="118" t="n"/>
      <c r="W183" s="118" t="n"/>
      <c r="X183" s="118" t="n">
        <v>0.11</v>
      </c>
      <c r="Y183" s="119" t="n">
        <v>1</v>
      </c>
      <c r="Z183" s="120" t="n"/>
      <c r="AA183" s="120" t="n"/>
      <c r="AB183" s="120" t="n"/>
      <c r="AC183" s="120" t="n"/>
      <c r="AD183" s="120" t="n"/>
      <c r="AE183" s="120" t="n"/>
      <c r="AF183" s="120" t="n"/>
      <c r="AG183" s="120" t="n"/>
      <c r="AH183" s="120" t="n"/>
      <c r="AI183" s="120" t="n"/>
      <c r="AJ183" s="120" t="n"/>
    </row>
    <row r="184" ht="14.25" customHeight="1" s="142">
      <c r="A184" s="118">
        <f>A71+4</f>
        <v/>
      </c>
      <c r="B184" s="118" t="n">
        <v>35</v>
      </c>
      <c r="C184" s="118" t="n"/>
      <c r="D184" s="118" t="n"/>
      <c r="E184" s="118" t="n"/>
      <c r="F184" s="118" t="n"/>
      <c r="G184" s="118" t="n"/>
      <c r="H184" s="118" t="n"/>
      <c r="I184" s="118" t="n"/>
      <c r="J184" s="118" t="n"/>
      <c r="K184" s="118" t="n"/>
      <c r="L184" s="118" t="n"/>
      <c r="M184" s="118" t="n"/>
      <c r="N184" s="118" t="n">
        <v>0.05</v>
      </c>
      <c r="O184" s="118" t="n"/>
      <c r="P184" s="118" t="n"/>
      <c r="Q184" s="118" t="n"/>
      <c r="R184" s="118" t="n"/>
      <c r="S184" s="118" t="n"/>
      <c r="T184" s="118" t="n"/>
      <c r="U184" s="118" t="n"/>
      <c r="V184" s="118" t="n"/>
      <c r="W184" s="118" t="n"/>
      <c r="X184" s="118" t="n">
        <v>0.11</v>
      </c>
      <c r="Y184" s="119" t="n">
        <v>2</v>
      </c>
      <c r="Z184" s="120" t="n"/>
      <c r="AA184" s="120" t="n"/>
      <c r="AB184" s="120" t="n"/>
      <c r="AC184" s="120" t="n"/>
      <c r="AD184" s="120" t="n"/>
      <c r="AE184" s="120" t="n"/>
      <c r="AF184" s="120" t="n"/>
      <c r="AG184" s="120" t="n"/>
      <c r="AH184" s="120" t="n"/>
      <c r="AI184" s="120" t="n"/>
      <c r="AJ184" s="120" t="n"/>
    </row>
    <row r="185" ht="14.25" customHeight="1" s="142">
      <c r="A185" s="118">
        <f>A72+4</f>
        <v/>
      </c>
      <c r="B185" s="118" t="n">
        <v>10</v>
      </c>
      <c r="C185" s="118" t="n"/>
      <c r="D185" s="118" t="n"/>
      <c r="E185" s="118" t="n"/>
      <c r="F185" s="118" t="n"/>
      <c r="G185" s="118" t="n"/>
      <c r="H185" s="118" t="n"/>
      <c r="I185" s="118" t="n"/>
      <c r="J185" s="118" t="n"/>
      <c r="K185" s="118" t="n"/>
      <c r="L185" s="118" t="n"/>
      <c r="M185" s="118" t="n"/>
      <c r="N185" s="118" t="n">
        <v>0.09</v>
      </c>
      <c r="O185" s="118" t="n"/>
      <c r="P185" s="118" t="n"/>
      <c r="Q185" s="118" t="n"/>
      <c r="R185" s="118" t="n"/>
      <c r="S185" s="118" t="n"/>
      <c r="T185" s="118" t="n"/>
      <c r="U185" s="118" t="n"/>
      <c r="V185" s="118" t="n"/>
      <c r="W185" s="118" t="n"/>
      <c r="X185" s="118" t="n">
        <v>0.11</v>
      </c>
      <c r="Y185" s="119" t="n">
        <v>3</v>
      </c>
      <c r="Z185" s="120" t="n"/>
      <c r="AA185" s="120" t="n"/>
      <c r="AB185" s="120" t="n"/>
      <c r="AC185" s="120" t="n"/>
      <c r="AD185" s="120" t="n"/>
      <c r="AE185" s="120" t="n"/>
      <c r="AF185" s="120" t="n"/>
      <c r="AG185" s="120" t="n"/>
      <c r="AH185" s="120" t="n"/>
      <c r="AI185" s="120" t="n"/>
      <c r="AJ185" s="120" t="n"/>
    </row>
    <row r="186" ht="14.25" customHeight="1" s="142">
      <c r="A186" s="118">
        <f>A73+4</f>
        <v/>
      </c>
      <c r="B186" s="118" t="n">
        <v>5</v>
      </c>
      <c r="C186" s="118" t="n"/>
      <c r="D186" s="118" t="n"/>
      <c r="E186" s="118" t="n"/>
      <c r="F186" s="118" t="n"/>
      <c r="G186" s="118" t="n"/>
      <c r="H186" s="118" t="n"/>
      <c r="I186" s="118" t="n"/>
      <c r="J186" s="118" t="n"/>
      <c r="K186" s="118" t="n"/>
      <c r="L186" s="118" t="n"/>
      <c r="M186" s="118" t="n"/>
      <c r="N186" s="118" t="n">
        <v>0.15</v>
      </c>
      <c r="O186" s="118" t="n"/>
      <c r="P186" s="118" t="n"/>
      <c r="Q186" s="118" t="n"/>
      <c r="R186" s="118" t="n"/>
      <c r="S186" s="118" t="n"/>
      <c r="T186" s="118" t="n"/>
      <c r="U186" s="118" t="n"/>
      <c r="V186" s="118" t="n"/>
      <c r="W186" s="118" t="n"/>
      <c r="X186" s="118" t="n">
        <v>0.11</v>
      </c>
      <c r="Y186" s="119" t="n">
        <v>4</v>
      </c>
      <c r="Z186" s="120" t="n"/>
      <c r="AA186" s="120" t="n"/>
      <c r="AB186" s="120" t="n"/>
      <c r="AC186" s="120" t="n"/>
      <c r="AD186" s="120" t="n"/>
      <c r="AE186" s="120" t="n"/>
      <c r="AF186" s="120" t="n"/>
      <c r="AG186" s="120" t="n"/>
      <c r="AH186" s="120" t="n"/>
      <c r="AI186" s="120" t="n"/>
      <c r="AJ186" s="120" t="n"/>
    </row>
    <row r="187" ht="14.25" customHeight="1" s="142">
      <c r="A187" s="118">
        <f>A74+4</f>
        <v/>
      </c>
      <c r="B187" s="118" t="n">
        <v>550</v>
      </c>
      <c r="C187" s="118" t="n"/>
      <c r="D187" s="118" t="n"/>
      <c r="E187" s="118" t="n"/>
      <c r="F187" s="118" t="n"/>
      <c r="G187" s="118" t="n"/>
      <c r="H187" s="118" t="n"/>
      <c r="I187" s="118" t="n"/>
      <c r="J187" s="118" t="n"/>
      <c r="K187" s="118" t="n"/>
      <c r="L187" s="118" t="n"/>
      <c r="M187" s="118" t="n"/>
      <c r="N187" s="118" t="n"/>
      <c r="O187" s="118" t="n"/>
      <c r="P187" s="118" t="n"/>
      <c r="Q187" s="118" t="n">
        <v>0.01</v>
      </c>
      <c r="R187" s="118" t="n"/>
      <c r="S187" s="118" t="n"/>
      <c r="T187" s="118" t="n"/>
      <c r="U187" s="118" t="n"/>
      <c r="V187" s="118" t="n"/>
      <c r="W187" s="118" t="n"/>
      <c r="X187" s="118" t="n">
        <v>0.11</v>
      </c>
      <c r="Y187" s="119" t="n">
        <v>1</v>
      </c>
      <c r="Z187" s="120" t="n"/>
      <c r="AA187" s="120" t="n"/>
      <c r="AB187" s="120" t="n"/>
      <c r="AC187" s="120" t="n"/>
      <c r="AD187" s="120" t="n"/>
      <c r="AE187" s="120" t="n"/>
      <c r="AF187" s="120" t="n"/>
      <c r="AG187" s="120" t="n"/>
      <c r="AH187" s="120" t="n"/>
      <c r="AI187" s="120" t="n"/>
      <c r="AJ187" s="120" t="n"/>
    </row>
    <row r="188" ht="14.25" customHeight="1" s="142">
      <c r="A188" s="118">
        <f>A75+4</f>
        <v/>
      </c>
      <c r="B188" s="118">
        <f>B167/2</f>
        <v/>
      </c>
      <c r="C188" s="118" t="n"/>
      <c r="D188" s="118" t="n"/>
      <c r="E188" s="118" t="n"/>
      <c r="F188" s="118" t="n"/>
      <c r="G188" s="118" t="n"/>
      <c r="H188" s="118" t="n"/>
      <c r="I188" s="118" t="n"/>
      <c r="J188" s="118" t="n"/>
      <c r="K188" s="118" t="n"/>
      <c r="L188" s="118" t="n"/>
      <c r="M188" s="118" t="n"/>
      <c r="N188" s="118" t="n"/>
      <c r="O188" s="118" t="n"/>
      <c r="P188" s="118" t="n"/>
      <c r="Q188" s="118" t="n">
        <v>0.03</v>
      </c>
      <c r="R188" s="118" t="n"/>
      <c r="S188" s="118" t="n"/>
      <c r="T188" s="118" t="n"/>
      <c r="U188" s="118" t="n"/>
      <c r="V188" s="118" t="n"/>
      <c r="W188" s="118" t="n"/>
      <c r="X188" s="118" t="n">
        <v>0.11</v>
      </c>
      <c r="Y188" s="119" t="n">
        <v>1</v>
      </c>
      <c r="Z188" s="120" t="n"/>
      <c r="AA188" s="120" t="n"/>
      <c r="AB188" s="120" t="n"/>
      <c r="AC188" s="120" t="n"/>
      <c r="AD188" s="120" t="n"/>
      <c r="AE188" s="120" t="n"/>
      <c r="AF188" s="120" t="n"/>
      <c r="AG188" s="120" t="n"/>
      <c r="AH188" s="120" t="n"/>
      <c r="AI188" s="120" t="n"/>
      <c r="AJ188" s="120" t="n"/>
    </row>
    <row r="189" ht="14.25" customHeight="1" s="142">
      <c r="A189" s="118">
        <f>A76+4</f>
        <v/>
      </c>
      <c r="B189" s="118" t="n">
        <v>35</v>
      </c>
      <c r="C189" s="118" t="n"/>
      <c r="D189" s="118" t="n"/>
      <c r="E189" s="118" t="n"/>
      <c r="F189" s="118" t="n"/>
      <c r="G189" s="118" t="n"/>
      <c r="H189" s="118" t="n"/>
      <c r="I189" s="118" t="n"/>
      <c r="J189" s="118" t="n"/>
      <c r="K189" s="118" t="n"/>
      <c r="L189" s="118" t="n"/>
      <c r="M189" s="118" t="n"/>
      <c r="N189" s="118" t="n"/>
      <c r="O189" s="118" t="n"/>
      <c r="P189" s="118" t="n"/>
      <c r="Q189" s="118" t="n">
        <v>0.05</v>
      </c>
      <c r="R189" s="118" t="n"/>
      <c r="S189" s="118" t="n"/>
      <c r="T189" s="118" t="n"/>
      <c r="U189" s="118" t="n"/>
      <c r="V189" s="118" t="n"/>
      <c r="W189" s="118" t="n"/>
      <c r="X189" s="118" t="n">
        <v>0.11</v>
      </c>
      <c r="Y189" s="119" t="n">
        <v>2</v>
      </c>
      <c r="Z189" s="120" t="n"/>
      <c r="AA189" s="120" t="n"/>
      <c r="AB189" s="120" t="n"/>
      <c r="AC189" s="120" t="n"/>
      <c r="AD189" s="120" t="n"/>
      <c r="AE189" s="120" t="n"/>
      <c r="AF189" s="120" t="n"/>
      <c r="AG189" s="120" t="n"/>
      <c r="AH189" s="120" t="n"/>
      <c r="AI189" s="120" t="n"/>
      <c r="AJ189" s="120" t="n"/>
    </row>
    <row r="190" ht="14.25" customHeight="1" s="142">
      <c r="A190" s="118">
        <f>A77+4</f>
        <v/>
      </c>
      <c r="B190" s="118" t="n">
        <v>10</v>
      </c>
      <c r="C190" s="118" t="n"/>
      <c r="D190" s="118" t="n"/>
      <c r="E190" s="118" t="n"/>
      <c r="F190" s="118" t="n"/>
      <c r="G190" s="118" t="n"/>
      <c r="H190" s="118" t="n"/>
      <c r="I190" s="118" t="n"/>
      <c r="J190" s="118" t="n"/>
      <c r="K190" s="118" t="n"/>
      <c r="L190" s="118" t="n"/>
      <c r="M190" s="118" t="n"/>
      <c r="N190" s="118" t="n"/>
      <c r="O190" s="118" t="n"/>
      <c r="P190" s="118" t="n"/>
      <c r="Q190" s="118" t="n">
        <v>0.09</v>
      </c>
      <c r="R190" s="118" t="n"/>
      <c r="S190" s="118" t="n"/>
      <c r="T190" s="118" t="n"/>
      <c r="U190" s="118" t="n"/>
      <c r="V190" s="118" t="n"/>
      <c r="W190" s="118" t="n"/>
      <c r="X190" s="118" t="n">
        <v>0.11</v>
      </c>
      <c r="Y190" s="119" t="n">
        <v>3</v>
      </c>
      <c r="Z190" s="120" t="n"/>
      <c r="AA190" s="120" t="n"/>
      <c r="AB190" s="120" t="n"/>
      <c r="AC190" s="120" t="n"/>
      <c r="AD190" s="120" t="n"/>
      <c r="AE190" s="120" t="n"/>
      <c r="AF190" s="120" t="n"/>
      <c r="AG190" s="120" t="n"/>
      <c r="AH190" s="120" t="n"/>
      <c r="AI190" s="120" t="n"/>
      <c r="AJ190" s="120" t="n"/>
    </row>
    <row r="191" ht="14.25" customHeight="1" s="142">
      <c r="A191" s="118">
        <f>A78+4</f>
        <v/>
      </c>
      <c r="B191" s="118" t="n">
        <v>5</v>
      </c>
      <c r="C191" s="118" t="n"/>
      <c r="D191" s="118" t="n"/>
      <c r="E191" s="118" t="n"/>
      <c r="F191" s="118" t="n"/>
      <c r="G191" s="118" t="n"/>
      <c r="H191" s="118" t="n"/>
      <c r="I191" s="118" t="n"/>
      <c r="J191" s="118" t="n"/>
      <c r="K191" s="118" t="n"/>
      <c r="L191" s="118" t="n"/>
      <c r="M191" s="118" t="n"/>
      <c r="N191" s="118" t="n"/>
      <c r="O191" s="118" t="n"/>
      <c r="P191" s="118" t="n"/>
      <c r="Q191" s="118" t="n">
        <v>0.15</v>
      </c>
      <c r="R191" s="118" t="n"/>
      <c r="S191" s="118" t="n"/>
      <c r="T191" s="118" t="n"/>
      <c r="U191" s="118" t="n"/>
      <c r="V191" s="118" t="n"/>
      <c r="W191" s="118" t="n"/>
      <c r="X191" s="118" t="n">
        <v>0.11</v>
      </c>
      <c r="Y191" s="119" t="n">
        <v>4</v>
      </c>
      <c r="Z191" s="120" t="n"/>
      <c r="AA191" s="120" t="n"/>
      <c r="AB191" s="120" t="n"/>
      <c r="AC191" s="120" t="n"/>
      <c r="AD191" s="120" t="n"/>
      <c r="AE191" s="120" t="n"/>
      <c r="AF191" s="120" t="n"/>
      <c r="AG191" s="120" t="n"/>
      <c r="AH191" s="120" t="n"/>
      <c r="AI191" s="120" t="n"/>
      <c r="AJ191" s="120" t="n"/>
    </row>
    <row r="192" ht="14.25" customHeight="1" s="142">
      <c r="A192" s="117">
        <f>A79+4</f>
        <v/>
      </c>
      <c r="B192" s="117" t="n">
        <v>4050</v>
      </c>
      <c r="C192" s="117" t="n"/>
      <c r="D192" s="117" t="n"/>
      <c r="E192" s="117" t="n"/>
      <c r="F192" s="117" t="n"/>
      <c r="G192" s="117" t="n"/>
      <c r="H192" s="117" t="n"/>
      <c r="I192" s="117" t="n"/>
      <c r="J192" s="117" t="n"/>
      <c r="K192" s="117" t="n"/>
      <c r="L192" s="117" t="n"/>
      <c r="M192" s="117" t="n"/>
      <c r="N192" s="117" t="n"/>
      <c r="O192" s="117" t="n"/>
      <c r="P192" s="117" t="n"/>
      <c r="Q192" s="117" t="n"/>
      <c r="R192" s="117" t="n"/>
      <c r="S192" s="117" t="n"/>
      <c r="T192" s="117" t="n"/>
      <c r="U192" s="117" t="n"/>
      <c r="V192" s="117" t="n"/>
      <c r="W192" s="117" t="n"/>
      <c r="X192" s="117" t="n">
        <v>0.08</v>
      </c>
      <c r="Y192" s="117" t="n">
        <v>1</v>
      </c>
      <c r="Z192" s="121" t="n"/>
      <c r="AA192" s="121" t="n"/>
      <c r="AB192" s="121" t="n"/>
      <c r="AC192" s="121" t="n"/>
      <c r="AD192" s="121" t="n"/>
      <c r="AE192" s="121" t="n"/>
      <c r="AF192" s="121" t="n"/>
      <c r="AG192" s="121" t="n"/>
      <c r="AH192" s="121" t="n"/>
      <c r="AI192" s="121" t="n"/>
      <c r="AJ192" s="121" t="n"/>
    </row>
    <row r="193" ht="14.25" customHeight="1" s="142">
      <c r="A193" s="117">
        <f>A80+4</f>
        <v/>
      </c>
      <c r="B193" s="117" t="n">
        <v>650</v>
      </c>
      <c r="C193" s="117" t="n">
        <v>90</v>
      </c>
      <c r="D193" s="117" t="n"/>
      <c r="E193" s="117" t="n"/>
      <c r="F193" s="117" t="n"/>
      <c r="G193" s="117" t="n"/>
      <c r="H193" s="117" t="n"/>
      <c r="I193" s="117" t="n"/>
      <c r="J193" s="117" t="n"/>
      <c r="K193" s="117" t="n"/>
      <c r="L193" s="117" t="n"/>
      <c r="M193" s="117" t="n"/>
      <c r="N193" s="117" t="n"/>
      <c r="O193" s="117" t="n"/>
      <c r="P193" s="117" t="n"/>
      <c r="Q193" s="117" t="n"/>
      <c r="R193" s="117" t="n"/>
      <c r="S193" s="117" t="n"/>
      <c r="T193" s="117" t="n"/>
      <c r="U193" s="117" t="n"/>
      <c r="V193" s="117" t="n"/>
      <c r="W193" s="117" t="n"/>
      <c r="X193" s="117" t="n">
        <v>0.08</v>
      </c>
      <c r="Y193" s="117" t="n">
        <v>1</v>
      </c>
      <c r="Z193" s="121" t="n"/>
      <c r="AA193" s="121" t="n"/>
      <c r="AB193" s="121" t="n"/>
      <c r="AC193" s="121" t="n"/>
      <c r="AD193" s="121" t="n"/>
      <c r="AE193" s="121" t="n"/>
      <c r="AF193" s="121" t="n"/>
      <c r="AG193" s="121" t="n"/>
      <c r="AH193" s="121" t="n"/>
      <c r="AI193" s="121" t="n"/>
      <c r="AJ193" s="121" t="n"/>
    </row>
    <row r="194" ht="14.25" customHeight="1" s="142">
      <c r="A194" s="117">
        <f>A81+4</f>
        <v/>
      </c>
      <c r="B194" s="117" t="n">
        <v>150</v>
      </c>
      <c r="C194" s="117" t="n">
        <v>165</v>
      </c>
      <c r="D194" s="117" t="n"/>
      <c r="E194" s="117" t="n"/>
      <c r="F194" s="117" t="n"/>
      <c r="G194" s="117" t="n"/>
      <c r="H194" s="117" t="n"/>
      <c r="I194" s="117" t="n"/>
      <c r="J194" s="117" t="n"/>
      <c r="K194" s="117" t="n"/>
      <c r="L194" s="117" t="n"/>
      <c r="M194" s="117" t="n"/>
      <c r="N194" s="117" t="n"/>
      <c r="O194" s="117" t="n"/>
      <c r="P194" s="117" t="n"/>
      <c r="Q194" s="117" t="n"/>
      <c r="R194" s="117" t="n"/>
      <c r="S194" s="117" t="n"/>
      <c r="T194" s="117" t="n"/>
      <c r="U194" s="117" t="n"/>
      <c r="V194" s="117" t="n"/>
      <c r="W194" s="117" t="n"/>
      <c r="X194" s="117" t="n">
        <v>0.08</v>
      </c>
      <c r="Y194" s="117" t="n">
        <v>1</v>
      </c>
      <c r="Z194" s="121" t="n"/>
      <c r="AA194" s="121" t="n"/>
      <c r="AB194" s="121" t="n"/>
      <c r="AC194" s="121" t="n"/>
      <c r="AD194" s="121" t="n"/>
      <c r="AE194" s="121" t="n"/>
      <c r="AF194" s="121" t="n"/>
      <c r="AG194" s="121" t="n"/>
      <c r="AH194" s="121" t="n"/>
      <c r="AI194" s="121" t="n"/>
      <c r="AJ194" s="121" t="n"/>
    </row>
    <row r="195" ht="14.25" customHeight="1" s="142">
      <c r="A195" s="117">
        <f>A82+4</f>
        <v/>
      </c>
      <c r="B195" s="117" t="n">
        <v>35</v>
      </c>
      <c r="C195" s="117" t="n">
        <v>300</v>
      </c>
      <c r="D195" s="117" t="n"/>
      <c r="E195" s="117" t="n"/>
      <c r="F195" s="117" t="n"/>
      <c r="G195" s="117" t="n"/>
      <c r="H195" s="117" t="n"/>
      <c r="I195" s="117" t="n"/>
      <c r="J195" s="117" t="n"/>
      <c r="K195" s="117" t="n"/>
      <c r="L195" s="117" t="n"/>
      <c r="M195" s="117" t="n"/>
      <c r="N195" s="117" t="n"/>
      <c r="O195" s="117" t="n"/>
      <c r="P195" s="117" t="n"/>
      <c r="Q195" s="117" t="n"/>
      <c r="R195" s="117" t="n"/>
      <c r="S195" s="117" t="n"/>
      <c r="T195" s="117" t="n"/>
      <c r="U195" s="117" t="n"/>
      <c r="V195" s="117" t="n"/>
      <c r="W195" s="117" t="n"/>
      <c r="X195" s="117" t="n">
        <v>0.08</v>
      </c>
      <c r="Y195" s="117" t="n">
        <v>2</v>
      </c>
      <c r="Z195" s="121" t="n"/>
      <c r="AA195" s="121" t="n"/>
      <c r="AB195" s="121" t="n"/>
      <c r="AC195" s="121" t="n"/>
      <c r="AD195" s="121" t="n"/>
      <c r="AE195" s="121" t="n"/>
      <c r="AF195" s="121" t="n"/>
      <c r="AG195" s="121" t="n"/>
      <c r="AH195" s="121" t="n"/>
      <c r="AI195" s="121" t="n"/>
      <c r="AJ195" s="121" t="n"/>
    </row>
    <row r="196" ht="14.25" customHeight="1" s="142">
      <c r="A196" s="117">
        <f>A83+4</f>
        <v/>
      </c>
      <c r="B196" s="117" t="n">
        <v>10</v>
      </c>
      <c r="C196" s="117" t="n">
        <v>570</v>
      </c>
      <c r="D196" s="117" t="n"/>
      <c r="E196" s="117" t="n"/>
      <c r="F196" s="117" t="n"/>
      <c r="G196" s="117" t="n"/>
      <c r="H196" s="117" t="n"/>
      <c r="I196" s="117" t="n"/>
      <c r="J196" s="117" t="n"/>
      <c r="K196" s="117" t="n"/>
      <c r="L196" s="117" t="n"/>
      <c r="M196" s="117" t="n"/>
      <c r="N196" s="117" t="n"/>
      <c r="O196" s="117" t="n"/>
      <c r="P196" s="117" t="n"/>
      <c r="Q196" s="117" t="n"/>
      <c r="R196" s="117" t="n"/>
      <c r="S196" s="117" t="n"/>
      <c r="T196" s="117" t="n"/>
      <c r="U196" s="117" t="n"/>
      <c r="V196" s="117" t="n"/>
      <c r="W196" s="117" t="n"/>
      <c r="X196" s="117" t="n">
        <v>0.08</v>
      </c>
      <c r="Y196" s="117" t="n">
        <v>3</v>
      </c>
      <c r="Z196" s="121" t="n"/>
      <c r="AA196" s="121" t="n"/>
      <c r="AB196" s="121" t="n"/>
      <c r="AC196" s="121" t="n"/>
      <c r="AD196" s="121" t="n"/>
      <c r="AE196" s="121" t="n"/>
      <c r="AF196" s="121" t="n"/>
      <c r="AG196" s="121" t="n"/>
      <c r="AH196" s="121" t="n"/>
      <c r="AI196" s="121" t="n"/>
      <c r="AJ196" s="121" t="n"/>
    </row>
    <row r="197" ht="14.25" customHeight="1" s="142">
      <c r="A197" s="117">
        <f>A84+4</f>
        <v/>
      </c>
      <c r="B197" s="117" t="n">
        <v>5</v>
      </c>
      <c r="C197" s="117" t="n">
        <v>1050</v>
      </c>
      <c r="D197" s="117" t="n"/>
      <c r="E197" s="117" t="n"/>
      <c r="F197" s="117" t="n"/>
      <c r="G197" s="117" t="n"/>
      <c r="H197" s="117" t="n"/>
      <c r="I197" s="117" t="n"/>
      <c r="J197" s="117" t="n"/>
      <c r="K197" s="117" t="n"/>
      <c r="L197" s="117" t="n"/>
      <c r="M197" s="117" t="n"/>
      <c r="N197" s="117" t="n"/>
      <c r="O197" s="117" t="n"/>
      <c r="P197" s="117" t="n"/>
      <c r="Q197" s="117" t="n"/>
      <c r="R197" s="117" t="n"/>
      <c r="S197" s="117" t="n"/>
      <c r="T197" s="117" t="n"/>
      <c r="U197" s="117" t="n"/>
      <c r="V197" s="117" t="n"/>
      <c r="W197" s="117" t="n"/>
      <c r="X197" s="117" t="n">
        <v>0.08</v>
      </c>
      <c r="Y197" s="117" t="n">
        <v>4</v>
      </c>
      <c r="Z197" s="121" t="n"/>
      <c r="AA197" s="121" t="n"/>
      <c r="AB197" s="121" t="n"/>
      <c r="AC197" s="121" t="n"/>
      <c r="AD197" s="121" t="n"/>
      <c r="AE197" s="121" t="n"/>
      <c r="AF197" s="121" t="n"/>
      <c r="AG197" s="121" t="n"/>
      <c r="AH197" s="121" t="n"/>
      <c r="AI197" s="121" t="n"/>
      <c r="AJ197" s="121" t="n"/>
    </row>
    <row r="198" ht="14.25" customHeight="1" s="142">
      <c r="A198" s="117">
        <f>A85+4</f>
        <v/>
      </c>
      <c r="B198" s="117" t="n">
        <v>650</v>
      </c>
      <c r="C198" s="117" t="n"/>
      <c r="D198" s="117" t="n"/>
      <c r="E198" s="117" t="n"/>
      <c r="F198" s="117" t="n">
        <v>9</v>
      </c>
      <c r="G198" s="117" t="n"/>
      <c r="H198" s="117" t="n"/>
      <c r="I198" s="117" t="n"/>
      <c r="J198" s="117" t="n"/>
      <c r="K198" s="117" t="n"/>
      <c r="L198" s="117" t="n"/>
      <c r="M198" s="117" t="n"/>
      <c r="N198" s="117" t="n"/>
      <c r="O198" s="117" t="n"/>
      <c r="P198" s="117" t="n"/>
      <c r="Q198" s="117" t="n"/>
      <c r="R198" s="117" t="n"/>
      <c r="S198" s="117" t="n"/>
      <c r="T198" s="117" t="n"/>
      <c r="U198" s="117" t="n"/>
      <c r="V198" s="117" t="n"/>
      <c r="W198" s="117" t="n"/>
      <c r="X198" s="117" t="n">
        <v>0.08</v>
      </c>
      <c r="Y198" s="117" t="n">
        <v>1</v>
      </c>
      <c r="Z198" s="121" t="n"/>
      <c r="AA198" s="121" t="n"/>
      <c r="AB198" s="121" t="n"/>
      <c r="AC198" s="121" t="n"/>
      <c r="AD198" s="121" t="n"/>
      <c r="AE198" s="121" t="n"/>
      <c r="AF198" s="121" t="n"/>
      <c r="AG198" s="121" t="n"/>
      <c r="AH198" s="121" t="n"/>
      <c r="AI198" s="121" t="n"/>
      <c r="AJ198" s="121" t="n"/>
    </row>
    <row r="199" ht="14.25" customHeight="1" s="142">
      <c r="A199" s="117">
        <f>A86+4</f>
        <v/>
      </c>
      <c r="B199" s="117" t="n">
        <v>150</v>
      </c>
      <c r="C199" s="117" t="n"/>
      <c r="D199" s="117" t="n"/>
      <c r="E199" s="117" t="n"/>
      <c r="F199" s="117" t="n">
        <v>14</v>
      </c>
      <c r="G199" s="117" t="n"/>
      <c r="H199" s="117" t="n"/>
      <c r="I199" s="117" t="n"/>
      <c r="J199" s="117" t="n"/>
      <c r="K199" s="117" t="n"/>
      <c r="L199" s="117" t="n"/>
      <c r="M199" s="117" t="n"/>
      <c r="N199" s="117" t="n"/>
      <c r="O199" s="117" t="n"/>
      <c r="P199" s="117" t="n"/>
      <c r="Q199" s="117" t="n"/>
      <c r="R199" s="117" t="n"/>
      <c r="S199" s="117" t="n"/>
      <c r="T199" s="117" t="n"/>
      <c r="U199" s="117" t="n"/>
      <c r="V199" s="117" t="n"/>
      <c r="W199" s="117" t="n"/>
      <c r="X199" s="117" t="n">
        <v>0.08</v>
      </c>
      <c r="Y199" s="117" t="n">
        <v>1</v>
      </c>
      <c r="Z199" s="121" t="n"/>
      <c r="AA199" s="121" t="n"/>
      <c r="AB199" s="121" t="n"/>
      <c r="AC199" s="121" t="n"/>
      <c r="AD199" s="121" t="n"/>
      <c r="AE199" s="121" t="n"/>
      <c r="AF199" s="121" t="n"/>
      <c r="AG199" s="121" t="n"/>
      <c r="AH199" s="121" t="n"/>
      <c r="AI199" s="121" t="n"/>
      <c r="AJ199" s="121" t="n"/>
    </row>
    <row r="200" ht="14.25" customHeight="1" s="142">
      <c r="A200" s="117">
        <f>A87+4</f>
        <v/>
      </c>
      <c r="B200" s="117" t="n">
        <v>35</v>
      </c>
      <c r="C200" s="117" t="n"/>
      <c r="D200" s="117" t="n"/>
      <c r="E200" s="117" t="n"/>
      <c r="F200" s="117" t="n">
        <v>23</v>
      </c>
      <c r="G200" s="117" t="n"/>
      <c r="H200" s="117" t="n"/>
      <c r="I200" s="117" t="n"/>
      <c r="J200" s="117" t="n"/>
      <c r="K200" s="117" t="n"/>
      <c r="L200" s="117" t="n"/>
      <c r="M200" s="117" t="n"/>
      <c r="N200" s="117" t="n"/>
      <c r="O200" s="117" t="n"/>
      <c r="P200" s="117" t="n"/>
      <c r="Q200" s="117" t="n"/>
      <c r="R200" s="117" t="n"/>
      <c r="S200" s="117" t="n"/>
      <c r="T200" s="117" t="n"/>
      <c r="U200" s="117" t="n"/>
      <c r="V200" s="117" t="n"/>
      <c r="W200" s="117" t="n"/>
      <c r="X200" s="117" t="n">
        <v>0.08</v>
      </c>
      <c r="Y200" s="117" t="n">
        <v>2</v>
      </c>
      <c r="Z200" s="121" t="n"/>
      <c r="AA200" s="121" t="n"/>
      <c r="AB200" s="121" t="n"/>
      <c r="AC200" s="121" t="n"/>
      <c r="AD200" s="121" t="n"/>
      <c r="AE200" s="121" t="n"/>
      <c r="AF200" s="121" t="n"/>
      <c r="AG200" s="121" t="n"/>
      <c r="AH200" s="121" t="n"/>
      <c r="AI200" s="121" t="n"/>
      <c r="AJ200" s="121" t="n"/>
    </row>
    <row r="201" ht="14.25" customHeight="1" s="142">
      <c r="A201" s="117">
        <f>A88+4</f>
        <v/>
      </c>
      <c r="B201" s="117" t="n">
        <v>10</v>
      </c>
      <c r="C201" s="117" t="n"/>
      <c r="D201" s="117" t="n"/>
      <c r="E201" s="117" t="n"/>
      <c r="F201" s="117" t="n">
        <v>35</v>
      </c>
      <c r="G201" s="117" t="n"/>
      <c r="H201" s="117" t="n"/>
      <c r="I201" s="117" t="n"/>
      <c r="J201" s="117" t="n"/>
      <c r="K201" s="117" t="n"/>
      <c r="L201" s="117" t="n"/>
      <c r="M201" s="117" t="n"/>
      <c r="N201" s="117" t="n"/>
      <c r="O201" s="117" t="n"/>
      <c r="P201" s="117" t="n"/>
      <c r="Q201" s="117" t="n"/>
      <c r="R201" s="117" t="n"/>
      <c r="S201" s="117" t="n"/>
      <c r="T201" s="117" t="n"/>
      <c r="U201" s="117" t="n"/>
      <c r="V201" s="117" t="n"/>
      <c r="W201" s="117" t="n"/>
      <c r="X201" s="117" t="n">
        <v>0.08</v>
      </c>
      <c r="Y201" s="117" t="n">
        <v>3</v>
      </c>
      <c r="Z201" s="121" t="n"/>
      <c r="AA201" s="121" t="n"/>
      <c r="AB201" s="121" t="n"/>
      <c r="AC201" s="121" t="n"/>
      <c r="AD201" s="121" t="n"/>
      <c r="AE201" s="121" t="n"/>
      <c r="AF201" s="121" t="n"/>
      <c r="AG201" s="121" t="n"/>
      <c r="AH201" s="121" t="n"/>
      <c r="AI201" s="121" t="n"/>
      <c r="AJ201" s="121" t="n"/>
    </row>
    <row r="202" ht="14.25" customHeight="1" s="142">
      <c r="A202" s="117">
        <f>A89+4</f>
        <v/>
      </c>
      <c r="B202" s="117" t="n">
        <v>5</v>
      </c>
      <c r="C202" s="117" t="n"/>
      <c r="D202" s="117" t="n"/>
      <c r="E202" s="117" t="n"/>
      <c r="F202" s="117" t="n">
        <v>81</v>
      </c>
      <c r="G202" s="117" t="n"/>
      <c r="H202" s="117" t="n"/>
      <c r="I202" s="117" t="n"/>
      <c r="J202" s="117" t="n"/>
      <c r="K202" s="117" t="n"/>
      <c r="L202" s="117" t="n"/>
      <c r="M202" s="117" t="n"/>
      <c r="N202" s="117" t="n"/>
      <c r="O202" s="117" t="n"/>
      <c r="P202" s="117" t="n"/>
      <c r="Q202" s="117" t="n"/>
      <c r="R202" s="117" t="n"/>
      <c r="S202" s="117" t="n"/>
      <c r="T202" s="117" t="n"/>
      <c r="U202" s="117" t="n"/>
      <c r="V202" s="117" t="n"/>
      <c r="W202" s="117" t="n"/>
      <c r="X202" s="117" t="n">
        <v>0.08</v>
      </c>
      <c r="Y202" s="117" t="n">
        <v>4</v>
      </c>
      <c r="Z202" s="121" t="n"/>
      <c r="AA202" s="121" t="n"/>
      <c r="AB202" s="121" t="n"/>
      <c r="AC202" s="121" t="n"/>
      <c r="AD202" s="121" t="n"/>
      <c r="AE202" s="121" t="n"/>
      <c r="AF202" s="121" t="n"/>
      <c r="AG202" s="121" t="n"/>
      <c r="AH202" s="121" t="n"/>
      <c r="AI202" s="121" t="n"/>
      <c r="AJ202" s="121" t="n"/>
    </row>
    <row r="203" ht="14.25" customHeight="1" s="142">
      <c r="A203" s="117">
        <f>A90+4</f>
        <v/>
      </c>
      <c r="B203" s="117" t="n">
        <v>650</v>
      </c>
      <c r="C203" s="117" t="n"/>
      <c r="D203" s="117" t="n"/>
      <c r="E203" s="117" t="n"/>
      <c r="F203" s="117" t="n"/>
      <c r="G203" s="117" t="n">
        <v>13</v>
      </c>
      <c r="H203" s="117" t="n"/>
      <c r="I203" s="117" t="n"/>
      <c r="J203" s="117" t="n"/>
      <c r="K203" s="117" t="n"/>
      <c r="L203" s="117" t="n"/>
      <c r="M203" s="117" t="n"/>
      <c r="N203" s="117" t="n"/>
      <c r="O203" s="117" t="n"/>
      <c r="P203" s="117" t="n"/>
      <c r="Q203" s="117" t="n"/>
      <c r="R203" s="117" t="n"/>
      <c r="S203" s="117" t="n"/>
      <c r="T203" s="117" t="n"/>
      <c r="U203" s="117" t="n"/>
      <c r="V203" s="117" t="n"/>
      <c r="W203" s="117" t="n"/>
      <c r="X203" s="117" t="n">
        <v>0.08</v>
      </c>
      <c r="Y203" s="117" t="n">
        <v>1</v>
      </c>
      <c r="Z203" s="121" t="n"/>
      <c r="AA203" s="121" t="n"/>
      <c r="AB203" s="121" t="n"/>
      <c r="AC203" s="121" t="n"/>
      <c r="AD203" s="121" t="n"/>
      <c r="AE203" s="121" t="n"/>
      <c r="AF203" s="121" t="n"/>
      <c r="AG203" s="121" t="n"/>
      <c r="AH203" s="121" t="n"/>
      <c r="AI203" s="121" t="n"/>
      <c r="AJ203" s="121" t="n"/>
    </row>
    <row r="204" ht="14.25" customHeight="1" s="142">
      <c r="A204" s="117">
        <f>A91+4</f>
        <v/>
      </c>
      <c r="B204" s="117" t="n">
        <v>150</v>
      </c>
      <c r="C204" s="117" t="n"/>
      <c r="D204" s="117" t="n"/>
      <c r="E204" s="117" t="n"/>
      <c r="F204" s="117" t="n"/>
      <c r="G204" s="117" t="n">
        <v>19</v>
      </c>
      <c r="H204" s="117" t="n"/>
      <c r="I204" s="117" t="n"/>
      <c r="J204" s="117" t="n"/>
      <c r="K204" s="117" t="n"/>
      <c r="L204" s="117" t="n"/>
      <c r="M204" s="117" t="n"/>
      <c r="N204" s="117" t="n"/>
      <c r="O204" s="117" t="n"/>
      <c r="P204" s="117" t="n"/>
      <c r="Q204" s="117" t="n"/>
      <c r="R204" s="117" t="n"/>
      <c r="S204" s="117" t="n"/>
      <c r="T204" s="117" t="n"/>
      <c r="U204" s="117" t="n"/>
      <c r="V204" s="117" t="n"/>
      <c r="W204" s="117" t="n"/>
      <c r="X204" s="117" t="n">
        <v>0.08</v>
      </c>
      <c r="Y204" s="117" t="n">
        <v>1</v>
      </c>
      <c r="Z204" s="121" t="n"/>
      <c r="AA204" s="121" t="n"/>
      <c r="AB204" s="121" t="n"/>
      <c r="AC204" s="121" t="n"/>
      <c r="AD204" s="121" t="n"/>
      <c r="AE204" s="121" t="n"/>
      <c r="AF204" s="121" t="n"/>
      <c r="AG204" s="121" t="n"/>
      <c r="AH204" s="121" t="n"/>
      <c r="AI204" s="121" t="n"/>
      <c r="AJ204" s="121" t="n"/>
    </row>
    <row r="205" ht="14.25" customHeight="1" s="142">
      <c r="A205" s="117">
        <f>A92+4</f>
        <v/>
      </c>
      <c r="B205" s="117" t="n">
        <v>35</v>
      </c>
      <c r="C205" s="117" t="n"/>
      <c r="D205" s="117" t="n"/>
      <c r="E205" s="117" t="n"/>
      <c r="F205" s="117" t="n"/>
      <c r="G205" s="117" t="n">
        <v>32</v>
      </c>
      <c r="H205" s="117" t="n"/>
      <c r="I205" s="117" t="n"/>
      <c r="J205" s="117" t="n"/>
      <c r="K205" s="117" t="n"/>
      <c r="L205" s="117" t="n"/>
      <c r="M205" s="117" t="n"/>
      <c r="N205" s="117" t="n"/>
      <c r="O205" s="117" t="n"/>
      <c r="P205" s="117" t="n"/>
      <c r="Q205" s="117" t="n"/>
      <c r="R205" s="117" t="n"/>
      <c r="S205" s="117" t="n"/>
      <c r="T205" s="117" t="n"/>
      <c r="U205" s="117" t="n"/>
      <c r="V205" s="117" t="n"/>
      <c r="W205" s="117" t="n"/>
      <c r="X205" s="117" t="n">
        <v>0.08</v>
      </c>
      <c r="Y205" s="117" t="n">
        <v>2</v>
      </c>
      <c r="Z205" s="121" t="n"/>
      <c r="AA205" s="121" t="n"/>
      <c r="AB205" s="121" t="n"/>
      <c r="AC205" s="121" t="n"/>
      <c r="AD205" s="121" t="n"/>
      <c r="AE205" s="121" t="n"/>
      <c r="AF205" s="121" t="n"/>
      <c r="AG205" s="121" t="n"/>
      <c r="AH205" s="121" t="n"/>
      <c r="AI205" s="121" t="n"/>
      <c r="AJ205" s="121" t="n"/>
    </row>
    <row r="206" ht="14.25" customHeight="1" s="142">
      <c r="A206" s="117">
        <f>A93+4</f>
        <v/>
      </c>
      <c r="B206" s="117" t="n">
        <v>10</v>
      </c>
      <c r="C206" s="117" t="n"/>
      <c r="D206" s="117" t="n"/>
      <c r="E206" s="117" t="n"/>
      <c r="F206" s="117" t="n"/>
      <c r="G206" s="117" t="n">
        <v>61</v>
      </c>
      <c r="H206" s="117" t="n"/>
      <c r="I206" s="117" t="n"/>
      <c r="J206" s="117" t="n"/>
      <c r="K206" s="117" t="n"/>
      <c r="L206" s="117" t="n"/>
      <c r="M206" s="117" t="n"/>
      <c r="N206" s="117" t="n"/>
      <c r="O206" s="117" t="n"/>
      <c r="P206" s="117" t="n"/>
      <c r="Q206" s="117" t="n"/>
      <c r="R206" s="117" t="n"/>
      <c r="S206" s="117" t="n"/>
      <c r="T206" s="117" t="n"/>
      <c r="U206" s="117" t="n"/>
      <c r="V206" s="117" t="n"/>
      <c r="W206" s="117" t="n"/>
      <c r="X206" s="117" t="n">
        <v>0.08</v>
      </c>
      <c r="Y206" s="117" t="n">
        <v>3</v>
      </c>
      <c r="Z206" s="121" t="n"/>
      <c r="AA206" s="121" t="n"/>
      <c r="AB206" s="121" t="n"/>
      <c r="AC206" s="121" t="n"/>
      <c r="AD206" s="121" t="n"/>
      <c r="AE206" s="121" t="n"/>
      <c r="AF206" s="121" t="n"/>
      <c r="AG206" s="121" t="n"/>
      <c r="AH206" s="121" t="n"/>
      <c r="AI206" s="121" t="n"/>
      <c r="AJ206" s="121" t="n"/>
    </row>
    <row r="207" ht="14.25" customHeight="1" s="142">
      <c r="A207" s="117">
        <f>A94+4</f>
        <v/>
      </c>
      <c r="B207" s="117" t="n">
        <v>5</v>
      </c>
      <c r="C207" s="117" t="n"/>
      <c r="D207" s="117" t="n"/>
      <c r="E207" s="117" t="n"/>
      <c r="F207" s="117" t="n"/>
      <c r="G207" s="117" t="n">
        <v>103</v>
      </c>
      <c r="H207" s="117" t="n"/>
      <c r="I207" s="117" t="n"/>
      <c r="J207" s="117" t="n"/>
      <c r="K207" s="117" t="n"/>
      <c r="L207" s="117" t="n"/>
      <c r="M207" s="117" t="n"/>
      <c r="N207" s="117" t="n"/>
      <c r="O207" s="117" t="n"/>
      <c r="P207" s="117" t="n"/>
      <c r="Q207" s="117" t="n"/>
      <c r="R207" s="117" t="n"/>
      <c r="S207" s="117" t="n"/>
      <c r="T207" s="117" t="n"/>
      <c r="U207" s="117" t="n"/>
      <c r="V207" s="117" t="n"/>
      <c r="W207" s="117" t="n"/>
      <c r="X207" s="117" t="n">
        <v>0.08</v>
      </c>
      <c r="Y207" s="117" t="n">
        <v>4</v>
      </c>
      <c r="Z207" s="121" t="n"/>
      <c r="AA207" s="121" t="n"/>
      <c r="AB207" s="121" t="n"/>
      <c r="AC207" s="121" t="n"/>
      <c r="AD207" s="121" t="n"/>
      <c r="AE207" s="121" t="n"/>
      <c r="AF207" s="121" t="n"/>
      <c r="AG207" s="121" t="n"/>
      <c r="AH207" s="121" t="n"/>
      <c r="AI207" s="121" t="n"/>
      <c r="AJ207" s="121" t="n"/>
    </row>
    <row r="208" ht="14.25" customHeight="1" s="142">
      <c r="A208" s="117">
        <f>A95+4</f>
        <v/>
      </c>
      <c r="B208" s="117" t="n">
        <v>650</v>
      </c>
      <c r="C208" s="117" t="n"/>
      <c r="D208" s="117" t="n"/>
      <c r="E208" s="117" t="n"/>
      <c r="F208" s="117" t="n"/>
      <c r="G208" s="117" t="n"/>
      <c r="H208" s="117" t="n"/>
      <c r="I208" s="117" t="n"/>
      <c r="J208" s="117" t="n"/>
      <c r="K208" s="117" t="n">
        <v>0.01</v>
      </c>
      <c r="L208" s="117" t="n"/>
      <c r="M208" s="117" t="n"/>
      <c r="N208" s="117" t="n"/>
      <c r="O208" s="117" t="n"/>
      <c r="P208" s="117" t="n"/>
      <c r="Q208" s="117" t="n"/>
      <c r="R208" s="117" t="n"/>
      <c r="S208" s="117" t="n"/>
      <c r="T208" s="117" t="n"/>
      <c r="U208" s="117" t="n"/>
      <c r="V208" s="117" t="n"/>
      <c r="W208" s="117" t="n"/>
      <c r="X208" s="117" t="n">
        <v>0.08</v>
      </c>
      <c r="Y208" s="117" t="n">
        <v>1</v>
      </c>
      <c r="Z208" s="121" t="n"/>
      <c r="AA208" s="121" t="n"/>
      <c r="AB208" s="121" t="n"/>
      <c r="AC208" s="121" t="n"/>
      <c r="AD208" s="121" t="n"/>
      <c r="AE208" s="121" t="n"/>
      <c r="AF208" s="121" t="n"/>
      <c r="AG208" s="121" t="n"/>
      <c r="AH208" s="121" t="n"/>
      <c r="AI208" s="121" t="n"/>
      <c r="AJ208" s="121" t="n"/>
    </row>
    <row r="209" ht="14.25" customHeight="1" s="142">
      <c r="A209" s="117">
        <f>A96+4</f>
        <v/>
      </c>
      <c r="B209" s="117" t="n">
        <v>150</v>
      </c>
      <c r="C209" s="117" t="n"/>
      <c r="D209" s="117" t="n"/>
      <c r="E209" s="117" t="n"/>
      <c r="F209" s="117" t="n"/>
      <c r="G209" s="117" t="n"/>
      <c r="H209" s="117" t="n"/>
      <c r="I209" s="117" t="n"/>
      <c r="J209" s="117" t="n"/>
      <c r="K209" s="117" t="n">
        <v>0.03</v>
      </c>
      <c r="L209" s="117" t="n"/>
      <c r="M209" s="117" t="n"/>
      <c r="N209" s="117" t="n"/>
      <c r="O209" s="117" t="n"/>
      <c r="P209" s="117" t="n"/>
      <c r="Q209" s="117" t="n"/>
      <c r="R209" s="117" t="n"/>
      <c r="S209" s="117" t="n"/>
      <c r="T209" s="117" t="n"/>
      <c r="U209" s="117" t="n"/>
      <c r="V209" s="117" t="n"/>
      <c r="W209" s="117" t="n"/>
      <c r="X209" s="117" t="n">
        <v>0.08</v>
      </c>
      <c r="Y209" s="117" t="n">
        <v>1</v>
      </c>
      <c r="Z209" s="121" t="n"/>
      <c r="AA209" s="121" t="n"/>
      <c r="AB209" s="121" t="n"/>
      <c r="AC209" s="121" t="n"/>
      <c r="AD209" s="121" t="n"/>
      <c r="AE209" s="121" t="n"/>
      <c r="AF209" s="121" t="n"/>
      <c r="AG209" s="121" t="n"/>
      <c r="AH209" s="121" t="n"/>
      <c r="AI209" s="121" t="n"/>
      <c r="AJ209" s="121" t="n"/>
    </row>
    <row r="210" ht="14.25" customHeight="1" s="142">
      <c r="A210" s="117">
        <f>A97+4</f>
        <v/>
      </c>
      <c r="B210" s="117" t="n">
        <v>35</v>
      </c>
      <c r="C210" s="117" t="n"/>
      <c r="D210" s="117" t="n"/>
      <c r="E210" s="117" t="n"/>
      <c r="F210" s="117" t="n"/>
      <c r="G210" s="117" t="n"/>
      <c r="H210" s="117" t="n"/>
      <c r="I210" s="117" t="n"/>
      <c r="J210" s="117" t="n"/>
      <c r="K210" s="117" t="n">
        <v>0.05</v>
      </c>
      <c r="L210" s="117" t="n"/>
      <c r="M210" s="117" t="n"/>
      <c r="N210" s="117" t="n"/>
      <c r="O210" s="117" t="n"/>
      <c r="P210" s="117" t="n"/>
      <c r="Q210" s="117" t="n"/>
      <c r="R210" s="117" t="n"/>
      <c r="S210" s="117" t="n"/>
      <c r="T210" s="117" t="n"/>
      <c r="U210" s="117" t="n"/>
      <c r="V210" s="117" t="n"/>
      <c r="W210" s="117" t="n"/>
      <c r="X210" s="117" t="n">
        <v>0.08</v>
      </c>
      <c r="Y210" s="117" t="n">
        <v>2</v>
      </c>
      <c r="Z210" s="121" t="n"/>
      <c r="AA210" s="121" t="n"/>
      <c r="AB210" s="121" t="n"/>
      <c r="AC210" s="121" t="n"/>
      <c r="AD210" s="121" t="n"/>
      <c r="AE210" s="121" t="n"/>
      <c r="AF210" s="121" t="n"/>
      <c r="AG210" s="121" t="n"/>
      <c r="AH210" s="121" t="n"/>
      <c r="AI210" s="121" t="n"/>
      <c r="AJ210" s="121" t="n"/>
    </row>
    <row r="211" ht="14.25" customHeight="1" s="142">
      <c r="A211" s="117">
        <f>A98+4</f>
        <v/>
      </c>
      <c r="B211" s="117" t="n">
        <v>10</v>
      </c>
      <c r="C211" s="117" t="n"/>
      <c r="D211" s="117" t="n"/>
      <c r="E211" s="117" t="n"/>
      <c r="F211" s="117" t="n"/>
      <c r="G211" s="117" t="n"/>
      <c r="H211" s="117" t="n"/>
      <c r="I211" s="117" t="n"/>
      <c r="J211" s="117" t="n"/>
      <c r="K211" s="117" t="n">
        <v>0.09</v>
      </c>
      <c r="L211" s="117" t="n"/>
      <c r="M211" s="117" t="n"/>
      <c r="N211" s="117" t="n"/>
      <c r="O211" s="117" t="n"/>
      <c r="P211" s="117" t="n"/>
      <c r="Q211" s="117" t="n"/>
      <c r="R211" s="117" t="n"/>
      <c r="S211" s="117" t="n"/>
      <c r="T211" s="117" t="n"/>
      <c r="U211" s="117" t="n"/>
      <c r="V211" s="117" t="n"/>
      <c r="W211" s="117" t="n"/>
      <c r="X211" s="117" t="n">
        <v>0.08</v>
      </c>
      <c r="Y211" s="117" t="n">
        <v>3</v>
      </c>
      <c r="Z211" s="121" t="n"/>
      <c r="AA211" s="121" t="n"/>
      <c r="AB211" s="121" t="n"/>
      <c r="AC211" s="121" t="n"/>
      <c r="AD211" s="121" t="n"/>
      <c r="AE211" s="121" t="n"/>
      <c r="AF211" s="121" t="n"/>
      <c r="AG211" s="121" t="n"/>
      <c r="AH211" s="121" t="n"/>
      <c r="AI211" s="121" t="n"/>
      <c r="AJ211" s="121" t="n"/>
    </row>
    <row r="212" ht="14.25" customHeight="1" s="142">
      <c r="A212" s="117">
        <f>A99+4</f>
        <v/>
      </c>
      <c r="B212" s="117" t="n">
        <v>5</v>
      </c>
      <c r="C212" s="117" t="n"/>
      <c r="D212" s="117" t="n"/>
      <c r="E212" s="117" t="n"/>
      <c r="F212" s="117" t="n"/>
      <c r="G212" s="117" t="n"/>
      <c r="H212" s="117" t="n"/>
      <c r="I212" s="117" t="n"/>
      <c r="J212" s="117" t="n"/>
      <c r="K212" s="117" t="n">
        <v>0.15</v>
      </c>
      <c r="L212" s="117" t="n"/>
      <c r="M212" s="117" t="n"/>
      <c r="N212" s="117" t="n"/>
      <c r="O212" s="117" t="n"/>
      <c r="P212" s="117" t="n"/>
      <c r="Q212" s="117" t="n"/>
      <c r="R212" s="117" t="n"/>
      <c r="S212" s="117" t="n"/>
      <c r="T212" s="117" t="n"/>
      <c r="U212" s="117" t="n"/>
      <c r="V212" s="117" t="n"/>
      <c r="W212" s="117" t="n"/>
      <c r="X212" s="117" t="n">
        <v>0.08</v>
      </c>
      <c r="Y212" s="117" t="n">
        <v>4</v>
      </c>
      <c r="Z212" s="121" t="n"/>
      <c r="AA212" s="121" t="n"/>
      <c r="AB212" s="121" t="n"/>
      <c r="AC212" s="121" t="n"/>
      <c r="AD212" s="121" t="n"/>
      <c r="AE212" s="121" t="n"/>
      <c r="AF212" s="121" t="n"/>
      <c r="AG212" s="121" t="n"/>
      <c r="AH212" s="121" t="n"/>
      <c r="AI212" s="121" t="n"/>
      <c r="AJ212" s="121" t="n"/>
    </row>
    <row r="213" ht="14.25" customHeight="1" s="142">
      <c r="A213" s="117">
        <f>A100+4</f>
        <v/>
      </c>
      <c r="B213" s="117" t="n">
        <v>650</v>
      </c>
      <c r="C213" s="117" t="n"/>
      <c r="D213" s="117" t="n"/>
      <c r="E213" s="117" t="n"/>
      <c r="F213" s="117" t="n"/>
      <c r="G213" s="117" t="n"/>
      <c r="H213" s="117" t="n"/>
      <c r="I213" s="117" t="n"/>
      <c r="J213" s="117" t="n"/>
      <c r="K213" s="117" t="n"/>
      <c r="L213" s="117" t="n"/>
      <c r="M213" s="117" t="n"/>
      <c r="N213" s="117" t="n">
        <v>0.01</v>
      </c>
      <c r="O213" s="117" t="n"/>
      <c r="P213" s="117" t="n"/>
      <c r="Q213" s="117" t="n"/>
      <c r="R213" s="117" t="n"/>
      <c r="S213" s="117" t="n"/>
      <c r="T213" s="117" t="n"/>
      <c r="U213" s="117" t="n"/>
      <c r="V213" s="117" t="n"/>
      <c r="W213" s="117" t="n"/>
      <c r="X213" s="117" t="n">
        <v>0.08</v>
      </c>
      <c r="Y213" s="117" t="n">
        <v>1</v>
      </c>
      <c r="Z213" s="121" t="n"/>
      <c r="AA213" s="121" t="n"/>
      <c r="AB213" s="121" t="n"/>
      <c r="AC213" s="121" t="n"/>
      <c r="AD213" s="121" t="n"/>
      <c r="AE213" s="121" t="n"/>
      <c r="AF213" s="121" t="n"/>
      <c r="AG213" s="121" t="n"/>
      <c r="AH213" s="121" t="n"/>
      <c r="AI213" s="121" t="n"/>
      <c r="AJ213" s="121" t="n"/>
    </row>
    <row r="214" ht="14.25" customHeight="1" s="142">
      <c r="A214" s="117">
        <f>A101+4</f>
        <v/>
      </c>
      <c r="B214" s="117" t="n">
        <v>150</v>
      </c>
      <c r="C214" s="117" t="n"/>
      <c r="D214" s="117" t="n"/>
      <c r="E214" s="117" t="n"/>
      <c r="F214" s="117" t="n"/>
      <c r="G214" s="117" t="n"/>
      <c r="H214" s="117" t="n"/>
      <c r="I214" s="117" t="n"/>
      <c r="J214" s="117" t="n"/>
      <c r="K214" s="117" t="n"/>
      <c r="L214" s="117" t="n"/>
      <c r="M214" s="117" t="n"/>
      <c r="N214" s="117" t="n">
        <v>0.03</v>
      </c>
      <c r="O214" s="117" t="n"/>
      <c r="P214" s="117" t="n"/>
      <c r="Q214" s="117" t="n"/>
      <c r="R214" s="117" t="n"/>
      <c r="S214" s="117" t="n"/>
      <c r="T214" s="117" t="n"/>
      <c r="U214" s="117" t="n"/>
      <c r="V214" s="117" t="n"/>
      <c r="W214" s="117" t="n"/>
      <c r="X214" s="117" t="n">
        <v>0.08</v>
      </c>
      <c r="Y214" s="117" t="n">
        <v>1</v>
      </c>
      <c r="Z214" s="121" t="n"/>
      <c r="AA214" s="121" t="n"/>
      <c r="AB214" s="121" t="n"/>
      <c r="AC214" s="121" t="n"/>
      <c r="AD214" s="121" t="n"/>
      <c r="AE214" s="121" t="n"/>
      <c r="AF214" s="121" t="n"/>
      <c r="AG214" s="121" t="n"/>
      <c r="AH214" s="121" t="n"/>
      <c r="AI214" s="121" t="n"/>
      <c r="AJ214" s="121" t="n"/>
    </row>
    <row r="215" ht="14.25" customHeight="1" s="142">
      <c r="A215" s="117">
        <f>A102+4</f>
        <v/>
      </c>
      <c r="B215" s="117" t="n">
        <v>35</v>
      </c>
      <c r="C215" s="117" t="n"/>
      <c r="D215" s="117" t="n"/>
      <c r="E215" s="117" t="n"/>
      <c r="F215" s="117" t="n"/>
      <c r="G215" s="117" t="n"/>
      <c r="H215" s="117" t="n"/>
      <c r="I215" s="117" t="n"/>
      <c r="J215" s="117" t="n"/>
      <c r="K215" s="117" t="n"/>
      <c r="L215" s="117" t="n"/>
      <c r="M215" s="117" t="n"/>
      <c r="N215" s="117" t="n">
        <v>0.05</v>
      </c>
      <c r="O215" s="117" t="n"/>
      <c r="P215" s="117" t="n"/>
      <c r="Q215" s="117" t="n"/>
      <c r="R215" s="117" t="n"/>
      <c r="S215" s="117" t="n"/>
      <c r="T215" s="117" t="n"/>
      <c r="U215" s="117" t="n"/>
      <c r="V215" s="117" t="n"/>
      <c r="W215" s="117" t="n"/>
      <c r="X215" s="117" t="n">
        <v>0.08</v>
      </c>
      <c r="Y215" s="117" t="n">
        <v>2</v>
      </c>
      <c r="Z215" s="121" t="n"/>
      <c r="AA215" s="121" t="n"/>
      <c r="AB215" s="121" t="n"/>
      <c r="AC215" s="121" t="n"/>
      <c r="AD215" s="121" t="n"/>
      <c r="AE215" s="121" t="n"/>
      <c r="AF215" s="121" t="n"/>
      <c r="AG215" s="121" t="n"/>
      <c r="AH215" s="121" t="n"/>
      <c r="AI215" s="121" t="n"/>
      <c r="AJ215" s="121" t="n"/>
    </row>
    <row r="216" ht="14.25" customHeight="1" s="142">
      <c r="A216" s="117">
        <f>A103+4</f>
        <v/>
      </c>
      <c r="B216" s="117" t="n">
        <v>10</v>
      </c>
      <c r="C216" s="117" t="n"/>
      <c r="D216" s="117" t="n"/>
      <c r="E216" s="117" t="n"/>
      <c r="F216" s="117" t="n"/>
      <c r="G216" s="117" t="n"/>
      <c r="H216" s="117" t="n"/>
      <c r="I216" s="117" t="n"/>
      <c r="J216" s="117" t="n"/>
      <c r="K216" s="117" t="n"/>
      <c r="L216" s="117" t="n"/>
      <c r="M216" s="117" t="n"/>
      <c r="N216" s="117" t="n">
        <v>0.09</v>
      </c>
      <c r="O216" s="117" t="n"/>
      <c r="P216" s="117" t="n"/>
      <c r="Q216" s="117" t="n"/>
      <c r="R216" s="117" t="n"/>
      <c r="S216" s="117" t="n"/>
      <c r="T216" s="117" t="n"/>
      <c r="U216" s="117" t="n"/>
      <c r="V216" s="117" t="n"/>
      <c r="W216" s="117" t="n"/>
      <c r="X216" s="117" t="n">
        <v>0.08</v>
      </c>
      <c r="Y216" s="117" t="n">
        <v>3</v>
      </c>
      <c r="Z216" s="121" t="n"/>
      <c r="AA216" s="121" t="n"/>
      <c r="AB216" s="121" t="n"/>
      <c r="AC216" s="121" t="n"/>
      <c r="AD216" s="121" t="n"/>
      <c r="AE216" s="121" t="n"/>
      <c r="AF216" s="121" t="n"/>
      <c r="AG216" s="121" t="n"/>
      <c r="AH216" s="121" t="n"/>
      <c r="AI216" s="121" t="n"/>
      <c r="AJ216" s="121" t="n"/>
    </row>
    <row r="217" ht="14.25" customHeight="1" s="142">
      <c r="A217" s="117">
        <f>A104+4</f>
        <v/>
      </c>
      <c r="B217" s="117" t="n">
        <v>5</v>
      </c>
      <c r="C217" s="117" t="n"/>
      <c r="D217" s="117" t="n"/>
      <c r="E217" s="117" t="n"/>
      <c r="F217" s="117" t="n"/>
      <c r="G217" s="117" t="n"/>
      <c r="H217" s="117" t="n"/>
      <c r="I217" s="117" t="n"/>
      <c r="J217" s="117" t="n"/>
      <c r="K217" s="117" t="n"/>
      <c r="L217" s="117" t="n"/>
      <c r="M217" s="117" t="n"/>
      <c r="N217" s="117" t="n">
        <v>0.15</v>
      </c>
      <c r="O217" s="117" t="n"/>
      <c r="P217" s="117" t="n"/>
      <c r="Q217" s="117" t="n"/>
      <c r="R217" s="117" t="n"/>
      <c r="S217" s="117" t="n"/>
      <c r="T217" s="117" t="n"/>
      <c r="U217" s="117" t="n"/>
      <c r="V217" s="117" t="n"/>
      <c r="W217" s="117" t="n"/>
      <c r="X217" s="117" t="n">
        <v>0.08</v>
      </c>
      <c r="Y217" s="117" t="n">
        <v>4</v>
      </c>
      <c r="Z217" s="121" t="n"/>
      <c r="AA217" s="121" t="n"/>
      <c r="AB217" s="121" t="n"/>
      <c r="AC217" s="121" t="n"/>
      <c r="AD217" s="121" t="n"/>
      <c r="AE217" s="121" t="n"/>
      <c r="AF217" s="121" t="n"/>
      <c r="AG217" s="121" t="n"/>
      <c r="AH217" s="121" t="n"/>
      <c r="AI217" s="121" t="n"/>
      <c r="AJ217" s="121" t="n"/>
    </row>
    <row r="218" ht="14.25" customHeight="1" s="142">
      <c r="A218" s="117">
        <f>A105+4</f>
        <v/>
      </c>
      <c r="B218" s="117" t="n">
        <v>650</v>
      </c>
      <c r="C218" s="117" t="n"/>
      <c r="D218" s="117" t="n"/>
      <c r="E218" s="117" t="n"/>
      <c r="F218" s="117" t="n"/>
      <c r="G218" s="117" t="n"/>
      <c r="H218" s="117" t="n"/>
      <c r="I218" s="117" t="n"/>
      <c r="J218" s="117" t="n"/>
      <c r="K218" s="117" t="n"/>
      <c r="L218" s="117" t="n"/>
      <c r="M218" s="117" t="n"/>
      <c r="N218" s="117" t="n"/>
      <c r="O218" s="117" t="n"/>
      <c r="P218" s="117" t="n"/>
      <c r="Q218" s="117" t="n">
        <v>0.01</v>
      </c>
      <c r="R218" s="117" t="n"/>
      <c r="S218" s="117" t="n"/>
      <c r="T218" s="117" t="n"/>
      <c r="U218" s="117" t="n"/>
      <c r="V218" s="117" t="n"/>
      <c r="W218" s="117" t="n"/>
      <c r="X218" s="117" t="n">
        <v>0.08</v>
      </c>
      <c r="Y218" s="117" t="n">
        <v>1</v>
      </c>
      <c r="Z218" s="121" t="n"/>
      <c r="AA218" s="121" t="n"/>
      <c r="AB218" s="121" t="n"/>
      <c r="AC218" s="121" t="n"/>
      <c r="AD218" s="121" t="n"/>
      <c r="AE218" s="121" t="n"/>
      <c r="AF218" s="121" t="n"/>
      <c r="AG218" s="121" t="n"/>
      <c r="AH218" s="121" t="n"/>
      <c r="AI218" s="121" t="n"/>
      <c r="AJ218" s="121" t="n"/>
    </row>
    <row r="219" ht="14.25" customHeight="1" s="142">
      <c r="A219" s="117">
        <f>A106+4</f>
        <v/>
      </c>
      <c r="B219" s="117" t="n">
        <v>150</v>
      </c>
      <c r="C219" s="117" t="n"/>
      <c r="D219" s="117" t="n"/>
      <c r="E219" s="117" t="n"/>
      <c r="F219" s="117" t="n"/>
      <c r="G219" s="117" t="n"/>
      <c r="H219" s="117" t="n"/>
      <c r="I219" s="117" t="n"/>
      <c r="J219" s="117" t="n"/>
      <c r="K219" s="117" t="n"/>
      <c r="L219" s="117" t="n"/>
      <c r="M219" s="117" t="n"/>
      <c r="N219" s="117" t="n"/>
      <c r="O219" s="117" t="n"/>
      <c r="P219" s="117" t="n"/>
      <c r="Q219" s="117" t="n">
        <v>0.03</v>
      </c>
      <c r="R219" s="117" t="n"/>
      <c r="S219" s="117" t="n"/>
      <c r="T219" s="117" t="n"/>
      <c r="U219" s="117" t="n"/>
      <c r="V219" s="117" t="n"/>
      <c r="W219" s="117" t="n"/>
      <c r="X219" s="117" t="n">
        <v>0.08</v>
      </c>
      <c r="Y219" s="117" t="n">
        <v>1</v>
      </c>
      <c r="Z219" s="121" t="n"/>
      <c r="AA219" s="121" t="n"/>
      <c r="AB219" s="121" t="n"/>
      <c r="AC219" s="121" t="n"/>
      <c r="AD219" s="121" t="n"/>
      <c r="AE219" s="121" t="n"/>
      <c r="AF219" s="121" t="n"/>
      <c r="AG219" s="121" t="n"/>
      <c r="AH219" s="121" t="n"/>
      <c r="AI219" s="121" t="n"/>
      <c r="AJ219" s="121" t="n"/>
    </row>
    <row r="220" ht="14.25" customHeight="1" s="142">
      <c r="A220" s="117">
        <f>A107+4</f>
        <v/>
      </c>
      <c r="B220" s="117" t="n">
        <v>35</v>
      </c>
      <c r="C220" s="117" t="n"/>
      <c r="D220" s="117" t="n"/>
      <c r="E220" s="117" t="n"/>
      <c r="F220" s="117" t="n"/>
      <c r="G220" s="117" t="n"/>
      <c r="H220" s="117" t="n"/>
      <c r="I220" s="117" t="n"/>
      <c r="J220" s="117" t="n"/>
      <c r="K220" s="117" t="n"/>
      <c r="L220" s="117" t="n"/>
      <c r="M220" s="117" t="n"/>
      <c r="N220" s="117" t="n"/>
      <c r="O220" s="117" t="n"/>
      <c r="P220" s="117" t="n"/>
      <c r="Q220" s="117" t="n">
        <v>0.05</v>
      </c>
      <c r="R220" s="117" t="n"/>
      <c r="S220" s="117" t="n"/>
      <c r="T220" s="117" t="n"/>
      <c r="U220" s="117" t="n"/>
      <c r="V220" s="117" t="n"/>
      <c r="W220" s="117" t="n"/>
      <c r="X220" s="117" t="n">
        <v>0.08</v>
      </c>
      <c r="Y220" s="117" t="n">
        <v>2</v>
      </c>
      <c r="Z220" s="121" t="n"/>
      <c r="AA220" s="121" t="n"/>
      <c r="AB220" s="121" t="n"/>
      <c r="AC220" s="121" t="n"/>
      <c r="AD220" s="121" t="n"/>
      <c r="AE220" s="121" t="n"/>
      <c r="AF220" s="121" t="n"/>
      <c r="AG220" s="121" t="n"/>
      <c r="AH220" s="121" t="n"/>
      <c r="AI220" s="121" t="n"/>
      <c r="AJ220" s="121" t="n"/>
    </row>
    <row r="221" ht="14.25" customHeight="1" s="142">
      <c r="A221" s="117">
        <f>A108+4</f>
        <v/>
      </c>
      <c r="B221" s="117" t="n">
        <v>10</v>
      </c>
      <c r="C221" s="117" t="n"/>
      <c r="D221" s="117" t="n"/>
      <c r="E221" s="117" t="n"/>
      <c r="F221" s="117" t="n"/>
      <c r="G221" s="117" t="n"/>
      <c r="H221" s="117" t="n"/>
      <c r="I221" s="117" t="n"/>
      <c r="J221" s="117" t="n"/>
      <c r="K221" s="117" t="n"/>
      <c r="L221" s="117" t="n"/>
      <c r="M221" s="117" t="n"/>
      <c r="N221" s="117" t="n"/>
      <c r="O221" s="117" t="n"/>
      <c r="P221" s="117" t="n"/>
      <c r="Q221" s="117" t="n">
        <v>0.09</v>
      </c>
      <c r="R221" s="117" t="n"/>
      <c r="S221" s="117" t="n"/>
      <c r="T221" s="117" t="n"/>
      <c r="U221" s="117" t="n"/>
      <c r="V221" s="117" t="n"/>
      <c r="W221" s="117" t="n"/>
      <c r="X221" s="117" t="n">
        <v>0.08</v>
      </c>
      <c r="Y221" s="117" t="n">
        <v>3</v>
      </c>
      <c r="Z221" s="121" t="n"/>
      <c r="AA221" s="121" t="n"/>
      <c r="AB221" s="121" t="n"/>
      <c r="AC221" s="121" t="n"/>
      <c r="AD221" s="121" t="n"/>
      <c r="AE221" s="121" t="n"/>
      <c r="AF221" s="121" t="n"/>
      <c r="AG221" s="121" t="n"/>
      <c r="AH221" s="121" t="n"/>
      <c r="AI221" s="121" t="n"/>
      <c r="AJ221" s="121" t="n"/>
    </row>
    <row r="222" ht="14.25" customHeight="1" s="142">
      <c r="A222" s="117">
        <f>A109+4</f>
        <v/>
      </c>
      <c r="B222" s="117" t="n">
        <v>5</v>
      </c>
      <c r="C222" s="117" t="n"/>
      <c r="D222" s="117" t="n"/>
      <c r="E222" s="117" t="n"/>
      <c r="F222" s="117" t="n"/>
      <c r="G222" s="117" t="n"/>
      <c r="H222" s="117" t="n"/>
      <c r="I222" s="117" t="n"/>
      <c r="J222" s="117" t="n"/>
      <c r="K222" s="117" t="n"/>
      <c r="L222" s="117" t="n"/>
      <c r="M222" s="117" t="n"/>
      <c r="N222" s="117" t="n"/>
      <c r="O222" s="117" t="n"/>
      <c r="P222" s="117" t="n"/>
      <c r="Q222" s="117" t="n">
        <v>0.15</v>
      </c>
      <c r="R222" s="117" t="n"/>
      <c r="S222" s="117" t="n"/>
      <c r="T222" s="117" t="n"/>
      <c r="U222" s="117" t="n"/>
      <c r="V222" s="117" t="n"/>
      <c r="W222" s="117" t="n"/>
      <c r="X222" s="117" t="n">
        <v>0.08</v>
      </c>
      <c r="Y222" s="117" t="n">
        <v>4</v>
      </c>
      <c r="Z222" s="121" t="n"/>
      <c r="AA222" s="121" t="n"/>
      <c r="AB222" s="121" t="n"/>
      <c r="AC222" s="121" t="n"/>
      <c r="AD222" s="121" t="n"/>
      <c r="AE222" s="121" t="n"/>
      <c r="AF222" s="121" t="n"/>
      <c r="AG222" s="121" t="n"/>
      <c r="AH222" s="121" t="n"/>
      <c r="AI222" s="121" t="n"/>
      <c r="AJ222" s="121" t="n"/>
    </row>
    <row r="223" ht="14.25" customHeight="1" s="142">
      <c r="A223" s="117">
        <f>A110+4</f>
        <v/>
      </c>
      <c r="B223" s="117" t="n">
        <v>650</v>
      </c>
      <c r="C223" s="117" t="n"/>
      <c r="D223" s="117" t="n"/>
      <c r="E223" s="117" t="n"/>
      <c r="F223" s="117" t="n"/>
      <c r="G223" s="117" t="n"/>
      <c r="H223" s="117" t="n"/>
      <c r="I223" s="117" t="n"/>
      <c r="J223" s="117" t="n"/>
      <c r="K223" s="117" t="n"/>
      <c r="L223" s="117" t="n">
        <v>0.01</v>
      </c>
      <c r="M223" s="117" t="n"/>
      <c r="N223" s="117" t="n"/>
      <c r="O223" s="117" t="n"/>
      <c r="P223" s="117" t="n"/>
      <c r="Q223" s="117" t="n"/>
      <c r="R223" s="117" t="n"/>
      <c r="S223" s="117" t="n"/>
      <c r="T223" s="117" t="n"/>
      <c r="U223" s="117" t="n"/>
      <c r="V223" s="117" t="n"/>
      <c r="W223" s="117" t="n"/>
      <c r="X223" s="117" t="n">
        <v>0.08</v>
      </c>
      <c r="Y223" s="117" t="n">
        <v>1</v>
      </c>
      <c r="Z223" s="121" t="n"/>
      <c r="AA223" s="121" t="n"/>
      <c r="AB223" s="121" t="n"/>
      <c r="AC223" s="121" t="n"/>
      <c r="AD223" s="121" t="n"/>
      <c r="AE223" s="121" t="n"/>
      <c r="AF223" s="121" t="n"/>
      <c r="AG223" s="121" t="n"/>
      <c r="AH223" s="121" t="n"/>
      <c r="AI223" s="121" t="n"/>
      <c r="AJ223" s="121" t="n"/>
    </row>
    <row r="224" ht="14.25" customHeight="1" s="142">
      <c r="A224" s="117">
        <f>A111+4</f>
        <v/>
      </c>
      <c r="B224" s="117" t="n">
        <v>150</v>
      </c>
      <c r="C224" s="117" t="n"/>
      <c r="D224" s="117" t="n"/>
      <c r="E224" s="117" t="n"/>
      <c r="F224" s="117" t="n"/>
      <c r="G224" s="117" t="n"/>
      <c r="H224" s="117" t="n"/>
      <c r="I224" s="117" t="n"/>
      <c r="J224" s="117" t="n"/>
      <c r="K224" s="117" t="n"/>
      <c r="L224" s="117" t="n">
        <v>0.03</v>
      </c>
      <c r="M224" s="117" t="n"/>
      <c r="N224" s="117" t="n"/>
      <c r="O224" s="117" t="n"/>
      <c r="P224" s="117" t="n"/>
      <c r="Q224" s="117" t="n"/>
      <c r="R224" s="117" t="n"/>
      <c r="S224" s="117" t="n"/>
      <c r="T224" s="117" t="n"/>
      <c r="U224" s="117" t="n"/>
      <c r="V224" s="117" t="n"/>
      <c r="W224" s="117" t="n"/>
      <c r="X224" s="117" t="n">
        <v>0.08</v>
      </c>
      <c r="Y224" s="117" t="n">
        <v>1</v>
      </c>
      <c r="Z224" s="121" t="n"/>
      <c r="AA224" s="121" t="n"/>
      <c r="AB224" s="121" t="n"/>
      <c r="AC224" s="121" t="n"/>
      <c r="AD224" s="121" t="n"/>
      <c r="AE224" s="121" t="n"/>
      <c r="AF224" s="121" t="n"/>
      <c r="AG224" s="121" t="n"/>
      <c r="AH224" s="121" t="n"/>
      <c r="AI224" s="121" t="n"/>
      <c r="AJ224" s="121" t="n"/>
    </row>
    <row r="225" ht="14.25" customHeight="1" s="142">
      <c r="A225" s="117">
        <f>A112+4</f>
        <v/>
      </c>
      <c r="B225" s="117" t="n">
        <v>35</v>
      </c>
      <c r="C225" s="117" t="n"/>
      <c r="D225" s="117" t="n"/>
      <c r="E225" s="117" t="n"/>
      <c r="F225" s="117" t="n"/>
      <c r="G225" s="117" t="n"/>
      <c r="H225" s="117" t="n"/>
      <c r="I225" s="117" t="n"/>
      <c r="J225" s="117" t="n"/>
      <c r="K225" s="117" t="n"/>
      <c r="L225" s="117" t="n">
        <v>0.05</v>
      </c>
      <c r="M225" s="117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>
        <v>0.08</v>
      </c>
      <c r="Y225" s="117" t="n">
        <v>2</v>
      </c>
      <c r="Z225" s="121" t="n"/>
      <c r="AA225" s="121" t="n"/>
      <c r="AB225" s="121" t="n"/>
      <c r="AC225" s="121" t="n"/>
      <c r="AD225" s="121" t="n"/>
      <c r="AE225" s="121" t="n"/>
      <c r="AF225" s="121" t="n"/>
      <c r="AG225" s="121" t="n"/>
      <c r="AH225" s="121" t="n"/>
      <c r="AI225" s="121" t="n"/>
      <c r="AJ225" s="121" t="n"/>
    </row>
    <row r="226" ht="14.25" customHeight="1" s="142">
      <c r="A226" s="117">
        <f>A113+4</f>
        <v/>
      </c>
      <c r="B226" s="117" t="n">
        <v>10</v>
      </c>
      <c r="C226" s="117" t="n"/>
      <c r="D226" s="117" t="n"/>
      <c r="E226" s="117" t="n"/>
      <c r="F226" s="117" t="n"/>
      <c r="G226" s="117" t="n"/>
      <c r="H226" s="117" t="n"/>
      <c r="I226" s="117" t="n"/>
      <c r="J226" s="117" t="n"/>
      <c r="K226" s="117" t="n"/>
      <c r="L226" s="117" t="n">
        <v>0.09</v>
      </c>
      <c r="M226" s="117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>
        <v>0.08</v>
      </c>
      <c r="Y226" s="117" t="n">
        <v>3</v>
      </c>
      <c r="Z226" s="121" t="n"/>
      <c r="AA226" s="121" t="n"/>
      <c r="AB226" s="121" t="n"/>
      <c r="AC226" s="121" t="n"/>
      <c r="AD226" s="121" t="n"/>
      <c r="AE226" s="121" t="n"/>
      <c r="AF226" s="121" t="n"/>
      <c r="AG226" s="121" t="n"/>
      <c r="AH226" s="121" t="n"/>
      <c r="AI226" s="121" t="n"/>
      <c r="AJ226" s="121" t="n"/>
    </row>
    <row r="227" ht="14.25" customHeight="1" s="142">
      <c r="A227" s="117">
        <f>A114+4</f>
        <v/>
      </c>
      <c r="B227" s="117" t="n">
        <v>5</v>
      </c>
      <c r="C227" s="117" t="n"/>
      <c r="D227" s="117" t="n"/>
      <c r="E227" s="117" t="n"/>
      <c r="F227" s="117" t="n"/>
      <c r="G227" s="117" t="n"/>
      <c r="H227" s="117" t="n"/>
      <c r="I227" s="117" t="n"/>
      <c r="J227" s="117" t="n"/>
      <c r="K227" s="117" t="n"/>
      <c r="L227" s="117" t="n">
        <v>0.15</v>
      </c>
      <c r="M227" s="117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>
        <v>0.08</v>
      </c>
      <c r="Y227" s="117" t="n">
        <v>4</v>
      </c>
      <c r="Z227" s="121" t="n"/>
      <c r="AA227" s="121" t="n"/>
      <c r="AB227" s="121" t="n"/>
      <c r="AC227" s="121" t="n"/>
      <c r="AD227" s="121" t="n"/>
      <c r="AE227" s="121" t="n"/>
      <c r="AF227" s="121" t="n"/>
      <c r="AG227" s="121" t="n"/>
      <c r="AH227" s="121" t="n"/>
      <c r="AI227" s="121" t="n"/>
      <c r="AJ227" s="121" t="n"/>
    </row>
    <row r="228" ht="14.25" customHeight="1" s="142">
      <c r="A228" s="115" t="n">
        <v>209</v>
      </c>
      <c r="B228" s="115" t="n">
        <v>950</v>
      </c>
      <c r="C228" s="115" t="n">
        <v>65</v>
      </c>
      <c r="D228" s="115" t="n"/>
      <c r="E228" s="115" t="n"/>
      <c r="F228" s="115" t="n"/>
      <c r="G228" s="115" t="n"/>
      <c r="H228" s="115" t="n"/>
      <c r="I228" s="115" t="n"/>
      <c r="J228" s="115" t="n"/>
      <c r="K228" s="115" t="n"/>
      <c r="L228" s="115" t="n"/>
      <c r="M228" s="115" t="n"/>
      <c r="N228" s="115" t="n"/>
      <c r="O228" s="115" t="n"/>
      <c r="P228" s="115" t="n"/>
      <c r="Q228" s="115" t="n"/>
      <c r="R228" s="115" t="n"/>
      <c r="S228" s="115" t="n"/>
      <c r="T228" s="115" t="n"/>
      <c r="U228" s="115" t="n"/>
      <c r="V228" s="115" t="n"/>
      <c r="W228" s="115" t="n"/>
      <c r="X228" s="115" t="n">
        <v>0.15</v>
      </c>
      <c r="Y228" s="115" t="n">
        <v>1</v>
      </c>
    </row>
    <row r="229" ht="14.25" customHeight="1" s="142">
      <c r="A229" s="115" t="n">
        <v>209</v>
      </c>
      <c r="B229" s="115" t="n">
        <v>200</v>
      </c>
      <c r="C229" s="115" t="n">
        <v>115</v>
      </c>
      <c r="D229" s="115" t="n"/>
      <c r="E229" s="115" t="n"/>
      <c r="F229" s="115" t="n"/>
      <c r="G229" s="115" t="n"/>
      <c r="H229" s="115" t="n"/>
      <c r="I229" s="115" t="n"/>
      <c r="J229" s="115" t="n"/>
      <c r="K229" s="115" t="n"/>
      <c r="L229" s="115" t="n"/>
      <c r="M229" s="115" t="n"/>
      <c r="N229" s="115" t="n"/>
      <c r="O229" s="115" t="n"/>
      <c r="P229" s="115" t="n"/>
      <c r="Q229" s="115" t="n"/>
      <c r="R229" s="115" t="n"/>
      <c r="S229" s="115" t="n"/>
      <c r="T229" s="115" t="n"/>
      <c r="U229" s="115" t="n"/>
      <c r="V229" s="115" t="n"/>
      <c r="W229" s="115" t="n"/>
      <c r="X229" s="115" t="n">
        <v>0.15</v>
      </c>
      <c r="Y229" s="115" t="n">
        <v>1</v>
      </c>
    </row>
    <row r="230" ht="14.25" customHeight="1" s="142">
      <c r="A230" s="115" t="n">
        <v>209</v>
      </c>
      <c r="B230" s="115" t="n">
        <v>75</v>
      </c>
      <c r="C230" s="115" t="n">
        <v>210</v>
      </c>
      <c r="D230" s="115" t="n"/>
      <c r="E230" s="115" t="n"/>
      <c r="F230" s="115" t="n"/>
      <c r="G230" s="115" t="n"/>
      <c r="H230" s="115" t="n"/>
      <c r="I230" s="115" t="n"/>
      <c r="J230" s="115" t="n"/>
      <c r="K230" s="115" t="n"/>
      <c r="L230" s="115" t="n"/>
      <c r="M230" s="115" t="n"/>
      <c r="N230" s="115" t="n"/>
      <c r="O230" s="115" t="n"/>
      <c r="P230" s="115" t="n"/>
      <c r="Q230" s="115" t="n"/>
      <c r="R230" s="115" t="n"/>
      <c r="S230" s="115" t="n"/>
      <c r="T230" s="115" t="n"/>
      <c r="U230" s="115" t="n"/>
      <c r="V230" s="115" t="n"/>
      <c r="W230" s="115" t="n"/>
      <c r="X230" s="115" t="n">
        <v>0.15</v>
      </c>
      <c r="Y230" s="115" t="n">
        <v>2</v>
      </c>
    </row>
    <row r="231" ht="14.25" customHeight="1" s="142">
      <c r="A231" s="115" t="n">
        <v>209</v>
      </c>
      <c r="B231" s="115" t="n">
        <v>20</v>
      </c>
      <c r="C231" s="115" t="n">
        <v>400</v>
      </c>
      <c r="D231" s="115" t="n"/>
      <c r="E231" s="115" t="n"/>
      <c r="F231" s="115" t="n"/>
      <c r="G231" s="115" t="n"/>
      <c r="H231" s="115" t="n"/>
      <c r="I231" s="115" t="n"/>
      <c r="J231" s="115" t="n"/>
      <c r="K231" s="115" t="n"/>
      <c r="L231" s="115" t="n"/>
      <c r="M231" s="115" t="n"/>
      <c r="N231" s="115" t="n"/>
      <c r="O231" s="115" t="n"/>
      <c r="P231" s="115" t="n"/>
      <c r="Q231" s="115" t="n"/>
      <c r="R231" s="115" t="n"/>
      <c r="S231" s="115" t="n"/>
      <c r="T231" s="115" t="n"/>
      <c r="U231" s="115" t="n"/>
      <c r="V231" s="115" t="n"/>
      <c r="W231" s="115" t="n"/>
      <c r="X231" s="115" t="n">
        <v>0.15</v>
      </c>
      <c r="Y231" s="115" t="n">
        <v>3</v>
      </c>
    </row>
    <row r="232" ht="14.25" customHeight="1" s="142">
      <c r="A232" s="115" t="n">
        <v>209</v>
      </c>
      <c r="B232" s="115" t="n">
        <v>5</v>
      </c>
      <c r="C232" s="115" t="n">
        <v>730</v>
      </c>
      <c r="D232" s="115" t="n"/>
      <c r="E232" s="115" t="n"/>
      <c r="F232" s="115" t="n"/>
      <c r="G232" s="115" t="n"/>
      <c r="H232" s="115" t="n"/>
      <c r="I232" s="115" t="n"/>
      <c r="J232" s="115" t="n"/>
      <c r="K232" s="115" t="n"/>
      <c r="L232" s="115" t="n"/>
      <c r="M232" s="115" t="n"/>
      <c r="N232" s="115" t="n"/>
      <c r="O232" s="115" t="n"/>
      <c r="P232" s="115" t="n"/>
      <c r="Q232" s="115" t="n"/>
      <c r="R232" s="115" t="n"/>
      <c r="S232" s="115" t="n"/>
      <c r="T232" s="115" t="n"/>
      <c r="U232" s="115" t="n"/>
      <c r="V232" s="115" t="n"/>
      <c r="W232" s="115" t="n"/>
      <c r="X232" s="115" t="n">
        <v>0.15</v>
      </c>
      <c r="Y232" s="115" t="n">
        <v>4</v>
      </c>
    </row>
    <row r="233" ht="14.25" customHeight="1" s="142">
      <c r="A233" s="115" t="n">
        <v>209</v>
      </c>
      <c r="B233" s="115" t="n">
        <v>1900</v>
      </c>
      <c r="C233" s="115" t="n"/>
      <c r="D233" s="115" t="n"/>
      <c r="E233" s="115" t="n"/>
      <c r="F233" s="115" t="n">
        <v>6</v>
      </c>
      <c r="G233" s="115" t="n"/>
      <c r="H233" s="115" t="n"/>
      <c r="I233" s="115" t="n"/>
      <c r="J233" s="115" t="n"/>
      <c r="K233" s="115" t="n"/>
      <c r="L233" s="115" t="n"/>
      <c r="M233" s="115" t="n"/>
      <c r="N233" s="115" t="n"/>
      <c r="O233" s="115" t="n"/>
      <c r="P233" s="115" t="n"/>
      <c r="Q233" s="115" t="n"/>
      <c r="R233" s="115" t="n"/>
      <c r="S233" s="115" t="n"/>
      <c r="T233" s="115" t="n"/>
      <c r="U233" s="115" t="n"/>
      <c r="V233" s="115" t="n"/>
      <c r="W233" s="115" t="n"/>
      <c r="X233" s="115" t="n">
        <v>0.15</v>
      </c>
      <c r="Y233" s="115" t="n">
        <v>1</v>
      </c>
    </row>
    <row r="234" ht="14.25" customHeight="1" s="142">
      <c r="A234" s="115" t="n">
        <v>209</v>
      </c>
      <c r="B234" s="115" t="n">
        <v>400</v>
      </c>
      <c r="C234" s="115" t="n"/>
      <c r="D234" s="115" t="n"/>
      <c r="E234" s="115" t="n"/>
      <c r="F234" s="115" t="n">
        <v>10</v>
      </c>
      <c r="G234" s="115" t="n"/>
      <c r="H234" s="115" t="n"/>
      <c r="I234" s="115" t="n"/>
      <c r="J234" s="115" t="n"/>
      <c r="K234" s="115" t="n"/>
      <c r="L234" s="115" t="n"/>
      <c r="M234" s="115" t="n"/>
      <c r="N234" s="115" t="n"/>
      <c r="O234" s="115" t="n"/>
      <c r="P234" s="115" t="n"/>
      <c r="Q234" s="115" t="n"/>
      <c r="R234" s="115" t="n"/>
      <c r="S234" s="115" t="n"/>
      <c r="T234" s="115" t="n"/>
      <c r="U234" s="115" t="n"/>
      <c r="V234" s="115" t="n"/>
      <c r="W234" s="115" t="n"/>
      <c r="X234" s="115" t="n">
        <v>0.15</v>
      </c>
      <c r="Y234" s="115" t="n">
        <v>1</v>
      </c>
    </row>
    <row r="235" ht="14.25" customHeight="1" s="142">
      <c r="A235" s="115" t="n">
        <v>209</v>
      </c>
      <c r="B235" s="115" t="n">
        <v>150</v>
      </c>
      <c r="C235" s="115" t="n"/>
      <c r="D235" s="115" t="n"/>
      <c r="E235" s="115" t="n"/>
      <c r="F235" s="115" t="n">
        <v>16</v>
      </c>
      <c r="G235" s="115" t="n"/>
      <c r="H235" s="115" t="n"/>
      <c r="I235" s="115" t="n"/>
      <c r="J235" s="115" t="n"/>
      <c r="K235" s="115" t="n"/>
      <c r="L235" s="115" t="n"/>
      <c r="M235" s="115" t="n"/>
      <c r="N235" s="115" t="n"/>
      <c r="O235" s="115" t="n"/>
      <c r="P235" s="115" t="n"/>
      <c r="Q235" s="115" t="n"/>
      <c r="R235" s="115" t="n"/>
      <c r="S235" s="115" t="n"/>
      <c r="T235" s="115" t="n"/>
      <c r="U235" s="115" t="n"/>
      <c r="V235" s="115" t="n"/>
      <c r="W235" s="115" t="n"/>
      <c r="X235" s="115" t="n">
        <v>0.15</v>
      </c>
      <c r="Y235" s="115" t="n">
        <v>2</v>
      </c>
    </row>
    <row r="236" ht="14.25" customHeight="1" s="142">
      <c r="A236" s="115" t="n">
        <v>209</v>
      </c>
      <c r="B236" s="115" t="n">
        <v>40</v>
      </c>
      <c r="C236" s="115" t="n"/>
      <c r="D236" s="115" t="n"/>
      <c r="E236" s="115" t="n"/>
      <c r="F236" s="115" t="n">
        <v>24</v>
      </c>
      <c r="G236" s="115" t="n"/>
      <c r="H236" s="115" t="n"/>
      <c r="I236" s="115" t="n"/>
      <c r="J236" s="115" t="n"/>
      <c r="K236" s="115" t="n"/>
      <c r="L236" s="115" t="n"/>
      <c r="M236" s="115" t="n"/>
      <c r="N236" s="115" t="n"/>
      <c r="O236" s="115" t="n"/>
      <c r="P236" s="115" t="n"/>
      <c r="Q236" s="115" t="n"/>
      <c r="R236" s="115" t="n"/>
      <c r="S236" s="115" t="n"/>
      <c r="T236" s="115" t="n"/>
      <c r="U236" s="115" t="n"/>
      <c r="V236" s="115" t="n"/>
      <c r="W236" s="115" t="n"/>
      <c r="X236" s="115" t="n">
        <v>0.15</v>
      </c>
      <c r="Y236" s="115" t="n">
        <v>3</v>
      </c>
    </row>
    <row r="237" ht="14.25" customHeight="1" s="142">
      <c r="A237" s="115" t="n">
        <v>209</v>
      </c>
      <c r="B237" s="115" t="n">
        <v>10</v>
      </c>
      <c r="C237" s="115" t="n"/>
      <c r="D237" s="115" t="n"/>
      <c r="E237" s="115" t="n"/>
      <c r="F237" s="115" t="n">
        <v>57</v>
      </c>
      <c r="G237" s="115" t="n"/>
      <c r="H237" s="115" t="n"/>
      <c r="I237" s="115" t="n"/>
      <c r="J237" s="115" t="n"/>
      <c r="K237" s="115" t="n"/>
      <c r="L237" s="115" t="n"/>
      <c r="M237" s="115" t="n"/>
      <c r="N237" s="115" t="n"/>
      <c r="O237" s="115" t="n"/>
      <c r="P237" s="115" t="n"/>
      <c r="Q237" s="115" t="n"/>
      <c r="R237" s="115" t="n"/>
      <c r="S237" s="115" t="n"/>
      <c r="T237" s="115" t="n"/>
      <c r="U237" s="115" t="n"/>
      <c r="V237" s="115" t="n"/>
      <c r="W237" s="115" t="n"/>
      <c r="X237" s="115" t="n">
        <v>0.15</v>
      </c>
      <c r="Y237" s="115" t="n">
        <v>4</v>
      </c>
    </row>
    <row r="238" ht="14.25" customHeight="1" s="142">
      <c r="A238" s="115" t="n">
        <v>209</v>
      </c>
      <c r="B238" s="115" t="n">
        <v>1900</v>
      </c>
      <c r="C238" s="115" t="n"/>
      <c r="D238" s="115" t="n"/>
      <c r="E238" s="115" t="n"/>
      <c r="F238" s="115" t="n"/>
      <c r="G238" s="115" t="n">
        <v>9</v>
      </c>
      <c r="H238" s="115" t="n"/>
      <c r="I238" s="115" t="n"/>
      <c r="J238" s="115" t="n"/>
      <c r="K238" s="115" t="n"/>
      <c r="L238" s="115" t="n"/>
      <c r="M238" s="115" t="n"/>
      <c r="N238" s="115" t="n"/>
      <c r="O238" s="115" t="n"/>
      <c r="P238" s="115" t="n"/>
      <c r="Q238" s="115" t="n"/>
      <c r="R238" s="115" t="n"/>
      <c r="S238" s="115" t="n"/>
      <c r="T238" s="115" t="n"/>
      <c r="U238" s="115" t="n"/>
      <c r="V238" s="115" t="n"/>
      <c r="W238" s="115" t="n"/>
      <c r="X238" s="115" t="n">
        <v>0.15</v>
      </c>
      <c r="Y238" s="115" t="n">
        <v>1</v>
      </c>
    </row>
    <row r="239" ht="14.25" customHeight="1" s="142">
      <c r="A239" s="115" t="n">
        <v>209</v>
      </c>
      <c r="B239" s="115" t="n">
        <v>400</v>
      </c>
      <c r="C239" s="115" t="n"/>
      <c r="D239" s="115" t="n"/>
      <c r="E239" s="115" t="n"/>
      <c r="F239" s="115" t="n"/>
      <c r="G239" s="115" t="n">
        <v>13</v>
      </c>
      <c r="H239" s="115" t="n"/>
      <c r="I239" s="115" t="n"/>
      <c r="J239" s="115" t="n"/>
      <c r="K239" s="115" t="n"/>
      <c r="L239" s="115" t="n"/>
      <c r="M239" s="115" t="n"/>
      <c r="N239" s="115" t="n"/>
      <c r="O239" s="115" t="n"/>
      <c r="P239" s="115" t="n"/>
      <c r="Q239" s="115" t="n"/>
      <c r="R239" s="115" t="n"/>
      <c r="S239" s="115" t="n"/>
      <c r="T239" s="115" t="n"/>
      <c r="U239" s="115" t="n"/>
      <c r="V239" s="115" t="n"/>
      <c r="W239" s="115" t="n"/>
      <c r="X239" s="115" t="n">
        <v>0.15</v>
      </c>
      <c r="Y239" s="115" t="n">
        <v>1</v>
      </c>
    </row>
    <row r="240" ht="14.25" customHeight="1" s="142">
      <c r="A240" s="115" t="n">
        <v>209</v>
      </c>
      <c r="B240" s="115" t="n">
        <v>150</v>
      </c>
      <c r="C240" s="115" t="n"/>
      <c r="D240" s="115" t="n"/>
      <c r="E240" s="115" t="n"/>
      <c r="F240" s="115" t="n"/>
      <c r="G240" s="115" t="n">
        <v>22</v>
      </c>
      <c r="H240" s="115" t="n"/>
      <c r="I240" s="115" t="n"/>
      <c r="J240" s="115" t="n"/>
      <c r="K240" s="115" t="n"/>
      <c r="L240" s="115" t="n"/>
      <c r="M240" s="115" t="n"/>
      <c r="N240" s="115" t="n"/>
      <c r="O240" s="115" t="n"/>
      <c r="P240" s="115" t="n"/>
      <c r="Q240" s="115" t="n"/>
      <c r="R240" s="115" t="n"/>
      <c r="S240" s="115" t="n"/>
      <c r="T240" s="115" t="n"/>
      <c r="U240" s="115" t="n"/>
      <c r="V240" s="115" t="n"/>
      <c r="W240" s="115" t="n"/>
      <c r="X240" s="115" t="n">
        <v>0.15</v>
      </c>
      <c r="Y240" s="115" t="n">
        <v>2</v>
      </c>
    </row>
    <row r="241" ht="14.25" customHeight="1" s="142">
      <c r="A241" s="115" t="n">
        <v>209</v>
      </c>
      <c r="B241" s="115" t="n">
        <v>40</v>
      </c>
      <c r="C241" s="115" t="n"/>
      <c r="D241" s="115" t="n"/>
      <c r="E241" s="115" t="n"/>
      <c r="F241" s="115" t="n"/>
      <c r="G241" s="115" t="n">
        <v>42</v>
      </c>
      <c r="H241" s="115" t="n"/>
      <c r="I241" s="115" t="n"/>
      <c r="J241" s="115" t="n"/>
      <c r="K241" s="115" t="n"/>
      <c r="L241" s="115" t="n"/>
      <c r="M241" s="115" t="n"/>
      <c r="N241" s="115" t="n"/>
      <c r="O241" s="115" t="n"/>
      <c r="P241" s="115" t="n"/>
      <c r="Q241" s="115" t="n"/>
      <c r="R241" s="115" t="n"/>
      <c r="S241" s="115" t="n"/>
      <c r="T241" s="115" t="n"/>
      <c r="U241" s="115" t="n"/>
      <c r="V241" s="115" t="n"/>
      <c r="W241" s="115" t="n"/>
      <c r="X241" s="115" t="n">
        <v>0.15</v>
      </c>
      <c r="Y241" s="115" t="n">
        <v>3</v>
      </c>
    </row>
    <row r="242" ht="14.25" customHeight="1" s="142">
      <c r="A242" s="115" t="n">
        <v>209</v>
      </c>
      <c r="B242" s="115" t="n">
        <v>10</v>
      </c>
      <c r="C242" s="115" t="n"/>
      <c r="D242" s="115" t="n"/>
      <c r="E242" s="115" t="n"/>
      <c r="F242" s="115" t="n"/>
      <c r="G242" s="115" t="n">
        <v>72</v>
      </c>
      <c r="H242" s="115" t="n"/>
      <c r="I242" s="115" t="n"/>
      <c r="J242" s="115" t="n"/>
      <c r="K242" s="115" t="n"/>
      <c r="L242" s="115" t="n"/>
      <c r="M242" s="115" t="n"/>
      <c r="N242" s="115" t="n"/>
      <c r="O242" s="115" t="n"/>
      <c r="P242" s="115" t="n"/>
      <c r="Q242" s="115" t="n"/>
      <c r="R242" s="115" t="n"/>
      <c r="S242" s="115" t="n"/>
      <c r="T242" s="115" t="n"/>
      <c r="U242" s="115" t="n"/>
      <c r="V242" s="115" t="n"/>
      <c r="W242" s="115" t="n"/>
      <c r="X242" s="115" t="n">
        <v>0.15</v>
      </c>
      <c r="Y242" s="115" t="n">
        <v>4</v>
      </c>
    </row>
    <row r="243" ht="14.25" customHeight="1" s="142">
      <c r="A243" s="115" t="n">
        <v>209</v>
      </c>
      <c r="B243" s="115" t="n">
        <v>950</v>
      </c>
      <c r="C243" s="115" t="n"/>
      <c r="D243" s="115" t="n">
        <v>4</v>
      </c>
      <c r="E243" s="115" t="n"/>
      <c r="F243" s="115" t="n"/>
      <c r="G243" s="115" t="n"/>
      <c r="H243" s="115" t="n"/>
      <c r="I243" s="115" t="n"/>
      <c r="J243" s="115" t="n"/>
      <c r="K243" s="115" t="n"/>
      <c r="L243" s="115" t="n"/>
      <c r="M243" s="115" t="n"/>
      <c r="N243" s="115" t="n"/>
      <c r="O243" s="115" t="n"/>
      <c r="P243" s="115" t="n"/>
      <c r="Q243" s="115" t="n"/>
      <c r="R243" s="115" t="n"/>
      <c r="S243" s="115" t="n"/>
      <c r="T243" s="115" t="n"/>
      <c r="U243" s="115" t="n"/>
      <c r="V243" s="115" t="n"/>
      <c r="W243" s="115" t="n"/>
      <c r="X243" s="115" t="n">
        <v>0.15</v>
      </c>
      <c r="Y243" s="115" t="n">
        <v>1</v>
      </c>
    </row>
    <row r="244" ht="14.25" customHeight="1" s="142">
      <c r="A244" s="115" t="n">
        <v>209</v>
      </c>
      <c r="B244" s="115" t="n">
        <v>200</v>
      </c>
      <c r="C244" s="115" t="n"/>
      <c r="D244" s="115" t="n">
        <v>8</v>
      </c>
      <c r="E244" s="115" t="n"/>
      <c r="F244" s="115" t="n"/>
      <c r="G244" s="115" t="n"/>
      <c r="H244" s="115" t="n"/>
      <c r="I244" s="115" t="n"/>
      <c r="J244" s="115" t="n"/>
      <c r="K244" s="115" t="n"/>
      <c r="L244" s="115" t="n"/>
      <c r="M244" s="115" t="n"/>
      <c r="N244" s="115" t="n"/>
      <c r="O244" s="115" t="n"/>
      <c r="P244" s="115" t="n"/>
      <c r="Q244" s="115" t="n"/>
      <c r="R244" s="115" t="n"/>
      <c r="S244" s="115" t="n"/>
      <c r="T244" s="115" t="n"/>
      <c r="U244" s="115" t="n"/>
      <c r="V244" s="115" t="n"/>
      <c r="W244" s="115" t="n"/>
      <c r="X244" s="115" t="n">
        <v>0.15</v>
      </c>
      <c r="Y244" s="115" t="n">
        <v>1</v>
      </c>
    </row>
    <row r="245" ht="14.25" customHeight="1" s="142">
      <c r="A245" s="115" t="n">
        <v>209</v>
      </c>
      <c r="B245" s="115" t="n">
        <v>75</v>
      </c>
      <c r="C245" s="115" t="n"/>
      <c r="D245" s="115" t="n">
        <v>11</v>
      </c>
      <c r="E245" s="115" t="n"/>
      <c r="F245" s="115" t="n"/>
      <c r="G245" s="115" t="n"/>
      <c r="H245" s="115" t="n"/>
      <c r="I245" s="115" t="n"/>
      <c r="J245" s="115" t="n"/>
      <c r="K245" s="115" t="n"/>
      <c r="L245" s="115" t="n"/>
      <c r="M245" s="115" t="n"/>
      <c r="N245" s="115" t="n"/>
      <c r="O245" s="115" t="n"/>
      <c r="P245" s="115" t="n"/>
      <c r="Q245" s="115" t="n"/>
      <c r="R245" s="115" t="n"/>
      <c r="S245" s="115" t="n"/>
      <c r="T245" s="115" t="n"/>
      <c r="U245" s="115" t="n"/>
      <c r="V245" s="115" t="n"/>
      <c r="W245" s="115" t="n"/>
      <c r="X245" s="115" t="n">
        <v>0.15</v>
      </c>
      <c r="Y245" s="115" t="n">
        <v>2</v>
      </c>
    </row>
    <row r="246" ht="14.25" customHeight="1" s="142">
      <c r="A246" s="115" t="n">
        <v>209</v>
      </c>
      <c r="B246" s="115" t="n">
        <v>20</v>
      </c>
      <c r="C246" s="115" t="n"/>
      <c r="D246" s="115" t="n">
        <v>17</v>
      </c>
      <c r="E246" s="115" t="n"/>
      <c r="F246" s="115" t="n"/>
      <c r="G246" s="115" t="n"/>
      <c r="H246" s="115" t="n"/>
      <c r="I246" s="115" t="n"/>
      <c r="J246" s="115" t="n"/>
      <c r="K246" s="115" t="n"/>
      <c r="L246" s="115" t="n"/>
      <c r="M246" s="115" t="n"/>
      <c r="N246" s="115" t="n"/>
      <c r="O246" s="115" t="n"/>
      <c r="P246" s="115" t="n"/>
      <c r="Q246" s="115" t="n"/>
      <c r="R246" s="115" t="n"/>
      <c r="S246" s="115" t="n"/>
      <c r="T246" s="115" t="n"/>
      <c r="U246" s="115" t="n"/>
      <c r="V246" s="115" t="n"/>
      <c r="W246" s="115" t="n"/>
      <c r="X246" s="115" t="n">
        <v>0.15</v>
      </c>
      <c r="Y246" s="115" t="n">
        <v>3</v>
      </c>
    </row>
    <row r="247" ht="14.25" customHeight="1" s="142">
      <c r="A247" s="115" t="n">
        <v>209</v>
      </c>
      <c r="B247" s="115" t="n">
        <v>5</v>
      </c>
      <c r="C247" s="115" t="n"/>
      <c r="D247" s="115" t="n">
        <v>40</v>
      </c>
      <c r="E247" s="115" t="n"/>
      <c r="F247" s="115" t="n"/>
      <c r="G247" s="115" t="n"/>
      <c r="H247" s="115" t="n"/>
      <c r="I247" s="115" t="n"/>
      <c r="J247" s="115" t="n"/>
      <c r="K247" s="115" t="n"/>
      <c r="L247" s="115" t="n"/>
      <c r="M247" s="115" t="n"/>
      <c r="N247" s="115" t="n"/>
      <c r="O247" s="115" t="n"/>
      <c r="P247" s="115" t="n"/>
      <c r="Q247" s="115" t="n"/>
      <c r="R247" s="115" t="n"/>
      <c r="S247" s="115" t="n"/>
      <c r="T247" s="115" t="n"/>
      <c r="U247" s="115" t="n"/>
      <c r="V247" s="115" t="n"/>
      <c r="W247" s="115" t="n"/>
      <c r="X247" s="115" t="n">
        <v>0.15</v>
      </c>
      <c r="Y247" s="115" t="n">
        <v>4</v>
      </c>
    </row>
    <row r="248" ht="14.25" customHeight="1" s="142">
      <c r="A248" s="115" t="n">
        <v>209</v>
      </c>
      <c r="B248" s="115" t="n">
        <v>950</v>
      </c>
      <c r="C248" s="115" t="n"/>
      <c r="D248" s="115" t="n"/>
      <c r="E248" s="115" t="n">
        <v>6</v>
      </c>
      <c r="F248" s="115" t="n"/>
      <c r="G248" s="115" t="n"/>
      <c r="H248" s="115" t="n"/>
      <c r="I248" s="115" t="n"/>
      <c r="J248" s="115" t="n"/>
      <c r="K248" s="115" t="n"/>
      <c r="L248" s="115" t="n"/>
      <c r="M248" s="115" t="n"/>
      <c r="N248" s="115" t="n"/>
      <c r="O248" s="115" t="n"/>
      <c r="P248" s="115" t="n"/>
      <c r="Q248" s="115" t="n"/>
      <c r="R248" s="115" t="n"/>
      <c r="S248" s="115" t="n"/>
      <c r="T248" s="115" t="n"/>
      <c r="U248" s="115" t="n"/>
      <c r="V248" s="115" t="n"/>
      <c r="W248" s="115" t="n"/>
      <c r="X248" s="115" t="n">
        <v>0.15</v>
      </c>
      <c r="Y248" s="115" t="n">
        <v>1</v>
      </c>
    </row>
    <row r="249" ht="14.25" customHeight="1" s="142">
      <c r="A249" s="115" t="n">
        <v>209</v>
      </c>
      <c r="B249" s="115" t="n">
        <v>200</v>
      </c>
      <c r="C249" s="115" t="n"/>
      <c r="D249" s="115" t="n"/>
      <c r="E249" s="115" t="n">
        <v>10</v>
      </c>
      <c r="F249" s="115" t="n"/>
      <c r="G249" s="115" t="n"/>
      <c r="H249" s="115" t="n"/>
      <c r="I249" s="115" t="n"/>
      <c r="J249" s="115" t="n"/>
      <c r="K249" s="115" t="n"/>
      <c r="L249" s="115" t="n"/>
      <c r="M249" s="115" t="n"/>
      <c r="N249" s="115" t="n"/>
      <c r="O249" s="115" t="n"/>
      <c r="P249" s="115" t="n"/>
      <c r="Q249" s="115" t="n"/>
      <c r="R249" s="115" t="n"/>
      <c r="S249" s="115" t="n"/>
      <c r="T249" s="115" t="n"/>
      <c r="U249" s="115" t="n"/>
      <c r="V249" s="115" t="n"/>
      <c r="W249" s="115" t="n"/>
      <c r="X249" s="115" t="n">
        <v>0.15</v>
      </c>
      <c r="Y249" s="115" t="n">
        <v>1</v>
      </c>
    </row>
    <row r="250" ht="14.25" customHeight="1" s="142">
      <c r="A250" s="115" t="n">
        <v>209</v>
      </c>
      <c r="B250" s="115" t="n">
        <v>75</v>
      </c>
      <c r="C250" s="115" t="n"/>
      <c r="D250" s="115" t="n"/>
      <c r="E250" s="115" t="n">
        <v>17</v>
      </c>
      <c r="F250" s="115" t="n"/>
      <c r="G250" s="115" t="n"/>
      <c r="H250" s="115" t="n"/>
      <c r="I250" s="115" t="n"/>
      <c r="J250" s="115" t="n"/>
      <c r="K250" s="115" t="n"/>
      <c r="L250" s="115" t="n"/>
      <c r="M250" s="115" t="n"/>
      <c r="N250" s="115" t="n"/>
      <c r="O250" s="115" t="n"/>
      <c r="P250" s="115" t="n"/>
      <c r="Q250" s="115" t="n"/>
      <c r="R250" s="115" t="n"/>
      <c r="S250" s="115" t="n"/>
      <c r="T250" s="115" t="n"/>
      <c r="U250" s="115" t="n"/>
      <c r="V250" s="115" t="n"/>
      <c r="W250" s="115" t="n"/>
      <c r="X250" s="115" t="n">
        <v>0.15</v>
      </c>
      <c r="Y250" s="115" t="n">
        <v>2</v>
      </c>
    </row>
    <row r="251" ht="14.25" customHeight="1" s="142">
      <c r="A251" s="115" t="n">
        <v>209</v>
      </c>
      <c r="B251" s="115" t="n">
        <v>20</v>
      </c>
      <c r="C251" s="115" t="n"/>
      <c r="D251" s="115" t="n"/>
      <c r="E251" s="115" t="n">
        <v>30</v>
      </c>
      <c r="F251" s="115" t="n"/>
      <c r="G251" s="115" t="n"/>
      <c r="H251" s="115" t="n"/>
      <c r="I251" s="115" t="n"/>
      <c r="J251" s="115" t="n"/>
      <c r="K251" s="115" t="n"/>
      <c r="L251" s="115" t="n"/>
      <c r="M251" s="115" t="n"/>
      <c r="N251" s="115" t="n"/>
      <c r="O251" s="115" t="n"/>
      <c r="P251" s="115" t="n"/>
      <c r="Q251" s="115" t="n"/>
      <c r="R251" s="115" t="n"/>
      <c r="S251" s="115" t="n"/>
      <c r="T251" s="115" t="n"/>
      <c r="U251" s="115" t="n"/>
      <c r="V251" s="115" t="n"/>
      <c r="W251" s="115" t="n"/>
      <c r="X251" s="115" t="n">
        <v>0.15</v>
      </c>
      <c r="Y251" s="115" t="n">
        <v>3</v>
      </c>
    </row>
    <row r="252" ht="14.25" customHeight="1" s="142">
      <c r="A252" s="115" t="n">
        <v>209</v>
      </c>
      <c r="B252" s="115" t="n">
        <v>5</v>
      </c>
      <c r="C252" s="115" t="n"/>
      <c r="D252" s="115" t="n"/>
      <c r="E252" s="115" t="n">
        <v>51</v>
      </c>
      <c r="F252" s="115" t="n"/>
      <c r="G252" s="115" t="n"/>
      <c r="H252" s="115" t="n"/>
      <c r="I252" s="115" t="n"/>
      <c r="J252" s="115" t="n"/>
      <c r="K252" s="115" t="n"/>
      <c r="L252" s="115" t="n"/>
      <c r="M252" s="115" t="n"/>
      <c r="N252" s="115" t="n"/>
      <c r="O252" s="115" t="n"/>
      <c r="P252" s="115" t="n"/>
      <c r="Q252" s="115" t="n"/>
      <c r="R252" s="115" t="n"/>
      <c r="S252" s="115" t="n"/>
      <c r="T252" s="115" t="n"/>
      <c r="U252" s="115" t="n"/>
      <c r="V252" s="115" t="n"/>
      <c r="W252" s="115" t="n"/>
      <c r="X252" s="115" t="n">
        <v>0.15</v>
      </c>
      <c r="Y252" s="115" t="n">
        <v>4</v>
      </c>
    </row>
    <row r="253" ht="14.25" customHeight="1" s="142">
      <c r="A253" s="115" t="n">
        <v>209</v>
      </c>
      <c r="B253" s="115" t="n">
        <v>950</v>
      </c>
      <c r="C253" s="115" t="n"/>
      <c r="D253" s="115" t="n"/>
      <c r="E253" s="115" t="n"/>
      <c r="F253" s="115" t="n"/>
      <c r="G253" s="115" t="n"/>
      <c r="H253" s="115" t="n"/>
      <c r="I253" s="115" t="n"/>
      <c r="J253" s="115" t="n"/>
      <c r="K253" s="115" t="n"/>
      <c r="L253" s="115" t="n"/>
      <c r="M253" s="115" t="n"/>
      <c r="N253" s="115" t="n"/>
      <c r="O253" s="115" t="n"/>
      <c r="P253" s="115" t="n">
        <v>0.01</v>
      </c>
      <c r="Q253" s="115" t="n"/>
      <c r="R253" s="115" t="n"/>
      <c r="S253" s="115" t="n"/>
      <c r="T253" s="115" t="n"/>
      <c r="U253" s="115" t="n"/>
      <c r="V253" s="115" t="n"/>
      <c r="W253" s="115" t="n"/>
      <c r="X253" s="115" t="n">
        <v>0.15</v>
      </c>
      <c r="Y253" s="115" t="n">
        <v>1</v>
      </c>
    </row>
    <row r="254" ht="14.25" customHeight="1" s="142">
      <c r="A254" s="115" t="n">
        <v>209</v>
      </c>
      <c r="B254" s="115" t="n">
        <v>200</v>
      </c>
      <c r="C254" s="115" t="n"/>
      <c r="D254" s="115" t="n"/>
      <c r="E254" s="115" t="n"/>
      <c r="F254" s="115" t="n"/>
      <c r="G254" s="115" t="n"/>
      <c r="H254" s="115" t="n"/>
      <c r="I254" s="115" t="n"/>
      <c r="J254" s="115" t="n"/>
      <c r="K254" s="115" t="n"/>
      <c r="L254" s="115" t="n"/>
      <c r="M254" s="115" t="n"/>
      <c r="N254" s="115" t="n"/>
      <c r="O254" s="115" t="n"/>
      <c r="P254" s="115" t="n">
        <v>0.02</v>
      </c>
      <c r="Q254" s="115" t="n"/>
      <c r="R254" s="115" t="n"/>
      <c r="S254" s="115" t="n"/>
      <c r="T254" s="115" t="n"/>
      <c r="U254" s="115" t="n"/>
      <c r="V254" s="115" t="n"/>
      <c r="W254" s="115" t="n"/>
      <c r="X254" s="115" t="n">
        <v>0.15</v>
      </c>
      <c r="Y254" s="115" t="n">
        <v>1</v>
      </c>
    </row>
    <row r="255" ht="14.25" customHeight="1" s="142">
      <c r="A255" s="115" t="n">
        <v>209</v>
      </c>
      <c r="B255" s="115" t="n">
        <v>75</v>
      </c>
      <c r="C255" s="115" t="n"/>
      <c r="D255" s="115" t="n"/>
      <c r="E255" s="115" t="n"/>
      <c r="F255" s="115" t="n"/>
      <c r="G255" s="115" t="n"/>
      <c r="H255" s="115" t="n"/>
      <c r="I255" s="115" t="n"/>
      <c r="J255" s="115" t="n"/>
      <c r="K255" s="115" t="n"/>
      <c r="L255" s="115" t="n"/>
      <c r="M255" s="115" t="n"/>
      <c r="N255" s="115" t="n"/>
      <c r="O255" s="115" t="n"/>
      <c r="P255" s="115" t="n">
        <v>0.04</v>
      </c>
      <c r="Q255" s="115" t="n"/>
      <c r="R255" s="115" t="n"/>
      <c r="S255" s="115" t="n"/>
      <c r="T255" s="115" t="n"/>
      <c r="U255" s="115" t="n"/>
      <c r="V255" s="115" t="n"/>
      <c r="W255" s="115" t="n"/>
      <c r="X255" s="115" t="n">
        <v>0.15</v>
      </c>
      <c r="Y255" s="115" t="n">
        <v>2</v>
      </c>
    </row>
    <row r="256" ht="14.25" customHeight="1" s="142">
      <c r="A256" s="115" t="n">
        <v>209</v>
      </c>
      <c r="B256" s="115" t="n">
        <v>20</v>
      </c>
      <c r="C256" s="115" t="n"/>
      <c r="D256" s="115" t="n"/>
      <c r="E256" s="115" t="n"/>
      <c r="F256" s="115" t="n"/>
      <c r="G256" s="115" t="n"/>
      <c r="H256" s="115" t="n"/>
      <c r="I256" s="115" t="n"/>
      <c r="J256" s="115" t="n"/>
      <c r="K256" s="115" t="n"/>
      <c r="L256" s="115" t="n"/>
      <c r="M256" s="115" t="n"/>
      <c r="N256" s="115" t="n"/>
      <c r="O256" s="115" t="n"/>
      <c r="P256" s="115" t="n">
        <v>0.07000000000000001</v>
      </c>
      <c r="Q256" s="115" t="n"/>
      <c r="R256" s="115" t="n"/>
      <c r="S256" s="115" t="n"/>
      <c r="T256" s="115" t="n"/>
      <c r="U256" s="115" t="n"/>
      <c r="V256" s="115" t="n"/>
      <c r="W256" s="115" t="n"/>
      <c r="X256" s="115" t="n">
        <v>0.15</v>
      </c>
      <c r="Y256" s="115" t="n">
        <v>3</v>
      </c>
    </row>
    <row r="257" ht="14.25" customHeight="1" s="142">
      <c r="A257" s="115" t="n">
        <v>209</v>
      </c>
      <c r="B257" s="115" t="n">
        <v>5</v>
      </c>
      <c r="C257" s="115" t="n"/>
      <c r="D257" s="115" t="n"/>
      <c r="E257" s="115" t="n"/>
      <c r="F257" s="115" t="n"/>
      <c r="G257" s="115" t="n"/>
      <c r="H257" s="115" t="n"/>
      <c r="I257" s="115" t="n"/>
      <c r="J257" s="115" t="n"/>
      <c r="K257" s="115" t="n"/>
      <c r="L257" s="115" t="n"/>
      <c r="M257" s="115" t="n"/>
      <c r="N257" s="115" t="n"/>
      <c r="O257" s="115" t="n"/>
      <c r="P257" s="115" t="n">
        <v>0.1</v>
      </c>
      <c r="Q257" s="115" t="n"/>
      <c r="R257" s="115" t="n"/>
      <c r="S257" s="115" t="n"/>
      <c r="T257" s="115" t="n"/>
      <c r="U257" s="115" t="n"/>
      <c r="V257" s="115" t="n"/>
      <c r="W257" s="115" t="n"/>
      <c r="X257" s="115" t="n">
        <v>0.15</v>
      </c>
      <c r="Y257" s="115" t="n">
        <v>4</v>
      </c>
    </row>
    <row r="258" ht="14.25" customHeight="1" s="142">
      <c r="A258" s="117" t="n">
        <v>210</v>
      </c>
      <c r="B258" s="135" t="n">
        <v>2700</v>
      </c>
      <c r="C258" s="122" t="n"/>
      <c r="D258" s="122" t="n"/>
      <c r="E258" s="122" t="n"/>
      <c r="F258" s="122" t="n"/>
      <c r="G258" s="122" t="n"/>
      <c r="H258" s="122" t="n"/>
      <c r="I258" s="122" t="n"/>
      <c r="J258" s="122" t="n"/>
      <c r="K258" s="122" t="n"/>
      <c r="L258" s="122" t="n"/>
      <c r="M258" s="122" t="n"/>
      <c r="N258" s="122" t="n"/>
      <c r="O258" s="122" t="n"/>
      <c r="P258" s="122" t="n"/>
      <c r="Q258" s="122" t="n"/>
      <c r="R258" s="122" t="n"/>
      <c r="S258" s="122" t="n"/>
      <c r="T258" s="122" t="n"/>
      <c r="U258" s="122" t="n"/>
      <c r="V258" s="122" t="n"/>
      <c r="W258" s="122" t="n"/>
      <c r="X258" s="122" t="n"/>
      <c r="Y258" s="122" t="n"/>
      <c r="Z258" s="121" t="n"/>
      <c r="AA258" s="121" t="n"/>
      <c r="AB258" s="121" t="n"/>
      <c r="AC258" s="121" t="n"/>
      <c r="AD258" s="121" t="n"/>
      <c r="AE258" s="121" t="n"/>
      <c r="AF258" s="121" t="n"/>
      <c r="AG258" s="121" t="n"/>
      <c r="AH258" s="121" t="n"/>
      <c r="AI258" s="121" t="n"/>
      <c r="AJ258" s="121" t="n"/>
    </row>
    <row r="259" ht="14.25" customHeight="1" s="142">
      <c r="A259" s="117" t="n">
        <v>210</v>
      </c>
      <c r="B259" s="117" t="n">
        <v>950</v>
      </c>
      <c r="C259" s="117" t="n">
        <v>65</v>
      </c>
      <c r="D259" s="117" t="n"/>
      <c r="E259" s="117" t="n"/>
      <c r="F259" s="117" t="n"/>
      <c r="G259" s="117" t="n"/>
      <c r="H259" s="117" t="n"/>
      <c r="I259" s="117" t="n"/>
      <c r="J259" s="117" t="n"/>
      <c r="K259" s="117" t="n"/>
      <c r="L259" s="117" t="n"/>
      <c r="M259" s="117" t="n"/>
      <c r="N259" s="117" t="n"/>
      <c r="O259" s="117" t="n"/>
      <c r="P259" s="117" t="n"/>
      <c r="Q259" s="117" t="n"/>
      <c r="R259" s="117" t="n"/>
      <c r="S259" s="117" t="n"/>
      <c r="T259" s="117" t="n"/>
      <c r="U259" s="117" t="n"/>
      <c r="V259" s="117" t="n"/>
      <c r="W259" s="117" t="n"/>
      <c r="X259" s="135" t="n">
        <v>0.13</v>
      </c>
      <c r="Y259" s="117" t="n">
        <v>1</v>
      </c>
      <c r="Z259" s="121" t="n"/>
      <c r="AA259" s="121" t="n"/>
      <c r="AB259" s="121" t="n"/>
      <c r="AC259" s="121" t="n"/>
      <c r="AD259" s="121" t="n"/>
      <c r="AE259" s="121" t="n"/>
      <c r="AF259" s="121" t="n"/>
      <c r="AG259" s="121" t="n"/>
      <c r="AH259" s="121" t="n"/>
      <c r="AI259" s="121" t="n"/>
      <c r="AJ259" s="121" t="n"/>
    </row>
    <row r="260" ht="14.25" customHeight="1" s="142">
      <c r="A260" s="117" t="n">
        <v>210</v>
      </c>
      <c r="B260" s="117" t="n">
        <v>200</v>
      </c>
      <c r="C260" s="117" t="n">
        <v>115</v>
      </c>
      <c r="D260" s="117" t="n"/>
      <c r="E260" s="117" t="n"/>
      <c r="F260" s="117" t="n"/>
      <c r="G260" s="117" t="n"/>
      <c r="H260" s="117" t="n"/>
      <c r="I260" s="117" t="n"/>
      <c r="J260" s="117" t="n"/>
      <c r="K260" s="117" t="n"/>
      <c r="L260" s="117" t="n"/>
      <c r="M260" s="117" t="n"/>
      <c r="N260" s="117" t="n"/>
      <c r="O260" s="117" t="n"/>
      <c r="P260" s="117" t="n"/>
      <c r="Q260" s="117" t="n"/>
      <c r="R260" s="117" t="n"/>
      <c r="S260" s="117" t="n"/>
      <c r="T260" s="117" t="n"/>
      <c r="U260" s="117" t="n"/>
      <c r="V260" s="117" t="n"/>
      <c r="W260" s="117" t="n"/>
      <c r="X260" s="135" t="n">
        <v>0.13</v>
      </c>
      <c r="Y260" s="117" t="n">
        <v>1</v>
      </c>
      <c r="Z260" s="121" t="n"/>
      <c r="AA260" s="121" t="n"/>
      <c r="AB260" s="121" t="n"/>
      <c r="AC260" s="121" t="n"/>
      <c r="AD260" s="121" t="n"/>
      <c r="AE260" s="121" t="n"/>
      <c r="AF260" s="121" t="n"/>
      <c r="AG260" s="121" t="n"/>
      <c r="AH260" s="121" t="n"/>
      <c r="AI260" s="121" t="n"/>
      <c r="AJ260" s="121" t="n"/>
    </row>
    <row r="261" ht="14.25" customHeight="1" s="142">
      <c r="A261" s="117" t="n">
        <v>210</v>
      </c>
      <c r="B261" s="117" t="n">
        <v>75</v>
      </c>
      <c r="C261" s="117" t="n">
        <v>210</v>
      </c>
      <c r="D261" s="117" t="n"/>
      <c r="E261" s="117" t="n"/>
      <c r="F261" s="117" t="n"/>
      <c r="G261" s="117" t="n"/>
      <c r="H261" s="117" t="n"/>
      <c r="I261" s="117" t="n"/>
      <c r="J261" s="117" t="n"/>
      <c r="K261" s="117" t="n"/>
      <c r="L261" s="117" t="n"/>
      <c r="M261" s="117" t="n"/>
      <c r="N261" s="117" t="n"/>
      <c r="O261" s="117" t="n"/>
      <c r="P261" s="117" t="n"/>
      <c r="Q261" s="117" t="n"/>
      <c r="R261" s="117" t="n"/>
      <c r="S261" s="117" t="n"/>
      <c r="T261" s="117" t="n"/>
      <c r="U261" s="117" t="n"/>
      <c r="V261" s="117" t="n"/>
      <c r="W261" s="117" t="n"/>
      <c r="X261" s="135" t="n">
        <v>0.13</v>
      </c>
      <c r="Y261" s="117" t="n">
        <v>2</v>
      </c>
      <c r="Z261" s="121" t="n"/>
      <c r="AA261" s="121" t="n"/>
      <c r="AB261" s="121" t="n"/>
      <c r="AC261" s="121" t="n"/>
      <c r="AD261" s="121" t="n"/>
      <c r="AE261" s="121" t="n"/>
      <c r="AF261" s="121" t="n"/>
      <c r="AG261" s="121" t="n"/>
      <c r="AH261" s="121" t="n"/>
      <c r="AI261" s="121" t="n"/>
      <c r="AJ261" s="121" t="n"/>
    </row>
    <row r="262" ht="14.25" customHeight="1" s="142">
      <c r="A262" s="117" t="n">
        <v>210</v>
      </c>
      <c r="B262" s="117" t="n">
        <v>20</v>
      </c>
      <c r="C262" s="117" t="n">
        <v>400</v>
      </c>
      <c r="D262" s="117" t="n"/>
      <c r="E262" s="117" t="n"/>
      <c r="F262" s="117" t="n"/>
      <c r="G262" s="117" t="n"/>
      <c r="H262" s="117" t="n"/>
      <c r="I262" s="117" t="n"/>
      <c r="J262" s="117" t="n"/>
      <c r="K262" s="117" t="n"/>
      <c r="L262" s="117" t="n"/>
      <c r="M262" s="117" t="n"/>
      <c r="N262" s="117" t="n"/>
      <c r="O262" s="117" t="n"/>
      <c r="P262" s="117" t="n"/>
      <c r="Q262" s="117" t="n"/>
      <c r="R262" s="117" t="n"/>
      <c r="S262" s="117" t="n"/>
      <c r="T262" s="117" t="n"/>
      <c r="U262" s="117" t="n"/>
      <c r="V262" s="117" t="n"/>
      <c r="W262" s="117" t="n"/>
      <c r="X262" s="135" t="n">
        <v>0.13</v>
      </c>
      <c r="Y262" s="117" t="n">
        <v>3</v>
      </c>
      <c r="Z262" s="121" t="n"/>
      <c r="AA262" s="121" t="n"/>
      <c r="AB262" s="121" t="n"/>
      <c r="AC262" s="121" t="n"/>
      <c r="AD262" s="121" t="n"/>
      <c r="AE262" s="121" t="n"/>
      <c r="AF262" s="121" t="n"/>
      <c r="AG262" s="121" t="n"/>
      <c r="AH262" s="121" t="n"/>
      <c r="AI262" s="121" t="n"/>
      <c r="AJ262" s="121" t="n"/>
    </row>
    <row r="263" ht="14.25" customHeight="1" s="142">
      <c r="A263" s="117" t="n">
        <v>210</v>
      </c>
      <c r="B263" s="117" t="n">
        <v>5</v>
      </c>
      <c r="C263" s="117" t="n">
        <v>730</v>
      </c>
      <c r="D263" s="117" t="n"/>
      <c r="E263" s="117" t="n"/>
      <c r="F263" s="117" t="n"/>
      <c r="G263" s="117" t="n"/>
      <c r="H263" s="117" t="n"/>
      <c r="I263" s="117" t="n"/>
      <c r="J263" s="117" t="n"/>
      <c r="K263" s="117" t="n"/>
      <c r="L263" s="117" t="n"/>
      <c r="M263" s="117" t="n"/>
      <c r="N263" s="117" t="n"/>
      <c r="O263" s="117" t="n"/>
      <c r="P263" s="117" t="n"/>
      <c r="Q263" s="117" t="n"/>
      <c r="R263" s="117" t="n"/>
      <c r="S263" s="117" t="n"/>
      <c r="T263" s="117" t="n"/>
      <c r="U263" s="117" t="n"/>
      <c r="V263" s="117" t="n"/>
      <c r="W263" s="117" t="n"/>
      <c r="X263" s="135" t="n">
        <v>0.13</v>
      </c>
      <c r="Y263" s="117" t="n">
        <v>4</v>
      </c>
      <c r="Z263" s="121" t="n"/>
      <c r="AA263" s="121" t="n"/>
      <c r="AB263" s="121" t="n"/>
      <c r="AC263" s="121" t="n"/>
      <c r="AD263" s="121" t="n"/>
      <c r="AE263" s="121" t="n"/>
      <c r="AF263" s="121" t="n"/>
      <c r="AG263" s="121" t="n"/>
      <c r="AH263" s="121" t="n"/>
      <c r="AI263" s="121" t="n"/>
      <c r="AJ263" s="121" t="n"/>
    </row>
    <row r="264" ht="14.25" customHeight="1" s="142">
      <c r="A264" s="117" t="n">
        <v>210</v>
      </c>
      <c r="B264" s="117" t="n">
        <v>950</v>
      </c>
      <c r="C264" s="117" t="n"/>
      <c r="D264" s="117" t="n"/>
      <c r="E264" s="117" t="n"/>
      <c r="F264" s="117" t="n">
        <v>6</v>
      </c>
      <c r="G264" s="117" t="n"/>
      <c r="H264" s="117" t="n"/>
      <c r="I264" s="117" t="n"/>
      <c r="J264" s="117" t="n"/>
      <c r="K264" s="117" t="n"/>
      <c r="L264" s="117" t="n"/>
      <c r="M264" s="117" t="n"/>
      <c r="N264" s="117" t="n"/>
      <c r="O264" s="117" t="n"/>
      <c r="P264" s="117" t="n"/>
      <c r="Q264" s="117" t="n"/>
      <c r="R264" s="117" t="n"/>
      <c r="S264" s="117" t="n"/>
      <c r="T264" s="117" t="n"/>
      <c r="U264" s="117" t="n"/>
      <c r="V264" s="117" t="n"/>
      <c r="W264" s="117" t="n"/>
      <c r="X264" s="135" t="n">
        <v>0.13</v>
      </c>
      <c r="Y264" s="117" t="n">
        <v>1</v>
      </c>
      <c r="Z264" s="121" t="n"/>
      <c r="AA264" s="121" t="n"/>
      <c r="AB264" s="121" t="n"/>
      <c r="AC264" s="121" t="n"/>
      <c r="AD264" s="121" t="n"/>
      <c r="AE264" s="121" t="n"/>
      <c r="AF264" s="121" t="n"/>
      <c r="AG264" s="121" t="n"/>
      <c r="AH264" s="121" t="n"/>
      <c r="AI264" s="121" t="n"/>
      <c r="AJ264" s="121" t="n"/>
    </row>
    <row r="265" ht="14.25" customHeight="1" s="142">
      <c r="A265" s="117" t="n">
        <v>210</v>
      </c>
      <c r="B265" s="117" t="n">
        <v>200</v>
      </c>
      <c r="C265" s="117" t="n"/>
      <c r="D265" s="117" t="n"/>
      <c r="E265" s="117" t="n"/>
      <c r="F265" s="117" t="n">
        <v>10</v>
      </c>
      <c r="G265" s="117" t="n"/>
      <c r="H265" s="117" t="n"/>
      <c r="I265" s="117" t="n"/>
      <c r="J265" s="117" t="n"/>
      <c r="K265" s="117" t="n"/>
      <c r="L265" s="117" t="n"/>
      <c r="M265" s="117" t="n"/>
      <c r="N265" s="117" t="n"/>
      <c r="O265" s="117" t="n"/>
      <c r="P265" s="117" t="n"/>
      <c r="Q265" s="117" t="n"/>
      <c r="R265" s="117" t="n"/>
      <c r="S265" s="117" t="n"/>
      <c r="T265" s="117" t="n"/>
      <c r="U265" s="117" t="n"/>
      <c r="V265" s="117" t="n"/>
      <c r="W265" s="117" t="n"/>
      <c r="X265" s="135" t="n">
        <v>0.13</v>
      </c>
      <c r="Y265" s="117" t="n">
        <v>1</v>
      </c>
      <c r="Z265" s="121" t="n"/>
      <c r="AA265" s="121" t="n"/>
      <c r="AB265" s="121" t="n"/>
      <c r="AC265" s="121" t="n"/>
      <c r="AD265" s="121" t="n"/>
      <c r="AE265" s="121" t="n"/>
      <c r="AF265" s="121" t="n"/>
      <c r="AG265" s="121" t="n"/>
      <c r="AH265" s="121" t="n"/>
      <c r="AI265" s="121" t="n"/>
      <c r="AJ265" s="121" t="n"/>
    </row>
    <row r="266" ht="14.25" customHeight="1" s="142">
      <c r="A266" s="117" t="n">
        <v>210</v>
      </c>
      <c r="B266" s="117" t="n">
        <v>75</v>
      </c>
      <c r="C266" s="117" t="n"/>
      <c r="D266" s="117" t="n"/>
      <c r="E266" s="117" t="n"/>
      <c r="F266" s="117" t="n">
        <v>16</v>
      </c>
      <c r="G266" s="117" t="n"/>
      <c r="H266" s="117" t="n"/>
      <c r="I266" s="117" t="n"/>
      <c r="J266" s="117" t="n"/>
      <c r="K266" s="117" t="n"/>
      <c r="L266" s="117" t="n"/>
      <c r="M266" s="117" t="n"/>
      <c r="N266" s="117" t="n"/>
      <c r="O266" s="117" t="n"/>
      <c r="P266" s="117" t="n"/>
      <c r="Q266" s="117" t="n"/>
      <c r="R266" s="117" t="n"/>
      <c r="S266" s="117" t="n"/>
      <c r="T266" s="117" t="n"/>
      <c r="U266" s="117" t="n"/>
      <c r="V266" s="117" t="n"/>
      <c r="W266" s="117" t="n"/>
      <c r="X266" s="135" t="n">
        <v>0.13</v>
      </c>
      <c r="Y266" s="117" t="n">
        <v>2</v>
      </c>
      <c r="Z266" s="121" t="n"/>
      <c r="AA266" s="121" t="n"/>
      <c r="AB266" s="121" t="n"/>
      <c r="AC266" s="121" t="n"/>
      <c r="AD266" s="121" t="n"/>
      <c r="AE266" s="121" t="n"/>
      <c r="AF266" s="121" t="n"/>
      <c r="AG266" s="121" t="n"/>
      <c r="AH266" s="121" t="n"/>
      <c r="AI266" s="121" t="n"/>
      <c r="AJ266" s="121" t="n"/>
    </row>
    <row r="267" ht="14.25" customHeight="1" s="142">
      <c r="A267" s="117" t="n">
        <v>210</v>
      </c>
      <c r="B267" s="117" t="n">
        <v>20</v>
      </c>
      <c r="C267" s="117" t="n"/>
      <c r="D267" s="117" t="n"/>
      <c r="E267" s="117" t="n"/>
      <c r="F267" s="117" t="n">
        <v>24</v>
      </c>
      <c r="G267" s="117" t="n"/>
      <c r="H267" s="117" t="n"/>
      <c r="I267" s="117" t="n"/>
      <c r="J267" s="117" t="n"/>
      <c r="K267" s="117" t="n"/>
      <c r="L267" s="117" t="n"/>
      <c r="M267" s="117" t="n"/>
      <c r="N267" s="117" t="n"/>
      <c r="O267" s="117" t="n"/>
      <c r="P267" s="117" t="n"/>
      <c r="Q267" s="117" t="n"/>
      <c r="R267" s="117" t="n"/>
      <c r="S267" s="117" t="n"/>
      <c r="T267" s="117" t="n"/>
      <c r="U267" s="117" t="n"/>
      <c r="V267" s="117" t="n"/>
      <c r="W267" s="117" t="n"/>
      <c r="X267" s="135" t="n">
        <v>0.13</v>
      </c>
      <c r="Y267" s="117" t="n">
        <v>3</v>
      </c>
      <c r="Z267" s="121" t="n"/>
      <c r="AA267" s="121" t="n"/>
      <c r="AB267" s="121" t="n"/>
      <c r="AC267" s="121" t="n"/>
      <c r="AD267" s="121" t="n"/>
      <c r="AE267" s="121" t="n"/>
      <c r="AF267" s="121" t="n"/>
      <c r="AG267" s="121" t="n"/>
      <c r="AH267" s="121" t="n"/>
      <c r="AI267" s="121" t="n"/>
      <c r="AJ267" s="121" t="n"/>
    </row>
    <row r="268" ht="14.25" customHeight="1" s="142">
      <c r="A268" s="117" t="n">
        <v>210</v>
      </c>
      <c r="B268" s="117" t="n">
        <v>5</v>
      </c>
      <c r="C268" s="117" t="n"/>
      <c r="D268" s="117" t="n"/>
      <c r="E268" s="117" t="n"/>
      <c r="F268" s="117" t="n">
        <v>57</v>
      </c>
      <c r="G268" s="117" t="n"/>
      <c r="H268" s="117" t="n"/>
      <c r="I268" s="117" t="n"/>
      <c r="J268" s="117" t="n"/>
      <c r="K268" s="117" t="n"/>
      <c r="L268" s="117" t="n"/>
      <c r="M268" s="117" t="n"/>
      <c r="N268" s="117" t="n"/>
      <c r="O268" s="117" t="n"/>
      <c r="P268" s="117" t="n"/>
      <c r="Q268" s="117" t="n"/>
      <c r="R268" s="117" t="n"/>
      <c r="S268" s="117" t="n"/>
      <c r="T268" s="117" t="n"/>
      <c r="U268" s="117" t="n"/>
      <c r="V268" s="117" t="n"/>
      <c r="W268" s="117" t="n"/>
      <c r="X268" s="135" t="n">
        <v>0.13</v>
      </c>
      <c r="Y268" s="117" t="n">
        <v>4</v>
      </c>
      <c r="Z268" s="121" t="n"/>
      <c r="AA268" s="121" t="n"/>
      <c r="AB268" s="121" t="n"/>
      <c r="AC268" s="121" t="n"/>
      <c r="AD268" s="121" t="n"/>
      <c r="AE268" s="121" t="n"/>
      <c r="AF268" s="121" t="n"/>
      <c r="AG268" s="121" t="n"/>
      <c r="AH268" s="121" t="n"/>
      <c r="AI268" s="121" t="n"/>
      <c r="AJ268" s="121" t="n"/>
    </row>
    <row r="269" ht="14.25" customHeight="1" s="142">
      <c r="A269" s="117" t="n">
        <v>210</v>
      </c>
      <c r="B269" s="117" t="n">
        <v>950</v>
      </c>
      <c r="C269" s="117" t="n"/>
      <c r="D269" s="117" t="n"/>
      <c r="E269" s="117" t="n"/>
      <c r="F269" s="117" t="n"/>
      <c r="G269" s="117" t="n">
        <v>9</v>
      </c>
      <c r="H269" s="117" t="n"/>
      <c r="I269" s="117" t="n"/>
      <c r="J269" s="117" t="n"/>
      <c r="K269" s="117" t="n"/>
      <c r="L269" s="117" t="n"/>
      <c r="M269" s="117" t="n"/>
      <c r="N269" s="117" t="n"/>
      <c r="O269" s="117" t="n"/>
      <c r="P269" s="117" t="n"/>
      <c r="Q269" s="117" t="n"/>
      <c r="R269" s="117" t="n"/>
      <c r="S269" s="117" t="n"/>
      <c r="T269" s="117" t="n"/>
      <c r="U269" s="117" t="n"/>
      <c r="V269" s="117" t="n"/>
      <c r="W269" s="117" t="n"/>
      <c r="X269" s="135" t="n">
        <v>0.13</v>
      </c>
      <c r="Y269" s="117" t="n">
        <v>1</v>
      </c>
      <c r="Z269" s="121" t="n"/>
      <c r="AA269" s="121" t="n"/>
      <c r="AB269" s="121" t="n"/>
      <c r="AC269" s="121" t="n"/>
      <c r="AD269" s="121" t="n"/>
      <c r="AE269" s="121" t="n"/>
      <c r="AF269" s="121" t="n"/>
      <c r="AG269" s="121" t="n"/>
      <c r="AH269" s="121" t="n"/>
      <c r="AI269" s="121" t="n"/>
      <c r="AJ269" s="121" t="n"/>
    </row>
    <row r="270" ht="14.25" customHeight="1" s="142">
      <c r="A270" s="117" t="n">
        <v>210</v>
      </c>
      <c r="B270" s="117" t="n">
        <v>200</v>
      </c>
      <c r="C270" s="117" t="n"/>
      <c r="D270" s="117" t="n"/>
      <c r="E270" s="117" t="n"/>
      <c r="F270" s="117" t="n"/>
      <c r="G270" s="117" t="n">
        <v>13</v>
      </c>
      <c r="H270" s="117" t="n"/>
      <c r="I270" s="117" t="n"/>
      <c r="J270" s="117" t="n"/>
      <c r="K270" s="117" t="n"/>
      <c r="L270" s="117" t="n"/>
      <c r="M270" s="117" t="n"/>
      <c r="N270" s="117" t="n"/>
      <c r="O270" s="117" t="n"/>
      <c r="P270" s="117" t="n"/>
      <c r="Q270" s="117" t="n"/>
      <c r="R270" s="117" t="n"/>
      <c r="S270" s="117" t="n"/>
      <c r="T270" s="117" t="n"/>
      <c r="U270" s="117" t="n"/>
      <c r="V270" s="117" t="n"/>
      <c r="W270" s="117" t="n"/>
      <c r="X270" s="135" t="n">
        <v>0.13</v>
      </c>
      <c r="Y270" s="117" t="n">
        <v>1</v>
      </c>
      <c r="Z270" s="121" t="n"/>
      <c r="AA270" s="121" t="n"/>
      <c r="AB270" s="121" t="n"/>
      <c r="AC270" s="121" t="n"/>
      <c r="AD270" s="121" t="n"/>
      <c r="AE270" s="121" t="n"/>
      <c r="AF270" s="121" t="n"/>
      <c r="AG270" s="121" t="n"/>
      <c r="AH270" s="121" t="n"/>
      <c r="AI270" s="121" t="n"/>
      <c r="AJ270" s="121" t="n"/>
    </row>
    <row r="271" ht="14.25" customHeight="1" s="142">
      <c r="A271" s="117" t="n">
        <v>210</v>
      </c>
      <c r="B271" s="117" t="n">
        <v>75</v>
      </c>
      <c r="C271" s="117" t="n"/>
      <c r="D271" s="117" t="n"/>
      <c r="E271" s="117" t="n"/>
      <c r="F271" s="117" t="n"/>
      <c r="G271" s="117" t="n">
        <v>22</v>
      </c>
      <c r="H271" s="117" t="n"/>
      <c r="I271" s="117" t="n"/>
      <c r="J271" s="117" t="n"/>
      <c r="K271" s="117" t="n"/>
      <c r="L271" s="117" t="n"/>
      <c r="M271" s="117" t="n"/>
      <c r="N271" s="117" t="n"/>
      <c r="O271" s="117" t="n"/>
      <c r="P271" s="117" t="n"/>
      <c r="Q271" s="117" t="n"/>
      <c r="R271" s="117" t="n"/>
      <c r="S271" s="117" t="n"/>
      <c r="T271" s="117" t="n"/>
      <c r="U271" s="117" t="n"/>
      <c r="V271" s="117" t="n"/>
      <c r="W271" s="117" t="n"/>
      <c r="X271" s="135" t="n">
        <v>0.13</v>
      </c>
      <c r="Y271" s="117" t="n">
        <v>2</v>
      </c>
      <c r="Z271" s="121" t="n"/>
      <c r="AA271" s="121" t="n"/>
      <c r="AB271" s="121" t="n"/>
      <c r="AC271" s="121" t="n"/>
      <c r="AD271" s="121" t="n"/>
      <c r="AE271" s="121" t="n"/>
      <c r="AF271" s="121" t="n"/>
      <c r="AG271" s="121" t="n"/>
      <c r="AH271" s="121" t="n"/>
      <c r="AI271" s="121" t="n"/>
      <c r="AJ271" s="121" t="n"/>
    </row>
    <row r="272" ht="14.25" customHeight="1" s="142">
      <c r="A272" s="117" t="n">
        <v>210</v>
      </c>
      <c r="B272" s="117" t="n">
        <v>20</v>
      </c>
      <c r="C272" s="117" t="n"/>
      <c r="D272" s="117" t="n"/>
      <c r="E272" s="117" t="n"/>
      <c r="F272" s="117" t="n"/>
      <c r="G272" s="117" t="n">
        <v>42</v>
      </c>
      <c r="H272" s="117" t="n"/>
      <c r="I272" s="117" t="n"/>
      <c r="J272" s="117" t="n"/>
      <c r="K272" s="117" t="n"/>
      <c r="L272" s="117" t="n"/>
      <c r="M272" s="117" t="n"/>
      <c r="N272" s="117" t="n"/>
      <c r="O272" s="117" t="n"/>
      <c r="P272" s="117" t="n"/>
      <c r="Q272" s="117" t="n"/>
      <c r="R272" s="117" t="n"/>
      <c r="S272" s="117" t="n"/>
      <c r="T272" s="117" t="n"/>
      <c r="U272" s="117" t="n"/>
      <c r="V272" s="117" t="n"/>
      <c r="W272" s="117" t="n"/>
      <c r="X272" s="135" t="n">
        <v>0.13</v>
      </c>
      <c r="Y272" s="117" t="n">
        <v>3</v>
      </c>
      <c r="Z272" s="121" t="n"/>
      <c r="AA272" s="121" t="n"/>
      <c r="AB272" s="121" t="n"/>
      <c r="AC272" s="121" t="n"/>
      <c r="AD272" s="121" t="n"/>
      <c r="AE272" s="121" t="n"/>
      <c r="AF272" s="121" t="n"/>
      <c r="AG272" s="121" t="n"/>
      <c r="AH272" s="121" t="n"/>
      <c r="AI272" s="121" t="n"/>
      <c r="AJ272" s="121" t="n"/>
    </row>
    <row r="273" ht="14.25" customHeight="1" s="142">
      <c r="A273" s="117" t="n">
        <v>210</v>
      </c>
      <c r="B273" s="117" t="n">
        <v>5</v>
      </c>
      <c r="C273" s="117" t="n"/>
      <c r="D273" s="117" t="n"/>
      <c r="E273" s="117" t="n"/>
      <c r="F273" s="117" t="n"/>
      <c r="G273" s="117" t="n">
        <v>72</v>
      </c>
      <c r="H273" s="117" t="n"/>
      <c r="I273" s="117" t="n"/>
      <c r="J273" s="117" t="n"/>
      <c r="K273" s="117" t="n"/>
      <c r="L273" s="117" t="n"/>
      <c r="M273" s="117" t="n"/>
      <c r="N273" s="117" t="n"/>
      <c r="O273" s="117" t="n"/>
      <c r="P273" s="117" t="n"/>
      <c r="Q273" s="117" t="n"/>
      <c r="R273" s="117" t="n"/>
      <c r="S273" s="117" t="n"/>
      <c r="T273" s="117" t="n"/>
      <c r="U273" s="117" t="n"/>
      <c r="V273" s="117" t="n"/>
      <c r="W273" s="117" t="n"/>
      <c r="X273" s="135" t="n">
        <v>0.13</v>
      </c>
      <c r="Y273" s="117" t="n">
        <v>4</v>
      </c>
      <c r="Z273" s="121" t="n"/>
      <c r="AA273" s="121" t="n"/>
      <c r="AB273" s="121" t="n"/>
      <c r="AC273" s="121" t="n"/>
      <c r="AD273" s="121" t="n"/>
      <c r="AE273" s="121" t="n"/>
      <c r="AF273" s="121" t="n"/>
      <c r="AG273" s="121" t="n"/>
      <c r="AH273" s="121" t="n"/>
      <c r="AI273" s="121" t="n"/>
      <c r="AJ273" s="121" t="n"/>
    </row>
    <row r="274" ht="14.25" customHeight="1" s="142">
      <c r="A274" s="117" t="n">
        <v>210</v>
      </c>
      <c r="B274" s="117" t="n">
        <v>950</v>
      </c>
      <c r="C274" s="117" t="n"/>
      <c r="D274" s="117" t="n">
        <v>4</v>
      </c>
      <c r="E274" s="117" t="n"/>
      <c r="F274" s="117" t="n"/>
      <c r="G274" s="117" t="n"/>
      <c r="H274" s="117" t="n"/>
      <c r="I274" s="117" t="n"/>
      <c r="J274" s="117" t="n"/>
      <c r="K274" s="117" t="n"/>
      <c r="L274" s="117" t="n"/>
      <c r="M274" s="117" t="n"/>
      <c r="N274" s="117" t="n"/>
      <c r="O274" s="117" t="n"/>
      <c r="P274" s="117" t="n"/>
      <c r="Q274" s="117" t="n"/>
      <c r="R274" s="117" t="n"/>
      <c r="S274" s="117" t="n"/>
      <c r="T274" s="117" t="n"/>
      <c r="U274" s="117" t="n"/>
      <c r="V274" s="117" t="n"/>
      <c r="W274" s="117" t="n"/>
      <c r="X274" s="135" t="n">
        <v>0.13</v>
      </c>
      <c r="Y274" s="117" t="n">
        <v>1</v>
      </c>
      <c r="Z274" s="121" t="n"/>
      <c r="AA274" s="121" t="n"/>
      <c r="AB274" s="121" t="n"/>
      <c r="AC274" s="121" t="n"/>
      <c r="AD274" s="121" t="n"/>
      <c r="AE274" s="121" t="n"/>
      <c r="AF274" s="121" t="n"/>
      <c r="AG274" s="121" t="n"/>
      <c r="AH274" s="121" t="n"/>
      <c r="AI274" s="121" t="n"/>
      <c r="AJ274" s="121" t="n"/>
    </row>
    <row r="275" ht="14.25" customHeight="1" s="142">
      <c r="A275" s="117" t="n">
        <v>210</v>
      </c>
      <c r="B275" s="117" t="n">
        <v>200</v>
      </c>
      <c r="C275" s="117" t="n"/>
      <c r="D275" s="117" t="n">
        <v>8</v>
      </c>
      <c r="E275" s="117" t="n"/>
      <c r="F275" s="117" t="n"/>
      <c r="G275" s="117" t="n"/>
      <c r="H275" s="117" t="n"/>
      <c r="I275" s="117" t="n"/>
      <c r="J275" s="117" t="n"/>
      <c r="K275" s="117" t="n"/>
      <c r="L275" s="117" t="n"/>
      <c r="M275" s="117" t="n"/>
      <c r="N275" s="117" t="n"/>
      <c r="O275" s="117" t="n"/>
      <c r="P275" s="117" t="n"/>
      <c r="Q275" s="117" t="n"/>
      <c r="R275" s="117" t="n"/>
      <c r="S275" s="117" t="n"/>
      <c r="T275" s="117" t="n"/>
      <c r="U275" s="117" t="n"/>
      <c r="V275" s="117" t="n"/>
      <c r="W275" s="117" t="n"/>
      <c r="X275" s="135" t="n">
        <v>0.13</v>
      </c>
      <c r="Y275" s="117" t="n">
        <v>1</v>
      </c>
      <c r="Z275" s="121" t="n"/>
      <c r="AA275" s="121" t="n"/>
      <c r="AB275" s="121" t="n"/>
      <c r="AC275" s="121" t="n"/>
      <c r="AD275" s="121" t="n"/>
      <c r="AE275" s="121" t="n"/>
      <c r="AF275" s="121" t="n"/>
      <c r="AG275" s="121" t="n"/>
      <c r="AH275" s="121" t="n"/>
      <c r="AI275" s="121" t="n"/>
      <c r="AJ275" s="121" t="n"/>
    </row>
    <row r="276" ht="14.25" customHeight="1" s="142">
      <c r="A276" s="117" t="n">
        <v>210</v>
      </c>
      <c r="B276" s="117" t="n">
        <v>75</v>
      </c>
      <c r="C276" s="117" t="n"/>
      <c r="D276" s="117" t="n">
        <v>11</v>
      </c>
      <c r="E276" s="117" t="n"/>
      <c r="F276" s="117" t="n"/>
      <c r="G276" s="117" t="n"/>
      <c r="H276" s="117" t="n"/>
      <c r="I276" s="117" t="n"/>
      <c r="J276" s="117" t="n"/>
      <c r="K276" s="117" t="n"/>
      <c r="L276" s="117" t="n"/>
      <c r="M276" s="117" t="n"/>
      <c r="N276" s="117" t="n"/>
      <c r="O276" s="117" t="n"/>
      <c r="P276" s="117" t="n"/>
      <c r="Q276" s="117" t="n"/>
      <c r="R276" s="117" t="n"/>
      <c r="S276" s="117" t="n"/>
      <c r="T276" s="117" t="n"/>
      <c r="U276" s="117" t="n"/>
      <c r="V276" s="117" t="n"/>
      <c r="W276" s="117" t="n"/>
      <c r="X276" s="135" t="n">
        <v>0.13</v>
      </c>
      <c r="Y276" s="117" t="n">
        <v>2</v>
      </c>
      <c r="Z276" s="121" t="n"/>
      <c r="AA276" s="121" t="n"/>
      <c r="AB276" s="121" t="n"/>
      <c r="AC276" s="121" t="n"/>
      <c r="AD276" s="121" t="n"/>
      <c r="AE276" s="121" t="n"/>
      <c r="AF276" s="121" t="n"/>
      <c r="AG276" s="121" t="n"/>
      <c r="AH276" s="121" t="n"/>
      <c r="AI276" s="121" t="n"/>
      <c r="AJ276" s="121" t="n"/>
    </row>
    <row r="277" ht="14.25" customHeight="1" s="142">
      <c r="A277" s="117" t="n">
        <v>210</v>
      </c>
      <c r="B277" s="117" t="n">
        <v>20</v>
      </c>
      <c r="C277" s="117" t="n"/>
      <c r="D277" s="117" t="n">
        <v>17</v>
      </c>
      <c r="E277" s="117" t="n"/>
      <c r="F277" s="117" t="n"/>
      <c r="G277" s="117" t="n"/>
      <c r="H277" s="117" t="n"/>
      <c r="I277" s="117" t="n"/>
      <c r="J277" s="117" t="n"/>
      <c r="K277" s="117" t="n"/>
      <c r="L277" s="117" t="n"/>
      <c r="M277" s="117" t="n"/>
      <c r="N277" s="117" t="n"/>
      <c r="O277" s="117" t="n"/>
      <c r="P277" s="117" t="n"/>
      <c r="Q277" s="117" t="n"/>
      <c r="R277" s="117" t="n"/>
      <c r="S277" s="117" t="n"/>
      <c r="T277" s="117" t="n"/>
      <c r="U277" s="117" t="n"/>
      <c r="V277" s="117" t="n"/>
      <c r="W277" s="117" t="n"/>
      <c r="X277" s="135" t="n">
        <v>0.13</v>
      </c>
      <c r="Y277" s="117" t="n">
        <v>3</v>
      </c>
      <c r="Z277" s="121" t="n"/>
      <c r="AA277" s="121" t="n"/>
      <c r="AB277" s="121" t="n"/>
      <c r="AC277" s="121" t="n"/>
      <c r="AD277" s="121" t="n"/>
      <c r="AE277" s="121" t="n"/>
      <c r="AF277" s="121" t="n"/>
      <c r="AG277" s="121" t="n"/>
      <c r="AH277" s="121" t="n"/>
      <c r="AI277" s="121" t="n"/>
      <c r="AJ277" s="121" t="n"/>
    </row>
    <row r="278" ht="14.25" customHeight="1" s="142">
      <c r="A278" s="117" t="n">
        <v>210</v>
      </c>
      <c r="B278" s="117" t="n">
        <v>5</v>
      </c>
      <c r="C278" s="117" t="n"/>
      <c r="D278" s="117" t="n">
        <v>40</v>
      </c>
      <c r="E278" s="117" t="n"/>
      <c r="F278" s="117" t="n"/>
      <c r="G278" s="117" t="n"/>
      <c r="H278" s="117" t="n"/>
      <c r="I278" s="117" t="n"/>
      <c r="J278" s="117" t="n"/>
      <c r="K278" s="117" t="n"/>
      <c r="L278" s="117" t="n"/>
      <c r="M278" s="117" t="n"/>
      <c r="N278" s="117" t="n"/>
      <c r="O278" s="117" t="n"/>
      <c r="P278" s="117" t="n"/>
      <c r="Q278" s="117" t="n"/>
      <c r="R278" s="117" t="n"/>
      <c r="S278" s="117" t="n"/>
      <c r="T278" s="117" t="n"/>
      <c r="U278" s="117" t="n"/>
      <c r="V278" s="117" t="n"/>
      <c r="W278" s="117" t="n"/>
      <c r="X278" s="135" t="n">
        <v>0.13</v>
      </c>
      <c r="Y278" s="117" t="n">
        <v>4</v>
      </c>
      <c r="Z278" s="121" t="n"/>
      <c r="AA278" s="121" t="n"/>
      <c r="AB278" s="121" t="n"/>
      <c r="AC278" s="121" t="n"/>
      <c r="AD278" s="121" t="n"/>
      <c r="AE278" s="121" t="n"/>
      <c r="AF278" s="121" t="n"/>
      <c r="AG278" s="121" t="n"/>
      <c r="AH278" s="121" t="n"/>
      <c r="AI278" s="121" t="n"/>
      <c r="AJ278" s="121" t="n"/>
    </row>
    <row r="279" ht="14.25" customHeight="1" s="142">
      <c r="A279" s="117" t="n">
        <v>210</v>
      </c>
      <c r="B279" s="117" t="n">
        <v>500</v>
      </c>
      <c r="C279" s="117" t="n"/>
      <c r="D279" s="117" t="n"/>
      <c r="E279" s="117" t="n">
        <v>6</v>
      </c>
      <c r="F279" s="117" t="n"/>
      <c r="G279" s="117" t="n"/>
      <c r="H279" s="117" t="n"/>
      <c r="I279" s="117" t="n"/>
      <c r="J279" s="117" t="n"/>
      <c r="K279" s="117" t="n"/>
      <c r="L279" s="117" t="n"/>
      <c r="M279" s="117" t="n"/>
      <c r="N279" s="117" t="n"/>
      <c r="O279" s="117" t="n"/>
      <c r="P279" s="117" t="n"/>
      <c r="Q279" s="117" t="n"/>
      <c r="R279" s="117" t="n"/>
      <c r="S279" s="117" t="n"/>
      <c r="T279" s="117" t="n"/>
      <c r="U279" s="117" t="n"/>
      <c r="V279" s="117" t="n"/>
      <c r="W279" s="117" t="n"/>
      <c r="X279" s="135" t="n">
        <v>0.13</v>
      </c>
      <c r="Y279" s="117" t="n">
        <v>1</v>
      </c>
      <c r="Z279" s="121" t="n"/>
      <c r="AA279" s="121" t="n"/>
      <c r="AB279" s="121" t="n"/>
      <c r="AC279" s="121" t="n"/>
      <c r="AD279" s="121" t="n"/>
      <c r="AE279" s="121" t="n"/>
      <c r="AF279" s="121" t="n"/>
      <c r="AG279" s="121" t="n"/>
      <c r="AH279" s="121" t="n"/>
      <c r="AI279" s="121" t="n"/>
      <c r="AJ279" s="121" t="n"/>
    </row>
    <row r="280" ht="14.25" customHeight="1" s="142">
      <c r="A280" s="117" t="n">
        <v>210</v>
      </c>
      <c r="B280" s="117" t="n">
        <v>200</v>
      </c>
      <c r="C280" s="117" t="n"/>
      <c r="D280" s="117" t="n"/>
      <c r="E280" s="117" t="n">
        <v>10</v>
      </c>
      <c r="F280" s="117" t="n"/>
      <c r="G280" s="117" t="n"/>
      <c r="H280" s="117" t="n"/>
      <c r="I280" s="117" t="n"/>
      <c r="J280" s="117" t="n"/>
      <c r="K280" s="117" t="n"/>
      <c r="L280" s="117" t="n"/>
      <c r="M280" s="117" t="n"/>
      <c r="N280" s="117" t="n"/>
      <c r="O280" s="117" t="n"/>
      <c r="P280" s="117" t="n"/>
      <c r="Q280" s="117" t="n"/>
      <c r="R280" s="117" t="n"/>
      <c r="S280" s="117" t="n"/>
      <c r="T280" s="117" t="n"/>
      <c r="U280" s="117" t="n"/>
      <c r="V280" s="117" t="n"/>
      <c r="W280" s="117" t="n"/>
      <c r="X280" s="135" t="n">
        <v>0.13</v>
      </c>
      <c r="Y280" s="117" t="n">
        <v>1</v>
      </c>
      <c r="Z280" s="121" t="n"/>
      <c r="AA280" s="121" t="n"/>
      <c r="AB280" s="121" t="n"/>
      <c r="AC280" s="121" t="n"/>
      <c r="AD280" s="121" t="n"/>
      <c r="AE280" s="121" t="n"/>
      <c r="AF280" s="121" t="n"/>
      <c r="AG280" s="121" t="n"/>
      <c r="AH280" s="121" t="n"/>
      <c r="AI280" s="121" t="n"/>
      <c r="AJ280" s="121" t="n"/>
    </row>
    <row r="281" ht="14.25" customHeight="1" s="142">
      <c r="A281" s="117" t="n">
        <v>210</v>
      </c>
      <c r="B281" s="117" t="n">
        <v>75</v>
      </c>
      <c r="C281" s="117" t="n"/>
      <c r="D281" s="117" t="n"/>
      <c r="E281" s="117" t="n">
        <v>17</v>
      </c>
      <c r="F281" s="117" t="n"/>
      <c r="G281" s="117" t="n"/>
      <c r="H281" s="117" t="n"/>
      <c r="I281" s="117" t="n"/>
      <c r="J281" s="117" t="n"/>
      <c r="K281" s="117" t="n"/>
      <c r="L281" s="117" t="n"/>
      <c r="M281" s="117" t="n"/>
      <c r="N281" s="117" t="n"/>
      <c r="O281" s="117" t="n"/>
      <c r="P281" s="117" t="n"/>
      <c r="Q281" s="117" t="n"/>
      <c r="R281" s="117" t="n"/>
      <c r="S281" s="117" t="n"/>
      <c r="T281" s="117" t="n"/>
      <c r="U281" s="117" t="n"/>
      <c r="V281" s="117" t="n"/>
      <c r="W281" s="117" t="n"/>
      <c r="X281" s="135" t="n">
        <v>0.13</v>
      </c>
      <c r="Y281" s="117" t="n">
        <v>2</v>
      </c>
      <c r="Z281" s="121" t="n"/>
      <c r="AA281" s="121" t="n"/>
      <c r="AB281" s="121" t="n"/>
      <c r="AC281" s="121" t="n"/>
      <c r="AD281" s="121" t="n"/>
      <c r="AE281" s="121" t="n"/>
      <c r="AF281" s="121" t="n"/>
      <c r="AG281" s="121" t="n"/>
      <c r="AH281" s="121" t="n"/>
      <c r="AI281" s="121" t="n"/>
      <c r="AJ281" s="121" t="n"/>
    </row>
    <row r="282" ht="14.25" customHeight="1" s="142">
      <c r="A282" s="117" t="n">
        <v>210</v>
      </c>
      <c r="B282" s="117" t="n">
        <v>20</v>
      </c>
      <c r="C282" s="117" t="n"/>
      <c r="D282" s="117" t="n"/>
      <c r="E282" s="117" t="n">
        <v>30</v>
      </c>
      <c r="F282" s="117" t="n"/>
      <c r="G282" s="117" t="n"/>
      <c r="H282" s="117" t="n"/>
      <c r="I282" s="117" t="n"/>
      <c r="J282" s="117" t="n"/>
      <c r="K282" s="117" t="n"/>
      <c r="L282" s="117" t="n"/>
      <c r="M282" s="117" t="n"/>
      <c r="N282" s="117" t="n"/>
      <c r="O282" s="117" t="n"/>
      <c r="P282" s="117" t="n"/>
      <c r="Q282" s="117" t="n"/>
      <c r="R282" s="117" t="n"/>
      <c r="S282" s="117" t="n"/>
      <c r="T282" s="117" t="n"/>
      <c r="U282" s="117" t="n"/>
      <c r="V282" s="117" t="n"/>
      <c r="W282" s="117" t="n"/>
      <c r="X282" s="135" t="n">
        <v>0.13</v>
      </c>
      <c r="Y282" s="117" t="n">
        <v>3</v>
      </c>
      <c r="Z282" s="121" t="n"/>
      <c r="AA282" s="121" t="n"/>
      <c r="AB282" s="121" t="n"/>
      <c r="AC282" s="121" t="n"/>
      <c r="AD282" s="121" t="n"/>
      <c r="AE282" s="121" t="n"/>
      <c r="AF282" s="121" t="n"/>
      <c r="AG282" s="121" t="n"/>
      <c r="AH282" s="121" t="n"/>
      <c r="AI282" s="121" t="n"/>
      <c r="AJ282" s="121" t="n"/>
    </row>
    <row r="283" ht="14.25" customHeight="1" s="142">
      <c r="A283" s="117" t="n">
        <v>210</v>
      </c>
      <c r="B283" s="117" t="n">
        <v>5</v>
      </c>
      <c r="C283" s="117" t="n"/>
      <c r="D283" s="117" t="n"/>
      <c r="E283" s="117" t="n">
        <v>51</v>
      </c>
      <c r="F283" s="117" t="n"/>
      <c r="G283" s="117" t="n"/>
      <c r="H283" s="117" t="n"/>
      <c r="I283" s="117" t="n"/>
      <c r="J283" s="117" t="n"/>
      <c r="K283" s="117" t="n"/>
      <c r="L283" s="117" t="n"/>
      <c r="M283" s="117" t="n"/>
      <c r="N283" s="117" t="n"/>
      <c r="O283" s="117" t="n"/>
      <c r="P283" s="117" t="n"/>
      <c r="Q283" s="117" t="n"/>
      <c r="R283" s="117" t="n"/>
      <c r="S283" s="117" t="n"/>
      <c r="T283" s="117" t="n"/>
      <c r="U283" s="117" t="n"/>
      <c r="V283" s="117" t="n"/>
      <c r="W283" s="117" t="n"/>
      <c r="X283" s="135" t="n">
        <v>0.13</v>
      </c>
      <c r="Y283" s="117" t="n">
        <v>4</v>
      </c>
      <c r="Z283" s="121" t="n"/>
      <c r="AA283" s="121" t="n"/>
      <c r="AB283" s="121" t="n"/>
      <c r="AC283" s="121" t="n"/>
      <c r="AD283" s="121" t="n"/>
      <c r="AE283" s="121" t="n"/>
      <c r="AF283" s="121" t="n"/>
      <c r="AG283" s="121" t="n"/>
      <c r="AH283" s="121" t="n"/>
      <c r="AI283" s="121" t="n"/>
      <c r="AJ283" s="121" t="n"/>
    </row>
    <row r="284" ht="14.25" customHeight="1" s="142">
      <c r="A284" s="117" t="n">
        <v>210</v>
      </c>
      <c r="B284" s="117" t="n">
        <v>500</v>
      </c>
      <c r="C284" s="117" t="n"/>
      <c r="D284" s="117" t="n"/>
      <c r="E284" s="117" t="n"/>
      <c r="F284" s="117" t="n"/>
      <c r="G284" s="117" t="n"/>
      <c r="H284" s="117" t="n"/>
      <c r="I284" s="117" t="n"/>
      <c r="J284" s="117" t="n"/>
      <c r="K284" s="117" t="n"/>
      <c r="L284" s="117" t="n"/>
      <c r="M284" s="117" t="n"/>
      <c r="N284" s="117" t="n"/>
      <c r="O284" s="117" t="n"/>
      <c r="P284" s="117" t="n">
        <v>0.01</v>
      </c>
      <c r="Q284" s="117" t="n"/>
      <c r="R284" s="117" t="n"/>
      <c r="S284" s="117" t="n"/>
      <c r="T284" s="117" t="n"/>
      <c r="U284" s="117" t="n"/>
      <c r="V284" s="117" t="n"/>
      <c r="W284" s="117" t="n"/>
      <c r="X284" s="135" t="n">
        <v>0.13</v>
      </c>
      <c r="Y284" s="117" t="n">
        <v>1</v>
      </c>
      <c r="Z284" s="121" t="n"/>
      <c r="AA284" s="121" t="n"/>
      <c r="AB284" s="121" t="n"/>
      <c r="AC284" s="121" t="n"/>
      <c r="AD284" s="121" t="n"/>
      <c r="AE284" s="121" t="n"/>
      <c r="AF284" s="121" t="n"/>
      <c r="AG284" s="121" t="n"/>
      <c r="AH284" s="121" t="n"/>
      <c r="AI284" s="121" t="n"/>
      <c r="AJ284" s="121" t="n"/>
    </row>
    <row r="285" ht="14.25" customHeight="1" s="142">
      <c r="A285" s="117" t="n">
        <v>210</v>
      </c>
      <c r="B285" s="117" t="n">
        <v>200</v>
      </c>
      <c r="C285" s="117" t="n"/>
      <c r="D285" s="117" t="n"/>
      <c r="E285" s="117" t="n"/>
      <c r="F285" s="117" t="n"/>
      <c r="G285" s="117" t="n"/>
      <c r="H285" s="117" t="n"/>
      <c r="I285" s="117" t="n"/>
      <c r="J285" s="117" t="n"/>
      <c r="K285" s="117" t="n"/>
      <c r="L285" s="117" t="n"/>
      <c r="M285" s="117" t="n"/>
      <c r="N285" s="117" t="n"/>
      <c r="O285" s="117" t="n"/>
      <c r="P285" s="117" t="n">
        <v>0.02</v>
      </c>
      <c r="Q285" s="117" t="n"/>
      <c r="R285" s="117" t="n"/>
      <c r="S285" s="117" t="n"/>
      <c r="T285" s="117" t="n"/>
      <c r="U285" s="117" t="n"/>
      <c r="V285" s="117" t="n"/>
      <c r="W285" s="117" t="n"/>
      <c r="X285" s="135" t="n">
        <v>0.13</v>
      </c>
      <c r="Y285" s="117" t="n">
        <v>1</v>
      </c>
      <c r="Z285" s="121" t="n"/>
      <c r="AA285" s="121" t="n"/>
      <c r="AB285" s="121" t="n"/>
      <c r="AC285" s="121" t="n"/>
      <c r="AD285" s="121" t="n"/>
      <c r="AE285" s="121" t="n"/>
      <c r="AF285" s="121" t="n"/>
      <c r="AG285" s="121" t="n"/>
      <c r="AH285" s="121" t="n"/>
      <c r="AI285" s="121" t="n"/>
      <c r="AJ285" s="121" t="n"/>
    </row>
    <row r="286" ht="14.25" customHeight="1" s="142">
      <c r="A286" s="117" t="n">
        <v>210</v>
      </c>
      <c r="B286" s="117" t="n">
        <v>75</v>
      </c>
      <c r="C286" s="117" t="n"/>
      <c r="D286" s="117" t="n"/>
      <c r="E286" s="117" t="n"/>
      <c r="F286" s="117" t="n"/>
      <c r="G286" s="117" t="n"/>
      <c r="H286" s="117" t="n"/>
      <c r="I286" s="117" t="n"/>
      <c r="J286" s="117" t="n"/>
      <c r="K286" s="117" t="n"/>
      <c r="L286" s="117" t="n"/>
      <c r="M286" s="117" t="n"/>
      <c r="N286" s="117" t="n"/>
      <c r="O286" s="117" t="n"/>
      <c r="P286" s="117" t="n">
        <v>0.04</v>
      </c>
      <c r="Q286" s="117" t="n"/>
      <c r="R286" s="117" t="n"/>
      <c r="S286" s="117" t="n"/>
      <c r="T286" s="117" t="n"/>
      <c r="U286" s="117" t="n"/>
      <c r="V286" s="117" t="n"/>
      <c r="W286" s="117" t="n"/>
      <c r="X286" s="135" t="n">
        <v>0.13</v>
      </c>
      <c r="Y286" s="117" t="n">
        <v>2</v>
      </c>
      <c r="Z286" s="121" t="n"/>
      <c r="AA286" s="121" t="n"/>
      <c r="AB286" s="121" t="n"/>
      <c r="AC286" s="121" t="n"/>
      <c r="AD286" s="121" t="n"/>
      <c r="AE286" s="121" t="n"/>
      <c r="AF286" s="121" t="n"/>
      <c r="AG286" s="121" t="n"/>
      <c r="AH286" s="121" t="n"/>
      <c r="AI286" s="121" t="n"/>
      <c r="AJ286" s="121" t="n"/>
    </row>
    <row r="287" ht="14.25" customHeight="1" s="142">
      <c r="A287" s="117" t="n">
        <v>210</v>
      </c>
      <c r="B287" s="117" t="n">
        <v>20</v>
      </c>
      <c r="C287" s="117" t="n"/>
      <c r="D287" s="117" t="n"/>
      <c r="E287" s="117" t="n"/>
      <c r="F287" s="117" t="n"/>
      <c r="G287" s="117" t="n"/>
      <c r="H287" s="117" t="n"/>
      <c r="I287" s="117" t="n"/>
      <c r="J287" s="117" t="n"/>
      <c r="K287" s="117" t="n"/>
      <c r="L287" s="117" t="n"/>
      <c r="M287" s="117" t="n"/>
      <c r="N287" s="117" t="n"/>
      <c r="O287" s="117" t="n"/>
      <c r="P287" s="117" t="n">
        <v>0.07000000000000001</v>
      </c>
      <c r="Q287" s="117" t="n"/>
      <c r="R287" s="117" t="n"/>
      <c r="S287" s="117" t="n"/>
      <c r="T287" s="117" t="n"/>
      <c r="U287" s="117" t="n"/>
      <c r="V287" s="117" t="n"/>
      <c r="W287" s="117" t="n"/>
      <c r="X287" s="135" t="n">
        <v>0.13</v>
      </c>
      <c r="Y287" s="117" t="n">
        <v>3</v>
      </c>
      <c r="Z287" s="121" t="n"/>
      <c r="AA287" s="121" t="n"/>
      <c r="AB287" s="121" t="n"/>
      <c r="AC287" s="121" t="n"/>
      <c r="AD287" s="121" t="n"/>
      <c r="AE287" s="121" t="n"/>
      <c r="AF287" s="121" t="n"/>
      <c r="AG287" s="121" t="n"/>
      <c r="AH287" s="121" t="n"/>
      <c r="AI287" s="121" t="n"/>
      <c r="AJ287" s="121" t="n"/>
    </row>
    <row r="288" ht="14.25" customHeight="1" s="142">
      <c r="A288" s="117" t="n">
        <v>210</v>
      </c>
      <c r="B288" s="117" t="n">
        <v>5</v>
      </c>
      <c r="C288" s="117" t="n"/>
      <c r="D288" s="117" t="n"/>
      <c r="E288" s="117" t="n"/>
      <c r="F288" s="117" t="n"/>
      <c r="G288" s="117" t="n"/>
      <c r="H288" s="117" t="n"/>
      <c r="I288" s="117" t="n"/>
      <c r="J288" s="117" t="n"/>
      <c r="K288" s="117" t="n"/>
      <c r="L288" s="117" t="n"/>
      <c r="M288" s="117" t="n"/>
      <c r="N288" s="117" t="n"/>
      <c r="O288" s="117" t="n"/>
      <c r="P288" s="117" t="n">
        <v>0.1</v>
      </c>
      <c r="Q288" s="117" t="n"/>
      <c r="R288" s="117" t="n"/>
      <c r="S288" s="117" t="n"/>
      <c r="T288" s="117" t="n"/>
      <c r="U288" s="117" t="n"/>
      <c r="V288" s="117" t="n"/>
      <c r="W288" s="117" t="n"/>
      <c r="X288" s="135" t="n">
        <v>0.13</v>
      </c>
      <c r="Y288" s="117" t="n">
        <v>4</v>
      </c>
      <c r="Z288" s="121" t="n"/>
      <c r="AA288" s="121" t="n"/>
      <c r="AB288" s="121" t="n"/>
      <c r="AC288" s="121" t="n"/>
      <c r="AD288" s="121" t="n"/>
      <c r="AE288" s="121" t="n"/>
      <c r="AF288" s="121" t="n"/>
      <c r="AG288" s="121" t="n"/>
      <c r="AH288" s="121" t="n"/>
      <c r="AI288" s="121" t="n"/>
      <c r="AJ288" s="121" t="n"/>
    </row>
    <row r="289" ht="14.25" customHeight="1" s="142">
      <c r="A289" s="117" t="n">
        <v>210</v>
      </c>
      <c r="B289" s="117" t="n">
        <v>550</v>
      </c>
      <c r="C289" s="117" t="n"/>
      <c r="D289" s="117" t="n"/>
      <c r="E289" s="117" t="n"/>
      <c r="F289" s="117" t="n"/>
      <c r="G289" s="117" t="n"/>
      <c r="H289" s="117" t="n"/>
      <c r="I289" s="117" t="n"/>
      <c r="J289" s="117" t="n"/>
      <c r="K289" s="117" t="n"/>
      <c r="L289" s="117" t="n"/>
      <c r="M289" s="117" t="n"/>
      <c r="N289" s="117" t="n"/>
      <c r="O289" s="117" t="n"/>
      <c r="P289" s="117" t="n"/>
      <c r="Q289" s="117" t="n"/>
      <c r="R289" s="117" t="n"/>
      <c r="S289" s="117" t="n"/>
      <c r="T289" s="117" t="n"/>
      <c r="U289" s="117" t="n"/>
      <c r="V289" s="117" t="n"/>
      <c r="W289" s="117" t="n">
        <v>0.02</v>
      </c>
      <c r="X289" s="135" t="n">
        <v>0.13</v>
      </c>
      <c r="Y289" s="117" t="n">
        <v>1</v>
      </c>
      <c r="Z289" s="121" t="n"/>
      <c r="AA289" s="121" t="n"/>
      <c r="AB289" s="121" t="n"/>
      <c r="AC289" s="121" t="n"/>
      <c r="AD289" s="121" t="n"/>
      <c r="AE289" s="121" t="n"/>
      <c r="AF289" s="121" t="n"/>
      <c r="AG289" s="121" t="n"/>
      <c r="AH289" s="121" t="n"/>
      <c r="AI289" s="121" t="n"/>
      <c r="AJ289" s="121" t="n"/>
    </row>
    <row r="290" ht="14.25" customHeight="1" s="142">
      <c r="A290" s="117" t="n">
        <v>210</v>
      </c>
      <c r="B290" s="117" t="n">
        <v>100</v>
      </c>
      <c r="C290" s="117" t="n"/>
      <c r="D290" s="117" t="n"/>
      <c r="E290" s="117" t="n"/>
      <c r="F290" s="117" t="n"/>
      <c r="G290" s="117" t="n"/>
      <c r="H290" s="117" t="n"/>
      <c r="I290" s="117" t="n"/>
      <c r="J290" s="117" t="n"/>
      <c r="K290" s="117" t="n"/>
      <c r="L290" s="117" t="n"/>
      <c r="M290" s="117" t="n"/>
      <c r="N290" s="117" t="n"/>
      <c r="O290" s="117" t="n"/>
      <c r="P290" s="117" t="n"/>
      <c r="Q290" s="117" t="n"/>
      <c r="R290" s="117" t="n"/>
      <c r="S290" s="117" t="n"/>
      <c r="T290" s="117" t="n"/>
      <c r="U290" s="117" t="n"/>
      <c r="V290" s="117" t="n"/>
      <c r="W290" s="117" t="n">
        <v>0.04</v>
      </c>
      <c r="X290" s="135" t="n">
        <v>0.13</v>
      </c>
      <c r="Y290" s="117" t="n">
        <v>1</v>
      </c>
      <c r="Z290" s="121" t="n"/>
      <c r="AA290" s="121" t="n"/>
      <c r="AB290" s="121" t="n"/>
      <c r="AC290" s="121" t="n"/>
      <c r="AD290" s="121" t="n"/>
      <c r="AE290" s="121" t="n"/>
      <c r="AF290" s="121" t="n"/>
      <c r="AG290" s="121" t="n"/>
      <c r="AH290" s="121" t="n"/>
      <c r="AI290" s="121" t="n"/>
      <c r="AJ290" s="121" t="n"/>
    </row>
    <row r="291" ht="14.25" customHeight="1" s="142">
      <c r="A291" s="117" t="n">
        <v>210</v>
      </c>
      <c r="B291" s="117" t="n">
        <v>35</v>
      </c>
      <c r="C291" s="117" t="n"/>
      <c r="D291" s="117" t="n"/>
      <c r="E291" s="117" t="n"/>
      <c r="F291" s="117" t="n"/>
      <c r="G291" s="117" t="n"/>
      <c r="H291" s="117" t="n"/>
      <c r="I291" s="117" t="n"/>
      <c r="J291" s="117" t="n"/>
      <c r="K291" s="117" t="n"/>
      <c r="L291" s="117" t="n"/>
      <c r="M291" s="117" t="n"/>
      <c r="N291" s="117" t="n"/>
      <c r="O291" s="117" t="n"/>
      <c r="P291" s="117" t="n"/>
      <c r="Q291" s="117" t="n"/>
      <c r="R291" s="117" t="n"/>
      <c r="S291" s="117" t="n"/>
      <c r="T291" s="117" t="n"/>
      <c r="U291" s="117" t="n"/>
      <c r="V291" s="117" t="n"/>
      <c r="W291" s="117" t="n">
        <v>0.08</v>
      </c>
      <c r="X291" s="135" t="n">
        <v>0.13</v>
      </c>
      <c r="Y291" s="117" t="n">
        <v>2</v>
      </c>
      <c r="Z291" s="121" t="n"/>
      <c r="AA291" s="121" t="n"/>
      <c r="AB291" s="121" t="n"/>
      <c r="AC291" s="121" t="n"/>
      <c r="AD291" s="121" t="n"/>
      <c r="AE291" s="121" t="n"/>
      <c r="AF291" s="121" t="n"/>
      <c r="AG291" s="121" t="n"/>
      <c r="AH291" s="121" t="n"/>
      <c r="AI291" s="121" t="n"/>
      <c r="AJ291" s="121" t="n"/>
    </row>
    <row r="292" ht="14.25" customHeight="1" s="142">
      <c r="A292" s="117" t="n">
        <v>210</v>
      </c>
      <c r="B292" s="117" t="n">
        <v>10</v>
      </c>
      <c r="C292" s="117" t="n"/>
      <c r="D292" s="117" t="n"/>
      <c r="E292" s="117" t="n"/>
      <c r="F292" s="117" t="n"/>
      <c r="G292" s="117" t="n"/>
      <c r="H292" s="117" t="n"/>
      <c r="I292" s="117" t="n"/>
      <c r="J292" s="117" t="n"/>
      <c r="K292" s="117" t="n"/>
      <c r="L292" s="117" t="n"/>
      <c r="M292" s="117" t="n"/>
      <c r="N292" s="117" t="n"/>
      <c r="O292" s="117" t="n"/>
      <c r="P292" s="117" t="n"/>
      <c r="Q292" s="117" t="n"/>
      <c r="R292" s="117" t="n"/>
      <c r="S292" s="117" t="n"/>
      <c r="T292" s="117" t="n"/>
      <c r="U292" s="117" t="n"/>
      <c r="V292" s="117" t="n"/>
      <c r="W292" s="117" t="n">
        <v>0.013</v>
      </c>
      <c r="X292" s="135" t="n">
        <v>0.13</v>
      </c>
      <c r="Y292" s="117" t="n">
        <v>3</v>
      </c>
      <c r="Z292" s="121" t="n"/>
      <c r="AA292" s="121" t="n"/>
      <c r="AB292" s="121" t="n"/>
      <c r="AC292" s="121" t="n"/>
      <c r="AD292" s="121" t="n"/>
      <c r="AE292" s="121" t="n"/>
      <c r="AF292" s="121" t="n"/>
      <c r="AG292" s="121" t="n"/>
      <c r="AH292" s="121" t="n"/>
      <c r="AI292" s="121" t="n"/>
      <c r="AJ292" s="121" t="n"/>
    </row>
    <row r="293" ht="14.25" customHeight="1" s="142">
      <c r="A293" s="117" t="n">
        <v>210</v>
      </c>
      <c r="B293" s="117" t="n">
        <v>5</v>
      </c>
      <c r="C293" s="117" t="n"/>
      <c r="D293" s="117" t="n"/>
      <c r="E293" s="117" t="n"/>
      <c r="F293" s="117" t="n"/>
      <c r="G293" s="117" t="n"/>
      <c r="H293" s="117" t="n"/>
      <c r="I293" s="117" t="n"/>
      <c r="J293" s="117" t="n"/>
      <c r="K293" s="117" t="n"/>
      <c r="L293" s="117" t="n"/>
      <c r="M293" s="117" t="n"/>
      <c r="N293" s="117" t="n"/>
      <c r="O293" s="117" t="n"/>
      <c r="P293" s="117" t="n"/>
      <c r="Q293" s="117" t="n"/>
      <c r="R293" s="117" t="n"/>
      <c r="S293" s="117" t="n"/>
      <c r="T293" s="117" t="n"/>
      <c r="U293" s="117" t="n"/>
      <c r="V293" s="117" t="n"/>
      <c r="W293" s="117" t="n">
        <v>0.2</v>
      </c>
      <c r="X293" s="135" t="n">
        <v>0.13</v>
      </c>
      <c r="Y293" s="117" t="n">
        <v>4</v>
      </c>
      <c r="Z293" s="121" t="n"/>
      <c r="AA293" s="121" t="n"/>
      <c r="AB293" s="121" t="n"/>
      <c r="AC293" s="121" t="n"/>
      <c r="AD293" s="121" t="n"/>
      <c r="AE293" s="121" t="n"/>
      <c r="AF293" s="121" t="n"/>
      <c r="AG293" s="121" t="n"/>
      <c r="AH293" s="121" t="n"/>
      <c r="AI293" s="121" t="n"/>
      <c r="AJ293" s="121" t="n"/>
    </row>
    <row r="294" ht="14.25" customHeight="1" s="142">
      <c r="A294" s="119" t="n">
        <v>211</v>
      </c>
      <c r="B294" s="119" t="n">
        <v>2000</v>
      </c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23" t="n"/>
      <c r="U294" s="123" t="n"/>
      <c r="V294" s="123" t="n"/>
      <c r="W294" s="123" t="n"/>
      <c r="X294" s="123" t="n"/>
      <c r="Y294" s="123" t="n"/>
    </row>
    <row r="295" ht="14.25" customHeight="1" s="142">
      <c r="A295" s="119" t="n">
        <v>211</v>
      </c>
      <c r="B295" s="119" t="n">
        <v>950</v>
      </c>
      <c r="C295" s="119" t="n">
        <v>65</v>
      </c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  <c r="O295" s="119" t="n"/>
      <c r="P295" s="119" t="n"/>
      <c r="Q295" s="119" t="n"/>
      <c r="R295" s="119" t="n"/>
      <c r="S295" s="119" t="n"/>
      <c r="T295" s="119" t="n"/>
      <c r="U295" s="119" t="n"/>
      <c r="V295" s="119" t="n"/>
      <c r="W295" s="119" t="n"/>
      <c r="X295" s="118" t="n">
        <v>0.11</v>
      </c>
      <c r="Y295" s="119" t="n">
        <v>1</v>
      </c>
    </row>
    <row r="296" ht="14.25" customHeight="1" s="142">
      <c r="A296" s="119" t="n">
        <v>211</v>
      </c>
      <c r="B296" s="119" t="n">
        <v>200</v>
      </c>
      <c r="C296" s="119" t="n">
        <v>115</v>
      </c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  <c r="O296" s="119" t="n"/>
      <c r="P296" s="119" t="n"/>
      <c r="Q296" s="119" t="n"/>
      <c r="R296" s="119" t="n"/>
      <c r="S296" s="119" t="n"/>
      <c r="T296" s="119" t="n"/>
      <c r="U296" s="119" t="n"/>
      <c r="V296" s="119" t="n"/>
      <c r="W296" s="119" t="n"/>
      <c r="X296" s="118" t="n">
        <v>0.11</v>
      </c>
      <c r="Y296" s="119" t="n">
        <v>1</v>
      </c>
    </row>
    <row r="297" ht="14.25" customHeight="1" s="142">
      <c r="A297" s="119" t="n">
        <v>211</v>
      </c>
      <c r="B297" s="119" t="n">
        <v>75</v>
      </c>
      <c r="C297" s="119" t="n">
        <v>210</v>
      </c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  <c r="O297" s="119" t="n"/>
      <c r="P297" s="119" t="n"/>
      <c r="Q297" s="119" t="n"/>
      <c r="R297" s="119" t="n"/>
      <c r="S297" s="119" t="n"/>
      <c r="T297" s="119" t="n"/>
      <c r="U297" s="119" t="n"/>
      <c r="V297" s="119" t="n"/>
      <c r="W297" s="119" t="n"/>
      <c r="X297" s="118" t="n">
        <v>0.11</v>
      </c>
      <c r="Y297" s="119" t="n">
        <v>2</v>
      </c>
    </row>
    <row r="298" ht="14.25" customHeight="1" s="142">
      <c r="A298" s="119" t="n">
        <v>211</v>
      </c>
      <c r="B298" s="119" t="n">
        <v>20</v>
      </c>
      <c r="C298" s="119" t="n">
        <v>400</v>
      </c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  <c r="O298" s="119" t="n"/>
      <c r="P298" s="119" t="n"/>
      <c r="Q298" s="119" t="n"/>
      <c r="R298" s="119" t="n"/>
      <c r="S298" s="119" t="n"/>
      <c r="T298" s="119" t="n"/>
      <c r="U298" s="119" t="n"/>
      <c r="V298" s="119" t="n"/>
      <c r="W298" s="119" t="n"/>
      <c r="X298" s="118" t="n">
        <v>0.11</v>
      </c>
      <c r="Y298" s="119" t="n">
        <v>3</v>
      </c>
    </row>
    <row r="299" ht="14.25" customHeight="1" s="142">
      <c r="A299" s="119" t="n">
        <v>211</v>
      </c>
      <c r="B299" s="119" t="n">
        <v>5</v>
      </c>
      <c r="C299" s="119" t="n">
        <v>730</v>
      </c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  <c r="O299" s="119" t="n"/>
      <c r="P299" s="119" t="n"/>
      <c r="Q299" s="119" t="n"/>
      <c r="R299" s="119" t="n"/>
      <c r="S299" s="119" t="n"/>
      <c r="T299" s="119" t="n"/>
      <c r="U299" s="119" t="n"/>
      <c r="V299" s="119" t="n"/>
      <c r="W299" s="119" t="n"/>
      <c r="X299" s="118" t="n">
        <v>0.11</v>
      </c>
      <c r="Y299" s="119" t="n">
        <v>4</v>
      </c>
    </row>
    <row r="300" ht="14.25" customHeight="1" s="142">
      <c r="A300" s="119" t="n">
        <v>211</v>
      </c>
      <c r="B300" s="119" t="n">
        <v>950</v>
      </c>
      <c r="C300" s="119" t="n"/>
      <c r="D300" s="119" t="n"/>
      <c r="E300" s="119" t="n"/>
      <c r="F300" s="119" t="n">
        <v>6</v>
      </c>
      <c r="G300" s="119" t="n"/>
      <c r="H300" s="119" t="n"/>
      <c r="I300" s="119" t="n"/>
      <c r="J300" s="119" t="n"/>
      <c r="K300" s="119" t="n"/>
      <c r="L300" s="119" t="n"/>
      <c r="M300" s="119" t="n"/>
      <c r="N300" s="119" t="n"/>
      <c r="O300" s="119" t="n"/>
      <c r="P300" s="119" t="n"/>
      <c r="Q300" s="119" t="n"/>
      <c r="R300" s="119" t="n"/>
      <c r="S300" s="119" t="n"/>
      <c r="T300" s="119" t="n"/>
      <c r="U300" s="119" t="n"/>
      <c r="V300" s="119" t="n"/>
      <c r="W300" s="119" t="n"/>
      <c r="X300" s="118" t="n">
        <v>0.11</v>
      </c>
      <c r="Y300" s="119" t="n">
        <v>1</v>
      </c>
    </row>
    <row r="301" ht="14.25" customHeight="1" s="142">
      <c r="A301" s="119" t="n">
        <v>211</v>
      </c>
      <c r="B301" s="119" t="n">
        <v>200</v>
      </c>
      <c r="C301" s="119" t="n"/>
      <c r="D301" s="119" t="n"/>
      <c r="E301" s="119" t="n"/>
      <c r="F301" s="119" t="n">
        <v>10</v>
      </c>
      <c r="G301" s="119" t="n"/>
      <c r="H301" s="119" t="n"/>
      <c r="I301" s="119" t="n"/>
      <c r="J301" s="119" t="n"/>
      <c r="K301" s="119" t="n"/>
      <c r="L301" s="119" t="n"/>
      <c r="M301" s="119" t="n"/>
      <c r="N301" s="119" t="n"/>
      <c r="O301" s="119" t="n"/>
      <c r="P301" s="119" t="n"/>
      <c r="Q301" s="119" t="n"/>
      <c r="R301" s="119" t="n"/>
      <c r="S301" s="119" t="n"/>
      <c r="T301" s="119" t="n"/>
      <c r="U301" s="119" t="n"/>
      <c r="V301" s="119" t="n"/>
      <c r="W301" s="119" t="n"/>
      <c r="X301" s="118" t="n">
        <v>0.11</v>
      </c>
      <c r="Y301" s="119" t="n">
        <v>1</v>
      </c>
    </row>
    <row r="302" ht="14.25" customHeight="1" s="142">
      <c r="A302" s="119" t="n">
        <v>211</v>
      </c>
      <c r="B302" s="119" t="n">
        <v>75</v>
      </c>
      <c r="C302" s="119" t="n"/>
      <c r="D302" s="119" t="n"/>
      <c r="E302" s="119" t="n"/>
      <c r="F302" s="119" t="n">
        <v>16</v>
      </c>
      <c r="G302" s="119" t="n"/>
      <c r="H302" s="119" t="n"/>
      <c r="I302" s="119" t="n"/>
      <c r="J302" s="119" t="n"/>
      <c r="K302" s="119" t="n"/>
      <c r="L302" s="119" t="n"/>
      <c r="M302" s="119" t="n"/>
      <c r="N302" s="119" t="n"/>
      <c r="O302" s="119" t="n"/>
      <c r="P302" s="119" t="n"/>
      <c r="Q302" s="119" t="n"/>
      <c r="R302" s="119" t="n"/>
      <c r="S302" s="119" t="n"/>
      <c r="T302" s="119" t="n"/>
      <c r="U302" s="119" t="n"/>
      <c r="V302" s="119" t="n"/>
      <c r="W302" s="119" t="n"/>
      <c r="X302" s="118" t="n">
        <v>0.11</v>
      </c>
      <c r="Y302" s="119" t="n">
        <v>2</v>
      </c>
    </row>
    <row r="303" ht="14.25" customHeight="1" s="142">
      <c r="A303" s="119" t="n">
        <v>211</v>
      </c>
      <c r="B303" s="119" t="n">
        <v>20</v>
      </c>
      <c r="C303" s="119" t="n"/>
      <c r="D303" s="119" t="n"/>
      <c r="E303" s="119" t="n"/>
      <c r="F303" s="119" t="n">
        <v>24</v>
      </c>
      <c r="G303" s="119" t="n"/>
      <c r="H303" s="119" t="n"/>
      <c r="I303" s="119" t="n"/>
      <c r="J303" s="119" t="n"/>
      <c r="K303" s="119" t="n"/>
      <c r="L303" s="119" t="n"/>
      <c r="M303" s="119" t="n"/>
      <c r="N303" s="119" t="n"/>
      <c r="O303" s="119" t="n"/>
      <c r="P303" s="119" t="n"/>
      <c r="Q303" s="119" t="n"/>
      <c r="R303" s="119" t="n"/>
      <c r="S303" s="119" t="n"/>
      <c r="T303" s="119" t="n"/>
      <c r="U303" s="119" t="n"/>
      <c r="V303" s="119" t="n"/>
      <c r="W303" s="119" t="n"/>
      <c r="X303" s="118" t="n">
        <v>0.11</v>
      </c>
      <c r="Y303" s="119" t="n">
        <v>3</v>
      </c>
    </row>
    <row r="304" ht="14.25" customHeight="1" s="142">
      <c r="A304" s="119" t="n">
        <v>211</v>
      </c>
      <c r="B304" s="119" t="n">
        <v>5</v>
      </c>
      <c r="C304" s="119" t="n"/>
      <c r="D304" s="119" t="n"/>
      <c r="E304" s="119" t="n"/>
      <c r="F304" s="119" t="n">
        <v>57</v>
      </c>
      <c r="G304" s="119" t="n"/>
      <c r="H304" s="119" t="n"/>
      <c r="I304" s="119" t="n"/>
      <c r="J304" s="119" t="n"/>
      <c r="K304" s="119" t="n"/>
      <c r="L304" s="119" t="n"/>
      <c r="M304" s="119" t="n"/>
      <c r="N304" s="119" t="n"/>
      <c r="O304" s="119" t="n"/>
      <c r="P304" s="119" t="n"/>
      <c r="Q304" s="119" t="n"/>
      <c r="R304" s="119" t="n"/>
      <c r="S304" s="119" t="n"/>
      <c r="T304" s="119" t="n"/>
      <c r="U304" s="119" t="n"/>
      <c r="V304" s="119" t="n"/>
      <c r="W304" s="119" t="n"/>
      <c r="X304" s="118" t="n">
        <v>0.11</v>
      </c>
      <c r="Y304" s="119" t="n">
        <v>4</v>
      </c>
    </row>
    <row r="305" ht="14.25" customHeight="1" s="142">
      <c r="A305" s="119" t="n">
        <v>211</v>
      </c>
      <c r="B305" s="119" t="n">
        <v>950</v>
      </c>
      <c r="C305" s="119" t="n"/>
      <c r="D305" s="119" t="n"/>
      <c r="E305" s="119" t="n"/>
      <c r="F305" s="119" t="n"/>
      <c r="G305" s="119" t="n">
        <v>9</v>
      </c>
      <c r="H305" s="119" t="n"/>
      <c r="I305" s="119" t="n"/>
      <c r="J305" s="119" t="n"/>
      <c r="K305" s="119" t="n"/>
      <c r="L305" s="119" t="n"/>
      <c r="M305" s="119" t="n"/>
      <c r="N305" s="119" t="n"/>
      <c r="O305" s="119" t="n"/>
      <c r="P305" s="119" t="n"/>
      <c r="Q305" s="119" t="n"/>
      <c r="R305" s="119" t="n"/>
      <c r="S305" s="119" t="n"/>
      <c r="T305" s="119" t="n"/>
      <c r="U305" s="119" t="n"/>
      <c r="V305" s="119" t="n"/>
      <c r="W305" s="119" t="n"/>
      <c r="X305" s="118" t="n">
        <v>0.11</v>
      </c>
      <c r="Y305" s="119" t="n">
        <v>1</v>
      </c>
    </row>
    <row r="306" ht="14.25" customHeight="1" s="142">
      <c r="A306" s="119" t="n">
        <v>211</v>
      </c>
      <c r="B306" s="119" t="n">
        <v>200</v>
      </c>
      <c r="C306" s="119" t="n"/>
      <c r="D306" s="119" t="n"/>
      <c r="E306" s="119" t="n"/>
      <c r="F306" s="119" t="n"/>
      <c r="G306" s="119" t="n">
        <v>13</v>
      </c>
      <c r="H306" s="119" t="n"/>
      <c r="I306" s="119" t="n"/>
      <c r="J306" s="119" t="n"/>
      <c r="K306" s="119" t="n"/>
      <c r="L306" s="119" t="n"/>
      <c r="M306" s="119" t="n"/>
      <c r="N306" s="119" t="n"/>
      <c r="O306" s="119" t="n"/>
      <c r="P306" s="119" t="n"/>
      <c r="Q306" s="119" t="n"/>
      <c r="R306" s="119" t="n"/>
      <c r="S306" s="119" t="n"/>
      <c r="T306" s="119" t="n"/>
      <c r="U306" s="119" t="n"/>
      <c r="V306" s="119" t="n"/>
      <c r="W306" s="119" t="n"/>
      <c r="X306" s="118" t="n">
        <v>0.11</v>
      </c>
      <c r="Y306" s="119" t="n">
        <v>1</v>
      </c>
    </row>
    <row r="307" ht="14.25" customHeight="1" s="142">
      <c r="A307" s="119" t="n">
        <v>211</v>
      </c>
      <c r="B307" s="119" t="n">
        <v>75</v>
      </c>
      <c r="C307" s="119" t="n"/>
      <c r="D307" s="119" t="n"/>
      <c r="E307" s="119" t="n"/>
      <c r="F307" s="119" t="n"/>
      <c r="G307" s="119" t="n">
        <v>22</v>
      </c>
      <c r="H307" s="119" t="n"/>
      <c r="I307" s="119" t="n"/>
      <c r="J307" s="119" t="n"/>
      <c r="K307" s="119" t="n"/>
      <c r="L307" s="119" t="n"/>
      <c r="M307" s="119" t="n"/>
      <c r="N307" s="119" t="n"/>
      <c r="O307" s="119" t="n"/>
      <c r="P307" s="119" t="n"/>
      <c r="Q307" s="119" t="n"/>
      <c r="R307" s="119" t="n"/>
      <c r="S307" s="119" t="n"/>
      <c r="T307" s="119" t="n"/>
      <c r="U307" s="119" t="n"/>
      <c r="V307" s="119" t="n"/>
      <c r="W307" s="119" t="n"/>
      <c r="X307" s="118" t="n">
        <v>0.11</v>
      </c>
      <c r="Y307" s="119" t="n">
        <v>2</v>
      </c>
    </row>
    <row r="308" ht="14.25" customHeight="1" s="142">
      <c r="A308" s="119" t="n">
        <v>211</v>
      </c>
      <c r="B308" s="119" t="n">
        <v>20</v>
      </c>
      <c r="C308" s="119" t="n"/>
      <c r="D308" s="119" t="n"/>
      <c r="E308" s="119" t="n"/>
      <c r="F308" s="119" t="n"/>
      <c r="G308" s="119" t="n">
        <v>42</v>
      </c>
      <c r="H308" s="119" t="n"/>
      <c r="I308" s="119" t="n"/>
      <c r="J308" s="119" t="n"/>
      <c r="K308" s="119" t="n"/>
      <c r="L308" s="119" t="n"/>
      <c r="M308" s="119" t="n"/>
      <c r="N308" s="119" t="n"/>
      <c r="O308" s="119" t="n"/>
      <c r="P308" s="119" t="n"/>
      <c r="Q308" s="119" t="n"/>
      <c r="R308" s="119" t="n"/>
      <c r="S308" s="119" t="n"/>
      <c r="T308" s="119" t="n"/>
      <c r="U308" s="119" t="n"/>
      <c r="V308" s="119" t="n"/>
      <c r="W308" s="119" t="n"/>
      <c r="X308" s="118" t="n">
        <v>0.11</v>
      </c>
      <c r="Y308" s="119" t="n">
        <v>3</v>
      </c>
    </row>
    <row r="309" ht="14.25" customHeight="1" s="142">
      <c r="A309" s="119" t="n">
        <v>211</v>
      </c>
      <c r="B309" s="119" t="n">
        <v>5</v>
      </c>
      <c r="C309" s="119" t="n"/>
      <c r="D309" s="119" t="n"/>
      <c r="E309" s="119" t="n"/>
      <c r="F309" s="119" t="n"/>
      <c r="G309" s="119" t="n">
        <v>72</v>
      </c>
      <c r="H309" s="119" t="n"/>
      <c r="I309" s="119" t="n"/>
      <c r="J309" s="119" t="n"/>
      <c r="K309" s="119" t="n"/>
      <c r="L309" s="119" t="n"/>
      <c r="M309" s="119" t="n"/>
      <c r="N309" s="119" t="n"/>
      <c r="O309" s="119" t="n"/>
      <c r="P309" s="119" t="n"/>
      <c r="Q309" s="119" t="n"/>
      <c r="R309" s="119" t="n"/>
      <c r="S309" s="119" t="n"/>
      <c r="T309" s="119" t="n"/>
      <c r="U309" s="119" t="n"/>
      <c r="V309" s="119" t="n"/>
      <c r="W309" s="119" t="n"/>
      <c r="X309" s="118" t="n">
        <v>0.11</v>
      </c>
      <c r="Y309" s="119" t="n">
        <v>4</v>
      </c>
    </row>
    <row r="310" ht="14.25" customHeight="1" s="142">
      <c r="A310" s="119" t="n">
        <v>211</v>
      </c>
      <c r="B310" s="119" t="n">
        <v>950</v>
      </c>
      <c r="C310" s="119" t="n"/>
      <c r="D310" s="119" t="n">
        <v>4</v>
      </c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  <c r="O310" s="119" t="n"/>
      <c r="P310" s="119" t="n"/>
      <c r="Q310" s="119" t="n"/>
      <c r="R310" s="119" t="n"/>
      <c r="S310" s="119" t="n"/>
      <c r="T310" s="119" t="n"/>
      <c r="U310" s="119" t="n"/>
      <c r="V310" s="119" t="n"/>
      <c r="W310" s="119" t="n"/>
      <c r="X310" s="118" t="n">
        <v>0.11</v>
      </c>
      <c r="Y310" s="119" t="n">
        <v>1</v>
      </c>
    </row>
    <row r="311" ht="14.25" customHeight="1" s="142">
      <c r="A311" s="119" t="n">
        <v>211</v>
      </c>
      <c r="B311" s="119" t="n">
        <v>200</v>
      </c>
      <c r="C311" s="119" t="n"/>
      <c r="D311" s="119" t="n">
        <v>8</v>
      </c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  <c r="O311" s="119" t="n"/>
      <c r="P311" s="119" t="n"/>
      <c r="Q311" s="119" t="n"/>
      <c r="R311" s="119" t="n"/>
      <c r="S311" s="119" t="n"/>
      <c r="T311" s="119" t="n"/>
      <c r="U311" s="119" t="n"/>
      <c r="V311" s="119" t="n"/>
      <c r="W311" s="119" t="n"/>
      <c r="X311" s="118" t="n">
        <v>0.11</v>
      </c>
      <c r="Y311" s="119" t="n">
        <v>1</v>
      </c>
    </row>
    <row r="312" ht="14.25" customHeight="1" s="142">
      <c r="A312" s="119" t="n">
        <v>211</v>
      </c>
      <c r="B312" s="119" t="n">
        <v>75</v>
      </c>
      <c r="C312" s="119" t="n"/>
      <c r="D312" s="119" t="n">
        <v>11</v>
      </c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  <c r="O312" s="119" t="n"/>
      <c r="P312" s="119" t="n"/>
      <c r="Q312" s="119" t="n"/>
      <c r="R312" s="119" t="n"/>
      <c r="S312" s="119" t="n"/>
      <c r="T312" s="119" t="n"/>
      <c r="U312" s="119" t="n"/>
      <c r="V312" s="119" t="n"/>
      <c r="W312" s="119" t="n"/>
      <c r="X312" s="118" t="n">
        <v>0.11</v>
      </c>
      <c r="Y312" s="119" t="n">
        <v>2</v>
      </c>
    </row>
    <row r="313" ht="14.25" customHeight="1" s="142">
      <c r="A313" s="119" t="n">
        <v>211</v>
      </c>
      <c r="B313" s="119" t="n">
        <v>20</v>
      </c>
      <c r="C313" s="119" t="n"/>
      <c r="D313" s="119" t="n">
        <v>17</v>
      </c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  <c r="O313" s="119" t="n"/>
      <c r="P313" s="119" t="n"/>
      <c r="Q313" s="119" t="n"/>
      <c r="R313" s="119" t="n"/>
      <c r="S313" s="119" t="n"/>
      <c r="T313" s="119" t="n"/>
      <c r="U313" s="119" t="n"/>
      <c r="V313" s="119" t="n"/>
      <c r="W313" s="119" t="n"/>
      <c r="X313" s="118" t="n">
        <v>0.11</v>
      </c>
      <c r="Y313" s="119" t="n">
        <v>3</v>
      </c>
    </row>
    <row r="314" ht="14.25" customHeight="1" s="142">
      <c r="A314" s="119" t="n">
        <v>211</v>
      </c>
      <c r="B314" s="119" t="n">
        <v>5</v>
      </c>
      <c r="C314" s="119" t="n"/>
      <c r="D314" s="119" t="n">
        <v>40</v>
      </c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  <c r="O314" s="119" t="n"/>
      <c r="P314" s="119" t="n"/>
      <c r="Q314" s="119" t="n"/>
      <c r="R314" s="119" t="n"/>
      <c r="S314" s="119" t="n"/>
      <c r="T314" s="119" t="n"/>
      <c r="U314" s="119" t="n"/>
      <c r="V314" s="119" t="n"/>
      <c r="W314" s="119" t="n"/>
      <c r="X314" s="118" t="n">
        <v>0.11</v>
      </c>
      <c r="Y314" s="119" t="n">
        <v>4</v>
      </c>
    </row>
    <row r="315" ht="14.25" customHeight="1" s="142">
      <c r="A315" s="119" t="n">
        <v>211</v>
      </c>
      <c r="B315" s="119" t="n">
        <v>500</v>
      </c>
      <c r="C315" s="119" t="n"/>
      <c r="D315" s="119" t="n"/>
      <c r="E315" s="119" t="n">
        <v>6</v>
      </c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  <c r="O315" s="119" t="n"/>
      <c r="P315" s="119" t="n"/>
      <c r="Q315" s="119" t="n"/>
      <c r="R315" s="119" t="n"/>
      <c r="S315" s="119" t="n"/>
      <c r="T315" s="119" t="n"/>
      <c r="U315" s="119" t="n"/>
      <c r="V315" s="119" t="n"/>
      <c r="W315" s="119" t="n"/>
      <c r="X315" s="118" t="n">
        <v>0.11</v>
      </c>
      <c r="Y315" s="119" t="n">
        <v>1</v>
      </c>
    </row>
    <row r="316" ht="14.25" customHeight="1" s="142">
      <c r="A316" s="119" t="n">
        <v>211</v>
      </c>
      <c r="B316" s="119" t="n">
        <v>200</v>
      </c>
      <c r="C316" s="119" t="n"/>
      <c r="D316" s="119" t="n"/>
      <c r="E316" s="119" t="n">
        <v>10</v>
      </c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  <c r="O316" s="119" t="n"/>
      <c r="P316" s="119" t="n"/>
      <c r="Q316" s="119" t="n"/>
      <c r="R316" s="119" t="n"/>
      <c r="S316" s="119" t="n"/>
      <c r="T316" s="119" t="n"/>
      <c r="U316" s="119" t="n"/>
      <c r="V316" s="119" t="n"/>
      <c r="W316" s="119" t="n"/>
      <c r="X316" s="118" t="n">
        <v>0.11</v>
      </c>
      <c r="Y316" s="119" t="n">
        <v>1</v>
      </c>
    </row>
    <row r="317" ht="14.25" customHeight="1" s="142">
      <c r="A317" s="119" t="n">
        <v>211</v>
      </c>
      <c r="B317" s="119" t="n">
        <v>75</v>
      </c>
      <c r="C317" s="119" t="n"/>
      <c r="D317" s="119" t="n"/>
      <c r="E317" s="119" t="n">
        <v>17</v>
      </c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  <c r="O317" s="119" t="n"/>
      <c r="P317" s="119" t="n"/>
      <c r="Q317" s="119" t="n"/>
      <c r="R317" s="119" t="n"/>
      <c r="S317" s="119" t="n"/>
      <c r="T317" s="119" t="n"/>
      <c r="U317" s="119" t="n"/>
      <c r="V317" s="119" t="n"/>
      <c r="W317" s="119" t="n"/>
      <c r="X317" s="118" t="n">
        <v>0.11</v>
      </c>
      <c r="Y317" s="119" t="n">
        <v>2</v>
      </c>
    </row>
    <row r="318" ht="14.25" customHeight="1" s="142">
      <c r="A318" s="119" t="n">
        <v>211</v>
      </c>
      <c r="B318" s="119" t="n">
        <v>20</v>
      </c>
      <c r="C318" s="119" t="n"/>
      <c r="D318" s="119" t="n"/>
      <c r="E318" s="119" t="n">
        <v>30</v>
      </c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  <c r="O318" s="119" t="n"/>
      <c r="P318" s="119" t="n"/>
      <c r="Q318" s="119" t="n"/>
      <c r="R318" s="119" t="n"/>
      <c r="S318" s="119" t="n"/>
      <c r="T318" s="119" t="n"/>
      <c r="U318" s="119" t="n"/>
      <c r="V318" s="119" t="n"/>
      <c r="W318" s="119" t="n"/>
      <c r="X318" s="118" t="n">
        <v>0.11</v>
      </c>
      <c r="Y318" s="119" t="n">
        <v>3</v>
      </c>
    </row>
    <row r="319" ht="14.25" customHeight="1" s="142">
      <c r="A319" s="119" t="n">
        <v>211</v>
      </c>
      <c r="B319" s="119" t="n">
        <v>5</v>
      </c>
      <c r="C319" s="119" t="n"/>
      <c r="D319" s="119" t="n"/>
      <c r="E319" s="119" t="n">
        <v>51</v>
      </c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  <c r="O319" s="119" t="n"/>
      <c r="P319" s="119" t="n"/>
      <c r="Q319" s="119" t="n"/>
      <c r="R319" s="119" t="n"/>
      <c r="S319" s="119" t="n"/>
      <c r="T319" s="119" t="n"/>
      <c r="U319" s="119" t="n"/>
      <c r="V319" s="119" t="n"/>
      <c r="W319" s="119" t="n"/>
      <c r="X319" s="118" t="n">
        <v>0.11</v>
      </c>
      <c r="Y319" s="119" t="n">
        <v>4</v>
      </c>
    </row>
    <row r="320" ht="14.25" customHeight="1" s="142">
      <c r="A320" s="119" t="n">
        <v>211</v>
      </c>
      <c r="B320" s="119" t="n">
        <v>500</v>
      </c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  <c r="O320" s="119" t="n"/>
      <c r="P320" s="119" t="n">
        <v>0.01</v>
      </c>
      <c r="Q320" s="119" t="n"/>
      <c r="R320" s="119" t="n"/>
      <c r="S320" s="119" t="n"/>
      <c r="T320" s="119" t="n"/>
      <c r="U320" s="119" t="n"/>
      <c r="V320" s="119" t="n"/>
      <c r="W320" s="119" t="n"/>
      <c r="X320" s="118" t="n">
        <v>0.11</v>
      </c>
      <c r="Y320" s="119" t="n">
        <v>1</v>
      </c>
    </row>
    <row r="321" ht="14.25" customHeight="1" s="142">
      <c r="A321" s="119" t="n">
        <v>211</v>
      </c>
      <c r="B321" s="119" t="n">
        <v>200</v>
      </c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  <c r="O321" s="119" t="n"/>
      <c r="P321" s="119" t="n">
        <v>0.02</v>
      </c>
      <c r="Q321" s="119" t="n"/>
      <c r="R321" s="119" t="n"/>
      <c r="S321" s="119" t="n"/>
      <c r="T321" s="119" t="n"/>
      <c r="U321" s="119" t="n"/>
      <c r="V321" s="119" t="n"/>
      <c r="W321" s="119" t="n"/>
      <c r="X321" s="118" t="n">
        <v>0.11</v>
      </c>
      <c r="Y321" s="119" t="n">
        <v>1</v>
      </c>
    </row>
    <row r="322" ht="14.25" customHeight="1" s="142">
      <c r="A322" s="119" t="n">
        <v>211</v>
      </c>
      <c r="B322" s="119" t="n">
        <v>75</v>
      </c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  <c r="O322" s="119" t="n"/>
      <c r="P322" s="119" t="n">
        <v>0.04</v>
      </c>
      <c r="Q322" s="119" t="n"/>
      <c r="R322" s="119" t="n"/>
      <c r="S322" s="119" t="n"/>
      <c r="T322" s="119" t="n"/>
      <c r="U322" s="119" t="n"/>
      <c r="V322" s="119" t="n"/>
      <c r="W322" s="119" t="n"/>
      <c r="X322" s="118" t="n">
        <v>0.11</v>
      </c>
      <c r="Y322" s="119" t="n">
        <v>2</v>
      </c>
    </row>
    <row r="323" ht="14.25" customHeight="1" s="142">
      <c r="A323" s="119" t="n">
        <v>211</v>
      </c>
      <c r="B323" s="119" t="n">
        <v>20</v>
      </c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  <c r="O323" s="119" t="n"/>
      <c r="P323" s="119" t="n">
        <v>0.07000000000000001</v>
      </c>
      <c r="Q323" s="119" t="n"/>
      <c r="R323" s="119" t="n"/>
      <c r="S323" s="119" t="n"/>
      <c r="T323" s="119" t="n"/>
      <c r="U323" s="119" t="n"/>
      <c r="V323" s="119" t="n"/>
      <c r="W323" s="119" t="n"/>
      <c r="X323" s="118" t="n">
        <v>0.11</v>
      </c>
      <c r="Y323" s="119" t="n">
        <v>3</v>
      </c>
    </row>
    <row r="324" ht="14.25" customHeight="1" s="142">
      <c r="A324" s="119" t="n">
        <v>211</v>
      </c>
      <c r="B324" s="119" t="n">
        <v>5</v>
      </c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  <c r="O324" s="119" t="n"/>
      <c r="P324" s="119" t="n">
        <v>0.1</v>
      </c>
      <c r="Q324" s="119" t="n"/>
      <c r="R324" s="119" t="n"/>
      <c r="S324" s="119" t="n"/>
      <c r="T324" s="119" t="n"/>
      <c r="U324" s="119" t="n"/>
      <c r="V324" s="119" t="n"/>
      <c r="W324" s="119" t="n"/>
      <c r="X324" s="118" t="n">
        <v>0.11</v>
      </c>
      <c r="Y324" s="119" t="n">
        <v>4</v>
      </c>
    </row>
    <row r="325" ht="14.25" customHeight="1" s="142">
      <c r="A325" s="119" t="n">
        <v>211</v>
      </c>
      <c r="B325" s="119" t="n">
        <v>550</v>
      </c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  <c r="O325" s="119" t="n"/>
      <c r="P325" s="119" t="n"/>
      <c r="Q325" s="119" t="n"/>
      <c r="R325" s="119" t="n"/>
      <c r="S325" s="119" t="n"/>
      <c r="T325" s="119" t="n"/>
      <c r="U325" s="119" t="n"/>
      <c r="V325" s="119" t="n"/>
      <c r="W325" s="119" t="n">
        <v>0.02</v>
      </c>
      <c r="X325" s="118" t="n">
        <v>0.11</v>
      </c>
      <c r="Y325" s="119" t="n">
        <v>1</v>
      </c>
    </row>
    <row r="326" ht="14.25" customHeight="1" s="142">
      <c r="A326" s="119" t="n">
        <v>211</v>
      </c>
      <c r="B326" s="119" t="n">
        <v>100</v>
      </c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  <c r="O326" s="119" t="n"/>
      <c r="P326" s="119" t="n"/>
      <c r="Q326" s="119" t="n"/>
      <c r="R326" s="119" t="n"/>
      <c r="S326" s="119" t="n"/>
      <c r="T326" s="119" t="n"/>
      <c r="U326" s="119" t="n"/>
      <c r="V326" s="119" t="n"/>
      <c r="W326" s="119" t="n">
        <v>0.04</v>
      </c>
      <c r="X326" s="118" t="n">
        <v>0.11</v>
      </c>
      <c r="Y326" s="119" t="n">
        <v>1</v>
      </c>
    </row>
    <row r="327" ht="14.25" customHeight="1" s="142">
      <c r="A327" s="119" t="n">
        <v>211</v>
      </c>
      <c r="B327" s="119" t="n">
        <v>35</v>
      </c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  <c r="O327" s="119" t="n"/>
      <c r="P327" s="119" t="n"/>
      <c r="Q327" s="119" t="n"/>
      <c r="R327" s="119" t="n"/>
      <c r="S327" s="119" t="n"/>
      <c r="T327" s="119" t="n"/>
      <c r="U327" s="119" t="n"/>
      <c r="V327" s="119" t="n"/>
      <c r="W327" s="119" t="n">
        <v>0.08</v>
      </c>
      <c r="X327" s="118" t="n">
        <v>0.11</v>
      </c>
      <c r="Y327" s="119" t="n">
        <v>2</v>
      </c>
    </row>
    <row r="328" ht="14.25" customHeight="1" s="142">
      <c r="A328" s="119" t="n">
        <v>211</v>
      </c>
      <c r="B328" s="119" t="n">
        <v>10</v>
      </c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  <c r="O328" s="119" t="n"/>
      <c r="P328" s="119" t="n"/>
      <c r="Q328" s="119" t="n"/>
      <c r="R328" s="119" t="n"/>
      <c r="S328" s="119" t="n"/>
      <c r="T328" s="119" t="n"/>
      <c r="U328" s="119" t="n"/>
      <c r="V328" s="119" t="n"/>
      <c r="W328" s="119" t="n">
        <v>0.013</v>
      </c>
      <c r="X328" s="118" t="n">
        <v>0.11</v>
      </c>
      <c r="Y328" s="119" t="n">
        <v>3</v>
      </c>
    </row>
    <row r="329" ht="14.25" customHeight="1" s="142">
      <c r="A329" s="119" t="n">
        <v>211</v>
      </c>
      <c r="B329" s="119" t="n">
        <v>5</v>
      </c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  <c r="O329" s="119" t="n"/>
      <c r="P329" s="119" t="n"/>
      <c r="Q329" s="119" t="n"/>
      <c r="R329" s="119" t="n"/>
      <c r="S329" s="119" t="n"/>
      <c r="T329" s="119" t="n"/>
      <c r="U329" s="119" t="n"/>
      <c r="V329" s="119" t="n"/>
      <c r="W329" s="119" t="n">
        <v>0.2</v>
      </c>
      <c r="X329" s="118" t="n">
        <v>0.11</v>
      </c>
      <c r="Y329" s="119" t="n">
        <v>4</v>
      </c>
    </row>
    <row r="330" ht="14.25" customHeight="1" s="142">
      <c r="A330" s="119" t="n">
        <v>211</v>
      </c>
      <c r="B330" s="119" t="n">
        <v>550</v>
      </c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  <c r="O330" s="119" t="n"/>
      <c r="P330" s="119" t="n"/>
      <c r="Q330" s="119" t="n"/>
      <c r="R330" s="119" t="n"/>
      <c r="S330" s="119" t="n"/>
      <c r="T330" s="119" t="n"/>
      <c r="U330" s="119" t="n"/>
      <c r="V330" s="119" t="n">
        <v>0.01</v>
      </c>
      <c r="W330" s="119" t="n"/>
      <c r="X330" s="118" t="n">
        <v>0.11</v>
      </c>
      <c r="Y330" s="119" t="n">
        <v>1</v>
      </c>
    </row>
    <row r="331" ht="14.25" customHeight="1" s="142">
      <c r="A331" s="119" t="n">
        <v>211</v>
      </c>
      <c r="B331" s="119" t="n">
        <v>100</v>
      </c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  <c r="O331" s="119" t="n"/>
      <c r="P331" s="119" t="n"/>
      <c r="Q331" s="119" t="n"/>
      <c r="R331" s="119" t="n"/>
      <c r="S331" s="119" t="n"/>
      <c r="T331" s="119" t="n"/>
      <c r="U331" s="119" t="n"/>
      <c r="V331" s="119" t="n">
        <v>0.03</v>
      </c>
      <c r="W331" s="119" t="n"/>
      <c r="X331" s="118" t="n">
        <v>0.11</v>
      </c>
      <c r="Y331" s="119" t="n">
        <v>1</v>
      </c>
    </row>
    <row r="332" ht="14.25" customHeight="1" s="142">
      <c r="A332" s="119" t="n">
        <v>211</v>
      </c>
      <c r="B332" s="119" t="n">
        <v>35</v>
      </c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  <c r="O332" s="119" t="n"/>
      <c r="P332" s="119" t="n"/>
      <c r="Q332" s="119" t="n"/>
      <c r="R332" s="119" t="n"/>
      <c r="S332" s="119" t="n"/>
      <c r="T332" s="119" t="n"/>
      <c r="U332" s="119" t="n"/>
      <c r="V332" s="119" t="n">
        <v>0.06</v>
      </c>
      <c r="W332" s="119" t="n"/>
      <c r="X332" s="118" t="n">
        <v>0.11</v>
      </c>
      <c r="Y332" s="119" t="n">
        <v>2</v>
      </c>
    </row>
    <row r="333" ht="14.25" customHeight="1" s="142">
      <c r="A333" s="119" t="n">
        <v>211</v>
      </c>
      <c r="B333" s="119" t="n">
        <v>10</v>
      </c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  <c r="O333" s="119" t="n"/>
      <c r="P333" s="119" t="n"/>
      <c r="Q333" s="119" t="n"/>
      <c r="R333" s="119" t="n"/>
      <c r="S333" s="119" t="n"/>
      <c r="T333" s="119" t="n"/>
      <c r="U333" s="119" t="n"/>
      <c r="V333" s="119" t="n">
        <v>0.1</v>
      </c>
      <c r="W333" s="119" t="n"/>
      <c r="X333" s="118" t="n">
        <v>0.11</v>
      </c>
      <c r="Y333" s="119" t="n">
        <v>3</v>
      </c>
    </row>
    <row r="334" ht="14.25" customHeight="1" s="142">
      <c r="A334" s="119" t="n">
        <v>211</v>
      </c>
      <c r="B334" s="119" t="n">
        <v>5</v>
      </c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  <c r="O334" s="119" t="n"/>
      <c r="P334" s="119" t="n"/>
      <c r="Q334" s="119" t="n"/>
      <c r="R334" s="119" t="n"/>
      <c r="S334" s="119" t="n"/>
      <c r="T334" s="119" t="n"/>
      <c r="U334" s="119" t="n"/>
      <c r="V334" s="119" t="n">
        <v>0.15</v>
      </c>
      <c r="W334" s="119" t="n"/>
      <c r="X334" s="118" t="n">
        <v>0.11</v>
      </c>
      <c r="Y334" s="119" t="n">
        <v>4</v>
      </c>
    </row>
    <row r="335" ht="14.25" customHeight="1" s="142">
      <c r="A335" s="117" t="n">
        <v>212</v>
      </c>
      <c r="B335" s="117" t="n">
        <v>1900</v>
      </c>
      <c r="C335" s="122" t="n"/>
      <c r="D335" s="122" t="n"/>
      <c r="E335" s="122" t="n"/>
      <c r="F335" s="122" t="n"/>
      <c r="G335" s="122" t="n"/>
      <c r="H335" s="122" t="n"/>
      <c r="I335" s="122" t="n"/>
      <c r="J335" s="122" t="n"/>
      <c r="K335" s="122" t="n"/>
      <c r="L335" s="122" t="n"/>
      <c r="M335" s="122" t="n"/>
      <c r="N335" s="122" t="n"/>
      <c r="O335" s="122" t="n"/>
      <c r="P335" s="122" t="n"/>
      <c r="Q335" s="122" t="n"/>
      <c r="R335" s="122" t="n"/>
      <c r="S335" s="122" t="n"/>
      <c r="T335" s="122" t="n"/>
      <c r="U335" s="122" t="n"/>
      <c r="V335" s="122" t="n"/>
      <c r="W335" s="122" t="n"/>
      <c r="X335" s="122" t="n"/>
      <c r="Y335" s="122" t="n"/>
    </row>
    <row r="336" ht="14.25" customHeight="1" s="142">
      <c r="A336" s="117" t="n">
        <v>212</v>
      </c>
      <c r="B336" s="117" t="n">
        <v>950</v>
      </c>
      <c r="C336" s="117" t="n">
        <v>65</v>
      </c>
      <c r="D336" s="117" t="n"/>
      <c r="E336" s="117" t="n"/>
      <c r="F336" s="117" t="n"/>
      <c r="G336" s="117" t="n"/>
      <c r="H336" s="117" t="n"/>
      <c r="I336" s="117" t="n"/>
      <c r="J336" s="117" t="n"/>
      <c r="K336" s="117" t="n"/>
      <c r="L336" s="117" t="n"/>
      <c r="M336" s="117" t="n"/>
      <c r="N336" s="117" t="n"/>
      <c r="O336" s="117" t="n"/>
      <c r="P336" s="117" t="n"/>
      <c r="Q336" s="117" t="n"/>
      <c r="R336" s="117" t="n"/>
      <c r="S336" s="117" t="n"/>
      <c r="T336" s="117" t="n"/>
      <c r="U336" s="117" t="n"/>
      <c r="V336" s="117" t="n"/>
      <c r="W336" s="117" t="n"/>
      <c r="X336" s="117" t="n">
        <v>0.08</v>
      </c>
      <c r="Y336" s="117" t="n">
        <v>1</v>
      </c>
    </row>
    <row r="337" ht="14.25" customHeight="1" s="142">
      <c r="A337" s="117" t="n">
        <v>212</v>
      </c>
      <c r="B337" s="117" t="n">
        <v>200</v>
      </c>
      <c r="C337" s="117" t="n">
        <v>115</v>
      </c>
      <c r="D337" s="117" t="n"/>
      <c r="E337" s="117" t="n"/>
      <c r="F337" s="117" t="n"/>
      <c r="G337" s="117" t="n"/>
      <c r="H337" s="117" t="n"/>
      <c r="I337" s="117" t="n"/>
      <c r="J337" s="117" t="n"/>
      <c r="K337" s="117" t="n"/>
      <c r="L337" s="117" t="n"/>
      <c r="M337" s="117" t="n"/>
      <c r="N337" s="117" t="n"/>
      <c r="O337" s="117" t="n"/>
      <c r="P337" s="117" t="n"/>
      <c r="Q337" s="117" t="n"/>
      <c r="R337" s="117" t="n"/>
      <c r="S337" s="117" t="n"/>
      <c r="T337" s="117" t="n"/>
      <c r="U337" s="117" t="n"/>
      <c r="V337" s="117" t="n"/>
      <c r="W337" s="117" t="n"/>
      <c r="X337" s="117" t="n">
        <v>0.08</v>
      </c>
      <c r="Y337" s="117" t="n">
        <v>1</v>
      </c>
    </row>
    <row r="338" ht="14.25" customHeight="1" s="142">
      <c r="A338" s="117" t="n">
        <v>212</v>
      </c>
      <c r="B338" s="117" t="n">
        <v>75</v>
      </c>
      <c r="C338" s="117" t="n">
        <v>210</v>
      </c>
      <c r="D338" s="117" t="n"/>
      <c r="E338" s="117" t="n"/>
      <c r="F338" s="117" t="n"/>
      <c r="G338" s="117" t="n"/>
      <c r="H338" s="117" t="n"/>
      <c r="I338" s="117" t="n"/>
      <c r="J338" s="117" t="n"/>
      <c r="K338" s="117" t="n"/>
      <c r="L338" s="117" t="n"/>
      <c r="M338" s="117" t="n"/>
      <c r="N338" s="117" t="n"/>
      <c r="O338" s="117" t="n"/>
      <c r="P338" s="117" t="n"/>
      <c r="Q338" s="117" t="n"/>
      <c r="R338" s="117" t="n"/>
      <c r="S338" s="117" t="n"/>
      <c r="T338" s="117" t="n"/>
      <c r="U338" s="117" t="n"/>
      <c r="V338" s="117" t="n"/>
      <c r="W338" s="117" t="n"/>
      <c r="X338" s="117" t="n">
        <v>0.08</v>
      </c>
      <c r="Y338" s="117" t="n">
        <v>2</v>
      </c>
    </row>
    <row r="339" ht="14.25" customHeight="1" s="142">
      <c r="A339" s="117" t="n">
        <v>212</v>
      </c>
      <c r="B339" s="117" t="n">
        <v>20</v>
      </c>
      <c r="C339" s="117" t="n">
        <v>400</v>
      </c>
      <c r="D339" s="117" t="n"/>
      <c r="E339" s="117" t="n"/>
      <c r="F339" s="117" t="n"/>
      <c r="G339" s="117" t="n"/>
      <c r="H339" s="117" t="n"/>
      <c r="I339" s="117" t="n"/>
      <c r="J339" s="117" t="n"/>
      <c r="K339" s="117" t="n"/>
      <c r="L339" s="117" t="n"/>
      <c r="M339" s="117" t="n"/>
      <c r="N339" s="117" t="n"/>
      <c r="O339" s="117" t="n"/>
      <c r="P339" s="117" t="n"/>
      <c r="Q339" s="117" t="n"/>
      <c r="R339" s="117" t="n"/>
      <c r="S339" s="117" t="n"/>
      <c r="T339" s="117" t="n"/>
      <c r="U339" s="117" t="n"/>
      <c r="V339" s="117" t="n"/>
      <c r="W339" s="117" t="n"/>
      <c r="X339" s="117" t="n">
        <v>0.08</v>
      </c>
      <c r="Y339" s="117" t="n">
        <v>3</v>
      </c>
    </row>
    <row r="340" ht="14.25" customHeight="1" s="142">
      <c r="A340" s="117" t="n">
        <v>212</v>
      </c>
      <c r="B340" s="117" t="n">
        <v>5</v>
      </c>
      <c r="C340" s="117" t="n">
        <v>730</v>
      </c>
      <c r="D340" s="117" t="n"/>
      <c r="E340" s="117" t="n"/>
      <c r="F340" s="117" t="n"/>
      <c r="G340" s="117" t="n"/>
      <c r="H340" s="117" t="n"/>
      <c r="I340" s="117" t="n"/>
      <c r="J340" s="117" t="n"/>
      <c r="K340" s="117" t="n"/>
      <c r="L340" s="117" t="n"/>
      <c r="M340" s="117" t="n"/>
      <c r="N340" s="117" t="n"/>
      <c r="O340" s="117" t="n"/>
      <c r="P340" s="117" t="n"/>
      <c r="Q340" s="117" t="n"/>
      <c r="R340" s="117" t="n"/>
      <c r="S340" s="117" t="n"/>
      <c r="T340" s="117" t="n"/>
      <c r="U340" s="117" t="n"/>
      <c r="V340" s="117" t="n"/>
      <c r="W340" s="117" t="n"/>
      <c r="X340" s="117" t="n">
        <v>0.08</v>
      </c>
      <c r="Y340" s="117" t="n">
        <v>4</v>
      </c>
    </row>
    <row r="341" ht="14.25" customHeight="1" s="142">
      <c r="A341" s="117" t="n">
        <v>212</v>
      </c>
      <c r="B341" s="117" t="n">
        <v>750</v>
      </c>
      <c r="C341" s="117" t="n"/>
      <c r="D341" s="117" t="n"/>
      <c r="E341" s="117" t="n"/>
      <c r="F341" s="117" t="n">
        <v>6</v>
      </c>
      <c r="G341" s="117" t="n"/>
      <c r="H341" s="117" t="n"/>
      <c r="I341" s="117" t="n"/>
      <c r="J341" s="117" t="n"/>
      <c r="K341" s="117" t="n"/>
      <c r="L341" s="117" t="n"/>
      <c r="M341" s="117" t="n"/>
      <c r="N341" s="117" t="n"/>
      <c r="O341" s="117" t="n"/>
      <c r="P341" s="117" t="n"/>
      <c r="Q341" s="117" t="n"/>
      <c r="R341" s="117" t="n"/>
      <c r="S341" s="117" t="n"/>
      <c r="T341" s="117" t="n"/>
      <c r="U341" s="117" t="n"/>
      <c r="V341" s="117" t="n"/>
      <c r="W341" s="117" t="n"/>
      <c r="X341" s="117" t="n">
        <v>0.08</v>
      </c>
      <c r="Y341" s="117" t="n">
        <v>1</v>
      </c>
    </row>
    <row r="342" ht="14.25" customHeight="1" s="142">
      <c r="A342" s="117" t="n">
        <v>212</v>
      </c>
      <c r="B342" s="117" t="n">
        <v>200</v>
      </c>
      <c r="C342" s="117" t="n"/>
      <c r="D342" s="117" t="n"/>
      <c r="E342" s="117" t="n"/>
      <c r="F342" s="117" t="n">
        <v>10</v>
      </c>
      <c r="G342" s="117" t="n"/>
      <c r="H342" s="117" t="n"/>
      <c r="I342" s="117" t="n"/>
      <c r="J342" s="117" t="n"/>
      <c r="K342" s="117" t="n"/>
      <c r="L342" s="117" t="n"/>
      <c r="M342" s="117" t="n"/>
      <c r="N342" s="117" t="n"/>
      <c r="O342" s="117" t="n"/>
      <c r="P342" s="117" t="n"/>
      <c r="Q342" s="117" t="n"/>
      <c r="R342" s="117" t="n"/>
      <c r="S342" s="117" t="n"/>
      <c r="T342" s="117" t="n"/>
      <c r="U342" s="117" t="n"/>
      <c r="V342" s="117" t="n"/>
      <c r="W342" s="117" t="n"/>
      <c r="X342" s="117" t="n">
        <v>0.08</v>
      </c>
      <c r="Y342" s="117" t="n">
        <v>1</v>
      </c>
    </row>
    <row r="343" ht="14.25" customHeight="1" s="142">
      <c r="A343" s="117" t="n">
        <v>212</v>
      </c>
      <c r="B343" s="117" t="n">
        <v>75</v>
      </c>
      <c r="C343" s="117" t="n"/>
      <c r="D343" s="117" t="n"/>
      <c r="E343" s="117" t="n"/>
      <c r="F343" s="117" t="n">
        <v>16</v>
      </c>
      <c r="G343" s="117" t="n"/>
      <c r="H343" s="117" t="n"/>
      <c r="I343" s="117" t="n"/>
      <c r="J343" s="117" t="n"/>
      <c r="K343" s="117" t="n"/>
      <c r="L343" s="117" t="n"/>
      <c r="M343" s="117" t="n"/>
      <c r="N343" s="117" t="n"/>
      <c r="O343" s="117" t="n"/>
      <c r="P343" s="117" t="n"/>
      <c r="Q343" s="117" t="n"/>
      <c r="R343" s="117" t="n"/>
      <c r="S343" s="117" t="n"/>
      <c r="T343" s="117" t="n"/>
      <c r="U343" s="117" t="n"/>
      <c r="V343" s="117" t="n"/>
      <c r="W343" s="117" t="n"/>
      <c r="X343" s="117" t="n">
        <v>0.08</v>
      </c>
      <c r="Y343" s="117" t="n">
        <v>2</v>
      </c>
    </row>
    <row r="344" ht="14.25" customHeight="1" s="142">
      <c r="A344" s="117" t="n">
        <v>212</v>
      </c>
      <c r="B344" s="117" t="n">
        <v>20</v>
      </c>
      <c r="C344" s="117" t="n"/>
      <c r="D344" s="117" t="n"/>
      <c r="E344" s="117" t="n"/>
      <c r="F344" s="117" t="n">
        <v>24</v>
      </c>
      <c r="G344" s="117" t="n"/>
      <c r="H344" s="117" t="n"/>
      <c r="I344" s="117" t="n"/>
      <c r="J344" s="117" t="n"/>
      <c r="K344" s="117" t="n"/>
      <c r="L344" s="117" t="n"/>
      <c r="M344" s="117" t="n"/>
      <c r="N344" s="117" t="n"/>
      <c r="O344" s="117" t="n"/>
      <c r="P344" s="117" t="n"/>
      <c r="Q344" s="117" t="n"/>
      <c r="R344" s="117" t="n"/>
      <c r="S344" s="117" t="n"/>
      <c r="T344" s="117" t="n"/>
      <c r="U344" s="117" t="n"/>
      <c r="V344" s="117" t="n"/>
      <c r="W344" s="117" t="n"/>
      <c r="X344" s="117" t="n">
        <v>0.08</v>
      </c>
      <c r="Y344" s="117" t="n">
        <v>3</v>
      </c>
    </row>
    <row r="345" ht="14.25" customHeight="1" s="142">
      <c r="A345" s="117" t="n">
        <v>212</v>
      </c>
      <c r="B345" s="117" t="n">
        <v>5</v>
      </c>
      <c r="C345" s="117" t="n"/>
      <c r="D345" s="117" t="n"/>
      <c r="E345" s="117" t="n"/>
      <c r="F345" s="117" t="n">
        <v>57</v>
      </c>
      <c r="G345" s="117" t="n"/>
      <c r="H345" s="117" t="n"/>
      <c r="I345" s="117" t="n"/>
      <c r="J345" s="117" t="n"/>
      <c r="K345" s="117" t="n"/>
      <c r="L345" s="117" t="n"/>
      <c r="M345" s="117" t="n"/>
      <c r="N345" s="117" t="n"/>
      <c r="O345" s="117" t="n"/>
      <c r="P345" s="117" t="n"/>
      <c r="Q345" s="117" t="n"/>
      <c r="R345" s="117" t="n"/>
      <c r="S345" s="117" t="n"/>
      <c r="T345" s="117" t="n"/>
      <c r="U345" s="117" t="n"/>
      <c r="V345" s="117" t="n"/>
      <c r="W345" s="117" t="n"/>
      <c r="X345" s="117" t="n">
        <v>0.08</v>
      </c>
      <c r="Y345" s="117" t="n">
        <v>4</v>
      </c>
    </row>
    <row r="346" ht="14.25" customHeight="1" s="142">
      <c r="A346" s="117" t="n">
        <v>212</v>
      </c>
      <c r="B346" s="117" t="n">
        <v>750</v>
      </c>
      <c r="C346" s="117" t="n"/>
      <c r="D346" s="117" t="n"/>
      <c r="E346" s="117" t="n"/>
      <c r="F346" s="117" t="n"/>
      <c r="G346" s="117" t="n">
        <v>9</v>
      </c>
      <c r="H346" s="117" t="n"/>
      <c r="I346" s="117" t="n"/>
      <c r="J346" s="117" t="n"/>
      <c r="K346" s="117" t="n"/>
      <c r="L346" s="117" t="n"/>
      <c r="M346" s="117" t="n"/>
      <c r="N346" s="117" t="n"/>
      <c r="O346" s="117" t="n"/>
      <c r="P346" s="117" t="n"/>
      <c r="Q346" s="117" t="n"/>
      <c r="R346" s="117" t="n"/>
      <c r="S346" s="117" t="n"/>
      <c r="T346" s="117" t="n"/>
      <c r="U346" s="117" t="n"/>
      <c r="V346" s="117" t="n"/>
      <c r="W346" s="117" t="n"/>
      <c r="X346" s="117" t="n">
        <v>0.08</v>
      </c>
      <c r="Y346" s="117" t="n">
        <v>1</v>
      </c>
    </row>
    <row r="347" ht="14.25" customHeight="1" s="142">
      <c r="A347" s="117" t="n">
        <v>212</v>
      </c>
      <c r="B347" s="117" t="n">
        <v>200</v>
      </c>
      <c r="C347" s="117" t="n"/>
      <c r="D347" s="117" t="n"/>
      <c r="E347" s="117" t="n"/>
      <c r="F347" s="117" t="n"/>
      <c r="G347" s="117" t="n">
        <v>13</v>
      </c>
      <c r="H347" s="117" t="n"/>
      <c r="I347" s="117" t="n"/>
      <c r="J347" s="117" t="n"/>
      <c r="K347" s="117" t="n"/>
      <c r="L347" s="117" t="n"/>
      <c r="M347" s="117" t="n"/>
      <c r="N347" s="117" t="n"/>
      <c r="O347" s="117" t="n"/>
      <c r="P347" s="117" t="n"/>
      <c r="Q347" s="117" t="n"/>
      <c r="R347" s="117" t="n"/>
      <c r="S347" s="117" t="n"/>
      <c r="T347" s="117" t="n"/>
      <c r="U347" s="117" t="n"/>
      <c r="V347" s="117" t="n"/>
      <c r="W347" s="117" t="n"/>
      <c r="X347" s="117" t="n">
        <v>0.08</v>
      </c>
      <c r="Y347" s="117" t="n">
        <v>1</v>
      </c>
    </row>
    <row r="348" ht="14.25" customHeight="1" s="142">
      <c r="A348" s="117" t="n">
        <v>212</v>
      </c>
      <c r="B348" s="117" t="n">
        <v>75</v>
      </c>
      <c r="C348" s="117" t="n"/>
      <c r="D348" s="117" t="n"/>
      <c r="E348" s="117" t="n"/>
      <c r="F348" s="117" t="n"/>
      <c r="G348" s="117" t="n">
        <v>22</v>
      </c>
      <c r="H348" s="117" t="n"/>
      <c r="I348" s="117" t="n"/>
      <c r="J348" s="117" t="n"/>
      <c r="K348" s="117" t="n"/>
      <c r="L348" s="117" t="n"/>
      <c r="M348" s="117" t="n"/>
      <c r="N348" s="117" t="n"/>
      <c r="O348" s="117" t="n"/>
      <c r="P348" s="117" t="n"/>
      <c r="Q348" s="117" t="n"/>
      <c r="R348" s="117" t="n"/>
      <c r="S348" s="117" t="n"/>
      <c r="T348" s="117" t="n"/>
      <c r="U348" s="117" t="n"/>
      <c r="V348" s="117" t="n"/>
      <c r="W348" s="117" t="n"/>
      <c r="X348" s="117" t="n">
        <v>0.08</v>
      </c>
      <c r="Y348" s="117" t="n">
        <v>2</v>
      </c>
    </row>
    <row r="349" ht="14.25" customHeight="1" s="142">
      <c r="A349" s="117" t="n">
        <v>212</v>
      </c>
      <c r="B349" s="117" t="n">
        <v>20</v>
      </c>
      <c r="C349" s="117" t="n"/>
      <c r="D349" s="117" t="n"/>
      <c r="E349" s="117" t="n"/>
      <c r="F349" s="117" t="n"/>
      <c r="G349" s="117" t="n">
        <v>42</v>
      </c>
      <c r="H349" s="117" t="n"/>
      <c r="I349" s="117" t="n"/>
      <c r="J349" s="117" t="n"/>
      <c r="K349" s="117" t="n"/>
      <c r="L349" s="117" t="n"/>
      <c r="M349" s="117" t="n"/>
      <c r="N349" s="117" t="n"/>
      <c r="O349" s="117" t="n"/>
      <c r="P349" s="117" t="n"/>
      <c r="Q349" s="117" t="n"/>
      <c r="R349" s="117" t="n"/>
      <c r="S349" s="117" t="n"/>
      <c r="T349" s="117" t="n"/>
      <c r="U349" s="117" t="n"/>
      <c r="V349" s="117" t="n"/>
      <c r="W349" s="117" t="n"/>
      <c r="X349" s="117" t="n">
        <v>0.08</v>
      </c>
      <c r="Y349" s="117" t="n">
        <v>3</v>
      </c>
    </row>
    <row r="350" ht="14.25" customHeight="1" s="142">
      <c r="A350" s="117" t="n">
        <v>212</v>
      </c>
      <c r="B350" s="117" t="n">
        <v>5</v>
      </c>
      <c r="C350" s="117" t="n"/>
      <c r="D350" s="117" t="n"/>
      <c r="E350" s="117" t="n"/>
      <c r="F350" s="117" t="n"/>
      <c r="G350" s="117" t="n">
        <v>72</v>
      </c>
      <c r="H350" s="117" t="n"/>
      <c r="I350" s="117" t="n"/>
      <c r="J350" s="117" t="n"/>
      <c r="K350" s="117" t="n"/>
      <c r="L350" s="117" t="n"/>
      <c r="M350" s="117" t="n"/>
      <c r="N350" s="117" t="n"/>
      <c r="O350" s="117" t="n"/>
      <c r="P350" s="117" t="n"/>
      <c r="Q350" s="117" t="n"/>
      <c r="R350" s="117" t="n"/>
      <c r="S350" s="117" t="n"/>
      <c r="T350" s="117" t="n"/>
      <c r="U350" s="117" t="n"/>
      <c r="V350" s="117" t="n"/>
      <c r="W350" s="117" t="n"/>
      <c r="X350" s="117" t="n">
        <v>0.08</v>
      </c>
      <c r="Y350" s="117" t="n">
        <v>4</v>
      </c>
    </row>
    <row r="351" ht="14.25" customHeight="1" s="142">
      <c r="A351" s="117" t="n">
        <v>212</v>
      </c>
      <c r="B351" s="117" t="n">
        <v>750</v>
      </c>
      <c r="C351" s="117" t="n"/>
      <c r="D351" s="117" t="n">
        <v>4</v>
      </c>
      <c r="E351" s="117" t="n"/>
      <c r="F351" s="117" t="n"/>
      <c r="G351" s="117" t="n"/>
      <c r="H351" s="117" t="n"/>
      <c r="I351" s="117" t="n"/>
      <c r="J351" s="117" t="n"/>
      <c r="K351" s="117" t="n"/>
      <c r="L351" s="117" t="n"/>
      <c r="M351" s="117" t="n"/>
      <c r="N351" s="117" t="n"/>
      <c r="O351" s="117" t="n"/>
      <c r="P351" s="117" t="n"/>
      <c r="Q351" s="117" t="n"/>
      <c r="R351" s="117" t="n"/>
      <c r="S351" s="117" t="n"/>
      <c r="T351" s="117" t="n"/>
      <c r="U351" s="117" t="n"/>
      <c r="V351" s="117" t="n"/>
      <c r="W351" s="117" t="n"/>
      <c r="X351" s="117" t="n">
        <v>0.08</v>
      </c>
      <c r="Y351" s="117" t="n">
        <v>1</v>
      </c>
    </row>
    <row r="352" ht="14.25" customHeight="1" s="142">
      <c r="A352" s="117" t="n">
        <v>212</v>
      </c>
      <c r="B352" s="117" t="n">
        <v>200</v>
      </c>
      <c r="C352" s="117" t="n"/>
      <c r="D352" s="117" t="n">
        <v>8</v>
      </c>
      <c r="E352" s="117" t="n"/>
      <c r="F352" s="117" t="n"/>
      <c r="G352" s="117" t="n"/>
      <c r="H352" s="117" t="n"/>
      <c r="I352" s="117" t="n"/>
      <c r="J352" s="117" t="n"/>
      <c r="K352" s="117" t="n"/>
      <c r="L352" s="117" t="n"/>
      <c r="M352" s="117" t="n"/>
      <c r="N352" s="117" t="n"/>
      <c r="O352" s="117" t="n"/>
      <c r="P352" s="117" t="n"/>
      <c r="Q352" s="117" t="n"/>
      <c r="R352" s="117" t="n"/>
      <c r="S352" s="117" t="n"/>
      <c r="T352" s="117" t="n"/>
      <c r="U352" s="117" t="n"/>
      <c r="V352" s="117" t="n"/>
      <c r="W352" s="117" t="n"/>
      <c r="X352" s="117" t="n">
        <v>0.08</v>
      </c>
      <c r="Y352" s="117" t="n">
        <v>1</v>
      </c>
    </row>
    <row r="353" ht="14.25" customHeight="1" s="142">
      <c r="A353" s="117" t="n">
        <v>212</v>
      </c>
      <c r="B353" s="117" t="n">
        <v>75</v>
      </c>
      <c r="C353" s="117" t="n"/>
      <c r="D353" s="117" t="n">
        <v>11</v>
      </c>
      <c r="E353" s="117" t="n"/>
      <c r="F353" s="117" t="n"/>
      <c r="G353" s="117" t="n"/>
      <c r="H353" s="117" t="n"/>
      <c r="I353" s="117" t="n"/>
      <c r="J353" s="117" t="n"/>
      <c r="K353" s="117" t="n"/>
      <c r="L353" s="117" t="n"/>
      <c r="M353" s="117" t="n"/>
      <c r="N353" s="117" t="n"/>
      <c r="O353" s="117" t="n"/>
      <c r="P353" s="117" t="n"/>
      <c r="Q353" s="117" t="n"/>
      <c r="R353" s="117" t="n"/>
      <c r="S353" s="117" t="n"/>
      <c r="T353" s="117" t="n"/>
      <c r="U353" s="117" t="n"/>
      <c r="V353" s="117" t="n"/>
      <c r="W353" s="117" t="n"/>
      <c r="X353" s="117" t="n">
        <v>0.08</v>
      </c>
      <c r="Y353" s="117" t="n">
        <v>2</v>
      </c>
    </row>
    <row r="354" ht="14.25" customHeight="1" s="142">
      <c r="A354" s="117" t="n">
        <v>212</v>
      </c>
      <c r="B354" s="117" t="n">
        <v>20</v>
      </c>
      <c r="C354" s="117" t="n"/>
      <c r="D354" s="117" t="n">
        <v>17</v>
      </c>
      <c r="E354" s="117" t="n"/>
      <c r="F354" s="117" t="n"/>
      <c r="G354" s="117" t="n"/>
      <c r="H354" s="117" t="n"/>
      <c r="I354" s="117" t="n"/>
      <c r="J354" s="117" t="n"/>
      <c r="K354" s="117" t="n"/>
      <c r="L354" s="117" t="n"/>
      <c r="M354" s="117" t="n"/>
      <c r="N354" s="117" t="n"/>
      <c r="O354" s="117" t="n"/>
      <c r="P354" s="117" t="n"/>
      <c r="Q354" s="117" t="n"/>
      <c r="R354" s="117" t="n"/>
      <c r="S354" s="117" t="n"/>
      <c r="T354" s="117" t="n"/>
      <c r="U354" s="117" t="n"/>
      <c r="V354" s="117" t="n"/>
      <c r="W354" s="117" t="n"/>
      <c r="X354" s="117" t="n">
        <v>0.08</v>
      </c>
      <c r="Y354" s="117" t="n">
        <v>3</v>
      </c>
    </row>
    <row r="355" ht="14.25" customHeight="1" s="142">
      <c r="A355" s="117" t="n">
        <v>212</v>
      </c>
      <c r="B355" s="117" t="n">
        <v>5</v>
      </c>
      <c r="C355" s="117" t="n"/>
      <c r="D355" s="117" t="n">
        <v>40</v>
      </c>
      <c r="E355" s="117" t="n"/>
      <c r="F355" s="117" t="n"/>
      <c r="G355" s="117" t="n"/>
      <c r="H355" s="117" t="n"/>
      <c r="I355" s="117" t="n"/>
      <c r="J355" s="117" t="n"/>
      <c r="K355" s="117" t="n"/>
      <c r="L355" s="117" t="n"/>
      <c r="M355" s="117" t="n"/>
      <c r="N355" s="117" t="n"/>
      <c r="O355" s="117" t="n"/>
      <c r="P355" s="117" t="n"/>
      <c r="Q355" s="117" t="n"/>
      <c r="R355" s="117" t="n"/>
      <c r="S355" s="117" t="n"/>
      <c r="T355" s="117" t="n"/>
      <c r="U355" s="117" t="n"/>
      <c r="V355" s="117" t="n"/>
      <c r="W355" s="117" t="n"/>
      <c r="X355" s="117" t="n">
        <v>0.08</v>
      </c>
      <c r="Y355" s="117" t="n">
        <v>4</v>
      </c>
    </row>
    <row r="356" ht="14.25" customHeight="1" s="142">
      <c r="A356" s="117" t="n">
        <v>212</v>
      </c>
      <c r="B356" s="117" t="n">
        <v>500</v>
      </c>
      <c r="C356" s="117" t="n"/>
      <c r="D356" s="117" t="n"/>
      <c r="E356" s="117" t="n">
        <v>6</v>
      </c>
      <c r="F356" s="117" t="n"/>
      <c r="G356" s="117" t="n"/>
      <c r="H356" s="117" t="n"/>
      <c r="I356" s="117" t="n"/>
      <c r="J356" s="117" t="n"/>
      <c r="K356" s="117" t="n"/>
      <c r="L356" s="117" t="n"/>
      <c r="M356" s="117" t="n"/>
      <c r="N356" s="117" t="n"/>
      <c r="O356" s="117" t="n"/>
      <c r="P356" s="117" t="n"/>
      <c r="Q356" s="117" t="n"/>
      <c r="R356" s="117" t="n"/>
      <c r="S356" s="117" t="n"/>
      <c r="T356" s="117" t="n"/>
      <c r="U356" s="117" t="n"/>
      <c r="V356" s="117" t="n"/>
      <c r="W356" s="117" t="n"/>
      <c r="X356" s="117" t="n">
        <v>0.08</v>
      </c>
      <c r="Y356" s="117" t="n">
        <v>1</v>
      </c>
    </row>
    <row r="357" ht="14.25" customHeight="1" s="142">
      <c r="A357" s="117" t="n">
        <v>212</v>
      </c>
      <c r="B357" s="117" t="n">
        <v>200</v>
      </c>
      <c r="C357" s="117" t="n"/>
      <c r="D357" s="117" t="n"/>
      <c r="E357" s="117" t="n">
        <v>10</v>
      </c>
      <c r="F357" s="117" t="n"/>
      <c r="G357" s="117" t="n"/>
      <c r="H357" s="117" t="n"/>
      <c r="I357" s="117" t="n"/>
      <c r="J357" s="117" t="n"/>
      <c r="K357" s="117" t="n"/>
      <c r="L357" s="117" t="n"/>
      <c r="M357" s="117" t="n"/>
      <c r="N357" s="117" t="n"/>
      <c r="O357" s="117" t="n"/>
      <c r="P357" s="117" t="n"/>
      <c r="Q357" s="117" t="n"/>
      <c r="R357" s="117" t="n"/>
      <c r="S357" s="117" t="n"/>
      <c r="T357" s="117" t="n"/>
      <c r="U357" s="117" t="n"/>
      <c r="V357" s="117" t="n"/>
      <c r="W357" s="117" t="n"/>
      <c r="X357" s="117" t="n">
        <v>0.08</v>
      </c>
      <c r="Y357" s="117" t="n">
        <v>1</v>
      </c>
    </row>
    <row r="358" ht="14.25" customHeight="1" s="142">
      <c r="A358" s="117" t="n">
        <v>212</v>
      </c>
      <c r="B358" s="117" t="n">
        <v>75</v>
      </c>
      <c r="C358" s="117" t="n"/>
      <c r="D358" s="117" t="n"/>
      <c r="E358" s="117" t="n">
        <v>17</v>
      </c>
      <c r="F358" s="117" t="n"/>
      <c r="G358" s="117" t="n"/>
      <c r="H358" s="117" t="n"/>
      <c r="I358" s="117" t="n"/>
      <c r="J358" s="117" t="n"/>
      <c r="K358" s="117" t="n"/>
      <c r="L358" s="117" t="n"/>
      <c r="M358" s="117" t="n"/>
      <c r="N358" s="117" t="n"/>
      <c r="O358" s="117" t="n"/>
      <c r="P358" s="117" t="n"/>
      <c r="Q358" s="117" t="n"/>
      <c r="R358" s="117" t="n"/>
      <c r="S358" s="117" t="n"/>
      <c r="T358" s="117" t="n"/>
      <c r="U358" s="117" t="n"/>
      <c r="V358" s="117" t="n"/>
      <c r="W358" s="117" t="n"/>
      <c r="X358" s="117" t="n">
        <v>0.08</v>
      </c>
      <c r="Y358" s="117" t="n">
        <v>2</v>
      </c>
    </row>
    <row r="359" ht="14.25" customHeight="1" s="142">
      <c r="A359" s="117" t="n">
        <v>212</v>
      </c>
      <c r="B359" s="117" t="n">
        <v>20</v>
      </c>
      <c r="C359" s="117" t="n"/>
      <c r="D359" s="117" t="n"/>
      <c r="E359" s="117" t="n">
        <v>30</v>
      </c>
      <c r="F359" s="117" t="n"/>
      <c r="G359" s="117" t="n"/>
      <c r="H359" s="117" t="n"/>
      <c r="I359" s="117" t="n"/>
      <c r="J359" s="117" t="n"/>
      <c r="K359" s="117" t="n"/>
      <c r="L359" s="117" t="n"/>
      <c r="M359" s="117" t="n"/>
      <c r="N359" s="117" t="n"/>
      <c r="O359" s="117" t="n"/>
      <c r="P359" s="117" t="n"/>
      <c r="Q359" s="117" t="n"/>
      <c r="R359" s="117" t="n"/>
      <c r="S359" s="117" t="n"/>
      <c r="T359" s="117" t="n"/>
      <c r="U359" s="117" t="n"/>
      <c r="V359" s="117" t="n"/>
      <c r="W359" s="117" t="n"/>
      <c r="X359" s="117" t="n">
        <v>0.08</v>
      </c>
      <c r="Y359" s="117" t="n">
        <v>3</v>
      </c>
    </row>
    <row r="360" ht="14.25" customHeight="1" s="142">
      <c r="A360" s="117" t="n">
        <v>212</v>
      </c>
      <c r="B360" s="117" t="n">
        <v>5</v>
      </c>
      <c r="C360" s="117" t="n"/>
      <c r="D360" s="117" t="n"/>
      <c r="E360" s="117" t="n">
        <v>51</v>
      </c>
      <c r="F360" s="117" t="n"/>
      <c r="G360" s="117" t="n"/>
      <c r="H360" s="117" t="n"/>
      <c r="I360" s="117" t="n"/>
      <c r="J360" s="117" t="n"/>
      <c r="K360" s="117" t="n"/>
      <c r="L360" s="117" t="n"/>
      <c r="M360" s="117" t="n"/>
      <c r="N360" s="117" t="n"/>
      <c r="O360" s="117" t="n"/>
      <c r="P360" s="117" t="n"/>
      <c r="Q360" s="117" t="n"/>
      <c r="R360" s="117" t="n"/>
      <c r="S360" s="117" t="n"/>
      <c r="T360" s="117" t="n"/>
      <c r="U360" s="117" t="n"/>
      <c r="V360" s="117" t="n"/>
      <c r="W360" s="117" t="n"/>
      <c r="X360" s="117" t="n">
        <v>0.08</v>
      </c>
      <c r="Y360" s="117" t="n">
        <v>4</v>
      </c>
    </row>
    <row r="361" ht="14.25" customHeight="1" s="142">
      <c r="A361" s="117" t="n">
        <v>212</v>
      </c>
      <c r="B361" s="117" t="n">
        <v>500</v>
      </c>
      <c r="C361" s="117" t="n"/>
      <c r="D361" s="117" t="n"/>
      <c r="E361" s="117" t="n"/>
      <c r="F361" s="117" t="n"/>
      <c r="G361" s="117" t="n"/>
      <c r="H361" s="117" t="n"/>
      <c r="I361" s="117" t="n"/>
      <c r="J361" s="117" t="n"/>
      <c r="K361" s="117" t="n"/>
      <c r="L361" s="117" t="n"/>
      <c r="M361" s="117" t="n"/>
      <c r="N361" s="117" t="n"/>
      <c r="O361" s="117" t="n"/>
      <c r="P361" s="117" t="n">
        <v>0.01</v>
      </c>
      <c r="Q361" s="117" t="n"/>
      <c r="R361" s="117" t="n"/>
      <c r="S361" s="117" t="n"/>
      <c r="T361" s="117" t="n"/>
      <c r="U361" s="117" t="n"/>
      <c r="V361" s="117" t="n"/>
      <c r="W361" s="117" t="n"/>
      <c r="X361" s="117" t="n">
        <v>0.08</v>
      </c>
      <c r="Y361" s="117" t="n">
        <v>1</v>
      </c>
    </row>
    <row r="362" ht="14.25" customHeight="1" s="142">
      <c r="A362" s="117" t="n">
        <v>212</v>
      </c>
      <c r="B362" s="117" t="n">
        <v>200</v>
      </c>
      <c r="C362" s="117" t="n"/>
      <c r="D362" s="117" t="n"/>
      <c r="E362" s="117" t="n"/>
      <c r="F362" s="117" t="n"/>
      <c r="G362" s="117" t="n"/>
      <c r="H362" s="117" t="n"/>
      <c r="I362" s="117" t="n"/>
      <c r="J362" s="117" t="n"/>
      <c r="K362" s="117" t="n"/>
      <c r="L362" s="117" t="n"/>
      <c r="M362" s="117" t="n"/>
      <c r="N362" s="117" t="n"/>
      <c r="O362" s="117" t="n"/>
      <c r="P362" s="117" t="n">
        <v>0.02</v>
      </c>
      <c r="Q362" s="117" t="n"/>
      <c r="R362" s="117" t="n"/>
      <c r="S362" s="117" t="n"/>
      <c r="T362" s="117" t="n"/>
      <c r="U362" s="117" t="n"/>
      <c r="V362" s="117" t="n"/>
      <c r="W362" s="117" t="n"/>
      <c r="X362" s="117" t="n">
        <v>0.08</v>
      </c>
      <c r="Y362" s="117" t="n">
        <v>1</v>
      </c>
    </row>
    <row r="363" ht="14.25" customHeight="1" s="142">
      <c r="A363" s="117" t="n">
        <v>212</v>
      </c>
      <c r="B363" s="117" t="n">
        <v>75</v>
      </c>
      <c r="C363" s="117" t="n"/>
      <c r="D363" s="117" t="n"/>
      <c r="E363" s="117" t="n"/>
      <c r="F363" s="117" t="n"/>
      <c r="G363" s="117" t="n"/>
      <c r="H363" s="117" t="n"/>
      <c r="I363" s="117" t="n"/>
      <c r="J363" s="117" t="n"/>
      <c r="K363" s="117" t="n"/>
      <c r="L363" s="117" t="n"/>
      <c r="M363" s="117" t="n"/>
      <c r="N363" s="117" t="n"/>
      <c r="O363" s="117" t="n"/>
      <c r="P363" s="117" t="n">
        <v>0.04</v>
      </c>
      <c r="Q363" s="117" t="n"/>
      <c r="R363" s="117" t="n"/>
      <c r="S363" s="117" t="n"/>
      <c r="T363" s="117" t="n"/>
      <c r="U363" s="117" t="n"/>
      <c r="V363" s="117" t="n"/>
      <c r="W363" s="117" t="n"/>
      <c r="X363" s="117" t="n">
        <v>0.08</v>
      </c>
      <c r="Y363" s="117" t="n">
        <v>2</v>
      </c>
    </row>
    <row r="364" ht="14.25" customHeight="1" s="142">
      <c r="A364" s="117" t="n">
        <v>212</v>
      </c>
      <c r="B364" s="117" t="n">
        <v>20</v>
      </c>
      <c r="C364" s="117" t="n"/>
      <c r="D364" s="117" t="n"/>
      <c r="E364" s="117" t="n"/>
      <c r="F364" s="117" t="n"/>
      <c r="G364" s="117" t="n"/>
      <c r="H364" s="117" t="n"/>
      <c r="I364" s="117" t="n"/>
      <c r="J364" s="117" t="n"/>
      <c r="K364" s="117" t="n"/>
      <c r="L364" s="117" t="n"/>
      <c r="M364" s="117" t="n"/>
      <c r="N364" s="117" t="n"/>
      <c r="O364" s="117" t="n"/>
      <c r="P364" s="117" t="n">
        <v>0.07000000000000001</v>
      </c>
      <c r="Q364" s="117" t="n"/>
      <c r="R364" s="117" t="n"/>
      <c r="S364" s="117" t="n"/>
      <c r="T364" s="117" t="n"/>
      <c r="U364" s="117" t="n"/>
      <c r="V364" s="117" t="n"/>
      <c r="W364" s="117" t="n"/>
      <c r="X364" s="117" t="n">
        <v>0.08</v>
      </c>
      <c r="Y364" s="117" t="n">
        <v>3</v>
      </c>
    </row>
    <row r="365" ht="14.25" customHeight="1" s="142">
      <c r="A365" s="117" t="n">
        <v>212</v>
      </c>
      <c r="B365" s="117" t="n">
        <v>5</v>
      </c>
      <c r="C365" s="117" t="n"/>
      <c r="D365" s="117" t="n"/>
      <c r="E365" s="117" t="n"/>
      <c r="F365" s="117" t="n"/>
      <c r="G365" s="117" t="n"/>
      <c r="H365" s="117" t="n"/>
      <c r="I365" s="117" t="n"/>
      <c r="J365" s="117" t="n"/>
      <c r="K365" s="117" t="n"/>
      <c r="L365" s="117" t="n"/>
      <c r="M365" s="117" t="n"/>
      <c r="N365" s="117" t="n"/>
      <c r="O365" s="117" t="n"/>
      <c r="P365" s="117" t="n">
        <v>0.1</v>
      </c>
      <c r="Q365" s="117" t="n"/>
      <c r="R365" s="117" t="n"/>
      <c r="S365" s="117" t="n"/>
      <c r="T365" s="117" t="n"/>
      <c r="U365" s="117" t="n"/>
      <c r="V365" s="117" t="n"/>
      <c r="W365" s="117" t="n"/>
      <c r="X365" s="117" t="n">
        <v>0.08</v>
      </c>
      <c r="Y365" s="117" t="n">
        <v>4</v>
      </c>
    </row>
    <row r="366" ht="14.25" customHeight="1" s="142">
      <c r="A366" s="117" t="n">
        <v>212</v>
      </c>
      <c r="B366" s="117" t="n">
        <v>550</v>
      </c>
      <c r="C366" s="117" t="n"/>
      <c r="D366" s="117" t="n"/>
      <c r="E366" s="117" t="n"/>
      <c r="F366" s="117" t="n"/>
      <c r="G366" s="117" t="n"/>
      <c r="H366" s="117" t="n"/>
      <c r="I366" s="117" t="n"/>
      <c r="J366" s="117" t="n"/>
      <c r="K366" s="117" t="n"/>
      <c r="L366" s="117" t="n"/>
      <c r="M366" s="117" t="n"/>
      <c r="N366" s="117" t="n"/>
      <c r="O366" s="117" t="n"/>
      <c r="P366" s="117" t="n"/>
      <c r="Q366" s="117" t="n"/>
      <c r="R366" s="117" t="n"/>
      <c r="S366" s="117" t="n"/>
      <c r="T366" s="117" t="n"/>
      <c r="U366" s="117" t="n"/>
      <c r="V366" s="117" t="n"/>
      <c r="W366" s="117" t="n">
        <v>0.02</v>
      </c>
      <c r="X366" s="117" t="n">
        <v>0.08</v>
      </c>
      <c r="Y366" s="117" t="n">
        <v>1</v>
      </c>
    </row>
    <row r="367" ht="14.25" customHeight="1" s="142">
      <c r="A367" s="117" t="n">
        <v>212</v>
      </c>
      <c r="B367" s="117" t="n">
        <v>100</v>
      </c>
      <c r="C367" s="117" t="n"/>
      <c r="D367" s="117" t="n"/>
      <c r="E367" s="117" t="n"/>
      <c r="F367" s="117" t="n"/>
      <c r="G367" s="117" t="n"/>
      <c r="H367" s="117" t="n"/>
      <c r="I367" s="117" t="n"/>
      <c r="J367" s="117" t="n"/>
      <c r="K367" s="117" t="n"/>
      <c r="L367" s="117" t="n"/>
      <c r="M367" s="117" t="n"/>
      <c r="N367" s="117" t="n"/>
      <c r="O367" s="117" t="n"/>
      <c r="P367" s="117" t="n"/>
      <c r="Q367" s="117" t="n"/>
      <c r="R367" s="117" t="n"/>
      <c r="S367" s="117" t="n"/>
      <c r="T367" s="117" t="n"/>
      <c r="U367" s="117" t="n"/>
      <c r="V367" s="117" t="n"/>
      <c r="W367" s="117" t="n">
        <v>0.04</v>
      </c>
      <c r="X367" s="117" t="n">
        <v>0.08</v>
      </c>
      <c r="Y367" s="117" t="n">
        <v>1</v>
      </c>
    </row>
    <row r="368" ht="14.25" customHeight="1" s="142">
      <c r="A368" s="117" t="n">
        <v>212</v>
      </c>
      <c r="B368" s="117" t="n">
        <v>35</v>
      </c>
      <c r="C368" s="117" t="n"/>
      <c r="D368" s="117" t="n"/>
      <c r="E368" s="117" t="n"/>
      <c r="F368" s="117" t="n"/>
      <c r="G368" s="117" t="n"/>
      <c r="H368" s="117" t="n"/>
      <c r="I368" s="117" t="n"/>
      <c r="J368" s="117" t="n"/>
      <c r="K368" s="117" t="n"/>
      <c r="L368" s="117" t="n"/>
      <c r="M368" s="117" t="n"/>
      <c r="N368" s="117" t="n"/>
      <c r="O368" s="117" t="n"/>
      <c r="P368" s="117" t="n"/>
      <c r="Q368" s="117" t="n"/>
      <c r="R368" s="117" t="n"/>
      <c r="S368" s="117" t="n"/>
      <c r="T368" s="117" t="n"/>
      <c r="U368" s="117" t="n"/>
      <c r="V368" s="117" t="n"/>
      <c r="W368" s="117" t="n">
        <v>0.08</v>
      </c>
      <c r="X368" s="117" t="n">
        <v>0.08</v>
      </c>
      <c r="Y368" s="117" t="n">
        <v>2</v>
      </c>
    </row>
    <row r="369" ht="14.25" customHeight="1" s="142">
      <c r="A369" s="117" t="n">
        <v>212</v>
      </c>
      <c r="B369" s="117" t="n">
        <v>10</v>
      </c>
      <c r="C369" s="117" t="n"/>
      <c r="D369" s="117" t="n"/>
      <c r="E369" s="117" t="n"/>
      <c r="F369" s="117" t="n"/>
      <c r="G369" s="117" t="n"/>
      <c r="H369" s="117" t="n"/>
      <c r="I369" s="117" t="n"/>
      <c r="J369" s="117" t="n"/>
      <c r="K369" s="117" t="n"/>
      <c r="L369" s="117" t="n"/>
      <c r="M369" s="117" t="n"/>
      <c r="N369" s="117" t="n"/>
      <c r="O369" s="117" t="n"/>
      <c r="P369" s="117" t="n"/>
      <c r="Q369" s="117" t="n"/>
      <c r="R369" s="117" t="n"/>
      <c r="S369" s="117" t="n"/>
      <c r="T369" s="117" t="n"/>
      <c r="U369" s="117" t="n"/>
      <c r="V369" s="117" t="n"/>
      <c r="W369" s="117" t="n">
        <v>0.013</v>
      </c>
      <c r="X369" s="117" t="n">
        <v>0.08</v>
      </c>
      <c r="Y369" s="117" t="n">
        <v>3</v>
      </c>
    </row>
    <row r="370" ht="14.25" customHeight="1" s="142">
      <c r="A370" s="117" t="n">
        <v>212</v>
      </c>
      <c r="B370" s="117" t="n">
        <v>5</v>
      </c>
      <c r="C370" s="117" t="n"/>
      <c r="D370" s="117" t="n"/>
      <c r="E370" s="117" t="n"/>
      <c r="F370" s="117" t="n"/>
      <c r="G370" s="117" t="n"/>
      <c r="H370" s="117" t="n"/>
      <c r="I370" s="117" t="n"/>
      <c r="J370" s="117" t="n"/>
      <c r="K370" s="117" t="n"/>
      <c r="L370" s="117" t="n"/>
      <c r="M370" s="117" t="n"/>
      <c r="N370" s="117" t="n"/>
      <c r="O370" s="117" t="n"/>
      <c r="P370" s="117" t="n"/>
      <c r="Q370" s="117" t="n"/>
      <c r="R370" s="117" t="n"/>
      <c r="S370" s="117" t="n"/>
      <c r="T370" s="117" t="n"/>
      <c r="U370" s="117" t="n"/>
      <c r="V370" s="117" t="n"/>
      <c r="W370" s="117" t="n">
        <v>0.2</v>
      </c>
      <c r="X370" s="117" t="n">
        <v>0.08</v>
      </c>
      <c r="Y370" s="117" t="n">
        <v>4</v>
      </c>
    </row>
    <row r="371" ht="14.25" customHeight="1" s="142">
      <c r="A371" s="117" t="n">
        <v>212</v>
      </c>
      <c r="B371" s="117" t="n">
        <v>550</v>
      </c>
      <c r="C371" s="117" t="n"/>
      <c r="D371" s="117" t="n"/>
      <c r="E371" s="117" t="n"/>
      <c r="F371" s="117" t="n"/>
      <c r="G371" s="117" t="n"/>
      <c r="H371" s="117" t="n"/>
      <c r="I371" s="117" t="n"/>
      <c r="J371" s="117" t="n"/>
      <c r="K371" s="117" t="n"/>
      <c r="L371" s="117" t="n"/>
      <c r="M371" s="117" t="n"/>
      <c r="N371" s="117" t="n"/>
      <c r="O371" s="117" t="n"/>
      <c r="P371" s="117" t="n"/>
      <c r="Q371" s="117" t="n"/>
      <c r="R371" s="117" t="n"/>
      <c r="S371" s="117" t="n"/>
      <c r="T371" s="117" t="n"/>
      <c r="U371" s="117" t="n"/>
      <c r="V371" s="117" t="n">
        <v>0.01</v>
      </c>
      <c r="W371" s="117" t="n"/>
      <c r="X371" s="117" t="n">
        <v>0.08</v>
      </c>
      <c r="Y371" s="117" t="n">
        <v>1</v>
      </c>
    </row>
    <row r="372" ht="14.25" customHeight="1" s="142">
      <c r="A372" s="117" t="n">
        <v>212</v>
      </c>
      <c r="B372" s="117" t="n">
        <v>100</v>
      </c>
      <c r="C372" s="117" t="n"/>
      <c r="D372" s="117" t="n"/>
      <c r="E372" s="117" t="n"/>
      <c r="F372" s="117" t="n"/>
      <c r="G372" s="117" t="n"/>
      <c r="H372" s="117" t="n"/>
      <c r="I372" s="117" t="n"/>
      <c r="J372" s="117" t="n"/>
      <c r="K372" s="117" t="n"/>
      <c r="L372" s="117" t="n"/>
      <c r="M372" s="117" t="n"/>
      <c r="N372" s="117" t="n"/>
      <c r="O372" s="117" t="n"/>
      <c r="P372" s="117" t="n"/>
      <c r="Q372" s="117" t="n"/>
      <c r="R372" s="117" t="n"/>
      <c r="S372" s="117" t="n"/>
      <c r="T372" s="117" t="n"/>
      <c r="U372" s="117" t="n"/>
      <c r="V372" s="117" t="n">
        <v>0.03</v>
      </c>
      <c r="W372" s="117" t="n"/>
      <c r="X372" s="117" t="n">
        <v>0.08</v>
      </c>
      <c r="Y372" s="117" t="n">
        <v>1</v>
      </c>
    </row>
    <row r="373" ht="14.25" customHeight="1" s="142">
      <c r="A373" s="117" t="n">
        <v>212</v>
      </c>
      <c r="B373" s="117" t="n">
        <v>35</v>
      </c>
      <c r="C373" s="117" t="n"/>
      <c r="D373" s="117" t="n"/>
      <c r="E373" s="117" t="n"/>
      <c r="F373" s="117" t="n"/>
      <c r="G373" s="117" t="n"/>
      <c r="H373" s="117" t="n"/>
      <c r="I373" s="117" t="n"/>
      <c r="J373" s="117" t="n"/>
      <c r="K373" s="117" t="n"/>
      <c r="L373" s="117" t="n"/>
      <c r="M373" s="117" t="n"/>
      <c r="N373" s="117" t="n"/>
      <c r="O373" s="117" t="n"/>
      <c r="P373" s="117" t="n"/>
      <c r="Q373" s="117" t="n"/>
      <c r="R373" s="117" t="n"/>
      <c r="S373" s="117" t="n"/>
      <c r="T373" s="117" t="n"/>
      <c r="U373" s="117" t="n"/>
      <c r="V373" s="117" t="n">
        <v>0.06</v>
      </c>
      <c r="W373" s="117" t="n"/>
      <c r="X373" s="117" t="n">
        <v>0.08</v>
      </c>
      <c r="Y373" s="117" t="n">
        <v>2</v>
      </c>
    </row>
    <row r="374" ht="14.25" customHeight="1" s="142">
      <c r="A374" s="117" t="n">
        <v>212</v>
      </c>
      <c r="B374" s="117" t="n">
        <v>10</v>
      </c>
      <c r="C374" s="117" t="n"/>
      <c r="D374" s="117" t="n"/>
      <c r="E374" s="117" t="n"/>
      <c r="F374" s="117" t="n"/>
      <c r="G374" s="117" t="n"/>
      <c r="H374" s="117" t="n"/>
      <c r="I374" s="117" t="n"/>
      <c r="J374" s="117" t="n"/>
      <c r="K374" s="117" t="n"/>
      <c r="L374" s="117" t="n"/>
      <c r="M374" s="117" t="n"/>
      <c r="N374" s="117" t="n"/>
      <c r="O374" s="117" t="n"/>
      <c r="P374" s="117" t="n"/>
      <c r="Q374" s="117" t="n"/>
      <c r="R374" s="117" t="n"/>
      <c r="S374" s="117" t="n"/>
      <c r="T374" s="117" t="n"/>
      <c r="U374" s="117" t="n"/>
      <c r="V374" s="117" t="n">
        <v>0.1</v>
      </c>
      <c r="W374" s="117" t="n"/>
      <c r="X374" s="117" t="n">
        <v>0.08</v>
      </c>
      <c r="Y374" s="117" t="n">
        <v>3</v>
      </c>
    </row>
    <row r="375" ht="14.25" customHeight="1" s="142">
      <c r="A375" s="117" t="n">
        <v>212</v>
      </c>
      <c r="B375" s="117" t="n">
        <v>5</v>
      </c>
      <c r="C375" s="117" t="n"/>
      <c r="D375" s="117" t="n"/>
      <c r="E375" s="117" t="n"/>
      <c r="F375" s="117" t="n"/>
      <c r="G375" s="117" t="n"/>
      <c r="H375" s="117" t="n"/>
      <c r="I375" s="117" t="n"/>
      <c r="J375" s="117" t="n"/>
      <c r="K375" s="117" t="n"/>
      <c r="L375" s="117" t="n"/>
      <c r="M375" s="117" t="n"/>
      <c r="N375" s="117" t="n"/>
      <c r="O375" s="117" t="n"/>
      <c r="P375" s="117" t="n"/>
      <c r="Q375" s="117" t="n"/>
      <c r="R375" s="117" t="n"/>
      <c r="S375" s="117" t="n"/>
      <c r="T375" s="117" t="n"/>
      <c r="U375" s="117" t="n"/>
      <c r="V375" s="117" t="n">
        <v>0.15</v>
      </c>
      <c r="W375" s="117" t="n"/>
      <c r="X375" s="117" t="n">
        <v>0.08</v>
      </c>
      <c r="Y375" s="117" t="n">
        <v>4</v>
      </c>
    </row>
    <row r="376" ht="14.25" customHeight="1" s="142">
      <c r="A376" s="117" t="n">
        <v>212</v>
      </c>
      <c r="B376" s="117" t="n">
        <v>550</v>
      </c>
      <c r="C376" s="117" t="n"/>
      <c r="D376" s="117" t="n"/>
      <c r="E376" s="117" t="n"/>
      <c r="F376" s="117" t="n"/>
      <c r="G376" s="117" t="n"/>
      <c r="H376" s="117" t="n"/>
      <c r="I376" s="117" t="n"/>
      <c r="J376" s="117" t="n"/>
      <c r="K376" s="117" t="n"/>
      <c r="L376" s="117" t="n"/>
      <c r="M376" s="117" t="n"/>
      <c r="N376" s="117" t="n"/>
      <c r="O376" s="117" t="n"/>
      <c r="P376" s="117" t="n"/>
      <c r="Q376" s="117" t="n"/>
      <c r="R376" s="117" t="n"/>
      <c r="S376" s="117" t="n">
        <v>0.02</v>
      </c>
      <c r="T376" s="117" t="n"/>
      <c r="U376" s="117" t="n"/>
      <c r="V376" s="117" t="n"/>
      <c r="W376" s="117" t="n"/>
      <c r="X376" s="117" t="n">
        <v>0.08</v>
      </c>
      <c r="Y376" s="117" t="n">
        <v>1</v>
      </c>
    </row>
    <row r="377" ht="14.25" customHeight="1" s="142">
      <c r="A377" s="117" t="n">
        <v>212</v>
      </c>
      <c r="B377" s="117" t="n">
        <v>100</v>
      </c>
      <c r="C377" s="117" t="n"/>
      <c r="D377" s="117" t="n"/>
      <c r="E377" s="117" t="n"/>
      <c r="F377" s="117" t="n"/>
      <c r="G377" s="117" t="n"/>
      <c r="H377" s="117" t="n"/>
      <c r="I377" s="117" t="n"/>
      <c r="J377" s="117" t="n"/>
      <c r="K377" s="117" t="n"/>
      <c r="L377" s="117" t="n"/>
      <c r="M377" s="117" t="n"/>
      <c r="N377" s="117" t="n"/>
      <c r="O377" s="117" t="n"/>
      <c r="P377" s="117" t="n"/>
      <c r="Q377" s="117" t="n"/>
      <c r="R377" s="117" t="n"/>
      <c r="S377" s="117" t="n">
        <v>0.04</v>
      </c>
      <c r="T377" s="117" t="n"/>
      <c r="U377" s="117" t="n"/>
      <c r="V377" s="117" t="n"/>
      <c r="W377" s="117" t="n"/>
      <c r="X377" s="117" t="n">
        <v>0.08</v>
      </c>
      <c r="Y377" s="117" t="n">
        <v>1</v>
      </c>
    </row>
    <row r="378" ht="14.25" customHeight="1" s="142">
      <c r="A378" s="117" t="n">
        <v>212</v>
      </c>
      <c r="B378" s="117" t="n">
        <v>35</v>
      </c>
      <c r="C378" s="117" t="n"/>
      <c r="D378" s="117" t="n"/>
      <c r="E378" s="117" t="n"/>
      <c r="F378" s="117" t="n"/>
      <c r="G378" s="117" t="n"/>
      <c r="H378" s="117" t="n"/>
      <c r="I378" s="117" t="n"/>
      <c r="J378" s="117" t="n"/>
      <c r="K378" s="117" t="n"/>
      <c r="L378" s="117" t="n"/>
      <c r="M378" s="117" t="n"/>
      <c r="N378" s="117" t="n"/>
      <c r="O378" s="117" t="n"/>
      <c r="P378" s="117" t="n"/>
      <c r="Q378" s="117" t="n"/>
      <c r="R378" s="117" t="n"/>
      <c r="S378" s="117" t="n">
        <v>0.08</v>
      </c>
      <c r="T378" s="117" t="n"/>
      <c r="U378" s="117" t="n"/>
      <c r="V378" s="117" t="n"/>
      <c r="W378" s="117" t="n"/>
      <c r="X378" s="117" t="n">
        <v>0.08</v>
      </c>
      <c r="Y378" s="117" t="n">
        <v>2</v>
      </c>
    </row>
    <row r="379" ht="14.25" customHeight="1" s="142">
      <c r="A379" s="117" t="n">
        <v>212</v>
      </c>
      <c r="B379" s="117" t="n">
        <v>10</v>
      </c>
      <c r="C379" s="117" t="n"/>
      <c r="D379" s="117" t="n"/>
      <c r="E379" s="117" t="n"/>
      <c r="F379" s="117" t="n"/>
      <c r="G379" s="117" t="n"/>
      <c r="H379" s="117" t="n"/>
      <c r="I379" s="117" t="n"/>
      <c r="J379" s="117" t="n"/>
      <c r="K379" s="117" t="n"/>
      <c r="L379" s="117" t="n"/>
      <c r="M379" s="117" t="n"/>
      <c r="N379" s="117" t="n"/>
      <c r="O379" s="117" t="n"/>
      <c r="P379" s="117" t="n"/>
      <c r="Q379" s="117" t="n"/>
      <c r="R379" s="117" t="n"/>
      <c r="S379" s="117" t="n">
        <v>0.013</v>
      </c>
      <c r="T379" s="117" t="n"/>
      <c r="U379" s="117" t="n"/>
      <c r="V379" s="117" t="n"/>
      <c r="W379" s="117" t="n"/>
      <c r="X379" s="117" t="n">
        <v>0.08</v>
      </c>
      <c r="Y379" s="117" t="n">
        <v>3</v>
      </c>
    </row>
    <row r="380" ht="14.25" customHeight="1" s="142">
      <c r="A380" s="117" t="n">
        <v>212</v>
      </c>
      <c r="B380" s="117" t="n">
        <v>5</v>
      </c>
      <c r="C380" s="117" t="n"/>
      <c r="D380" s="117" t="n"/>
      <c r="E380" s="117" t="n"/>
      <c r="F380" s="117" t="n"/>
      <c r="G380" s="117" t="n"/>
      <c r="H380" s="117" t="n"/>
      <c r="I380" s="117" t="n"/>
      <c r="J380" s="117" t="n"/>
      <c r="K380" s="117" t="n"/>
      <c r="L380" s="117" t="n"/>
      <c r="M380" s="117" t="n"/>
      <c r="N380" s="117" t="n"/>
      <c r="O380" s="117" t="n"/>
      <c r="P380" s="117" t="n"/>
      <c r="Q380" s="117" t="n"/>
      <c r="R380" s="117" t="n"/>
      <c r="S380" s="117" t="n">
        <v>0.2</v>
      </c>
      <c r="T380" s="117" t="n"/>
      <c r="U380" s="117" t="n"/>
      <c r="V380" s="117" t="n"/>
      <c r="W380" s="117" t="n"/>
      <c r="X380" s="117" t="n">
        <v>0.08</v>
      </c>
      <c r="Y380" s="117" t="n">
        <v>4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J20" sqref="J20"/>
    </sheetView>
  </sheetViews>
  <sheetFormatPr baseColWidth="8" defaultColWidth="12.5703125" defaultRowHeight="12.75"/>
  <sheetData>
    <row r="1" ht="14.25" customHeight="1" s="142">
      <c r="A1" s="135" t="inlineStr">
        <is>
          <t>id</t>
        </is>
      </c>
      <c r="B1" s="135" t="inlineStr">
        <is>
          <t>id_amount</t>
        </is>
      </c>
    </row>
    <row r="2" ht="14.25" customHeight="1" s="142">
      <c r="A2" s="135" t="n">
        <v>1000</v>
      </c>
      <c r="B2" s="135" t="n">
        <v>9999</v>
      </c>
    </row>
    <row r="3" ht="14.25" customHeight="1" s="142">
      <c r="A3" s="135" t="n">
        <v>1001</v>
      </c>
      <c r="B3" s="135" t="n">
        <v>3000</v>
      </c>
    </row>
    <row r="4" ht="14.25" customHeight="1" s="142">
      <c r="A4" s="135" t="n">
        <v>8001</v>
      </c>
      <c r="B4" s="135" t="n">
        <v>9999</v>
      </c>
    </row>
    <row r="5" ht="14.25" customHeight="1" s="142">
      <c r="A5" s="135" t="n">
        <v>8002</v>
      </c>
      <c r="B5" s="135" t="n">
        <v>9999</v>
      </c>
    </row>
    <row r="6" ht="14.25" customHeight="1" s="142">
      <c r="A6" s="135" t="n">
        <v>8003</v>
      </c>
      <c r="B6" s="135" t="n">
        <v>9999</v>
      </c>
    </row>
    <row r="7" ht="14.25" customHeight="1" s="142">
      <c r="A7" s="135" t="n">
        <v>2000</v>
      </c>
      <c r="B7" s="135" t="n">
        <v>9999</v>
      </c>
    </row>
    <row r="8" ht="14.25" customHeight="1" s="142">
      <c r="A8" s="135" t="n">
        <v>2001</v>
      </c>
      <c r="B8" s="135" t="n">
        <v>9999</v>
      </c>
    </row>
    <row r="9" ht="14.25" customHeight="1" s="142">
      <c r="A9" s="135" t="n">
        <v>2002</v>
      </c>
      <c r="B9" s="135" t="n">
        <v>9999</v>
      </c>
    </row>
    <row r="10" ht="14.25" customHeight="1" s="142">
      <c r="A10" s="135" t="n">
        <v>2005</v>
      </c>
      <c r="B10" s="135" t="n">
        <v>100</v>
      </c>
    </row>
    <row r="11" ht="14.25" customHeight="1" s="142">
      <c r="A11" s="135" t="n">
        <v>2006</v>
      </c>
      <c r="B11" s="135" t="n">
        <v>100</v>
      </c>
    </row>
    <row r="12" ht="14.25" customHeight="1" s="142">
      <c r="A12" s="135" t="n"/>
      <c r="B12" s="13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0"/>
  <sheetViews>
    <sheetView zoomScaleNormal="100" workbookViewId="0">
      <selection activeCell="A1" sqref="A1"/>
    </sheetView>
  </sheetViews>
  <sheetFormatPr baseColWidth="8" defaultColWidth="12.5703125" defaultRowHeight="12.75"/>
  <cols>
    <col width="19" customWidth="1" style="142" min="2" max="2"/>
  </cols>
  <sheetData>
    <row r="1" ht="14.25" customHeight="1" s="142">
      <c r="A1" s="40" t="inlineStr">
        <is>
          <t>id</t>
        </is>
      </c>
      <c r="B1" s="48" t="inlineStr">
        <is>
          <t>名稱</t>
        </is>
      </c>
      <c r="C1" s="40" t="inlineStr">
        <is>
          <t>usage</t>
        </is>
      </c>
    </row>
    <row r="2" ht="15" customHeight="1" s="142">
      <c r="A2" s="135" t="n">
        <v>8000</v>
      </c>
      <c r="B2" s="124" t="inlineStr">
        <is>
          <t>職業經驗</t>
        </is>
      </c>
      <c r="C2" s="135" t="n">
        <v>9999</v>
      </c>
    </row>
    <row r="3" ht="15" customHeight="1" s="142">
      <c r="A3" s="135" t="n">
        <v>8001</v>
      </c>
      <c r="B3" s="124" t="inlineStr">
        <is>
          <t>武器經驗</t>
        </is>
      </c>
      <c r="C3" s="135" t="n">
        <v>9999</v>
      </c>
    </row>
    <row r="4" ht="15" customHeight="1" s="142">
      <c r="A4" s="135" t="n">
        <v>8002</v>
      </c>
      <c r="B4" s="124" t="inlineStr">
        <is>
          <t>天賦點數</t>
        </is>
      </c>
      <c r="C4" s="135" t="n">
        <v>9999</v>
      </c>
    </row>
    <row r="5" ht="15" customHeight="1" s="142">
      <c r="A5" s="135" t="n">
        <v>8003</v>
      </c>
      <c r="B5" s="124" t="inlineStr">
        <is>
          <t>魔物經驗</t>
        </is>
      </c>
      <c r="C5" s="135" t="n">
        <v>9999</v>
      </c>
    </row>
    <row r="6" ht="15" customHeight="1" s="142">
      <c r="A6" s="135" t="n">
        <v>8003</v>
      </c>
      <c r="B6" s="124" t="inlineStr">
        <is>
          <t>屬性點數</t>
        </is>
      </c>
      <c r="C6" s="135" t="n">
        <v>9999</v>
      </c>
    </row>
    <row r="7" ht="15" customHeight="1" s="142">
      <c r="A7" s="135" t="n">
        <v>1000</v>
      </c>
      <c r="B7" s="124" t="inlineStr">
        <is>
          <t>金幣</t>
        </is>
      </c>
      <c r="C7" s="135" t="n">
        <v>99</v>
      </c>
    </row>
    <row r="8" ht="15" customHeight="1" s="142">
      <c r="A8" s="135" t="n">
        <v>1001</v>
      </c>
      <c r="B8" s="124" t="inlineStr">
        <is>
          <t>鑽石</t>
        </is>
      </c>
      <c r="C8" s="135" t="n">
        <v>99</v>
      </c>
    </row>
    <row r="9" ht="15" customHeight="1" s="142">
      <c r="A9" s="135" t="n">
        <v>2000</v>
      </c>
      <c r="B9" s="124" t="inlineStr">
        <is>
          <t>寶石強化石</t>
        </is>
      </c>
      <c r="C9" s="135" t="n">
        <v>1</v>
      </c>
    </row>
    <row r="10" ht="15" customHeight="1" s="142">
      <c r="A10" s="135" t="n">
        <v>2001</v>
      </c>
      <c r="B10" s="124" t="inlineStr">
        <is>
          <t>裝備強化石</t>
        </is>
      </c>
      <c r="C10" s="135" t="n">
        <v>1</v>
      </c>
    </row>
    <row r="11" ht="15" customHeight="1" s="142">
      <c r="A11" s="135" t="n">
        <v>2002</v>
      </c>
      <c r="B11" s="124" t="inlineStr">
        <is>
          <t>裝備洗鍊石</t>
        </is>
      </c>
      <c r="C11" s="135" t="n">
        <v>1</v>
      </c>
    </row>
    <row r="12" ht="15" customHeight="1" s="142">
      <c r="A12" s="135" t="n">
        <v>2003</v>
      </c>
      <c r="B12" s="124" t="inlineStr">
        <is>
          <t>彩石強化石</t>
        </is>
      </c>
      <c r="C12" s="135" t="n">
        <v>1</v>
      </c>
    </row>
    <row r="13" ht="15" customHeight="1" s="142">
      <c r="A13" s="135" t="n">
        <v>2004</v>
      </c>
      <c r="B13" s="124" t="inlineStr">
        <is>
          <t>暴晶強化石</t>
        </is>
      </c>
      <c r="C13" s="135" t="n">
        <v>1</v>
      </c>
    </row>
    <row r="14" ht="15" customHeight="1" s="142">
      <c r="A14" s="135" t="n">
        <v>2005</v>
      </c>
      <c r="B14" s="124" t="inlineStr">
        <is>
          <t>無限地城之鑰</t>
        </is>
      </c>
      <c r="C14" s="135" t="n">
        <v>1</v>
      </c>
    </row>
    <row r="15" ht="15" customHeight="1" s="142">
      <c r="A15" s="135" t="n">
        <v>2006</v>
      </c>
      <c r="B15" s="124" t="inlineStr">
        <is>
          <t>神格試煉卷</t>
        </is>
      </c>
      <c r="C15" s="135" t="n">
        <v>1</v>
      </c>
    </row>
    <row r="16" ht="15" customHeight="1" s="142">
      <c r="A16" s="135" t="n">
        <v>2007</v>
      </c>
      <c r="B16" s="124" t="inlineStr">
        <is>
          <t>暗黑契約卷</t>
        </is>
      </c>
      <c r="C16" s="135" t="n">
        <v>1</v>
      </c>
    </row>
    <row r="17" ht="15" customHeight="1" s="142">
      <c r="A17" s="135" t="n">
        <v>2008</v>
      </c>
      <c r="B17" s="124" t="inlineStr">
        <is>
          <t>破碎的轉職推薦書</t>
        </is>
      </c>
      <c r="C17" s="135" t="n">
        <v>1</v>
      </c>
    </row>
    <row r="18" ht="15" customHeight="1" s="142">
      <c r="A18" s="135" t="n">
        <v>2009</v>
      </c>
      <c r="B18" s="124" t="inlineStr">
        <is>
          <t>破碎的皇宮推薦信</t>
        </is>
      </c>
      <c r="C18" s="135" t="n">
        <v>1</v>
      </c>
    </row>
    <row r="19" ht="15" customHeight="1" s="142">
      <c r="A19" s="135" t="n">
        <v>9000</v>
      </c>
      <c r="B19" s="124" t="inlineStr">
        <is>
          <t>魔石碎片</t>
        </is>
      </c>
      <c r="C19" s="135" t="n">
        <v>100</v>
      </c>
    </row>
    <row r="20" ht="15" customHeight="1" s="142">
      <c r="A20" s="135">
        <f>card!A3-900</f>
        <v/>
      </c>
      <c r="B20" s="124" t="inlineStr">
        <is>
          <t>火之迦具土神劍碎片</t>
        </is>
      </c>
      <c r="C20" s="135" t="n">
        <v>100</v>
      </c>
    </row>
    <row r="21" ht="15" customHeight="1" s="142">
      <c r="A21" s="135">
        <f>card!A4-900</f>
        <v/>
      </c>
      <c r="B21" s="124" t="inlineStr">
        <is>
          <t>童子切安綱碎片</t>
        </is>
      </c>
      <c r="C21" s="135" t="n">
        <v>100</v>
      </c>
    </row>
    <row r="22" ht="15" customHeight="1" s="142">
      <c r="A22" s="135">
        <f>card!A5-900</f>
        <v/>
      </c>
      <c r="B22" s="124" t="inlineStr">
        <is>
          <t>村雨碎片</t>
        </is>
      </c>
      <c r="C22" s="135" t="n">
        <v>100</v>
      </c>
    </row>
    <row r="23" ht="15" customHeight="1" s="142">
      <c r="A23" s="135">
        <f>card!A6-900</f>
        <v/>
      </c>
      <c r="B23" s="124" t="inlineStr">
        <is>
          <t>隆基努斯之槍碎片</t>
        </is>
      </c>
      <c r="C23" s="135" t="n">
        <v>100</v>
      </c>
    </row>
    <row r="24" ht="15" customHeight="1" s="142">
      <c r="A24" s="135">
        <f>card!A7-900</f>
        <v/>
      </c>
      <c r="B24" s="124" t="inlineStr">
        <is>
          <t>村正碎片</t>
        </is>
      </c>
      <c r="C24" s="135" t="n">
        <v>100</v>
      </c>
    </row>
    <row r="25" ht="15" customHeight="1" s="142">
      <c r="A25" s="135">
        <f>card!A8-900</f>
        <v/>
      </c>
      <c r="B25" s="124" t="inlineStr">
        <is>
          <t>天叢雲劍碎片</t>
        </is>
      </c>
      <c r="C25" s="135" t="n">
        <v>100</v>
      </c>
    </row>
    <row r="26" ht="15" customHeight="1" s="142">
      <c r="A26" s="135">
        <f>card!A9-900</f>
        <v/>
      </c>
      <c r="B26" s="124" t="inlineStr">
        <is>
          <t>干將莫邪碎片</t>
        </is>
      </c>
      <c r="C26" s="135" t="n">
        <v>100</v>
      </c>
    </row>
    <row r="27" ht="15" customHeight="1" s="142">
      <c r="A27" s="135">
        <f>card!A10-900</f>
        <v/>
      </c>
      <c r="B27" s="124" t="inlineStr">
        <is>
          <t>埃斯卡利巴碎片</t>
        </is>
      </c>
      <c r="C27" s="135" t="n">
        <v>100</v>
      </c>
    </row>
    <row r="28" ht="15" customHeight="1" s="142">
      <c r="A28" s="135">
        <f>card!A11-900</f>
        <v/>
      </c>
      <c r="B28" s="124" t="inlineStr">
        <is>
          <t>布都御魂碎片</t>
        </is>
      </c>
      <c r="C28" s="135" t="n">
        <v>100</v>
      </c>
    </row>
    <row r="29" ht="15" customHeight="1" s="142">
      <c r="A29" s="135">
        <f>card!A12-900</f>
        <v/>
      </c>
      <c r="B29" s="124" t="inlineStr">
        <is>
          <t>提爾鋒碎片</t>
        </is>
      </c>
      <c r="C29" s="135" t="n">
        <v>100</v>
      </c>
    </row>
    <row r="30" ht="15" customHeight="1" s="142">
      <c r="A30" s="135">
        <f>card!A13-900</f>
        <v/>
      </c>
      <c r="B30" s="124" t="inlineStr">
        <is>
          <t>真十字架碎片</t>
        </is>
      </c>
      <c r="C30" s="135" t="n">
        <v>100</v>
      </c>
    </row>
    <row r="31" ht="15" customHeight="1" s="142">
      <c r="A31" s="135">
        <f>card!A14-900</f>
        <v/>
      </c>
      <c r="B31" s="124" t="inlineStr">
        <is>
          <t>阿斯卡隆碎片</t>
        </is>
      </c>
      <c r="C31" s="135" t="n">
        <v>100</v>
      </c>
    </row>
    <row r="32" ht="15" customHeight="1" s="142">
      <c r="A32" s="135">
        <f>card!A15-900</f>
        <v/>
      </c>
      <c r="B32" s="124" t="inlineStr">
        <is>
          <t>鬼丸國綱碎片</t>
        </is>
      </c>
      <c r="C32" s="135" t="n">
        <v>100</v>
      </c>
    </row>
    <row r="33" ht="15" customHeight="1" s="142">
      <c r="A33" s="135">
        <f>card!A16-900</f>
        <v/>
      </c>
      <c r="B33" s="124" t="inlineStr">
        <is>
          <t>阿隆戴特碎片</t>
        </is>
      </c>
      <c r="C33" s="135" t="n">
        <v>100</v>
      </c>
    </row>
    <row r="34" ht="15" customHeight="1" s="142">
      <c r="A34" s="135">
        <f>card!A17-900</f>
        <v/>
      </c>
      <c r="B34" s="124" t="inlineStr">
        <is>
          <t>哈迪斯之盔碎片</t>
        </is>
      </c>
      <c r="C34" s="135" t="n">
        <v>100</v>
      </c>
    </row>
    <row r="35" ht="15" customHeight="1" s="142">
      <c r="A35" s="135">
        <f>card!A18-900</f>
        <v/>
      </c>
      <c r="B35" s="124" t="inlineStr">
        <is>
          <t>封印之書碎片</t>
        </is>
      </c>
      <c r="C35" s="135" t="n">
        <v>100</v>
      </c>
    </row>
    <row r="36" ht="15" customHeight="1" s="142">
      <c r="A36" s="135">
        <f>card!A19-900</f>
        <v/>
      </c>
      <c r="B36" s="124" t="inlineStr">
        <is>
          <t>永恆聖鏡碎片</t>
        </is>
      </c>
      <c r="C36" s="135" t="n">
        <v>100</v>
      </c>
    </row>
    <row r="37" ht="15" customHeight="1" s="142">
      <c r="A37" s="135">
        <f>card!A20-900</f>
        <v/>
      </c>
      <c r="B37" s="124" t="inlineStr">
        <is>
          <t>熔岩之鼎碎片</t>
        </is>
      </c>
      <c r="C37" s="135" t="n">
        <v>100</v>
      </c>
    </row>
    <row r="38" ht="15" customHeight="1" s="142">
      <c r="A38" s="135">
        <f>card!A21-900</f>
        <v/>
      </c>
      <c r="B38" s="124" t="inlineStr">
        <is>
          <t>布里歐納克碎片</t>
        </is>
      </c>
      <c r="C38" s="135" t="n">
        <v>100</v>
      </c>
    </row>
    <row r="39" ht="15" customHeight="1" s="142">
      <c r="A39" s="135">
        <f>card!A22-900</f>
        <v/>
      </c>
      <c r="B39" s="124" t="inlineStr">
        <is>
          <t>美杜莎之盾碎片</t>
        </is>
      </c>
      <c r="C39" s="135" t="n">
        <v>100</v>
      </c>
    </row>
    <row r="40" ht="15" customHeight="1" s="142">
      <c r="A40" s="135">
        <f>card!A23-900</f>
        <v/>
      </c>
      <c r="B40" s="124" t="inlineStr">
        <is>
          <t>赫格尼之劍碎片</t>
        </is>
      </c>
      <c r="C40" s="135" t="n">
        <v>100</v>
      </c>
    </row>
    <row r="41" ht="15" customHeight="1" s="142">
      <c r="A41" s="135">
        <f>card!A24-900</f>
        <v/>
      </c>
      <c r="B41" s="124" t="inlineStr">
        <is>
          <t>堅鐵長矛碎片</t>
        </is>
      </c>
      <c r="C41" s="135" t="n">
        <v>100</v>
      </c>
    </row>
    <row r="42" ht="15" customHeight="1" s="142">
      <c r="A42" s="135">
        <f>card!A25-900</f>
        <v/>
      </c>
      <c r="B42" s="124" t="inlineStr">
        <is>
          <t>尖刺短刀碎片</t>
        </is>
      </c>
      <c r="C42" s="135" t="n">
        <v>100</v>
      </c>
    </row>
    <row r="43" ht="15" customHeight="1" s="142">
      <c r="A43" s="135">
        <f>card!A26-900</f>
        <v/>
      </c>
      <c r="B43" s="124" t="inlineStr">
        <is>
          <t>學徒法杖碎片</t>
        </is>
      </c>
      <c r="C43" s="135" t="n">
        <v>100</v>
      </c>
    </row>
    <row r="44" ht="15" customHeight="1" s="142">
      <c r="A44" s="135">
        <f>card!A27-900</f>
        <v/>
      </c>
      <c r="B44" s="124" t="inlineStr">
        <is>
          <t>枯木魔杖碎片</t>
        </is>
      </c>
      <c r="C44" s="135" t="n">
        <v>100</v>
      </c>
    </row>
    <row r="45" ht="15" customHeight="1" s="142">
      <c r="A45" s="135">
        <f>card!A28-900</f>
        <v/>
      </c>
      <c r="B45" s="124" t="inlineStr">
        <is>
          <t>十字堅盾碎片</t>
        </is>
      </c>
      <c r="C45" s="135" t="n">
        <v>100</v>
      </c>
    </row>
    <row r="46" ht="15" customHeight="1" s="142">
      <c r="A46" s="135">
        <f>card!A29-900</f>
        <v/>
      </c>
      <c r="B46" s="124" t="inlineStr">
        <is>
          <t>獵人之弓碎片</t>
        </is>
      </c>
      <c r="C46" s="135" t="n">
        <v>100</v>
      </c>
    </row>
    <row r="47" ht="15" customHeight="1" s="142">
      <c r="A47" s="135">
        <f>card!A30-900</f>
        <v/>
      </c>
      <c r="B47" s="124" t="inlineStr">
        <is>
          <t>修行者法球碎片</t>
        </is>
      </c>
      <c r="C47" s="135" t="n">
        <v>100</v>
      </c>
    </row>
    <row r="48" ht="15" customHeight="1" s="142">
      <c r="A48" s="135">
        <f>card!A31-900</f>
        <v/>
      </c>
      <c r="B48" s="124" t="inlineStr">
        <is>
          <t>迴旋鏈刃碎片</t>
        </is>
      </c>
      <c r="C48" s="135" t="n">
        <v>100</v>
      </c>
    </row>
    <row r="49" ht="15" customHeight="1" s="142">
      <c r="A49" s="135">
        <f>card!A32-900</f>
        <v/>
      </c>
      <c r="B49" s="124" t="inlineStr">
        <is>
          <t>晨星鎚碎片</t>
        </is>
      </c>
      <c r="C49" s="135" t="n">
        <v>100</v>
      </c>
    </row>
    <row r="50" ht="14.25" customHeight="1" s="142">
      <c r="A50" s="135">
        <f>card!A33-900</f>
        <v/>
      </c>
      <c r="B50" s="8" t="inlineStr">
        <is>
          <t>戰鬥者長劍碎片</t>
        </is>
      </c>
      <c r="C50" s="135" t="n">
        <v>100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601"/>
  <sheetViews>
    <sheetView zoomScaleNormal="100" workbookViewId="0">
      <selection activeCell="A1" sqref="A1"/>
    </sheetView>
  </sheetViews>
  <sheetFormatPr baseColWidth="8" defaultColWidth="12.5703125" defaultRowHeight="12.75"/>
  <cols>
    <col width="5.5703125" customWidth="1" style="142" min="1" max="1"/>
    <col width="43.85546875" customWidth="1" style="142" min="2" max="2"/>
    <col width="4.42578125" customWidth="1" style="142" min="3" max="3"/>
    <col width="23.85546875" customWidth="1" style="142" min="4" max="4"/>
    <col width="16.140625" customWidth="1" style="142" min="5" max="5"/>
    <col width="13.42578125" customWidth="1" style="142" min="6" max="6"/>
    <col width="11.85546875" customWidth="1" style="142" min="7" max="7"/>
    <col width="16.140625" customWidth="1" style="142" min="8" max="8"/>
    <col width="13.42578125" customWidth="1" style="142" min="9" max="9"/>
  </cols>
  <sheetData>
    <row r="1" ht="14.25" customHeight="1" s="142">
      <c r="A1" s="141" t="inlineStr">
        <is>
          <t>mapid</t>
        </is>
      </c>
      <c r="B1" s="141" t="inlineStr">
        <is>
          <t>random_play</t>
        </is>
      </c>
      <c r="C1" s="141" t="inlineStr">
        <is>
          <t>level</t>
        </is>
      </c>
      <c r="D1" s="141" t="inlineStr">
        <is>
          <t>idlereward1_id</t>
        </is>
      </c>
      <c r="E1" s="141" t="inlineStr">
        <is>
          <t>idlereward1_amount</t>
        </is>
      </c>
      <c r="F1" s="141" t="inlineStr">
        <is>
          <t>idlereward1_rate</t>
        </is>
      </c>
      <c r="G1" s="141" t="inlineStr">
        <is>
          <t>idlereward2_id</t>
        </is>
      </c>
      <c r="H1" s="141" t="inlineStr">
        <is>
          <t>idlereward2_amount</t>
        </is>
      </c>
      <c r="I1" s="141" t="inlineStr">
        <is>
          <t>idlereward2_rate</t>
        </is>
      </c>
      <c r="J1" s="141" t="inlineStr">
        <is>
          <t>idlereward3_id</t>
        </is>
      </c>
      <c r="K1" s="141" t="inlineStr">
        <is>
          <t>idlereward3_amount</t>
        </is>
      </c>
      <c r="L1" s="141" t="inlineStr">
        <is>
          <t>idlereward3_rate</t>
        </is>
      </c>
      <c r="M1" s="141" t="inlineStr">
        <is>
          <t>idlereward4_id</t>
        </is>
      </c>
      <c r="N1" s="141" t="inlineStr">
        <is>
          <t>idlereward4_amount</t>
        </is>
      </c>
      <c r="O1" s="141" t="inlineStr">
        <is>
          <t>idlereward4_rate</t>
        </is>
      </c>
      <c r="P1" t="inlineStr">
        <is>
          <t>idlereward5_id</t>
        </is>
      </c>
      <c r="Q1" t="inlineStr">
        <is>
          <t>idlereward5_amount</t>
        </is>
      </c>
      <c r="R1" t="inlineStr">
        <is>
          <t>idlereward5_rate</t>
        </is>
      </c>
      <c r="S1" t="inlineStr">
        <is>
          <t>idlereward6_id</t>
        </is>
      </c>
      <c r="T1" t="inlineStr">
        <is>
          <t>idlereward6_amount</t>
        </is>
      </c>
      <c r="U1" t="inlineStr">
        <is>
          <t>idlereward6_rate</t>
        </is>
      </c>
      <c r="V1" t="inlineStr">
        <is>
          <t>idlereward7_id</t>
        </is>
      </c>
      <c r="W1" t="inlineStr">
        <is>
          <t>idlereward7_amount</t>
        </is>
      </c>
      <c r="X1" t="inlineStr">
        <is>
          <t>idlereward7_rate</t>
        </is>
      </c>
      <c r="Y1" t="inlineStr">
        <is>
          <t>idlereward8_id</t>
        </is>
      </c>
      <c r="Z1" t="inlineStr">
        <is>
          <t>idlereward8_amount</t>
        </is>
      </c>
      <c r="AA1" t="inlineStr">
        <is>
          <t>idlereward8_rate</t>
        </is>
      </c>
    </row>
    <row r="2" ht="14.25" customHeight="1" s="142">
      <c r="A2" s="141" t="n">
        <v>1000</v>
      </c>
      <c r="B2" s="52" t="inlineStr">
        <is>
          <t>40001,40002</t>
        </is>
      </c>
      <c r="C2" s="141" t="n">
        <v>1</v>
      </c>
      <c r="D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" s="141" t="n">
        <v>1</v>
      </c>
      <c r="F2" s="141" t="n">
        <v>0.05</v>
      </c>
      <c r="G2" s="135" t="n">
        <v>8001</v>
      </c>
      <c r="H2" s="141" t="n">
        <v>40</v>
      </c>
      <c r="I2" s="141" t="n">
        <v>1</v>
      </c>
      <c r="J2" s="135" t="n">
        <v>8000</v>
      </c>
      <c r="K2" s="141" t="n">
        <v>60</v>
      </c>
      <c r="L2" s="141" t="n">
        <v>1</v>
      </c>
      <c r="M2" s="135" t="n">
        <v>2007</v>
      </c>
      <c r="N2" s="141" t="n">
        <v>1</v>
      </c>
      <c r="O2" s="141" t="n">
        <v>0.05</v>
      </c>
      <c r="P2" t="n">
        <v>9000</v>
      </c>
      <c r="Q2" t="n">
        <v>10</v>
      </c>
      <c r="R2" t="n">
        <v>1</v>
      </c>
      <c r="S2" t="inlineStr">
        <is>
          <t>2001,2002</t>
        </is>
      </c>
      <c r="T2" t="n">
        <v>2</v>
      </c>
      <c r="U2" t="n">
        <v>0.5</v>
      </c>
      <c r="V2" t="n">
        <v>1000</v>
      </c>
      <c r="W2" t="n">
        <v>625</v>
      </c>
      <c r="X2" t="n">
        <v>1</v>
      </c>
      <c r="Y2" t="n">
        <v>2006</v>
      </c>
      <c r="Z2" t="n">
        <v>1</v>
      </c>
      <c r="AA2" t="n">
        <v>0.03</v>
      </c>
    </row>
    <row r="3" ht="14.25" customHeight="1" s="142">
      <c r="A3" s="141" t="n">
        <v>1001</v>
      </c>
      <c r="B3" s="52" t="inlineStr">
        <is>
          <t>40005,40002</t>
        </is>
      </c>
      <c r="C3" s="141" t="n">
        <v>1</v>
      </c>
      <c r="D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" s="141" t="n">
        <v>1</v>
      </c>
      <c r="F3" s="141" t="n">
        <v>0.05</v>
      </c>
      <c r="G3" s="135" t="n">
        <v>8001</v>
      </c>
      <c r="H3" s="141" t="n">
        <v>40</v>
      </c>
      <c r="I3" s="141" t="n">
        <v>1</v>
      </c>
      <c r="J3" s="135" t="n">
        <v>8000</v>
      </c>
      <c r="K3" s="141" t="n">
        <v>60</v>
      </c>
      <c r="L3" s="141" t="n">
        <v>1</v>
      </c>
      <c r="M3" s="135" t="n">
        <v>2007</v>
      </c>
      <c r="N3" s="141" t="n">
        <v>1</v>
      </c>
      <c r="O3" s="141" t="n">
        <v>0.05</v>
      </c>
      <c r="P3" t="n">
        <v>9000</v>
      </c>
      <c r="Q3" t="n">
        <v>10</v>
      </c>
      <c r="R3" t="n">
        <v>1</v>
      </c>
      <c r="S3" t="inlineStr">
        <is>
          <t>2001,2002</t>
        </is>
      </c>
      <c r="T3" t="n">
        <v>2</v>
      </c>
      <c r="U3" t="n">
        <v>0.5</v>
      </c>
      <c r="V3" t="n">
        <v>1000</v>
      </c>
      <c r="W3" t="n">
        <v>625</v>
      </c>
      <c r="X3" t="n">
        <v>1</v>
      </c>
      <c r="Y3" t="n">
        <v>2006</v>
      </c>
      <c r="Z3" t="n">
        <v>1</v>
      </c>
      <c r="AA3" t="n">
        <v>0.03</v>
      </c>
    </row>
    <row r="4" ht="14.25" customHeight="1" s="142">
      <c r="A4" s="141" t="n">
        <v>1002</v>
      </c>
      <c r="B4" s="52" t="inlineStr">
        <is>
          <t>40005</t>
        </is>
      </c>
      <c r="C4" s="141" t="n">
        <v>2</v>
      </c>
      <c r="D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" s="141" t="n">
        <v>1</v>
      </c>
      <c r="F4" s="141" t="n">
        <v>0.05</v>
      </c>
      <c r="G4" s="135" t="n">
        <v>8001</v>
      </c>
      <c r="H4" s="141" t="n">
        <v>40</v>
      </c>
      <c r="I4" s="141" t="n">
        <v>1</v>
      </c>
      <c r="J4" s="135" t="n">
        <v>8000</v>
      </c>
      <c r="K4" s="141" t="n">
        <v>60</v>
      </c>
      <c r="L4" s="141" t="n">
        <v>1</v>
      </c>
      <c r="M4" s="135" t="n">
        <v>2007</v>
      </c>
      <c r="N4" s="141" t="n">
        <v>1</v>
      </c>
      <c r="O4" s="141" t="n">
        <v>0.05</v>
      </c>
      <c r="P4" t="n">
        <v>9000</v>
      </c>
      <c r="Q4" t="n">
        <v>10</v>
      </c>
      <c r="R4" t="n">
        <v>1</v>
      </c>
      <c r="S4" t="inlineStr">
        <is>
          <t>2001,2002</t>
        </is>
      </c>
      <c r="T4" t="n">
        <v>2</v>
      </c>
      <c r="U4" t="n">
        <v>0.5</v>
      </c>
      <c r="V4" t="n">
        <v>1000</v>
      </c>
      <c r="W4" t="n">
        <v>625</v>
      </c>
      <c r="X4" t="n">
        <v>1</v>
      </c>
      <c r="Y4" t="n">
        <v>2006</v>
      </c>
      <c r="Z4" t="n">
        <v>1</v>
      </c>
      <c r="AA4" t="n">
        <v>0.03</v>
      </c>
    </row>
    <row r="5" ht="14.25" customHeight="1" s="142">
      <c r="A5" s="141" t="n">
        <v>1003</v>
      </c>
      <c r="B5" s="52" t="inlineStr">
        <is>
          <t>40005,40004</t>
        </is>
      </c>
      <c r="C5" s="141" t="n">
        <v>2</v>
      </c>
      <c r="D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" s="141" t="n">
        <v>1</v>
      </c>
      <c r="F5" s="141" t="n">
        <v>0.05</v>
      </c>
      <c r="G5" s="135" t="n">
        <v>8001</v>
      </c>
      <c r="H5" s="141" t="n">
        <v>40</v>
      </c>
      <c r="I5" s="141" t="n">
        <v>1</v>
      </c>
      <c r="J5" s="135" t="n">
        <v>8000</v>
      </c>
      <c r="K5" s="141" t="n">
        <v>60</v>
      </c>
      <c r="L5" s="141" t="n">
        <v>1</v>
      </c>
      <c r="M5" s="135" t="n">
        <v>2007</v>
      </c>
      <c r="N5" s="141" t="n">
        <v>1</v>
      </c>
      <c r="O5" s="141" t="n">
        <v>0.05</v>
      </c>
      <c r="P5" t="n">
        <v>9000</v>
      </c>
      <c r="Q5" t="n">
        <v>10</v>
      </c>
      <c r="R5" t="n">
        <v>1</v>
      </c>
      <c r="S5" t="inlineStr">
        <is>
          <t>2001,2002</t>
        </is>
      </c>
      <c r="T5" t="n">
        <v>2</v>
      </c>
      <c r="U5" t="n">
        <v>0.5</v>
      </c>
      <c r="V5" t="n">
        <v>1000</v>
      </c>
      <c r="W5" t="n">
        <v>625</v>
      </c>
      <c r="X5" t="n">
        <v>1</v>
      </c>
      <c r="Y5" t="n">
        <v>2006</v>
      </c>
      <c r="Z5" t="n">
        <v>1</v>
      </c>
      <c r="AA5" t="n">
        <v>0.03</v>
      </c>
    </row>
    <row r="6" ht="14.25" customHeight="1" s="142">
      <c r="A6" s="141" t="n">
        <v>1004</v>
      </c>
      <c r="B6" s="52" t="inlineStr">
        <is>
          <t>40001,40004,40005</t>
        </is>
      </c>
      <c r="C6" s="141" t="n">
        <v>3</v>
      </c>
      <c r="D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" s="141" t="n">
        <v>1</v>
      </c>
      <c r="F6" s="141" t="n">
        <v>0.05</v>
      </c>
      <c r="G6" s="135" t="n">
        <v>8001</v>
      </c>
      <c r="H6" s="141" t="n">
        <v>40</v>
      </c>
      <c r="I6" s="141" t="n">
        <v>1</v>
      </c>
      <c r="J6" s="135" t="n">
        <v>8000</v>
      </c>
      <c r="K6" s="141" t="n">
        <v>60</v>
      </c>
      <c r="L6" s="141" t="n">
        <v>1</v>
      </c>
      <c r="M6" s="135" t="n">
        <v>2007</v>
      </c>
      <c r="N6" s="141" t="n">
        <v>1</v>
      </c>
      <c r="O6" s="141" t="n">
        <v>0.05</v>
      </c>
      <c r="P6" t="n">
        <v>9000</v>
      </c>
      <c r="Q6" t="n">
        <v>10</v>
      </c>
      <c r="R6" t="n">
        <v>1</v>
      </c>
      <c r="S6" t="inlineStr">
        <is>
          <t>2001,2002</t>
        </is>
      </c>
      <c r="T6" t="n">
        <v>2</v>
      </c>
      <c r="U6" t="n">
        <v>0.5</v>
      </c>
      <c r="V6" t="n">
        <v>1000</v>
      </c>
      <c r="W6" t="n">
        <v>625</v>
      </c>
      <c r="X6" t="n">
        <v>1</v>
      </c>
      <c r="Y6" t="n">
        <v>2006</v>
      </c>
      <c r="Z6" t="n">
        <v>1</v>
      </c>
      <c r="AA6" t="n">
        <v>0.03</v>
      </c>
    </row>
    <row r="7" ht="14.25" customHeight="1" s="142">
      <c r="A7" s="141" t="n">
        <v>1005</v>
      </c>
      <c r="B7" s="52" t="inlineStr">
        <is>
          <t>40002,40001,40003</t>
        </is>
      </c>
      <c r="C7" s="141" t="n">
        <v>3</v>
      </c>
      <c r="D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" s="141" t="n">
        <v>1</v>
      </c>
      <c r="F7" s="141" t="n">
        <v>0.05</v>
      </c>
      <c r="G7" s="135" t="n">
        <v>8001</v>
      </c>
      <c r="H7" s="141" t="n">
        <v>40</v>
      </c>
      <c r="I7" s="141" t="n">
        <v>1</v>
      </c>
      <c r="J7" s="135" t="n">
        <v>8000</v>
      </c>
      <c r="K7" s="141" t="n">
        <v>60</v>
      </c>
      <c r="L7" s="141" t="n">
        <v>1</v>
      </c>
      <c r="M7" s="135" t="n">
        <v>2007</v>
      </c>
      <c r="N7" s="141" t="n">
        <v>1</v>
      </c>
      <c r="O7" s="141" t="n">
        <v>0.05</v>
      </c>
      <c r="P7" t="n">
        <v>9000</v>
      </c>
      <c r="Q7" t="n">
        <v>10</v>
      </c>
      <c r="R7" t="n">
        <v>1</v>
      </c>
      <c r="S7" t="inlineStr">
        <is>
          <t>2001,2002</t>
        </is>
      </c>
      <c r="T7" t="n">
        <v>2</v>
      </c>
      <c r="U7" t="n">
        <v>0.5</v>
      </c>
      <c r="V7" t="n">
        <v>1000</v>
      </c>
      <c r="W7" t="n">
        <v>625</v>
      </c>
      <c r="X7" t="n">
        <v>1</v>
      </c>
      <c r="Y7" t="n">
        <v>2006</v>
      </c>
      <c r="Z7" t="n">
        <v>1</v>
      </c>
      <c r="AA7" t="n">
        <v>0.03</v>
      </c>
    </row>
    <row r="8" ht="14.25" customHeight="1" s="142">
      <c r="A8" s="141" t="n">
        <v>1006</v>
      </c>
      <c r="B8" s="52" t="inlineStr">
        <is>
          <t>40004,40001,40002</t>
        </is>
      </c>
      <c r="C8" s="141" t="n">
        <v>4</v>
      </c>
      <c r="D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" s="141" t="n">
        <v>1</v>
      </c>
      <c r="F8" s="141" t="n">
        <v>0.05</v>
      </c>
      <c r="G8" s="135" t="n">
        <v>8001</v>
      </c>
      <c r="H8" s="141" t="n">
        <v>40</v>
      </c>
      <c r="I8" s="141" t="n">
        <v>1</v>
      </c>
      <c r="J8" s="135" t="n">
        <v>8000</v>
      </c>
      <c r="K8" s="141" t="n">
        <v>60</v>
      </c>
      <c r="L8" s="141" t="n">
        <v>1</v>
      </c>
      <c r="M8" s="135" t="n">
        <v>2007</v>
      </c>
      <c r="N8" s="141" t="n">
        <v>1</v>
      </c>
      <c r="O8" s="141" t="n">
        <v>0.05</v>
      </c>
      <c r="P8" t="n">
        <v>9000</v>
      </c>
      <c r="Q8" t="n">
        <v>10</v>
      </c>
      <c r="R8" t="n">
        <v>1</v>
      </c>
      <c r="S8" t="inlineStr">
        <is>
          <t>2001,2002</t>
        </is>
      </c>
      <c r="T8" t="n">
        <v>2</v>
      </c>
      <c r="U8" t="n">
        <v>0.5</v>
      </c>
      <c r="V8" t="n">
        <v>1000</v>
      </c>
      <c r="W8" t="n">
        <v>625</v>
      </c>
      <c r="X8" t="n">
        <v>1</v>
      </c>
      <c r="Y8" t="n">
        <v>2006</v>
      </c>
      <c r="Z8" t="n">
        <v>1</v>
      </c>
      <c r="AA8" t="n">
        <v>0.03</v>
      </c>
    </row>
    <row r="9" ht="14.25" customHeight="1" s="142">
      <c r="A9" s="141" t="n">
        <v>1007</v>
      </c>
      <c r="B9" s="52" t="inlineStr">
        <is>
          <t>40002,40005</t>
        </is>
      </c>
      <c r="C9" s="141" t="n">
        <v>4</v>
      </c>
      <c r="D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" s="141" t="n">
        <v>1</v>
      </c>
      <c r="F9" s="141" t="n">
        <v>0.05</v>
      </c>
      <c r="G9" s="135" t="n">
        <v>8001</v>
      </c>
      <c r="H9" s="141" t="n">
        <v>40</v>
      </c>
      <c r="I9" s="141" t="n">
        <v>1</v>
      </c>
      <c r="J9" s="135" t="n">
        <v>8000</v>
      </c>
      <c r="K9" s="141" t="n">
        <v>60</v>
      </c>
      <c r="L9" s="141" t="n">
        <v>1</v>
      </c>
      <c r="M9" s="135" t="n">
        <v>2007</v>
      </c>
      <c r="N9" s="141" t="n">
        <v>1</v>
      </c>
      <c r="O9" s="141" t="n">
        <v>0.05</v>
      </c>
      <c r="P9" t="n">
        <v>9000</v>
      </c>
      <c r="Q9" t="n">
        <v>10</v>
      </c>
      <c r="R9" t="n">
        <v>1</v>
      </c>
      <c r="S9" t="inlineStr">
        <is>
          <t>2001,2002</t>
        </is>
      </c>
      <c r="T9" t="n">
        <v>2</v>
      </c>
      <c r="U9" t="n">
        <v>0.5</v>
      </c>
      <c r="V9" t="n">
        <v>1000</v>
      </c>
      <c r="W9" t="n">
        <v>625</v>
      </c>
      <c r="X9" t="n">
        <v>1</v>
      </c>
      <c r="Y9" t="n">
        <v>2006</v>
      </c>
      <c r="Z9" t="n">
        <v>1</v>
      </c>
      <c r="AA9" t="n">
        <v>0.03</v>
      </c>
    </row>
    <row r="10" ht="14.25" customHeight="1" s="142">
      <c r="A10" s="141" t="n">
        <v>1008</v>
      </c>
      <c r="B10" s="52" t="inlineStr">
        <is>
          <t>40003,40004</t>
        </is>
      </c>
      <c r="C10" s="141" t="n">
        <v>5</v>
      </c>
      <c r="D1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" s="141" t="n">
        <v>1</v>
      </c>
      <c r="F10" s="141" t="n">
        <v>0.05</v>
      </c>
      <c r="G10" s="135" t="n">
        <v>8001</v>
      </c>
      <c r="H10" s="141" t="n">
        <v>40</v>
      </c>
      <c r="I10" s="141" t="n">
        <v>1</v>
      </c>
      <c r="J10" s="135" t="n">
        <v>8000</v>
      </c>
      <c r="K10" s="141" t="n">
        <v>60</v>
      </c>
      <c r="L10" s="141" t="n">
        <v>1</v>
      </c>
      <c r="M10" s="135" t="n">
        <v>2007</v>
      </c>
      <c r="N10" s="141" t="n">
        <v>1</v>
      </c>
      <c r="O10" s="141" t="n">
        <v>0.05</v>
      </c>
      <c r="P10" t="n">
        <v>9000</v>
      </c>
      <c r="Q10" t="n">
        <v>10</v>
      </c>
      <c r="R10" t="n">
        <v>1</v>
      </c>
      <c r="S10" t="inlineStr">
        <is>
          <t>2001,2002</t>
        </is>
      </c>
      <c r="T10" t="n">
        <v>2</v>
      </c>
      <c r="U10" t="n">
        <v>0.5</v>
      </c>
      <c r="V10" t="n">
        <v>1000</v>
      </c>
      <c r="W10" t="n">
        <v>630</v>
      </c>
      <c r="X10" t="n">
        <v>1</v>
      </c>
      <c r="Y10" t="n">
        <v>2006</v>
      </c>
      <c r="Z10" t="n">
        <v>1</v>
      </c>
      <c r="AA10" t="n">
        <v>0.03</v>
      </c>
    </row>
    <row r="11" ht="14.25" customHeight="1" s="142">
      <c r="A11" s="141" t="n">
        <v>1009</v>
      </c>
      <c r="B11" s="52" t="inlineStr">
        <is>
          <t>40002,40003,40005</t>
        </is>
      </c>
      <c r="C11" s="141" t="n">
        <v>5</v>
      </c>
      <c r="D1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" s="141" t="n">
        <v>1</v>
      </c>
      <c r="F11" s="141" t="n">
        <v>0.05</v>
      </c>
      <c r="G11" s="135" t="n">
        <v>8001</v>
      </c>
      <c r="H11" s="141" t="n">
        <v>40</v>
      </c>
      <c r="I11" s="141" t="n">
        <v>1</v>
      </c>
      <c r="J11" s="135" t="n">
        <v>8000</v>
      </c>
      <c r="K11" s="141" t="n">
        <v>60</v>
      </c>
      <c r="L11" s="141" t="n">
        <v>1</v>
      </c>
      <c r="M11" s="135" t="n">
        <v>2007</v>
      </c>
      <c r="N11" s="141" t="n">
        <v>1</v>
      </c>
      <c r="O11" s="141" t="n">
        <v>0.05</v>
      </c>
      <c r="P11" t="n">
        <v>9000</v>
      </c>
      <c r="Q11" t="n">
        <v>10</v>
      </c>
      <c r="R11" t="n">
        <v>1</v>
      </c>
      <c r="S11" t="inlineStr">
        <is>
          <t>2001,2002</t>
        </is>
      </c>
      <c r="T11" t="n">
        <v>2</v>
      </c>
      <c r="U11" t="n">
        <v>0.5</v>
      </c>
      <c r="V11" t="n">
        <v>1000</v>
      </c>
      <c r="W11" t="n">
        <v>630</v>
      </c>
      <c r="X11" t="n">
        <v>1</v>
      </c>
      <c r="Y11" t="n">
        <v>2006</v>
      </c>
      <c r="Z11" t="n">
        <v>1</v>
      </c>
      <c r="AA11" t="n">
        <v>0.03</v>
      </c>
    </row>
    <row r="12" ht="14.25" customHeight="1" s="142">
      <c r="A12" s="141" t="n">
        <v>1010</v>
      </c>
      <c r="B12" s="52" t="inlineStr">
        <is>
          <t>40002,40005,40004</t>
        </is>
      </c>
      <c r="C12" s="141" t="n">
        <v>6</v>
      </c>
      <c r="D1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" s="141" t="n">
        <v>1</v>
      </c>
      <c r="F12" s="141" t="n">
        <v>0.05</v>
      </c>
      <c r="G12" s="135" t="n">
        <v>8001</v>
      </c>
      <c r="H12" s="141" t="n">
        <v>40</v>
      </c>
      <c r="I12" s="141" t="n">
        <v>1</v>
      </c>
      <c r="J12" s="135" t="n">
        <v>8000</v>
      </c>
      <c r="K12" s="141" t="n">
        <v>60</v>
      </c>
      <c r="L12" s="141" t="n">
        <v>1</v>
      </c>
      <c r="M12" s="135" t="n">
        <v>2007</v>
      </c>
      <c r="N12" s="141" t="n">
        <v>1</v>
      </c>
      <c r="O12" s="141" t="n">
        <v>0.05</v>
      </c>
      <c r="P12" t="n">
        <v>9000</v>
      </c>
      <c r="Q12" t="n">
        <v>10</v>
      </c>
      <c r="R12" t="n">
        <v>1</v>
      </c>
      <c r="S12" t="inlineStr">
        <is>
          <t>2001,2002</t>
        </is>
      </c>
      <c r="T12" t="n">
        <v>2</v>
      </c>
      <c r="U12" t="n">
        <v>0.5</v>
      </c>
      <c r="V12" t="n">
        <v>1000</v>
      </c>
      <c r="W12" t="n">
        <v>630</v>
      </c>
      <c r="X12" t="n">
        <v>1</v>
      </c>
      <c r="Y12" t="n">
        <v>2006</v>
      </c>
      <c r="Z12" t="n">
        <v>1</v>
      </c>
      <c r="AA12" t="n">
        <v>0.03</v>
      </c>
    </row>
    <row r="13" ht="14.25" customHeight="1" s="142">
      <c r="A13" s="141" t="n">
        <v>1011</v>
      </c>
      <c r="B13" s="52" t="inlineStr">
        <is>
          <t>40001,40004,40002</t>
        </is>
      </c>
      <c r="C13" s="141" t="n">
        <v>6</v>
      </c>
      <c r="D1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" s="141" t="n">
        <v>1</v>
      </c>
      <c r="F13" s="141" t="n">
        <v>0.05</v>
      </c>
      <c r="G13" s="135" t="n">
        <v>8001</v>
      </c>
      <c r="H13" s="141" t="n">
        <v>40</v>
      </c>
      <c r="I13" s="141" t="n">
        <v>1</v>
      </c>
      <c r="J13" s="135" t="n">
        <v>8000</v>
      </c>
      <c r="K13" s="141" t="n">
        <v>60</v>
      </c>
      <c r="L13" s="141" t="n">
        <v>1</v>
      </c>
      <c r="M13" s="135" t="n">
        <v>2007</v>
      </c>
      <c r="N13" s="141" t="n">
        <v>1</v>
      </c>
      <c r="O13" s="141" t="n">
        <v>0.05</v>
      </c>
      <c r="P13" t="n">
        <v>9000</v>
      </c>
      <c r="Q13" t="n">
        <v>10</v>
      </c>
      <c r="R13" t="n">
        <v>1</v>
      </c>
      <c r="S13" t="inlineStr">
        <is>
          <t>2001,2002</t>
        </is>
      </c>
      <c r="T13" t="n">
        <v>2</v>
      </c>
      <c r="U13" t="n">
        <v>0.5</v>
      </c>
      <c r="V13" t="n">
        <v>1000</v>
      </c>
      <c r="W13" t="n">
        <v>630</v>
      </c>
      <c r="X13" t="n">
        <v>1</v>
      </c>
      <c r="Y13" t="n">
        <v>2006</v>
      </c>
      <c r="Z13" t="n">
        <v>1</v>
      </c>
      <c r="AA13" t="n">
        <v>0.03</v>
      </c>
    </row>
    <row r="14" ht="14.25" customHeight="1" s="142">
      <c r="A14" s="141" t="n">
        <v>1012</v>
      </c>
      <c r="B14" s="52" t="inlineStr">
        <is>
          <t>40005,40003,40004,40001</t>
        </is>
      </c>
      <c r="C14" s="141" t="n">
        <v>7</v>
      </c>
      <c r="D1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" s="141" t="n">
        <v>1</v>
      </c>
      <c r="F14" s="141" t="n">
        <v>0.05</v>
      </c>
      <c r="G14" s="135" t="n">
        <v>8001</v>
      </c>
      <c r="H14" s="141" t="n">
        <v>40</v>
      </c>
      <c r="I14" s="141" t="n">
        <v>1</v>
      </c>
      <c r="J14" s="135" t="n">
        <v>8000</v>
      </c>
      <c r="K14" s="141" t="n">
        <v>60</v>
      </c>
      <c r="L14" s="141" t="n">
        <v>1</v>
      </c>
      <c r="M14" s="135" t="n">
        <v>2007</v>
      </c>
      <c r="N14" s="141" t="n">
        <v>1</v>
      </c>
      <c r="O14" s="141" t="n">
        <v>0.05</v>
      </c>
      <c r="P14" t="n">
        <v>9000</v>
      </c>
      <c r="Q14" t="n">
        <v>10</v>
      </c>
      <c r="R14" t="n">
        <v>1</v>
      </c>
      <c r="S14" t="inlineStr">
        <is>
          <t>2001,2002</t>
        </is>
      </c>
      <c r="T14" t="n">
        <v>2</v>
      </c>
      <c r="U14" t="n">
        <v>0.5</v>
      </c>
      <c r="V14" t="n">
        <v>1000</v>
      </c>
      <c r="W14" t="n">
        <v>630</v>
      </c>
      <c r="X14" t="n">
        <v>1</v>
      </c>
      <c r="Y14" t="n">
        <v>2006</v>
      </c>
      <c r="Z14" t="n">
        <v>1</v>
      </c>
      <c r="AA14" t="n">
        <v>0.03</v>
      </c>
    </row>
    <row r="15" ht="14.25" customHeight="1" s="142">
      <c r="A15" s="141" t="n">
        <v>1013</v>
      </c>
      <c r="B15" s="52" t="inlineStr">
        <is>
          <t>40005,40003,40002,40001</t>
        </is>
      </c>
      <c r="C15" s="141" t="n">
        <v>7</v>
      </c>
      <c r="D1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" s="141" t="n">
        <v>1</v>
      </c>
      <c r="F15" s="141" t="n">
        <v>0.05</v>
      </c>
      <c r="G15" s="135" t="n">
        <v>8001</v>
      </c>
      <c r="H15" s="141" t="n">
        <v>40</v>
      </c>
      <c r="I15" s="141" t="n">
        <v>1</v>
      </c>
      <c r="J15" s="135" t="n">
        <v>8000</v>
      </c>
      <c r="K15" s="141" t="n">
        <v>60</v>
      </c>
      <c r="L15" s="141" t="n">
        <v>1</v>
      </c>
      <c r="M15" s="135" t="n">
        <v>2007</v>
      </c>
      <c r="N15" s="141" t="n">
        <v>1</v>
      </c>
      <c r="O15" s="141" t="n">
        <v>0.05</v>
      </c>
      <c r="P15" t="n">
        <v>9000</v>
      </c>
      <c r="Q15" t="n">
        <v>10</v>
      </c>
      <c r="R15" t="n">
        <v>1</v>
      </c>
      <c r="S15" t="inlineStr">
        <is>
          <t>2001,2002</t>
        </is>
      </c>
      <c r="T15" t="n">
        <v>2</v>
      </c>
      <c r="U15" t="n">
        <v>0.5</v>
      </c>
      <c r="V15" t="n">
        <v>1000</v>
      </c>
      <c r="W15" t="n">
        <v>635</v>
      </c>
      <c r="X15" t="n">
        <v>1</v>
      </c>
      <c r="Y15" t="n">
        <v>2006</v>
      </c>
      <c r="Z15" t="n">
        <v>1</v>
      </c>
      <c r="AA15" t="n">
        <v>0.03</v>
      </c>
    </row>
    <row r="16" ht="14.25" customHeight="1" s="142">
      <c r="A16" s="141" t="n">
        <v>1014</v>
      </c>
      <c r="B16" s="52" t="inlineStr">
        <is>
          <t>40003,40001,40004</t>
        </is>
      </c>
      <c r="C16" s="141" t="n">
        <v>8</v>
      </c>
      <c r="D1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" s="141" t="n">
        <v>1</v>
      </c>
      <c r="F16" s="141" t="n">
        <v>0.05</v>
      </c>
      <c r="G16" s="135" t="n">
        <v>8001</v>
      </c>
      <c r="H16" s="141" t="n">
        <v>40</v>
      </c>
      <c r="I16" s="141" t="n">
        <v>1</v>
      </c>
      <c r="J16" s="135" t="n">
        <v>8000</v>
      </c>
      <c r="K16" s="141" t="n">
        <v>60</v>
      </c>
      <c r="L16" s="141" t="n">
        <v>1</v>
      </c>
      <c r="M16" s="135" t="n">
        <v>2007</v>
      </c>
      <c r="N16" s="141" t="n">
        <v>1</v>
      </c>
      <c r="O16" s="141" t="n">
        <v>0.05</v>
      </c>
      <c r="P16" t="n">
        <v>9000</v>
      </c>
      <c r="Q16" t="n">
        <v>10</v>
      </c>
      <c r="R16" t="n">
        <v>1</v>
      </c>
      <c r="S16" t="inlineStr">
        <is>
          <t>2001,2002</t>
        </is>
      </c>
      <c r="T16" t="n">
        <v>2</v>
      </c>
      <c r="U16" t="n">
        <v>0.5</v>
      </c>
      <c r="V16" t="n">
        <v>1000</v>
      </c>
      <c r="W16" t="n">
        <v>635</v>
      </c>
      <c r="X16" t="n">
        <v>1</v>
      </c>
      <c r="Y16" t="n">
        <v>2006</v>
      </c>
      <c r="Z16" t="n">
        <v>1</v>
      </c>
      <c r="AA16" t="n">
        <v>0.03</v>
      </c>
    </row>
    <row r="17" ht="14.25" customHeight="1" s="142">
      <c r="A17" s="141" t="n">
        <v>1015</v>
      </c>
      <c r="B17" s="52" t="inlineStr">
        <is>
          <t>40005,40004,40002,40003</t>
        </is>
      </c>
      <c r="C17" s="141" t="n">
        <v>8</v>
      </c>
      <c r="D1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" s="141" t="n">
        <v>1</v>
      </c>
      <c r="F17" s="141" t="n">
        <v>0.05</v>
      </c>
      <c r="G17" s="135" t="n">
        <v>8001</v>
      </c>
      <c r="H17" s="141" t="n">
        <v>40</v>
      </c>
      <c r="I17" s="141" t="n">
        <v>1</v>
      </c>
      <c r="J17" s="135" t="n">
        <v>8000</v>
      </c>
      <c r="K17" s="141" t="n">
        <v>60</v>
      </c>
      <c r="L17" s="141" t="n">
        <v>1</v>
      </c>
      <c r="M17" s="135" t="n">
        <v>2007</v>
      </c>
      <c r="N17" s="141" t="n">
        <v>1</v>
      </c>
      <c r="O17" s="141" t="n">
        <v>0.05</v>
      </c>
      <c r="P17" t="n">
        <v>9000</v>
      </c>
      <c r="Q17" t="n">
        <v>10</v>
      </c>
      <c r="R17" t="n">
        <v>1</v>
      </c>
      <c r="S17" t="inlineStr">
        <is>
          <t>2001,2002</t>
        </is>
      </c>
      <c r="T17" t="n">
        <v>2</v>
      </c>
      <c r="U17" t="n">
        <v>0.5</v>
      </c>
      <c r="V17" t="n">
        <v>1000</v>
      </c>
      <c r="W17" t="n">
        <v>635</v>
      </c>
      <c r="X17" t="n">
        <v>1</v>
      </c>
      <c r="Y17" t="n">
        <v>2006</v>
      </c>
      <c r="Z17" t="n">
        <v>1</v>
      </c>
      <c r="AA17" t="n">
        <v>0.03</v>
      </c>
    </row>
    <row r="18" ht="14.25" customHeight="1" s="142">
      <c r="A18" s="141" t="n">
        <v>1016</v>
      </c>
      <c r="B18" s="52" t="inlineStr">
        <is>
          <t>40005,40001,40004,40002</t>
        </is>
      </c>
      <c r="C18" s="141" t="n">
        <v>9</v>
      </c>
      <c r="D1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" s="141" t="n">
        <v>1</v>
      </c>
      <c r="F18" s="141" t="n">
        <v>0.05</v>
      </c>
      <c r="G18" s="135" t="n">
        <v>8001</v>
      </c>
      <c r="H18" s="141" t="n">
        <v>40</v>
      </c>
      <c r="I18" s="141" t="n">
        <v>1</v>
      </c>
      <c r="J18" s="135" t="n">
        <v>8000</v>
      </c>
      <c r="K18" s="141" t="n">
        <v>60</v>
      </c>
      <c r="L18" s="141" t="n">
        <v>1</v>
      </c>
      <c r="M18" s="135" t="n">
        <v>2007</v>
      </c>
      <c r="N18" s="141" t="n">
        <v>1</v>
      </c>
      <c r="O18" s="141" t="n">
        <v>0.05</v>
      </c>
      <c r="P18" t="n">
        <v>9000</v>
      </c>
      <c r="Q18" t="n">
        <v>10</v>
      </c>
      <c r="R18" t="n">
        <v>1</v>
      </c>
      <c r="S18" t="inlineStr">
        <is>
          <t>2001,2002</t>
        </is>
      </c>
      <c r="T18" t="n">
        <v>2</v>
      </c>
      <c r="U18" t="n">
        <v>0.5</v>
      </c>
      <c r="V18" t="n">
        <v>1000</v>
      </c>
      <c r="W18" t="n">
        <v>635</v>
      </c>
      <c r="X18" t="n">
        <v>1</v>
      </c>
      <c r="Y18" t="n">
        <v>2006</v>
      </c>
      <c r="Z18" t="n">
        <v>1</v>
      </c>
      <c r="AA18" t="n">
        <v>0.03</v>
      </c>
    </row>
    <row r="19" ht="14.25" customHeight="1" s="142">
      <c r="A19" s="141" t="n">
        <v>1017</v>
      </c>
      <c r="B19" s="52" t="inlineStr">
        <is>
          <t>40005,40004,40001</t>
        </is>
      </c>
      <c r="C19" s="141" t="n">
        <v>9</v>
      </c>
      <c r="D1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" s="141" t="n">
        <v>1</v>
      </c>
      <c r="F19" s="141" t="n">
        <v>0.05</v>
      </c>
      <c r="G19" s="135" t="n">
        <v>8001</v>
      </c>
      <c r="H19" s="141" t="n">
        <v>40</v>
      </c>
      <c r="I19" s="141" t="n">
        <v>1</v>
      </c>
      <c r="J19" s="135" t="n">
        <v>8000</v>
      </c>
      <c r="K19" s="141" t="n">
        <v>60</v>
      </c>
      <c r="L19" s="141" t="n">
        <v>1</v>
      </c>
      <c r="M19" s="135" t="n">
        <v>2007</v>
      </c>
      <c r="N19" s="141" t="n">
        <v>1</v>
      </c>
      <c r="O19" s="141" t="n">
        <v>0.05</v>
      </c>
      <c r="P19" t="n">
        <v>9000</v>
      </c>
      <c r="Q19" t="n">
        <v>10</v>
      </c>
      <c r="R19" t="n">
        <v>1</v>
      </c>
      <c r="S19" t="inlineStr">
        <is>
          <t>2001,2002</t>
        </is>
      </c>
      <c r="T19" t="n">
        <v>2</v>
      </c>
      <c r="U19" t="n">
        <v>0.5</v>
      </c>
      <c r="V19" t="n">
        <v>1000</v>
      </c>
      <c r="W19" t="n">
        <v>640</v>
      </c>
      <c r="X19" t="n">
        <v>1</v>
      </c>
      <c r="Y19" t="n">
        <v>2006</v>
      </c>
      <c r="Z19" t="n">
        <v>1</v>
      </c>
      <c r="AA19" t="n">
        <v>0.03</v>
      </c>
    </row>
    <row r="20" ht="14.25" customHeight="1" s="142">
      <c r="A20" s="141" t="n">
        <v>1018</v>
      </c>
      <c r="B20" s="52" t="inlineStr">
        <is>
          <t>40005,40002,40003</t>
        </is>
      </c>
      <c r="C20" s="141" t="n">
        <v>10</v>
      </c>
      <c r="D2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" s="141" t="n">
        <v>1</v>
      </c>
      <c r="F20" s="141" t="n">
        <v>0.05</v>
      </c>
      <c r="G20" s="135" t="n">
        <v>8001</v>
      </c>
      <c r="H20" s="141" t="n">
        <v>40</v>
      </c>
      <c r="I20" s="141" t="n">
        <v>1</v>
      </c>
      <c r="J20" s="135" t="n">
        <v>8000</v>
      </c>
      <c r="K20" s="141" t="n">
        <v>60</v>
      </c>
      <c r="L20" s="141" t="n">
        <v>1</v>
      </c>
      <c r="M20" s="135" t="n">
        <v>2007</v>
      </c>
      <c r="N20" s="141" t="n">
        <v>1</v>
      </c>
      <c r="O20" s="141" t="n">
        <v>0.05</v>
      </c>
      <c r="P20" t="n">
        <v>9000</v>
      </c>
      <c r="Q20" t="n">
        <v>10</v>
      </c>
      <c r="R20" t="n">
        <v>1</v>
      </c>
      <c r="S20" t="inlineStr">
        <is>
          <t>2001,2002</t>
        </is>
      </c>
      <c r="T20" t="n">
        <v>2</v>
      </c>
      <c r="U20" t="n">
        <v>0.5</v>
      </c>
      <c r="V20" t="n">
        <v>1000</v>
      </c>
      <c r="W20" t="n">
        <v>640</v>
      </c>
      <c r="X20" t="n">
        <v>1</v>
      </c>
      <c r="Y20" t="n">
        <v>2006</v>
      </c>
      <c r="Z20" t="n">
        <v>1</v>
      </c>
      <c r="AA20" t="n">
        <v>0.03</v>
      </c>
    </row>
    <row r="21" ht="14.25" customHeight="1" s="142">
      <c r="A21" s="141" t="n">
        <v>1019</v>
      </c>
      <c r="B21" s="52" t="inlineStr">
        <is>
          <t>40004,40003,40002</t>
        </is>
      </c>
      <c r="C21" s="141" t="n">
        <v>10</v>
      </c>
      <c r="D2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" s="141" t="n">
        <v>1</v>
      </c>
      <c r="F21" s="141" t="n">
        <v>0.05</v>
      </c>
      <c r="G21" s="135" t="n">
        <v>8001</v>
      </c>
      <c r="H21" s="141" t="n">
        <v>40</v>
      </c>
      <c r="I21" s="141" t="n">
        <v>1</v>
      </c>
      <c r="J21" s="135" t="n">
        <v>8000</v>
      </c>
      <c r="K21" s="141" t="n">
        <v>60</v>
      </c>
      <c r="L21" s="141" t="n">
        <v>1</v>
      </c>
      <c r="M21" s="135" t="n">
        <v>2007</v>
      </c>
      <c r="N21" s="141" t="n">
        <v>1</v>
      </c>
      <c r="O21" s="141" t="n">
        <v>0.05</v>
      </c>
      <c r="P21" t="n">
        <v>9000</v>
      </c>
      <c r="Q21" t="n">
        <v>10</v>
      </c>
      <c r="R21" t="n">
        <v>1</v>
      </c>
      <c r="S21" t="inlineStr">
        <is>
          <t>2001,2002</t>
        </is>
      </c>
      <c r="T21" t="n">
        <v>2</v>
      </c>
      <c r="U21" t="n">
        <v>0.5</v>
      </c>
      <c r="V21" t="n">
        <v>1000</v>
      </c>
      <c r="W21" t="n">
        <v>640</v>
      </c>
      <c r="X21" t="n">
        <v>1</v>
      </c>
      <c r="Y21" t="n">
        <v>2006</v>
      </c>
      <c r="Z21" t="n">
        <v>1</v>
      </c>
      <c r="AA21" t="n">
        <v>0.03</v>
      </c>
    </row>
    <row r="22" ht="14.25" customHeight="1" s="142">
      <c r="A22" s="141" t="n">
        <v>1020</v>
      </c>
      <c r="B22" s="52" t="inlineStr">
        <is>
          <t>40002,40004,40005,40001</t>
        </is>
      </c>
      <c r="C22" s="141" t="n">
        <v>11</v>
      </c>
      <c r="D2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" s="141" t="n">
        <v>1</v>
      </c>
      <c r="F22" s="141" t="n">
        <v>0.05</v>
      </c>
      <c r="G22" s="135" t="n">
        <v>8001</v>
      </c>
      <c r="H22" s="141" t="n">
        <v>40</v>
      </c>
      <c r="I22" s="141" t="n">
        <v>1</v>
      </c>
      <c r="J22" s="135" t="n">
        <v>8000</v>
      </c>
      <c r="K22" s="141" t="n">
        <v>60</v>
      </c>
      <c r="L22" s="141" t="n">
        <v>1</v>
      </c>
      <c r="M22" s="135" t="n">
        <v>2007</v>
      </c>
      <c r="N22" s="141" t="n">
        <v>1</v>
      </c>
      <c r="O22" s="141" t="n">
        <v>0.05</v>
      </c>
      <c r="P22" t="n">
        <v>9000</v>
      </c>
      <c r="Q22" t="n">
        <v>10</v>
      </c>
      <c r="R22" t="n">
        <v>1</v>
      </c>
      <c r="S22" t="inlineStr">
        <is>
          <t>2001,2002</t>
        </is>
      </c>
      <c r="T22" t="n">
        <v>2</v>
      </c>
      <c r="U22" t="n">
        <v>0.5</v>
      </c>
      <c r="V22" t="n">
        <v>1000</v>
      </c>
      <c r="W22" t="n">
        <v>645</v>
      </c>
      <c r="X22" t="n">
        <v>1</v>
      </c>
      <c r="Y22" t="n">
        <v>2006</v>
      </c>
      <c r="Z22" t="n">
        <v>1</v>
      </c>
      <c r="AA22" t="n">
        <v>0.03</v>
      </c>
    </row>
    <row r="23" ht="14.25" customHeight="1" s="142">
      <c r="A23" s="141" t="n">
        <v>1021</v>
      </c>
      <c r="B23" s="52" t="inlineStr">
        <is>
          <t>40005,40001,40003,40002</t>
        </is>
      </c>
      <c r="C23" s="141" t="n">
        <v>11</v>
      </c>
      <c r="D2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" s="141" t="n">
        <v>1</v>
      </c>
      <c r="F23" s="141" t="n">
        <v>0.05</v>
      </c>
      <c r="G23" s="135" t="n">
        <v>8001</v>
      </c>
      <c r="H23" s="141" t="n">
        <v>40</v>
      </c>
      <c r="I23" s="141" t="n">
        <v>1</v>
      </c>
      <c r="J23" s="135" t="n">
        <v>8000</v>
      </c>
      <c r="K23" s="141" t="n">
        <v>60</v>
      </c>
      <c r="L23" s="141" t="n">
        <v>1</v>
      </c>
      <c r="M23" s="135" t="n">
        <v>2007</v>
      </c>
      <c r="N23" s="141" t="n">
        <v>1</v>
      </c>
      <c r="O23" s="141" t="n">
        <v>0.05</v>
      </c>
      <c r="P23" t="n">
        <v>9000</v>
      </c>
      <c r="Q23" t="n">
        <v>11</v>
      </c>
      <c r="R23" t="n">
        <v>1</v>
      </c>
      <c r="S23" t="inlineStr">
        <is>
          <t>2001,2002</t>
        </is>
      </c>
      <c r="T23" t="n">
        <v>2</v>
      </c>
      <c r="U23" t="n">
        <v>0.5</v>
      </c>
      <c r="V23" t="n">
        <v>1000</v>
      </c>
      <c r="W23" t="n">
        <v>645</v>
      </c>
      <c r="X23" t="n">
        <v>1</v>
      </c>
      <c r="Y23" t="n">
        <v>2006</v>
      </c>
      <c r="Z23" t="n">
        <v>1</v>
      </c>
      <c r="AA23" t="n">
        <v>0.03</v>
      </c>
    </row>
    <row r="24" ht="14.25" customHeight="1" s="142">
      <c r="A24" s="141" t="n">
        <v>1022</v>
      </c>
      <c r="B24" s="52" t="inlineStr">
        <is>
          <t>40001,40002,40005</t>
        </is>
      </c>
      <c r="C24" s="141" t="n">
        <v>12</v>
      </c>
      <c r="D2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" s="141" t="n">
        <v>1</v>
      </c>
      <c r="F24" s="141" t="n">
        <v>0.05</v>
      </c>
      <c r="G24" s="135" t="n">
        <v>8001</v>
      </c>
      <c r="H24" s="141" t="n">
        <v>40</v>
      </c>
      <c r="I24" s="141" t="n">
        <v>1</v>
      </c>
      <c r="J24" s="135" t="n">
        <v>8000</v>
      </c>
      <c r="K24" s="141" t="n">
        <v>60</v>
      </c>
      <c r="L24" s="141" t="n">
        <v>1</v>
      </c>
      <c r="M24" s="135" t="n">
        <v>2007</v>
      </c>
      <c r="N24" s="141" t="n">
        <v>1</v>
      </c>
      <c r="O24" s="141" t="n">
        <v>0.05</v>
      </c>
      <c r="P24" t="n">
        <v>9000</v>
      </c>
      <c r="Q24" t="n">
        <v>11</v>
      </c>
      <c r="R24" t="n">
        <v>1</v>
      </c>
      <c r="S24" t="inlineStr">
        <is>
          <t>2001,2002</t>
        </is>
      </c>
      <c r="T24" t="n">
        <v>2</v>
      </c>
      <c r="U24" t="n">
        <v>0.5</v>
      </c>
      <c r="V24" t="n">
        <v>1000</v>
      </c>
      <c r="W24" t="n">
        <v>645</v>
      </c>
      <c r="X24" t="n">
        <v>1</v>
      </c>
      <c r="Y24" t="n">
        <v>2006</v>
      </c>
      <c r="Z24" t="n">
        <v>1</v>
      </c>
      <c r="AA24" t="n">
        <v>0.03</v>
      </c>
    </row>
    <row r="25" ht="14.25" customHeight="1" s="142">
      <c r="A25" s="141" t="n">
        <v>1023</v>
      </c>
      <c r="B25" s="52" t="inlineStr">
        <is>
          <t>40002,40001,40004,40005</t>
        </is>
      </c>
      <c r="C25" s="141" t="n">
        <v>12</v>
      </c>
      <c r="D2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" s="141" t="n">
        <v>1</v>
      </c>
      <c r="F25" s="141" t="n">
        <v>0.05</v>
      </c>
      <c r="G25" s="135" t="n">
        <v>8001</v>
      </c>
      <c r="H25" s="141" t="n">
        <v>40</v>
      </c>
      <c r="I25" s="141" t="n">
        <v>1</v>
      </c>
      <c r="J25" s="135" t="n">
        <v>8000</v>
      </c>
      <c r="K25" s="141" t="n">
        <v>60</v>
      </c>
      <c r="L25" s="141" t="n">
        <v>1</v>
      </c>
      <c r="M25" s="135" t="n">
        <v>2007</v>
      </c>
      <c r="N25" s="141" t="n">
        <v>1</v>
      </c>
      <c r="O25" s="141" t="n">
        <v>0.05</v>
      </c>
      <c r="P25" t="n">
        <v>9000</v>
      </c>
      <c r="Q25" t="n">
        <v>11</v>
      </c>
      <c r="R25" t="n">
        <v>1</v>
      </c>
      <c r="S25" t="inlineStr">
        <is>
          <t>2001,2002</t>
        </is>
      </c>
      <c r="T25" t="n">
        <v>2</v>
      </c>
      <c r="U25" t="n">
        <v>0.5</v>
      </c>
      <c r="V25" t="n">
        <v>1000</v>
      </c>
      <c r="W25" t="n">
        <v>650</v>
      </c>
      <c r="X25" t="n">
        <v>1</v>
      </c>
      <c r="Y25" t="n">
        <v>2006</v>
      </c>
      <c r="Z25" t="n">
        <v>1</v>
      </c>
      <c r="AA25" t="n">
        <v>0.03</v>
      </c>
    </row>
    <row r="26" ht="14.25" customHeight="1" s="142">
      <c r="A26" s="141" t="n">
        <v>1024</v>
      </c>
      <c r="B26" s="52" t="inlineStr">
        <is>
          <t>40003,40004,40005,40001</t>
        </is>
      </c>
      <c r="C26" s="141" t="n">
        <v>13</v>
      </c>
      <c r="D2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" s="141" t="n">
        <v>1</v>
      </c>
      <c r="F26" s="141" t="n">
        <v>0.05</v>
      </c>
      <c r="G26" s="135" t="n">
        <v>8001</v>
      </c>
      <c r="H26" s="141" t="n">
        <v>40</v>
      </c>
      <c r="I26" s="141" t="n">
        <v>1</v>
      </c>
      <c r="J26" s="135" t="n">
        <v>8000</v>
      </c>
      <c r="K26" s="141" t="n">
        <v>65</v>
      </c>
      <c r="L26" s="141" t="n">
        <v>1</v>
      </c>
      <c r="M26" s="135" t="n">
        <v>2007</v>
      </c>
      <c r="N26" s="141" t="n">
        <v>1</v>
      </c>
      <c r="O26" s="141" t="n">
        <v>0.05</v>
      </c>
      <c r="P26" t="n">
        <v>9000</v>
      </c>
      <c r="Q26" t="n">
        <v>11</v>
      </c>
      <c r="R26" t="n">
        <v>1</v>
      </c>
      <c r="S26" t="inlineStr">
        <is>
          <t>2001,2002</t>
        </is>
      </c>
      <c r="T26" t="n">
        <v>2</v>
      </c>
      <c r="U26" t="n">
        <v>0.5</v>
      </c>
      <c r="V26" t="n">
        <v>1000</v>
      </c>
      <c r="W26" t="n">
        <v>650</v>
      </c>
      <c r="X26" t="n">
        <v>1</v>
      </c>
      <c r="Y26" t="n">
        <v>2006</v>
      </c>
      <c r="Z26" t="n">
        <v>1</v>
      </c>
      <c r="AA26" t="n">
        <v>0.03</v>
      </c>
    </row>
    <row r="27" ht="14.25" customHeight="1" s="142">
      <c r="A27" s="141" t="n">
        <v>1025</v>
      </c>
      <c r="B27" s="52" t="inlineStr">
        <is>
          <t>40002,40001,40005,40004</t>
        </is>
      </c>
      <c r="C27" s="141" t="n">
        <v>13</v>
      </c>
      <c r="D2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" s="141" t="n">
        <v>1</v>
      </c>
      <c r="F27" s="141" t="n">
        <v>0.051</v>
      </c>
      <c r="G27" s="135" t="n">
        <v>8001</v>
      </c>
      <c r="H27" s="141" t="n">
        <v>40</v>
      </c>
      <c r="I27" s="141" t="n">
        <v>1</v>
      </c>
      <c r="J27" s="135" t="n">
        <v>8000</v>
      </c>
      <c r="K27" s="141" t="n">
        <v>65</v>
      </c>
      <c r="L27" s="141" t="n">
        <v>1</v>
      </c>
      <c r="M27" s="135" t="n">
        <v>2007</v>
      </c>
      <c r="N27" s="141" t="n">
        <v>1</v>
      </c>
      <c r="O27" s="141" t="n">
        <v>0.05</v>
      </c>
      <c r="P27" t="n">
        <v>9000</v>
      </c>
      <c r="Q27" t="n">
        <v>11</v>
      </c>
      <c r="R27" t="n">
        <v>1</v>
      </c>
      <c r="S27" t="inlineStr">
        <is>
          <t>2001,2002</t>
        </is>
      </c>
      <c r="T27" t="n">
        <v>2</v>
      </c>
      <c r="U27" t="n">
        <v>0.5</v>
      </c>
      <c r="V27" t="n">
        <v>1000</v>
      </c>
      <c r="W27" t="n">
        <v>655</v>
      </c>
      <c r="X27" t="n">
        <v>1</v>
      </c>
      <c r="Y27" t="n">
        <v>2006</v>
      </c>
      <c r="Z27" t="n">
        <v>1</v>
      </c>
      <c r="AA27" t="n">
        <v>0.03</v>
      </c>
    </row>
    <row r="28" ht="14.25" customHeight="1" s="142">
      <c r="A28" s="141" t="n">
        <v>1026</v>
      </c>
      <c r="B28" s="52" t="inlineStr">
        <is>
          <t>40004,40005</t>
        </is>
      </c>
      <c r="C28" s="141" t="n">
        <v>14</v>
      </c>
      <c r="D2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" s="141" t="n">
        <v>1</v>
      </c>
      <c r="F28" s="141" t="n">
        <v>0.051</v>
      </c>
      <c r="G28" s="135" t="n">
        <v>8001</v>
      </c>
      <c r="H28" s="141" t="n">
        <v>40</v>
      </c>
      <c r="I28" s="141" t="n">
        <v>1</v>
      </c>
      <c r="J28" s="135" t="n">
        <v>8000</v>
      </c>
      <c r="K28" s="141" t="n">
        <v>65</v>
      </c>
      <c r="L28" s="141" t="n">
        <v>1</v>
      </c>
      <c r="M28" s="135" t="n">
        <v>2007</v>
      </c>
      <c r="N28" s="141" t="n">
        <v>1</v>
      </c>
      <c r="O28" s="141" t="n">
        <v>0.05</v>
      </c>
      <c r="P28" t="n">
        <v>9000</v>
      </c>
      <c r="Q28" t="n">
        <v>11</v>
      </c>
      <c r="R28" t="n">
        <v>1</v>
      </c>
      <c r="S28" t="inlineStr">
        <is>
          <t>2001,2002</t>
        </is>
      </c>
      <c r="T28" t="n">
        <v>2</v>
      </c>
      <c r="U28" t="n">
        <v>0.5</v>
      </c>
      <c r="V28" t="n">
        <v>1000</v>
      </c>
      <c r="W28" t="n">
        <v>655</v>
      </c>
      <c r="X28" t="n">
        <v>1</v>
      </c>
      <c r="Y28" t="n">
        <v>2006</v>
      </c>
      <c r="Z28" t="n">
        <v>1</v>
      </c>
      <c r="AA28" t="n">
        <v>0.03</v>
      </c>
    </row>
    <row r="29" ht="14.25" customHeight="1" s="142">
      <c r="A29" s="141" t="n">
        <v>1027</v>
      </c>
      <c r="B29" s="52" t="inlineStr">
        <is>
          <t>40003,40005,40001</t>
        </is>
      </c>
      <c r="C29" s="141" t="n">
        <v>14</v>
      </c>
      <c r="D2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" s="141" t="n">
        <v>1</v>
      </c>
      <c r="F29" s="141" t="n">
        <v>0.051</v>
      </c>
      <c r="G29" s="135" t="n">
        <v>8001</v>
      </c>
      <c r="H29" s="141" t="n">
        <v>40</v>
      </c>
      <c r="I29" s="141" t="n">
        <v>1</v>
      </c>
      <c r="J29" s="135" t="n">
        <v>8000</v>
      </c>
      <c r="K29" s="141" t="n">
        <v>65</v>
      </c>
      <c r="L29" s="141" t="n">
        <v>1</v>
      </c>
      <c r="M29" s="135" t="n">
        <v>2007</v>
      </c>
      <c r="N29" s="141" t="n">
        <v>1</v>
      </c>
      <c r="O29" s="141" t="n">
        <v>0.05</v>
      </c>
      <c r="P29" t="n">
        <v>9000</v>
      </c>
      <c r="Q29" t="n">
        <v>11</v>
      </c>
      <c r="R29" t="n">
        <v>1</v>
      </c>
      <c r="S29" t="inlineStr">
        <is>
          <t>2001,2002</t>
        </is>
      </c>
      <c r="T29" t="n">
        <v>2</v>
      </c>
      <c r="U29" t="n">
        <v>0.5</v>
      </c>
      <c r="V29" t="n">
        <v>1000</v>
      </c>
      <c r="W29" t="n">
        <v>660</v>
      </c>
      <c r="X29" t="n">
        <v>1</v>
      </c>
      <c r="Y29" t="n">
        <v>2006</v>
      </c>
      <c r="Z29" t="n">
        <v>1</v>
      </c>
      <c r="AA29" t="n">
        <v>0.03</v>
      </c>
    </row>
    <row r="30" ht="14.25" customHeight="1" s="142">
      <c r="A30" s="141" t="n">
        <v>1028</v>
      </c>
      <c r="B30" s="52" t="inlineStr">
        <is>
          <t>40005,40002,40004,40003</t>
        </is>
      </c>
      <c r="C30" s="141" t="n">
        <v>15</v>
      </c>
      <c r="D3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" s="141" t="n">
        <v>1</v>
      </c>
      <c r="F30" s="141" t="n">
        <v>0.051</v>
      </c>
      <c r="G30" s="135" t="n">
        <v>8001</v>
      </c>
      <c r="H30" s="141" t="n">
        <v>40</v>
      </c>
      <c r="I30" s="141" t="n">
        <v>1</v>
      </c>
      <c r="J30" s="135" t="n">
        <v>8000</v>
      </c>
      <c r="K30" s="141" t="n">
        <v>65</v>
      </c>
      <c r="L30" s="141" t="n">
        <v>1</v>
      </c>
      <c r="M30" s="135" t="n">
        <v>2007</v>
      </c>
      <c r="N30" s="141" t="n">
        <v>1</v>
      </c>
      <c r="O30" s="141" t="n">
        <v>0.05</v>
      </c>
      <c r="P30" t="n">
        <v>9000</v>
      </c>
      <c r="Q30" t="n">
        <v>11</v>
      </c>
      <c r="R30" t="n">
        <v>1</v>
      </c>
      <c r="S30" t="inlineStr">
        <is>
          <t>2001,2002</t>
        </is>
      </c>
      <c r="T30" t="n">
        <v>2</v>
      </c>
      <c r="U30" t="n">
        <v>0.5</v>
      </c>
      <c r="V30" t="n">
        <v>1000</v>
      </c>
      <c r="W30" t="n">
        <v>660</v>
      </c>
      <c r="X30" t="n">
        <v>1</v>
      </c>
      <c r="Y30" t="n">
        <v>2006</v>
      </c>
      <c r="Z30" t="n">
        <v>1</v>
      </c>
      <c r="AA30" t="n">
        <v>0.03</v>
      </c>
    </row>
    <row r="31" ht="14.25" customHeight="1" s="142">
      <c r="A31" s="141" t="n">
        <v>1029</v>
      </c>
      <c r="B31" s="52" t="inlineStr">
        <is>
          <t>50001,40003,40002,40001,40005</t>
        </is>
      </c>
      <c r="C31" s="141" t="n">
        <v>15</v>
      </c>
      <c r="D3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" s="141" t="n">
        <v>1</v>
      </c>
      <c r="F31" s="141" t="n">
        <v>0.051</v>
      </c>
      <c r="G31" s="135" t="n">
        <v>8001</v>
      </c>
      <c r="H31" s="141" t="n">
        <v>40</v>
      </c>
      <c r="I31" s="141" t="n">
        <v>1</v>
      </c>
      <c r="J31" s="135" t="n">
        <v>8000</v>
      </c>
      <c r="K31" s="141" t="n">
        <v>65</v>
      </c>
      <c r="L31" s="141" t="n">
        <v>1</v>
      </c>
      <c r="M31" s="135" t="n">
        <v>2007</v>
      </c>
      <c r="N31" s="141" t="n">
        <v>1</v>
      </c>
      <c r="O31" s="141" t="n">
        <v>0.05</v>
      </c>
      <c r="P31" t="n">
        <v>9000</v>
      </c>
      <c r="Q31" t="n">
        <v>11</v>
      </c>
      <c r="R31" t="n">
        <v>1</v>
      </c>
      <c r="S31" t="inlineStr">
        <is>
          <t>2001,2002</t>
        </is>
      </c>
      <c r="T31" t="n">
        <v>2</v>
      </c>
      <c r="U31" t="n">
        <v>0.5</v>
      </c>
      <c r="V31" t="n">
        <v>1000</v>
      </c>
      <c r="W31" t="n">
        <v>665</v>
      </c>
      <c r="X31" t="n">
        <v>1</v>
      </c>
      <c r="Y31" t="n">
        <v>2006</v>
      </c>
      <c r="Z31" t="n">
        <v>1</v>
      </c>
      <c r="AA31" t="n">
        <v>0.03</v>
      </c>
    </row>
    <row r="32" ht="14.25" customHeight="1" s="142">
      <c r="A32" s="141" t="n">
        <v>1030</v>
      </c>
      <c r="B32" s="52" t="inlineStr">
        <is>
          <t>40016</t>
        </is>
      </c>
      <c r="C32" s="141" t="n">
        <v>16</v>
      </c>
      <c r="D3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" s="141" t="n">
        <v>1</v>
      </c>
      <c r="F32" s="141" t="n">
        <v>0.051</v>
      </c>
      <c r="G32" s="135" t="n">
        <v>8001</v>
      </c>
      <c r="H32" s="141" t="n">
        <v>45</v>
      </c>
      <c r="I32" s="141" t="n">
        <v>1</v>
      </c>
      <c r="J32" s="135" t="n">
        <v>8000</v>
      </c>
      <c r="K32" s="141" t="n">
        <v>65</v>
      </c>
      <c r="L32" s="141" t="n">
        <v>1</v>
      </c>
      <c r="M32" s="135" t="n">
        <v>2007</v>
      </c>
      <c r="N32" s="141" t="n">
        <v>1</v>
      </c>
      <c r="O32" s="141" t="n">
        <v>0.05</v>
      </c>
      <c r="P32" t="n">
        <v>9000</v>
      </c>
      <c r="Q32" t="n">
        <v>11</v>
      </c>
      <c r="R32" t="n">
        <v>1</v>
      </c>
      <c r="S32" t="inlineStr">
        <is>
          <t>2001,2002</t>
        </is>
      </c>
      <c r="T32" t="n">
        <v>2</v>
      </c>
      <c r="U32" t="n">
        <v>0.5</v>
      </c>
      <c r="V32" t="n">
        <v>1000</v>
      </c>
      <c r="W32" t="n">
        <v>665</v>
      </c>
      <c r="X32" t="n">
        <v>1</v>
      </c>
      <c r="Y32" t="n">
        <v>2006</v>
      </c>
      <c r="Z32" t="n">
        <v>1</v>
      </c>
      <c r="AA32" t="n">
        <v>0.03</v>
      </c>
    </row>
    <row r="33" ht="14.25" customHeight="1" s="142">
      <c r="A33" s="141" t="n">
        <v>1031</v>
      </c>
      <c r="B33" s="52" t="inlineStr">
        <is>
          <t>40015,40016</t>
        </is>
      </c>
      <c r="C33" s="141" t="n">
        <v>16</v>
      </c>
      <c r="D3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" s="141" t="n">
        <v>1</v>
      </c>
      <c r="F33" s="141" t="n">
        <v>0.051</v>
      </c>
      <c r="G33" s="135" t="n">
        <v>8001</v>
      </c>
      <c r="H33" s="141" t="n">
        <v>45</v>
      </c>
      <c r="I33" s="141" t="n">
        <v>1</v>
      </c>
      <c r="J33" s="135" t="n">
        <v>8000</v>
      </c>
      <c r="K33" s="141" t="n">
        <v>65</v>
      </c>
      <c r="L33" s="141" t="n">
        <v>1</v>
      </c>
      <c r="M33" s="135" t="n">
        <v>2007</v>
      </c>
      <c r="N33" s="141" t="n">
        <v>1</v>
      </c>
      <c r="O33" s="141" t="n">
        <v>0.05</v>
      </c>
      <c r="P33" t="n">
        <v>9000</v>
      </c>
      <c r="Q33" t="n">
        <v>11</v>
      </c>
      <c r="R33" t="n">
        <v>1</v>
      </c>
      <c r="S33" t="inlineStr">
        <is>
          <t>2001,2002</t>
        </is>
      </c>
      <c r="T33" t="n">
        <v>2</v>
      </c>
      <c r="U33" t="n">
        <v>0.5</v>
      </c>
      <c r="V33" t="n">
        <v>1000</v>
      </c>
      <c r="W33" t="n">
        <v>670</v>
      </c>
      <c r="X33" t="n">
        <v>1</v>
      </c>
      <c r="Y33" t="n">
        <v>2006</v>
      </c>
      <c r="Z33" t="n">
        <v>1</v>
      </c>
      <c r="AA33" t="n">
        <v>0.03</v>
      </c>
    </row>
    <row r="34" ht="14.25" customHeight="1" s="142">
      <c r="A34" s="141" t="n">
        <v>1032</v>
      </c>
      <c r="B34" s="52" t="inlineStr">
        <is>
          <t>40014,40016</t>
        </is>
      </c>
      <c r="C34" s="141" t="n">
        <v>17</v>
      </c>
      <c r="D3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" s="141" t="n">
        <v>1</v>
      </c>
      <c r="F34" s="141" t="n">
        <v>0.051</v>
      </c>
      <c r="G34" s="135" t="n">
        <v>8001</v>
      </c>
      <c r="H34" s="141" t="n">
        <v>45</v>
      </c>
      <c r="I34" s="141" t="n">
        <v>1</v>
      </c>
      <c r="J34" s="135" t="n">
        <v>8000</v>
      </c>
      <c r="K34" s="141" t="n">
        <v>65</v>
      </c>
      <c r="L34" s="141" t="n">
        <v>1</v>
      </c>
      <c r="M34" s="135" t="n">
        <v>2007</v>
      </c>
      <c r="N34" s="141" t="n">
        <v>1</v>
      </c>
      <c r="O34" s="141" t="n">
        <v>0.05</v>
      </c>
      <c r="P34" t="n">
        <v>9000</v>
      </c>
      <c r="Q34" t="n">
        <v>11</v>
      </c>
      <c r="R34" t="n">
        <v>1</v>
      </c>
      <c r="S34" t="inlineStr">
        <is>
          <t>2001,2002</t>
        </is>
      </c>
      <c r="T34" t="n">
        <v>2</v>
      </c>
      <c r="U34" t="n">
        <v>0.5</v>
      </c>
      <c r="V34" t="n">
        <v>1000</v>
      </c>
      <c r="W34" t="n">
        <v>670</v>
      </c>
      <c r="X34" t="n">
        <v>1</v>
      </c>
      <c r="Y34" t="n">
        <v>2006</v>
      </c>
      <c r="Z34" t="n">
        <v>1</v>
      </c>
      <c r="AA34" t="n">
        <v>0.03</v>
      </c>
    </row>
    <row r="35" ht="14.25" customHeight="1" s="142">
      <c r="A35" s="141" t="n">
        <v>1033</v>
      </c>
      <c r="B35" s="52" t="inlineStr">
        <is>
          <t>40015,40016,40013</t>
        </is>
      </c>
      <c r="C35" s="141" t="n">
        <v>17</v>
      </c>
      <c r="D3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" s="141" t="n">
        <v>1</v>
      </c>
      <c r="F35" s="141" t="n">
        <v>0.051</v>
      </c>
      <c r="G35" s="135" t="n">
        <v>8001</v>
      </c>
      <c r="H35" s="141" t="n">
        <v>45</v>
      </c>
      <c r="I35" s="141" t="n">
        <v>1</v>
      </c>
      <c r="J35" s="135" t="n">
        <v>8000</v>
      </c>
      <c r="K35" s="141" t="n">
        <v>65</v>
      </c>
      <c r="L35" s="141" t="n">
        <v>1</v>
      </c>
      <c r="M35" s="135" t="n">
        <v>2007</v>
      </c>
      <c r="N35" s="141" t="n">
        <v>1</v>
      </c>
      <c r="O35" s="141" t="n">
        <v>0.05</v>
      </c>
      <c r="P35" t="n">
        <v>9000</v>
      </c>
      <c r="Q35" t="n">
        <v>11</v>
      </c>
      <c r="R35" t="n">
        <v>1</v>
      </c>
      <c r="S35" t="inlineStr">
        <is>
          <t>2001,2002</t>
        </is>
      </c>
      <c r="T35" t="n">
        <v>2</v>
      </c>
      <c r="U35" t="n">
        <v>0.5</v>
      </c>
      <c r="V35" t="n">
        <v>1000</v>
      </c>
      <c r="W35" t="n">
        <v>675</v>
      </c>
      <c r="X35" t="n">
        <v>1</v>
      </c>
      <c r="Y35" t="n">
        <v>2006</v>
      </c>
      <c r="Z35" t="n">
        <v>1</v>
      </c>
      <c r="AA35" t="n">
        <v>0.03</v>
      </c>
    </row>
    <row r="36" ht="14.25" customHeight="1" s="142">
      <c r="A36" s="141" t="n">
        <v>1034</v>
      </c>
      <c r="B36" s="52" t="inlineStr">
        <is>
          <t>40014,40016,40015</t>
        </is>
      </c>
      <c r="C36" s="141" t="n">
        <v>18</v>
      </c>
      <c r="D3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" s="141" t="n">
        <v>1</v>
      </c>
      <c r="F36" s="141" t="n">
        <v>0.051</v>
      </c>
      <c r="G36" s="135" t="n">
        <v>8001</v>
      </c>
      <c r="H36" s="141" t="n">
        <v>45</v>
      </c>
      <c r="I36" s="141" t="n">
        <v>1</v>
      </c>
      <c r="J36" s="135" t="n">
        <v>8000</v>
      </c>
      <c r="K36" s="141" t="n">
        <v>65</v>
      </c>
      <c r="L36" s="141" t="n">
        <v>1</v>
      </c>
      <c r="M36" s="135" t="n">
        <v>2007</v>
      </c>
      <c r="N36" s="141" t="n">
        <v>1</v>
      </c>
      <c r="O36" s="141" t="n">
        <v>0.05</v>
      </c>
      <c r="P36" t="n">
        <v>9000</v>
      </c>
      <c r="Q36" t="n">
        <v>11</v>
      </c>
      <c r="R36" t="n">
        <v>1</v>
      </c>
      <c r="S36" t="inlineStr">
        <is>
          <t>2001,2002</t>
        </is>
      </c>
      <c r="T36" t="n">
        <v>2</v>
      </c>
      <c r="U36" t="n">
        <v>0.5</v>
      </c>
      <c r="V36" t="n">
        <v>1000</v>
      </c>
      <c r="W36" t="n">
        <v>675</v>
      </c>
      <c r="X36" t="n">
        <v>1</v>
      </c>
      <c r="Y36" t="n">
        <v>2006</v>
      </c>
      <c r="Z36" t="n">
        <v>1</v>
      </c>
      <c r="AA36" t="n">
        <v>0.03</v>
      </c>
    </row>
    <row r="37" ht="14.25" customHeight="1" s="142">
      <c r="A37" s="141" t="n">
        <v>1035</v>
      </c>
      <c r="B37" s="52" t="inlineStr">
        <is>
          <t>40015,40012</t>
        </is>
      </c>
      <c r="C37" s="141" t="n">
        <v>18</v>
      </c>
      <c r="D3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" s="141" t="n">
        <v>1</v>
      </c>
      <c r="F37" s="141" t="n">
        <v>0.051</v>
      </c>
      <c r="G37" s="135" t="n">
        <v>8001</v>
      </c>
      <c r="H37" s="141" t="n">
        <v>45</v>
      </c>
      <c r="I37" s="141" t="n">
        <v>1</v>
      </c>
      <c r="J37" s="135" t="n">
        <v>8000</v>
      </c>
      <c r="K37" s="141" t="n">
        <v>65</v>
      </c>
      <c r="L37" s="141" t="n">
        <v>1</v>
      </c>
      <c r="M37" s="135" t="n">
        <v>2007</v>
      </c>
      <c r="N37" s="141" t="n">
        <v>1</v>
      </c>
      <c r="O37" s="141" t="n">
        <v>0.05</v>
      </c>
      <c r="P37" t="n">
        <v>9000</v>
      </c>
      <c r="Q37" t="n">
        <v>11</v>
      </c>
      <c r="R37" t="n">
        <v>1</v>
      </c>
      <c r="S37" t="inlineStr">
        <is>
          <t>2001,2002</t>
        </is>
      </c>
      <c r="T37" t="n">
        <v>2</v>
      </c>
      <c r="U37" t="n">
        <v>0.5</v>
      </c>
      <c r="V37" t="n">
        <v>1000</v>
      </c>
      <c r="W37" t="n">
        <v>680</v>
      </c>
      <c r="X37" t="n">
        <v>1</v>
      </c>
      <c r="Y37" t="n">
        <v>2006</v>
      </c>
      <c r="Z37" t="n">
        <v>1</v>
      </c>
      <c r="AA37" t="n">
        <v>0.03</v>
      </c>
    </row>
    <row r="38" ht="14.25" customHeight="1" s="142">
      <c r="A38" s="141" t="n">
        <v>1036</v>
      </c>
      <c r="B38" s="52" t="inlineStr">
        <is>
          <t>40016,40012</t>
        </is>
      </c>
      <c r="C38" s="141" t="n">
        <v>19</v>
      </c>
      <c r="D3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" s="141" t="n">
        <v>1</v>
      </c>
      <c r="F38" s="141" t="n">
        <v>0.051</v>
      </c>
      <c r="G38" s="135" t="n">
        <v>8001</v>
      </c>
      <c r="H38" s="141" t="n">
        <v>45</v>
      </c>
      <c r="I38" s="141" t="n">
        <v>1</v>
      </c>
      <c r="J38" s="135" t="n">
        <v>8000</v>
      </c>
      <c r="K38" s="141" t="n">
        <v>65</v>
      </c>
      <c r="L38" s="141" t="n">
        <v>1</v>
      </c>
      <c r="M38" s="135" t="n">
        <v>2007</v>
      </c>
      <c r="N38" s="141" t="n">
        <v>1</v>
      </c>
      <c r="O38" s="141" t="n">
        <v>0.05</v>
      </c>
      <c r="P38" t="n">
        <v>9000</v>
      </c>
      <c r="Q38" t="n">
        <v>11</v>
      </c>
      <c r="R38" t="n">
        <v>1</v>
      </c>
      <c r="S38" t="inlineStr">
        <is>
          <t>2001,2002</t>
        </is>
      </c>
      <c r="T38" t="n">
        <v>2</v>
      </c>
      <c r="U38" t="n">
        <v>0.5</v>
      </c>
      <c r="V38" t="n">
        <v>1000</v>
      </c>
      <c r="W38" t="n">
        <v>685</v>
      </c>
      <c r="X38" t="n">
        <v>1</v>
      </c>
      <c r="Y38" t="n">
        <v>2006</v>
      </c>
      <c r="Z38" t="n">
        <v>1</v>
      </c>
      <c r="AA38" t="n">
        <v>0.03</v>
      </c>
    </row>
    <row r="39" ht="14.25" customHeight="1" s="142">
      <c r="A39" s="141" t="n">
        <v>1037</v>
      </c>
      <c r="B39" s="52" t="inlineStr">
        <is>
          <t>40015,40014</t>
        </is>
      </c>
      <c r="C39" s="141" t="n">
        <v>19</v>
      </c>
      <c r="D3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" s="141" t="n">
        <v>1</v>
      </c>
      <c r="F39" s="141" t="n">
        <v>0.051</v>
      </c>
      <c r="G39" s="135" t="n">
        <v>8001</v>
      </c>
      <c r="H39" s="141" t="n">
        <v>45</v>
      </c>
      <c r="I39" s="141" t="n">
        <v>1</v>
      </c>
      <c r="J39" s="135" t="n">
        <v>8000</v>
      </c>
      <c r="K39" s="141" t="n">
        <v>65</v>
      </c>
      <c r="L39" s="141" t="n">
        <v>1</v>
      </c>
      <c r="M39" s="135" t="n">
        <v>2007</v>
      </c>
      <c r="N39" s="141" t="n">
        <v>1</v>
      </c>
      <c r="O39" s="141" t="n">
        <v>0.05</v>
      </c>
      <c r="P39" t="n">
        <v>9000</v>
      </c>
      <c r="Q39" t="n">
        <v>12</v>
      </c>
      <c r="R39" t="n">
        <v>1</v>
      </c>
      <c r="S39" t="inlineStr">
        <is>
          <t>2001,2002</t>
        </is>
      </c>
      <c r="T39" t="n">
        <v>2</v>
      </c>
      <c r="U39" t="n">
        <v>0.5</v>
      </c>
      <c r="V39" t="n">
        <v>1000</v>
      </c>
      <c r="W39" t="n">
        <v>685</v>
      </c>
      <c r="X39" t="n">
        <v>1</v>
      </c>
      <c r="Y39" t="n">
        <v>2006</v>
      </c>
      <c r="Z39" t="n">
        <v>1</v>
      </c>
      <c r="AA39" t="n">
        <v>0.03</v>
      </c>
    </row>
    <row r="40" ht="14.25" customHeight="1" s="142">
      <c r="A40" s="141" t="n">
        <v>1038</v>
      </c>
      <c r="B40" s="52" t="inlineStr">
        <is>
          <t>40013,40015,40012</t>
        </is>
      </c>
      <c r="C40" s="141" t="n">
        <v>20</v>
      </c>
      <c r="D4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" s="141" t="n">
        <v>1</v>
      </c>
      <c r="F40" s="141" t="n">
        <v>0.051</v>
      </c>
      <c r="G40" s="135" t="n">
        <v>8001</v>
      </c>
      <c r="H40" s="141" t="n">
        <v>45</v>
      </c>
      <c r="I40" s="141" t="n">
        <v>1</v>
      </c>
      <c r="J40" s="135" t="n">
        <v>8000</v>
      </c>
      <c r="K40" s="141" t="n">
        <v>65</v>
      </c>
      <c r="L40" s="141" t="n">
        <v>1</v>
      </c>
      <c r="M40" s="135" t="n">
        <v>2007</v>
      </c>
      <c r="N40" s="141" t="n">
        <v>1</v>
      </c>
      <c r="O40" s="141" t="n">
        <v>0.05</v>
      </c>
      <c r="P40" t="n">
        <v>9000</v>
      </c>
      <c r="Q40" t="n">
        <v>12</v>
      </c>
      <c r="R40" t="n">
        <v>1</v>
      </c>
      <c r="S40" t="inlineStr">
        <is>
          <t>2001,2002</t>
        </is>
      </c>
      <c r="T40" t="n">
        <v>2</v>
      </c>
      <c r="U40" t="n">
        <v>0.5</v>
      </c>
      <c r="V40" t="n">
        <v>1000</v>
      </c>
      <c r="W40" t="n">
        <v>690</v>
      </c>
      <c r="X40" t="n">
        <v>1</v>
      </c>
      <c r="Y40" t="n">
        <v>2006</v>
      </c>
      <c r="Z40" t="n">
        <v>1</v>
      </c>
      <c r="AA40" t="n">
        <v>0.03</v>
      </c>
    </row>
    <row r="41" ht="14.25" customHeight="1" s="142">
      <c r="A41" s="141" t="n">
        <v>1039</v>
      </c>
      <c r="B41" s="52" t="inlineStr">
        <is>
          <t>40012,40016,40013</t>
        </is>
      </c>
      <c r="C41" s="141" t="n">
        <v>20</v>
      </c>
      <c r="D4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" s="141" t="n">
        <v>1</v>
      </c>
      <c r="F41" s="141" t="n">
        <v>0.051</v>
      </c>
      <c r="G41" s="135" t="n">
        <v>8001</v>
      </c>
      <c r="H41" s="141" t="n">
        <v>45</v>
      </c>
      <c r="I41" s="141" t="n">
        <v>1</v>
      </c>
      <c r="J41" s="135" t="n">
        <v>8000</v>
      </c>
      <c r="K41" s="141" t="n">
        <v>65</v>
      </c>
      <c r="L41" s="141" t="n">
        <v>1</v>
      </c>
      <c r="M41" s="135" t="n">
        <v>2007</v>
      </c>
      <c r="N41" s="141" t="n">
        <v>1</v>
      </c>
      <c r="O41" s="141" t="n">
        <v>0.05</v>
      </c>
      <c r="P41" t="n">
        <v>9000</v>
      </c>
      <c r="Q41" t="n">
        <v>12</v>
      </c>
      <c r="R41" t="n">
        <v>1</v>
      </c>
      <c r="S41" t="inlineStr">
        <is>
          <t>2001,2002</t>
        </is>
      </c>
      <c r="T41" t="n">
        <v>2</v>
      </c>
      <c r="U41" t="n">
        <v>0.5</v>
      </c>
      <c r="V41" t="n">
        <v>1000</v>
      </c>
      <c r="W41" t="n">
        <v>695</v>
      </c>
      <c r="X41" t="n">
        <v>1</v>
      </c>
      <c r="Y41" t="n">
        <v>2006</v>
      </c>
      <c r="Z41" t="n">
        <v>1</v>
      </c>
      <c r="AA41" t="n">
        <v>0.03</v>
      </c>
    </row>
    <row r="42" ht="14.25" customHeight="1" s="142">
      <c r="A42" s="141" t="n">
        <v>1040</v>
      </c>
      <c r="B42" s="52" t="inlineStr">
        <is>
          <t>40014,40013</t>
        </is>
      </c>
      <c r="C42" s="141" t="n">
        <v>21</v>
      </c>
      <c r="D4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" s="141" t="n">
        <v>1</v>
      </c>
      <c r="F42" s="141" t="n">
        <v>0.051</v>
      </c>
      <c r="G42" s="135" t="n">
        <v>8001</v>
      </c>
      <c r="H42" s="141" t="n">
        <v>45</v>
      </c>
      <c r="I42" s="141" t="n">
        <v>1</v>
      </c>
      <c r="J42" s="135" t="n">
        <v>8000</v>
      </c>
      <c r="K42" s="141" t="n">
        <v>65</v>
      </c>
      <c r="L42" s="141" t="n">
        <v>1</v>
      </c>
      <c r="M42" s="135" t="n">
        <v>2007</v>
      </c>
      <c r="N42" s="141" t="n">
        <v>1</v>
      </c>
      <c r="O42" s="141" t="n">
        <v>0.05</v>
      </c>
      <c r="P42" t="n">
        <v>9000</v>
      </c>
      <c r="Q42" t="n">
        <v>12</v>
      </c>
      <c r="R42" t="n">
        <v>1</v>
      </c>
      <c r="S42" t="inlineStr">
        <is>
          <t>2001,2002</t>
        </is>
      </c>
      <c r="T42" t="n">
        <v>2</v>
      </c>
      <c r="U42" t="n">
        <v>0.5</v>
      </c>
      <c r="V42" t="n">
        <v>1000</v>
      </c>
      <c r="W42" t="n">
        <v>695</v>
      </c>
      <c r="X42" t="n">
        <v>1</v>
      </c>
      <c r="Y42" t="n">
        <v>2006</v>
      </c>
      <c r="Z42" t="n">
        <v>1</v>
      </c>
      <c r="AA42" t="n">
        <v>0.03</v>
      </c>
    </row>
    <row r="43" ht="14.25" customHeight="1" s="142">
      <c r="A43" s="141" t="n">
        <v>1041</v>
      </c>
      <c r="B43" s="52" t="inlineStr">
        <is>
          <t>40015,40016,40012,40013</t>
        </is>
      </c>
      <c r="C43" s="141" t="n">
        <v>21</v>
      </c>
      <c r="D4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" s="141" t="n">
        <v>1</v>
      </c>
      <c r="F43" s="141" t="n">
        <v>0.051</v>
      </c>
      <c r="G43" s="135" t="n">
        <v>8001</v>
      </c>
      <c r="H43" s="141" t="n">
        <v>45</v>
      </c>
      <c r="I43" s="141" t="n">
        <v>1</v>
      </c>
      <c r="J43" s="135" t="n">
        <v>8000</v>
      </c>
      <c r="K43" s="141" t="n">
        <v>65</v>
      </c>
      <c r="L43" s="141" t="n">
        <v>1</v>
      </c>
      <c r="M43" s="135" t="n">
        <v>2007</v>
      </c>
      <c r="N43" s="141" t="n">
        <v>1</v>
      </c>
      <c r="O43" s="141" t="n">
        <v>0.05</v>
      </c>
      <c r="P43" t="n">
        <v>9000</v>
      </c>
      <c r="Q43" t="n">
        <v>12</v>
      </c>
      <c r="R43" t="n">
        <v>1</v>
      </c>
      <c r="S43" t="inlineStr">
        <is>
          <t>2001,2002</t>
        </is>
      </c>
      <c r="T43" t="n">
        <v>2</v>
      </c>
      <c r="U43" t="n">
        <v>0.5</v>
      </c>
      <c r="V43" t="n">
        <v>1000</v>
      </c>
      <c r="W43" t="n">
        <v>700</v>
      </c>
      <c r="X43" t="n">
        <v>1</v>
      </c>
      <c r="Y43" t="n">
        <v>2006</v>
      </c>
      <c r="Z43" t="n">
        <v>1</v>
      </c>
      <c r="AA43" t="n">
        <v>0.03</v>
      </c>
    </row>
    <row r="44" ht="14.25" customHeight="1" s="142">
      <c r="A44" s="141" t="n">
        <v>1042</v>
      </c>
      <c r="B44" s="52" t="inlineStr">
        <is>
          <t>40013,40015,40014</t>
        </is>
      </c>
      <c r="C44" s="141" t="n">
        <v>22</v>
      </c>
      <c r="D4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" s="141" t="n">
        <v>1</v>
      </c>
      <c r="F44" s="141" t="n">
        <v>0.051</v>
      </c>
      <c r="G44" s="135" t="n">
        <v>8001</v>
      </c>
      <c r="H44" s="141" t="n">
        <v>45</v>
      </c>
      <c r="I44" s="141" t="n">
        <v>1</v>
      </c>
      <c r="J44" s="135" t="n">
        <v>8000</v>
      </c>
      <c r="K44" s="141" t="n">
        <v>70</v>
      </c>
      <c r="L44" s="141" t="n">
        <v>1</v>
      </c>
      <c r="M44" s="135" t="n">
        <v>2007</v>
      </c>
      <c r="N44" s="141" t="n">
        <v>1</v>
      </c>
      <c r="O44" s="141" t="n">
        <v>0.05</v>
      </c>
      <c r="P44" t="n">
        <v>9000</v>
      </c>
      <c r="Q44" t="n">
        <v>12</v>
      </c>
      <c r="R44" t="n">
        <v>1</v>
      </c>
      <c r="S44" t="inlineStr">
        <is>
          <t>2001,2002</t>
        </is>
      </c>
      <c r="T44" t="n">
        <v>2</v>
      </c>
      <c r="U44" t="n">
        <v>0.5</v>
      </c>
      <c r="V44" t="n">
        <v>1000</v>
      </c>
      <c r="W44" t="n">
        <v>705</v>
      </c>
      <c r="X44" t="n">
        <v>1</v>
      </c>
      <c r="Y44" t="n">
        <v>2006</v>
      </c>
      <c r="Z44" t="n">
        <v>1</v>
      </c>
      <c r="AA44" t="n">
        <v>0.03</v>
      </c>
    </row>
    <row r="45" ht="14.25" customHeight="1" s="142">
      <c r="A45" s="141" t="n">
        <v>1043</v>
      </c>
      <c r="B45" s="52" t="inlineStr">
        <is>
          <t>40014,40013,40015,40016</t>
        </is>
      </c>
      <c r="C45" s="141" t="n">
        <v>22</v>
      </c>
      <c r="D4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" s="141" t="n">
        <v>1</v>
      </c>
      <c r="F45" s="141" t="n">
        <v>0.051</v>
      </c>
      <c r="G45" s="135" t="n">
        <v>8001</v>
      </c>
      <c r="H45" s="141" t="n">
        <v>45</v>
      </c>
      <c r="I45" s="141" t="n">
        <v>1</v>
      </c>
      <c r="J45" s="135" t="n">
        <v>8000</v>
      </c>
      <c r="K45" s="141" t="n">
        <v>70</v>
      </c>
      <c r="L45" s="141" t="n">
        <v>1</v>
      </c>
      <c r="M45" s="135" t="n">
        <v>2007</v>
      </c>
      <c r="N45" s="141" t="n">
        <v>1</v>
      </c>
      <c r="O45" s="141" t="n">
        <v>0.05</v>
      </c>
      <c r="P45" t="n">
        <v>9000</v>
      </c>
      <c r="Q45" t="n">
        <v>12</v>
      </c>
      <c r="R45" t="n">
        <v>1</v>
      </c>
      <c r="S45" t="inlineStr">
        <is>
          <t>2001,2002</t>
        </is>
      </c>
      <c r="T45" t="n">
        <v>2</v>
      </c>
      <c r="U45" t="n">
        <v>0.5</v>
      </c>
      <c r="V45" t="n">
        <v>1000</v>
      </c>
      <c r="W45" t="n">
        <v>710</v>
      </c>
      <c r="X45" t="n">
        <v>1</v>
      </c>
      <c r="Y45" t="n">
        <v>2006</v>
      </c>
      <c r="Z45" t="n">
        <v>1</v>
      </c>
      <c r="AA45" t="n">
        <v>0.03</v>
      </c>
    </row>
    <row r="46" ht="14.25" customHeight="1" s="142">
      <c r="A46" s="141" t="n">
        <v>1044</v>
      </c>
      <c r="B46" s="52" t="inlineStr">
        <is>
          <t>40012,40015,40013,40016,40014</t>
        </is>
      </c>
      <c r="C46" s="141" t="n">
        <v>23</v>
      </c>
      <c r="D4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" s="141" t="n">
        <v>1</v>
      </c>
      <c r="F46" s="141" t="n">
        <v>0.052</v>
      </c>
      <c r="G46" s="135" t="n">
        <v>8001</v>
      </c>
      <c r="H46" s="141" t="n">
        <v>45</v>
      </c>
      <c r="I46" s="141" t="n">
        <v>1</v>
      </c>
      <c r="J46" s="135" t="n">
        <v>8000</v>
      </c>
      <c r="K46" s="141" t="n">
        <v>70</v>
      </c>
      <c r="L46" s="141" t="n">
        <v>1</v>
      </c>
      <c r="M46" s="135" t="n">
        <v>2007</v>
      </c>
      <c r="N46" s="141" t="n">
        <v>1</v>
      </c>
      <c r="O46" s="141" t="n">
        <v>0.05</v>
      </c>
      <c r="P46" t="n">
        <v>9000</v>
      </c>
      <c r="Q46" t="n">
        <v>12</v>
      </c>
      <c r="R46" t="n">
        <v>1</v>
      </c>
      <c r="S46" t="inlineStr">
        <is>
          <t>2001,2002</t>
        </is>
      </c>
      <c r="T46" t="n">
        <v>2</v>
      </c>
      <c r="U46" t="n">
        <v>0.5</v>
      </c>
      <c r="V46" t="n">
        <v>1000</v>
      </c>
      <c r="W46" t="n">
        <v>710</v>
      </c>
      <c r="X46" t="n">
        <v>1</v>
      </c>
      <c r="Y46" t="n">
        <v>2006</v>
      </c>
      <c r="Z46" t="n">
        <v>1</v>
      </c>
      <c r="AA46" t="n">
        <v>0.03</v>
      </c>
    </row>
    <row r="47" ht="14.25" customHeight="1" s="142">
      <c r="A47" s="141" t="n">
        <v>1045</v>
      </c>
      <c r="B47" s="52" t="inlineStr">
        <is>
          <t>40012,40016,40013</t>
        </is>
      </c>
      <c r="C47" s="141" t="n">
        <v>23</v>
      </c>
      <c r="D4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" s="141" t="n">
        <v>1</v>
      </c>
      <c r="F47" s="141" t="n">
        <v>0.052</v>
      </c>
      <c r="G47" s="135" t="n">
        <v>8001</v>
      </c>
      <c r="H47" s="141" t="n">
        <v>45</v>
      </c>
      <c r="I47" s="141" t="n">
        <v>1</v>
      </c>
      <c r="J47" s="135" t="n">
        <v>8000</v>
      </c>
      <c r="K47" s="141" t="n">
        <v>70</v>
      </c>
      <c r="L47" s="141" t="n">
        <v>1</v>
      </c>
      <c r="M47" s="135" t="n">
        <v>2007</v>
      </c>
      <c r="N47" s="141" t="n">
        <v>1</v>
      </c>
      <c r="O47" s="141" t="n">
        <v>0.05</v>
      </c>
      <c r="P47" t="n">
        <v>9000</v>
      </c>
      <c r="Q47" t="n">
        <v>12</v>
      </c>
      <c r="R47" t="n">
        <v>1</v>
      </c>
      <c r="S47" t="inlineStr">
        <is>
          <t>2001,2002</t>
        </is>
      </c>
      <c r="T47" t="n">
        <v>2</v>
      </c>
      <c r="U47" t="n">
        <v>0.5</v>
      </c>
      <c r="V47" t="n">
        <v>1000</v>
      </c>
      <c r="W47" t="n">
        <v>715</v>
      </c>
      <c r="X47" t="n">
        <v>1</v>
      </c>
      <c r="Y47" t="n">
        <v>2006</v>
      </c>
      <c r="Z47" t="n">
        <v>1</v>
      </c>
      <c r="AA47" t="n">
        <v>0.03</v>
      </c>
    </row>
    <row r="48" ht="14.25" customHeight="1" s="142">
      <c r="A48" s="141" t="n">
        <v>1046</v>
      </c>
      <c r="B48" s="52" t="inlineStr">
        <is>
          <t>40015,40012,40014</t>
        </is>
      </c>
      <c r="C48" s="141" t="n">
        <v>24</v>
      </c>
      <c r="D4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" s="141" t="n">
        <v>1</v>
      </c>
      <c r="F48" s="141" t="n">
        <v>0.052</v>
      </c>
      <c r="G48" s="135" t="n">
        <v>8001</v>
      </c>
      <c r="H48" s="141" t="n">
        <v>45</v>
      </c>
      <c r="I48" s="141" t="n">
        <v>1</v>
      </c>
      <c r="J48" s="135" t="n">
        <v>8000</v>
      </c>
      <c r="K48" s="141" t="n">
        <v>70</v>
      </c>
      <c r="L48" s="141" t="n">
        <v>1</v>
      </c>
      <c r="M48" s="135" t="n">
        <v>2007</v>
      </c>
      <c r="N48" s="141" t="n">
        <v>1</v>
      </c>
      <c r="O48" s="141" t="n">
        <v>0.05</v>
      </c>
      <c r="P48" t="n">
        <v>9000</v>
      </c>
      <c r="Q48" t="n">
        <v>12</v>
      </c>
      <c r="R48" t="n">
        <v>1</v>
      </c>
      <c r="S48" t="inlineStr">
        <is>
          <t>2001,2002</t>
        </is>
      </c>
      <c r="T48" t="n">
        <v>2</v>
      </c>
      <c r="U48" t="n">
        <v>0.5</v>
      </c>
      <c r="V48" t="n">
        <v>1000</v>
      </c>
      <c r="W48" t="n">
        <v>720</v>
      </c>
      <c r="X48" t="n">
        <v>1</v>
      </c>
      <c r="Y48" t="n">
        <v>2006</v>
      </c>
      <c r="Z48" t="n">
        <v>1</v>
      </c>
      <c r="AA48" t="n">
        <v>0.03</v>
      </c>
    </row>
    <row r="49" ht="14.25" customHeight="1" s="142">
      <c r="A49" s="141" t="n">
        <v>1047</v>
      </c>
      <c r="B49" s="52" t="inlineStr">
        <is>
          <t>40015,40013,40012</t>
        </is>
      </c>
      <c r="C49" s="141" t="n">
        <v>24</v>
      </c>
      <c r="D4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" s="141" t="n">
        <v>1</v>
      </c>
      <c r="F49" s="141" t="n">
        <v>0.052</v>
      </c>
      <c r="G49" s="135" t="n">
        <v>8001</v>
      </c>
      <c r="H49" s="141" t="n">
        <v>45</v>
      </c>
      <c r="I49" s="141" t="n">
        <v>1</v>
      </c>
      <c r="J49" s="135" t="n">
        <v>8000</v>
      </c>
      <c r="K49" s="141" t="n">
        <v>70</v>
      </c>
      <c r="L49" s="141" t="n">
        <v>1</v>
      </c>
      <c r="M49" s="135" t="n">
        <v>2007</v>
      </c>
      <c r="N49" s="141" t="n">
        <v>1</v>
      </c>
      <c r="O49" s="141" t="n">
        <v>0.05</v>
      </c>
      <c r="P49" t="n">
        <v>9000</v>
      </c>
      <c r="Q49" t="n">
        <v>12</v>
      </c>
      <c r="R49" t="n">
        <v>1</v>
      </c>
      <c r="S49" t="inlineStr">
        <is>
          <t>2001,2002</t>
        </is>
      </c>
      <c r="T49" t="n">
        <v>2</v>
      </c>
      <c r="U49" t="n">
        <v>0.5</v>
      </c>
      <c r="V49" t="n">
        <v>1000</v>
      </c>
      <c r="W49" t="n">
        <v>725</v>
      </c>
      <c r="X49" t="n">
        <v>1</v>
      </c>
      <c r="Y49" t="n">
        <v>2006</v>
      </c>
      <c r="Z49" t="n">
        <v>1</v>
      </c>
      <c r="AA49" t="n">
        <v>0.03</v>
      </c>
    </row>
    <row r="50" ht="14.25" customHeight="1" s="142">
      <c r="A50" s="141" t="n">
        <v>1048</v>
      </c>
      <c r="B50" s="52" t="inlineStr">
        <is>
          <t>40016,40015,40014</t>
        </is>
      </c>
      <c r="C50" s="141" t="n">
        <v>25</v>
      </c>
      <c r="D5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" s="141" t="n">
        <v>1</v>
      </c>
      <c r="F50" s="141" t="n">
        <v>0.052</v>
      </c>
      <c r="G50" s="135" t="n">
        <v>8001</v>
      </c>
      <c r="H50" s="141" t="n">
        <v>45</v>
      </c>
      <c r="I50" s="141" t="n">
        <v>1</v>
      </c>
      <c r="J50" s="135" t="n">
        <v>8000</v>
      </c>
      <c r="K50" s="141" t="n">
        <v>70</v>
      </c>
      <c r="L50" s="141" t="n">
        <v>1</v>
      </c>
      <c r="M50" s="135" t="n">
        <v>2007</v>
      </c>
      <c r="N50" s="141" t="n">
        <v>1</v>
      </c>
      <c r="O50" s="141" t="n">
        <v>0.05</v>
      </c>
      <c r="P50" t="n">
        <v>9000</v>
      </c>
      <c r="Q50" t="n">
        <v>13</v>
      </c>
      <c r="R50" t="n">
        <v>1</v>
      </c>
      <c r="S50" t="inlineStr">
        <is>
          <t>2001,2002</t>
        </is>
      </c>
      <c r="T50" t="n">
        <v>2</v>
      </c>
      <c r="U50" t="n">
        <v>0.5</v>
      </c>
      <c r="V50" t="n">
        <v>1000</v>
      </c>
      <c r="W50" t="n">
        <v>730</v>
      </c>
      <c r="X50" t="n">
        <v>1</v>
      </c>
      <c r="Y50" t="n">
        <v>2006</v>
      </c>
      <c r="Z50" t="n">
        <v>1</v>
      </c>
      <c r="AA50" t="n">
        <v>0.03</v>
      </c>
    </row>
    <row r="51" ht="14.25" customHeight="1" s="142">
      <c r="A51" s="141" t="n">
        <v>1049</v>
      </c>
      <c r="B51" s="52" t="inlineStr">
        <is>
          <t>40013,40012,40016</t>
        </is>
      </c>
      <c r="C51" s="141" t="n">
        <v>25</v>
      </c>
      <c r="D5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" s="141" t="n">
        <v>1</v>
      </c>
      <c r="F51" s="141" t="n">
        <v>0.052</v>
      </c>
      <c r="G51" s="135" t="n">
        <v>8001</v>
      </c>
      <c r="H51" s="141" t="n">
        <v>45</v>
      </c>
      <c r="I51" s="141" t="n">
        <v>1</v>
      </c>
      <c r="J51" s="135" t="n">
        <v>8000</v>
      </c>
      <c r="K51" s="141" t="n">
        <v>70</v>
      </c>
      <c r="L51" s="141" t="n">
        <v>1</v>
      </c>
      <c r="M51" s="135" t="n">
        <v>2007</v>
      </c>
      <c r="N51" s="141" t="n">
        <v>1</v>
      </c>
      <c r="O51" s="141" t="n">
        <v>0.05</v>
      </c>
      <c r="P51" t="n">
        <v>9000</v>
      </c>
      <c r="Q51" t="n">
        <v>13</v>
      </c>
      <c r="R51" t="n">
        <v>1</v>
      </c>
      <c r="S51" t="inlineStr">
        <is>
          <t>2001,2002</t>
        </is>
      </c>
      <c r="T51" t="n">
        <v>2</v>
      </c>
      <c r="U51" t="n">
        <v>0.5</v>
      </c>
      <c r="V51" t="n">
        <v>1000</v>
      </c>
      <c r="W51" t="n">
        <v>730</v>
      </c>
      <c r="X51" t="n">
        <v>1</v>
      </c>
      <c r="Y51" t="n">
        <v>2006</v>
      </c>
      <c r="Z51" t="n">
        <v>1</v>
      </c>
      <c r="AA51" t="n">
        <v>0.03</v>
      </c>
    </row>
    <row r="52" ht="14.25" customHeight="1" s="142">
      <c r="A52" s="141" t="n">
        <v>1050</v>
      </c>
      <c r="B52" s="52" t="inlineStr">
        <is>
          <t>40012,40013,40015</t>
        </is>
      </c>
      <c r="C52" s="141" t="n">
        <v>26</v>
      </c>
      <c r="D5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" s="141" t="n">
        <v>1</v>
      </c>
      <c r="F52" s="141" t="n">
        <v>0.052</v>
      </c>
      <c r="G52" s="135" t="n">
        <v>8001</v>
      </c>
      <c r="H52" s="141" t="n">
        <v>45</v>
      </c>
      <c r="I52" s="141" t="n">
        <v>1</v>
      </c>
      <c r="J52" s="135" t="n">
        <v>8000</v>
      </c>
      <c r="K52" s="141" t="n">
        <v>70</v>
      </c>
      <c r="L52" s="141" t="n">
        <v>1</v>
      </c>
      <c r="M52" s="135" t="n">
        <v>2007</v>
      </c>
      <c r="N52" s="141" t="n">
        <v>1</v>
      </c>
      <c r="O52" s="141" t="n">
        <v>0.05</v>
      </c>
      <c r="P52" t="n">
        <v>9000</v>
      </c>
      <c r="Q52" t="n">
        <v>13</v>
      </c>
      <c r="R52" t="n">
        <v>1</v>
      </c>
      <c r="S52" t="inlineStr">
        <is>
          <t>2001,2002</t>
        </is>
      </c>
      <c r="T52" t="n">
        <v>2</v>
      </c>
      <c r="U52" t="n">
        <v>0.5</v>
      </c>
      <c r="V52" t="n">
        <v>1000</v>
      </c>
      <c r="W52" t="n">
        <v>735</v>
      </c>
      <c r="X52" t="n">
        <v>1</v>
      </c>
      <c r="Y52" t="n">
        <v>2006</v>
      </c>
      <c r="Z52" t="n">
        <v>1</v>
      </c>
      <c r="AA52" t="n">
        <v>0.03</v>
      </c>
    </row>
    <row r="53" ht="14.25" customHeight="1" s="142">
      <c r="A53" s="141" t="n">
        <v>1051</v>
      </c>
      <c r="B53" s="52" t="inlineStr">
        <is>
          <t>40015,40012,40014,40013</t>
        </is>
      </c>
      <c r="C53" s="141" t="n">
        <v>26</v>
      </c>
      <c r="D5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" s="141" t="n">
        <v>1</v>
      </c>
      <c r="F53" s="141" t="n">
        <v>0.052</v>
      </c>
      <c r="G53" s="135" t="n">
        <v>8001</v>
      </c>
      <c r="H53" s="141" t="n">
        <v>45</v>
      </c>
      <c r="I53" s="141" t="n">
        <v>1</v>
      </c>
      <c r="J53" s="135" t="n">
        <v>8000</v>
      </c>
      <c r="K53" s="141" t="n">
        <v>70</v>
      </c>
      <c r="L53" s="141" t="n">
        <v>1</v>
      </c>
      <c r="M53" s="135" t="n">
        <v>2007</v>
      </c>
      <c r="N53" s="141" t="n">
        <v>1</v>
      </c>
      <c r="O53" s="141" t="n">
        <v>0.05</v>
      </c>
      <c r="P53" t="n">
        <v>9000</v>
      </c>
      <c r="Q53" t="n">
        <v>13</v>
      </c>
      <c r="R53" t="n">
        <v>1</v>
      </c>
      <c r="S53" t="inlineStr">
        <is>
          <t>2001,2002</t>
        </is>
      </c>
      <c r="T53" t="n">
        <v>2</v>
      </c>
      <c r="U53" t="n">
        <v>0.5</v>
      </c>
      <c r="V53" t="n">
        <v>1000</v>
      </c>
      <c r="W53" t="n">
        <v>740</v>
      </c>
      <c r="X53" t="n">
        <v>1</v>
      </c>
      <c r="Y53" t="n">
        <v>2006</v>
      </c>
      <c r="Z53" t="n">
        <v>1</v>
      </c>
      <c r="AA53" t="n">
        <v>0.03</v>
      </c>
    </row>
    <row r="54" ht="14.25" customHeight="1" s="142">
      <c r="A54" s="141" t="n">
        <v>1052</v>
      </c>
      <c r="B54" s="52" t="inlineStr">
        <is>
          <t>40013,40014,40015,40016</t>
        </is>
      </c>
      <c r="C54" s="141" t="n">
        <v>27</v>
      </c>
      <c r="D5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" s="141" t="n">
        <v>1</v>
      </c>
      <c r="F54" s="141" t="n">
        <v>0.052</v>
      </c>
      <c r="G54" s="135" t="n">
        <v>8001</v>
      </c>
      <c r="H54" s="141" t="n">
        <v>50</v>
      </c>
      <c r="I54" s="141" t="n">
        <v>1</v>
      </c>
      <c r="J54" s="135" t="n">
        <v>8000</v>
      </c>
      <c r="K54" s="141" t="n">
        <v>70</v>
      </c>
      <c r="L54" s="141" t="n">
        <v>1</v>
      </c>
      <c r="M54" s="135" t="n">
        <v>2007</v>
      </c>
      <c r="N54" s="141" t="n">
        <v>1</v>
      </c>
      <c r="O54" s="141" t="n">
        <v>0.05</v>
      </c>
      <c r="P54" t="n">
        <v>9000</v>
      </c>
      <c r="Q54" t="n">
        <v>13</v>
      </c>
      <c r="R54" t="n">
        <v>1</v>
      </c>
      <c r="S54" t="inlineStr">
        <is>
          <t>2001,2002</t>
        </is>
      </c>
      <c r="T54" t="n">
        <v>2</v>
      </c>
      <c r="U54" t="n">
        <v>0.5</v>
      </c>
      <c r="V54" t="n">
        <v>1000</v>
      </c>
      <c r="W54" t="n">
        <v>745</v>
      </c>
      <c r="X54" t="n">
        <v>1</v>
      </c>
      <c r="Y54" t="n">
        <v>2006</v>
      </c>
      <c r="Z54" t="n">
        <v>1</v>
      </c>
      <c r="AA54" t="n">
        <v>0.03</v>
      </c>
    </row>
    <row r="55" ht="14.25" customHeight="1" s="142">
      <c r="A55" s="141" t="n">
        <v>1053</v>
      </c>
      <c r="B55" s="52" t="inlineStr">
        <is>
          <t>40015,40014,40016,40012</t>
        </is>
      </c>
      <c r="C55" s="141" t="n">
        <v>27</v>
      </c>
      <c r="D5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" s="141" t="n">
        <v>1</v>
      </c>
      <c r="F55" s="141" t="n">
        <v>0.052</v>
      </c>
      <c r="G55" s="135" t="n">
        <v>8001</v>
      </c>
      <c r="H55" s="141" t="n">
        <v>50</v>
      </c>
      <c r="I55" s="141" t="n">
        <v>1</v>
      </c>
      <c r="J55" s="135" t="n">
        <v>8000</v>
      </c>
      <c r="K55" s="141" t="n">
        <v>70</v>
      </c>
      <c r="L55" s="141" t="n">
        <v>1</v>
      </c>
      <c r="M55" s="135" t="n">
        <v>2007</v>
      </c>
      <c r="N55" s="141" t="n">
        <v>1</v>
      </c>
      <c r="O55" s="141" t="n">
        <v>0.05</v>
      </c>
      <c r="P55" t="n">
        <v>9000</v>
      </c>
      <c r="Q55" t="n">
        <v>13</v>
      </c>
      <c r="R55" t="n">
        <v>1</v>
      </c>
      <c r="S55" t="inlineStr">
        <is>
          <t>2001,2002</t>
        </is>
      </c>
      <c r="T55" t="n">
        <v>2</v>
      </c>
      <c r="U55" t="n">
        <v>0.5</v>
      </c>
      <c r="V55" t="n">
        <v>1000</v>
      </c>
      <c r="W55" t="n">
        <v>750</v>
      </c>
      <c r="X55" t="n">
        <v>1</v>
      </c>
      <c r="Y55" t="n">
        <v>2006</v>
      </c>
      <c r="Z55" t="n">
        <v>1</v>
      </c>
      <c r="AA55" t="n">
        <v>0.03</v>
      </c>
    </row>
    <row r="56" ht="14.25" customHeight="1" s="142">
      <c r="A56" s="141" t="n">
        <v>1054</v>
      </c>
      <c r="B56" s="52" t="inlineStr">
        <is>
          <t>40016,40013,40015</t>
        </is>
      </c>
      <c r="C56" s="141" t="n">
        <v>28</v>
      </c>
      <c r="D5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" s="141" t="n">
        <v>1</v>
      </c>
      <c r="F56" s="141" t="n">
        <v>0.052</v>
      </c>
      <c r="G56" s="135" t="n">
        <v>8001</v>
      </c>
      <c r="H56" s="141" t="n">
        <v>50</v>
      </c>
      <c r="I56" s="141" t="n">
        <v>1</v>
      </c>
      <c r="J56" s="135" t="n">
        <v>8000</v>
      </c>
      <c r="K56" s="141" t="n">
        <v>70</v>
      </c>
      <c r="L56" s="141" t="n">
        <v>1</v>
      </c>
      <c r="M56" s="135" t="n">
        <v>2007</v>
      </c>
      <c r="N56" s="141" t="n">
        <v>1</v>
      </c>
      <c r="O56" s="141" t="n">
        <v>0.05</v>
      </c>
      <c r="P56" t="n">
        <v>9000</v>
      </c>
      <c r="Q56" t="n">
        <v>13</v>
      </c>
      <c r="R56" t="n">
        <v>1</v>
      </c>
      <c r="S56" t="inlineStr">
        <is>
          <t>2001,2002</t>
        </is>
      </c>
      <c r="T56" t="n">
        <v>2</v>
      </c>
      <c r="U56" t="n">
        <v>0.5</v>
      </c>
      <c r="V56" t="n">
        <v>1000</v>
      </c>
      <c r="W56" t="n">
        <v>755</v>
      </c>
      <c r="X56" t="n">
        <v>1</v>
      </c>
      <c r="Y56" t="n">
        <v>2006</v>
      </c>
      <c r="Z56" t="n">
        <v>1</v>
      </c>
      <c r="AA56" t="n">
        <v>0.03</v>
      </c>
    </row>
    <row r="57" ht="14.25" customHeight="1" s="142">
      <c r="A57" s="141" t="n">
        <v>1055</v>
      </c>
      <c r="B57" s="52" t="inlineStr">
        <is>
          <t>40015,40013,40016</t>
        </is>
      </c>
      <c r="C57" s="141" t="n">
        <v>28</v>
      </c>
      <c r="D5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" s="141" t="n">
        <v>1</v>
      </c>
      <c r="F57" s="141" t="n">
        <v>0.052</v>
      </c>
      <c r="G57" s="135" t="n">
        <v>8001</v>
      </c>
      <c r="H57" s="141" t="n">
        <v>50</v>
      </c>
      <c r="I57" s="141" t="n">
        <v>1</v>
      </c>
      <c r="J57" s="135" t="n">
        <v>8000</v>
      </c>
      <c r="K57" s="141" t="n">
        <v>75</v>
      </c>
      <c r="L57" s="141" t="n">
        <v>1</v>
      </c>
      <c r="M57" s="135" t="n">
        <v>2007</v>
      </c>
      <c r="N57" s="141" t="n">
        <v>1</v>
      </c>
      <c r="O57" s="141" t="n">
        <v>0.05</v>
      </c>
      <c r="P57" t="n">
        <v>9000</v>
      </c>
      <c r="Q57" t="n">
        <v>13</v>
      </c>
      <c r="R57" t="n">
        <v>1</v>
      </c>
      <c r="S57" t="inlineStr">
        <is>
          <t>2001,2002</t>
        </is>
      </c>
      <c r="T57" t="n">
        <v>2</v>
      </c>
      <c r="U57" t="n">
        <v>0.5</v>
      </c>
      <c r="V57" t="n">
        <v>1000</v>
      </c>
      <c r="W57" t="n">
        <v>760</v>
      </c>
      <c r="X57" t="n">
        <v>1</v>
      </c>
      <c r="Y57" t="n">
        <v>2006</v>
      </c>
      <c r="Z57" t="n">
        <v>1</v>
      </c>
      <c r="AA57" t="n">
        <v>0.03</v>
      </c>
    </row>
    <row r="58" ht="14.25" customHeight="1" s="142">
      <c r="A58" s="141" t="n">
        <v>1056</v>
      </c>
      <c r="B58" s="52" t="inlineStr">
        <is>
          <t>40016,40013,40014,40012</t>
        </is>
      </c>
      <c r="C58" s="141" t="n">
        <v>29</v>
      </c>
      <c r="D5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" s="141" t="n">
        <v>1</v>
      </c>
      <c r="F58" s="141" t="n">
        <v>0.052</v>
      </c>
      <c r="G58" s="135" t="n">
        <v>8001</v>
      </c>
      <c r="H58" s="141" t="n">
        <v>50</v>
      </c>
      <c r="I58" s="141" t="n">
        <v>1</v>
      </c>
      <c r="J58" s="135" t="n">
        <v>8000</v>
      </c>
      <c r="K58" s="141" t="n">
        <v>75</v>
      </c>
      <c r="L58" s="141" t="n">
        <v>1</v>
      </c>
      <c r="M58" s="135" t="n">
        <v>2007</v>
      </c>
      <c r="N58" s="141" t="n">
        <v>1</v>
      </c>
      <c r="O58" s="141" t="n">
        <v>0.05</v>
      </c>
      <c r="P58" t="n">
        <v>9000</v>
      </c>
      <c r="Q58" t="n">
        <v>13</v>
      </c>
      <c r="R58" t="n">
        <v>1</v>
      </c>
      <c r="S58" t="inlineStr">
        <is>
          <t>2001,2002</t>
        </is>
      </c>
      <c r="T58" t="n">
        <v>2</v>
      </c>
      <c r="U58" t="n">
        <v>0.5</v>
      </c>
      <c r="V58" t="n">
        <v>1000</v>
      </c>
      <c r="W58" t="n">
        <v>765</v>
      </c>
      <c r="X58" t="n">
        <v>1</v>
      </c>
      <c r="Y58" t="n">
        <v>2006</v>
      </c>
      <c r="Z58" t="n">
        <v>1</v>
      </c>
      <c r="AA58" t="n">
        <v>0.03</v>
      </c>
    </row>
    <row r="59" ht="14.25" customHeight="1" s="142">
      <c r="A59" s="141" t="n">
        <v>1057</v>
      </c>
      <c r="B59" s="52" t="inlineStr">
        <is>
          <t>40014,40016,40015,40013</t>
        </is>
      </c>
      <c r="C59" s="141" t="n">
        <v>29</v>
      </c>
      <c r="D5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" s="141" t="n">
        <v>1</v>
      </c>
      <c r="F59" s="141" t="n">
        <v>0.053</v>
      </c>
      <c r="G59" s="135" t="n">
        <v>8001</v>
      </c>
      <c r="H59" s="141" t="n">
        <v>50</v>
      </c>
      <c r="I59" s="141" t="n">
        <v>1</v>
      </c>
      <c r="J59" s="135" t="n">
        <v>8000</v>
      </c>
      <c r="K59" s="141" t="n">
        <v>75</v>
      </c>
      <c r="L59" s="141" t="n">
        <v>1</v>
      </c>
      <c r="M59" s="135" t="n">
        <v>2007</v>
      </c>
      <c r="N59" s="141" t="n">
        <v>1</v>
      </c>
      <c r="O59" s="141" t="n">
        <v>0.05</v>
      </c>
      <c r="P59" t="n">
        <v>9000</v>
      </c>
      <c r="Q59" t="n">
        <v>14</v>
      </c>
      <c r="R59" t="n">
        <v>1</v>
      </c>
      <c r="S59" t="inlineStr">
        <is>
          <t>2001,2002</t>
        </is>
      </c>
      <c r="T59" t="n">
        <v>2</v>
      </c>
      <c r="U59" t="n">
        <v>0.5</v>
      </c>
      <c r="V59" t="n">
        <v>1000</v>
      </c>
      <c r="W59" t="n">
        <v>770</v>
      </c>
      <c r="X59" t="n">
        <v>1</v>
      </c>
      <c r="Y59" t="n">
        <v>2006</v>
      </c>
      <c r="Z59" t="n">
        <v>1</v>
      </c>
      <c r="AA59" t="n">
        <v>0.03</v>
      </c>
    </row>
    <row r="60" ht="14.25" customHeight="1" s="142">
      <c r="A60" s="141" t="n">
        <v>1058</v>
      </c>
      <c r="B60" s="52" t="inlineStr">
        <is>
          <t>40013,40016,40014</t>
        </is>
      </c>
      <c r="C60" s="141" t="n">
        <v>30</v>
      </c>
      <c r="D6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0" s="141" t="n">
        <v>1</v>
      </c>
      <c r="F60" s="141" t="n">
        <v>0.053</v>
      </c>
      <c r="G60" s="135" t="n">
        <v>8001</v>
      </c>
      <c r="H60" s="141" t="n">
        <v>50</v>
      </c>
      <c r="I60" s="141" t="n">
        <v>1</v>
      </c>
      <c r="J60" s="135" t="n">
        <v>8000</v>
      </c>
      <c r="K60" s="141" t="n">
        <v>75</v>
      </c>
      <c r="L60" s="141" t="n">
        <v>1</v>
      </c>
      <c r="M60" s="135" t="n">
        <v>2007</v>
      </c>
      <c r="N60" s="141" t="n">
        <v>1</v>
      </c>
      <c r="O60" s="141" t="n">
        <v>0.05</v>
      </c>
      <c r="P60" t="n">
        <v>9000</v>
      </c>
      <c r="Q60" t="n">
        <v>14</v>
      </c>
      <c r="R60" t="n">
        <v>1</v>
      </c>
      <c r="S60" t="inlineStr">
        <is>
          <t>2001,2002</t>
        </is>
      </c>
      <c r="T60" t="n">
        <v>2</v>
      </c>
      <c r="U60" t="n">
        <v>0.5</v>
      </c>
      <c r="V60" t="n">
        <v>1000</v>
      </c>
      <c r="W60" t="n">
        <v>775</v>
      </c>
      <c r="X60" t="n">
        <v>1</v>
      </c>
      <c r="Y60" t="n">
        <v>2006</v>
      </c>
      <c r="Z60" t="n">
        <v>1</v>
      </c>
      <c r="AA60" t="n">
        <v>0.03</v>
      </c>
    </row>
    <row r="61" ht="14.25" customHeight="1" s="142">
      <c r="A61" s="141" t="n">
        <v>1059</v>
      </c>
      <c r="B61" s="52" t="inlineStr">
        <is>
          <t>50002,40012,40016,40014,40013</t>
        </is>
      </c>
      <c r="C61" s="141" t="n">
        <v>30</v>
      </c>
      <c r="D6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1" s="141" t="n">
        <v>1</v>
      </c>
      <c r="F61" s="141" t="n">
        <v>0.053</v>
      </c>
      <c r="G61" s="135" t="n">
        <v>8001</v>
      </c>
      <c r="H61" s="141" t="n">
        <v>50</v>
      </c>
      <c r="I61" s="141" t="n">
        <v>1</v>
      </c>
      <c r="J61" s="135" t="n">
        <v>8000</v>
      </c>
      <c r="K61" s="141" t="n">
        <v>75</v>
      </c>
      <c r="L61" s="141" t="n">
        <v>1</v>
      </c>
      <c r="M61" s="135" t="n">
        <v>2007</v>
      </c>
      <c r="N61" s="141" t="n">
        <v>1</v>
      </c>
      <c r="O61" s="141" t="n">
        <v>0.05</v>
      </c>
      <c r="P61" t="n">
        <v>9000</v>
      </c>
      <c r="Q61" t="n">
        <v>14</v>
      </c>
      <c r="R61" t="n">
        <v>1</v>
      </c>
      <c r="S61" t="inlineStr">
        <is>
          <t>2001,2002</t>
        </is>
      </c>
      <c r="T61" t="n">
        <v>2</v>
      </c>
      <c r="U61" t="n">
        <v>0.5</v>
      </c>
      <c r="V61" t="n">
        <v>1000</v>
      </c>
      <c r="W61" t="n">
        <v>780</v>
      </c>
      <c r="X61" t="n">
        <v>1</v>
      </c>
      <c r="Y61" t="n">
        <v>2006</v>
      </c>
      <c r="Z61" t="n">
        <v>1</v>
      </c>
      <c r="AA61" t="n">
        <v>0.03</v>
      </c>
    </row>
    <row r="62">
      <c r="A62" t="n">
        <v>1060</v>
      </c>
      <c r="B62" t="inlineStr">
        <is>
          <t>40020,40021</t>
        </is>
      </c>
      <c r="C62" t="n">
        <v>31</v>
      </c>
      <c r="D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2" t="n">
        <v>1</v>
      </c>
      <c r="F62" t="n">
        <v>0.053</v>
      </c>
      <c r="G62" t="n">
        <v>8001</v>
      </c>
      <c r="H62" t="n">
        <v>50</v>
      </c>
      <c r="I62" t="n">
        <v>1</v>
      </c>
      <c r="J62" t="n">
        <v>8000</v>
      </c>
      <c r="K62" t="n">
        <v>75</v>
      </c>
      <c r="L62" t="n">
        <v>1</v>
      </c>
      <c r="M62" t="n">
        <v>2007</v>
      </c>
      <c r="N62" t="n">
        <v>1</v>
      </c>
      <c r="O62" t="n">
        <v>0.05</v>
      </c>
      <c r="P62" t="n">
        <v>9000</v>
      </c>
      <c r="Q62" t="n">
        <v>14</v>
      </c>
      <c r="R62" t="n">
        <v>1</v>
      </c>
      <c r="S62" t="inlineStr">
        <is>
          <t>2001,2002</t>
        </is>
      </c>
      <c r="T62" t="n">
        <v>3</v>
      </c>
      <c r="U62" t="n">
        <v>0.5</v>
      </c>
      <c r="V62" t="n">
        <v>1000</v>
      </c>
      <c r="W62" t="n">
        <v>785</v>
      </c>
      <c r="X62" t="n">
        <v>1</v>
      </c>
      <c r="Y62" t="n">
        <v>2006</v>
      </c>
      <c r="Z62" t="n">
        <v>1</v>
      </c>
      <c r="AA62" t="n">
        <v>0.03</v>
      </c>
    </row>
    <row r="63">
      <c r="A63" t="n">
        <v>1061</v>
      </c>
      <c r="B63" t="inlineStr">
        <is>
          <t>40021,40020</t>
        </is>
      </c>
      <c r="C63" t="n">
        <v>31</v>
      </c>
      <c r="D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3" t="n">
        <v>1</v>
      </c>
      <c r="F63" t="n">
        <v>0.053</v>
      </c>
      <c r="G63" t="n">
        <v>8001</v>
      </c>
      <c r="H63" t="n">
        <v>50</v>
      </c>
      <c r="I63" t="n">
        <v>1</v>
      </c>
      <c r="J63" t="n">
        <v>8000</v>
      </c>
      <c r="K63" t="n">
        <v>75</v>
      </c>
      <c r="L63" t="n">
        <v>1</v>
      </c>
      <c r="M63" t="n">
        <v>2007</v>
      </c>
      <c r="N63" t="n">
        <v>1</v>
      </c>
      <c r="O63" t="n">
        <v>0.05</v>
      </c>
      <c r="P63" t="n">
        <v>9000</v>
      </c>
      <c r="Q63" t="n">
        <v>14</v>
      </c>
      <c r="R63" t="n">
        <v>1</v>
      </c>
      <c r="S63" t="inlineStr">
        <is>
          <t>2001,2002</t>
        </is>
      </c>
      <c r="T63" t="n">
        <v>3</v>
      </c>
      <c r="U63" t="n">
        <v>0.5</v>
      </c>
      <c r="V63" t="n">
        <v>1000</v>
      </c>
      <c r="W63" t="n">
        <v>790</v>
      </c>
      <c r="X63" t="n">
        <v>1</v>
      </c>
      <c r="Y63" t="n">
        <v>2006</v>
      </c>
      <c r="Z63" t="n">
        <v>1</v>
      </c>
      <c r="AA63" t="n">
        <v>0.03</v>
      </c>
    </row>
    <row r="64">
      <c r="A64" t="n">
        <v>1062</v>
      </c>
      <c r="B64" t="inlineStr">
        <is>
          <t>40021,40017</t>
        </is>
      </c>
      <c r="C64" t="n">
        <v>32</v>
      </c>
      <c r="D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4" t="n">
        <v>1</v>
      </c>
      <c r="F64" t="n">
        <v>0.053</v>
      </c>
      <c r="G64" t="n">
        <v>8001</v>
      </c>
      <c r="H64" t="n">
        <v>50</v>
      </c>
      <c r="I64" t="n">
        <v>1</v>
      </c>
      <c r="J64" t="n">
        <v>8000</v>
      </c>
      <c r="K64" t="n">
        <v>75</v>
      </c>
      <c r="L64" t="n">
        <v>1</v>
      </c>
      <c r="M64" t="n">
        <v>2007</v>
      </c>
      <c r="N64" t="n">
        <v>1</v>
      </c>
      <c r="O64" t="n">
        <v>0.05</v>
      </c>
      <c r="P64" t="n">
        <v>9000</v>
      </c>
      <c r="Q64" t="n">
        <v>14</v>
      </c>
      <c r="R64" t="n">
        <v>1</v>
      </c>
      <c r="S64" t="inlineStr">
        <is>
          <t>2001,2002</t>
        </is>
      </c>
      <c r="T64" t="n">
        <v>3</v>
      </c>
      <c r="U64" t="n">
        <v>0.5</v>
      </c>
      <c r="V64" t="n">
        <v>1000</v>
      </c>
      <c r="W64" t="n">
        <v>795</v>
      </c>
      <c r="X64" t="n">
        <v>1</v>
      </c>
      <c r="Y64" t="n">
        <v>2006</v>
      </c>
      <c r="Z64" t="n">
        <v>1</v>
      </c>
      <c r="AA64" t="n">
        <v>0.03</v>
      </c>
    </row>
    <row r="65">
      <c r="A65" t="n">
        <v>1063</v>
      </c>
      <c r="B65" t="inlineStr">
        <is>
          <t>40020,40017,40019</t>
        </is>
      </c>
      <c r="C65" t="n">
        <v>32</v>
      </c>
      <c r="D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5" t="n">
        <v>1</v>
      </c>
      <c r="F65" t="n">
        <v>0.053</v>
      </c>
      <c r="G65" t="n">
        <v>8001</v>
      </c>
      <c r="H65" t="n">
        <v>50</v>
      </c>
      <c r="I65" t="n">
        <v>1</v>
      </c>
      <c r="J65" t="n">
        <v>8000</v>
      </c>
      <c r="K65" t="n">
        <v>75</v>
      </c>
      <c r="L65" t="n">
        <v>1</v>
      </c>
      <c r="M65" t="n">
        <v>2007</v>
      </c>
      <c r="N65" t="n">
        <v>1</v>
      </c>
      <c r="O65" t="n">
        <v>0.05</v>
      </c>
      <c r="P65" t="n">
        <v>9000</v>
      </c>
      <c r="Q65" t="n">
        <v>14</v>
      </c>
      <c r="R65" t="n">
        <v>1</v>
      </c>
      <c r="S65" t="inlineStr">
        <is>
          <t>2001,2002</t>
        </is>
      </c>
      <c r="T65" t="n">
        <v>3</v>
      </c>
      <c r="U65" t="n">
        <v>0.5</v>
      </c>
      <c r="V65" t="n">
        <v>1000</v>
      </c>
      <c r="W65" t="n">
        <v>800</v>
      </c>
      <c r="X65" t="n">
        <v>1</v>
      </c>
      <c r="Y65" t="n">
        <v>2006</v>
      </c>
      <c r="Z65" t="n">
        <v>1</v>
      </c>
      <c r="AA65" t="n">
        <v>0.03</v>
      </c>
    </row>
    <row r="66">
      <c r="A66" t="n">
        <v>1064</v>
      </c>
      <c r="B66" t="inlineStr">
        <is>
          <t>40018</t>
        </is>
      </c>
      <c r="C66" t="n">
        <v>33</v>
      </c>
      <c r="D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6" t="n">
        <v>1</v>
      </c>
      <c r="F66" t="n">
        <v>0.053</v>
      </c>
      <c r="G66" t="n">
        <v>8001</v>
      </c>
      <c r="H66" t="n">
        <v>50</v>
      </c>
      <c r="I66" t="n">
        <v>1</v>
      </c>
      <c r="J66" t="n">
        <v>8000</v>
      </c>
      <c r="K66" t="n">
        <v>75</v>
      </c>
      <c r="L66" t="n">
        <v>1</v>
      </c>
      <c r="M66" t="n">
        <v>2007</v>
      </c>
      <c r="N66" t="n">
        <v>1</v>
      </c>
      <c r="O66" t="n">
        <v>0.05</v>
      </c>
      <c r="P66" t="n">
        <v>9000</v>
      </c>
      <c r="Q66" t="n">
        <v>14</v>
      </c>
      <c r="R66" t="n">
        <v>1</v>
      </c>
      <c r="S66" t="inlineStr">
        <is>
          <t>2001,2002</t>
        </is>
      </c>
      <c r="T66" t="n">
        <v>3</v>
      </c>
      <c r="U66" t="n">
        <v>0.5</v>
      </c>
      <c r="V66" t="n">
        <v>1000</v>
      </c>
      <c r="W66" t="n">
        <v>805</v>
      </c>
      <c r="X66" t="n">
        <v>1</v>
      </c>
      <c r="Y66" t="n">
        <v>2006</v>
      </c>
      <c r="Z66" t="n">
        <v>1</v>
      </c>
      <c r="AA66" t="n">
        <v>0.03</v>
      </c>
    </row>
    <row r="67">
      <c r="A67" t="n">
        <v>1065</v>
      </c>
      <c r="B67" t="inlineStr">
        <is>
          <t>40018,40021</t>
        </is>
      </c>
      <c r="C67" t="n">
        <v>33</v>
      </c>
      <c r="D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7" t="n">
        <v>1</v>
      </c>
      <c r="F67" t="n">
        <v>0.053</v>
      </c>
      <c r="G67" t="n">
        <v>8001</v>
      </c>
      <c r="H67" t="n">
        <v>50</v>
      </c>
      <c r="I67" t="n">
        <v>1</v>
      </c>
      <c r="J67" t="n">
        <v>8000</v>
      </c>
      <c r="K67" t="n">
        <v>80</v>
      </c>
      <c r="L67" t="n">
        <v>1</v>
      </c>
      <c r="M67" t="n">
        <v>2007</v>
      </c>
      <c r="N67" t="n">
        <v>1</v>
      </c>
      <c r="O67" t="n">
        <v>0.05</v>
      </c>
      <c r="P67" t="n">
        <v>9000</v>
      </c>
      <c r="Q67" t="n">
        <v>15</v>
      </c>
      <c r="R67" t="n">
        <v>1</v>
      </c>
      <c r="S67" t="inlineStr">
        <is>
          <t>2001,2002</t>
        </is>
      </c>
      <c r="T67" t="n">
        <v>3</v>
      </c>
      <c r="U67" t="n">
        <v>0.5</v>
      </c>
      <c r="V67" t="n">
        <v>1000</v>
      </c>
      <c r="W67" t="n">
        <v>810</v>
      </c>
      <c r="X67" t="n">
        <v>1</v>
      </c>
      <c r="Y67" t="n">
        <v>2006</v>
      </c>
      <c r="Z67" t="n">
        <v>1</v>
      </c>
      <c r="AA67" t="n">
        <v>0.03</v>
      </c>
    </row>
    <row r="68">
      <c r="A68" t="n">
        <v>1066</v>
      </c>
      <c r="B68" t="inlineStr">
        <is>
          <t>40021,40018,40017</t>
        </is>
      </c>
      <c r="C68" t="n">
        <v>34</v>
      </c>
      <c r="D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8" t="n">
        <v>1</v>
      </c>
      <c r="F68" t="n">
        <v>0.053</v>
      </c>
      <c r="G68" t="n">
        <v>8001</v>
      </c>
      <c r="H68" t="n">
        <v>50</v>
      </c>
      <c r="I68" t="n">
        <v>1</v>
      </c>
      <c r="J68" t="n">
        <v>8000</v>
      </c>
      <c r="K68" t="n">
        <v>80</v>
      </c>
      <c r="L68" t="n">
        <v>1</v>
      </c>
      <c r="M68" t="n">
        <v>2007</v>
      </c>
      <c r="N68" t="n">
        <v>1</v>
      </c>
      <c r="O68" t="n">
        <v>0.05</v>
      </c>
      <c r="P68" t="n">
        <v>9000</v>
      </c>
      <c r="Q68" t="n">
        <v>15</v>
      </c>
      <c r="R68" t="n">
        <v>1</v>
      </c>
      <c r="S68" t="inlineStr">
        <is>
          <t>2001,2002</t>
        </is>
      </c>
      <c r="T68" t="n">
        <v>3</v>
      </c>
      <c r="U68" t="n">
        <v>0.5</v>
      </c>
      <c r="V68" t="n">
        <v>1000</v>
      </c>
      <c r="W68" t="n">
        <v>815</v>
      </c>
      <c r="X68" t="n">
        <v>1</v>
      </c>
      <c r="Y68" t="n">
        <v>2006</v>
      </c>
      <c r="Z68" t="n">
        <v>1</v>
      </c>
      <c r="AA68" t="n">
        <v>0.03</v>
      </c>
    </row>
    <row r="69">
      <c r="A69" t="n">
        <v>1067</v>
      </c>
      <c r="B69" t="inlineStr">
        <is>
          <t>40018,40021,40017</t>
        </is>
      </c>
      <c r="C69" t="n">
        <v>34</v>
      </c>
      <c r="D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9" t="n">
        <v>1</v>
      </c>
      <c r="F69" t="n">
        <v>0.053</v>
      </c>
      <c r="G69" t="n">
        <v>8001</v>
      </c>
      <c r="H69" t="n">
        <v>55</v>
      </c>
      <c r="I69" t="n">
        <v>1</v>
      </c>
      <c r="J69" t="n">
        <v>8000</v>
      </c>
      <c r="K69" t="n">
        <v>80</v>
      </c>
      <c r="L69" t="n">
        <v>1</v>
      </c>
      <c r="M69" t="n">
        <v>2007</v>
      </c>
      <c r="N69" t="n">
        <v>1</v>
      </c>
      <c r="O69" t="n">
        <v>0.05</v>
      </c>
      <c r="P69" t="n">
        <v>9000</v>
      </c>
      <c r="Q69" t="n">
        <v>15</v>
      </c>
      <c r="R69" t="n">
        <v>1</v>
      </c>
      <c r="S69" t="inlineStr">
        <is>
          <t>2001,2002</t>
        </is>
      </c>
      <c r="T69" t="n">
        <v>3</v>
      </c>
      <c r="U69" t="n">
        <v>0.5</v>
      </c>
      <c r="V69" t="n">
        <v>1000</v>
      </c>
      <c r="W69" t="n">
        <v>820</v>
      </c>
      <c r="X69" t="n">
        <v>1</v>
      </c>
      <c r="Y69" t="n">
        <v>2006</v>
      </c>
      <c r="Z69" t="n">
        <v>1</v>
      </c>
      <c r="AA69" t="n">
        <v>0.03</v>
      </c>
    </row>
    <row r="70">
      <c r="A70" t="n">
        <v>1068</v>
      </c>
      <c r="B70" t="inlineStr">
        <is>
          <t>40020,40021</t>
        </is>
      </c>
      <c r="C70" t="n">
        <v>35</v>
      </c>
      <c r="D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0" t="n">
        <v>1</v>
      </c>
      <c r="F70" t="n">
        <v>0.054</v>
      </c>
      <c r="G70" t="n">
        <v>8001</v>
      </c>
      <c r="H70" t="n">
        <v>55</v>
      </c>
      <c r="I70" t="n">
        <v>1</v>
      </c>
      <c r="J70" t="n">
        <v>8000</v>
      </c>
      <c r="K70" t="n">
        <v>80</v>
      </c>
      <c r="L70" t="n">
        <v>1</v>
      </c>
      <c r="M70" t="n">
        <v>2007</v>
      </c>
      <c r="N70" t="n">
        <v>1</v>
      </c>
      <c r="O70" t="n">
        <v>0.05</v>
      </c>
      <c r="P70" t="n">
        <v>9000</v>
      </c>
      <c r="Q70" t="n">
        <v>15</v>
      </c>
      <c r="R70" t="n">
        <v>1</v>
      </c>
      <c r="S70" t="inlineStr">
        <is>
          <t>2001,2002</t>
        </is>
      </c>
      <c r="T70" t="n">
        <v>3</v>
      </c>
      <c r="U70" t="n">
        <v>0.5</v>
      </c>
      <c r="V70" t="n">
        <v>1000</v>
      </c>
      <c r="W70" t="n">
        <v>825</v>
      </c>
      <c r="X70" t="n">
        <v>1</v>
      </c>
      <c r="Y70" t="n">
        <v>2006</v>
      </c>
      <c r="Z70" t="n">
        <v>1</v>
      </c>
      <c r="AA70" t="n">
        <v>0.03</v>
      </c>
    </row>
    <row r="71">
      <c r="A71" t="n">
        <v>1069</v>
      </c>
      <c r="B71" t="inlineStr">
        <is>
          <t>40018,40019,40017,40021</t>
        </is>
      </c>
      <c r="C71" t="n">
        <v>35</v>
      </c>
      <c r="D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1" t="n">
        <v>1</v>
      </c>
      <c r="F71" t="n">
        <v>0.054</v>
      </c>
      <c r="G71" t="n">
        <v>8001</v>
      </c>
      <c r="H71" t="n">
        <v>55</v>
      </c>
      <c r="I71" t="n">
        <v>1</v>
      </c>
      <c r="J71" t="n">
        <v>8000</v>
      </c>
      <c r="K71" t="n">
        <v>80</v>
      </c>
      <c r="L71" t="n">
        <v>1</v>
      </c>
      <c r="M71" t="n">
        <v>2007</v>
      </c>
      <c r="N71" t="n">
        <v>1</v>
      </c>
      <c r="O71" t="n">
        <v>0.05</v>
      </c>
      <c r="P71" t="n">
        <v>9000</v>
      </c>
      <c r="Q71" t="n">
        <v>15</v>
      </c>
      <c r="R71" t="n">
        <v>1</v>
      </c>
      <c r="S71" t="inlineStr">
        <is>
          <t>2001,2002</t>
        </is>
      </c>
      <c r="T71" t="n">
        <v>3</v>
      </c>
      <c r="U71" t="n">
        <v>0.5</v>
      </c>
      <c r="V71" t="n">
        <v>1000</v>
      </c>
      <c r="W71" t="n">
        <v>830</v>
      </c>
      <c r="X71" t="n">
        <v>1</v>
      </c>
      <c r="Y71" t="n">
        <v>2006</v>
      </c>
      <c r="Z71" t="n">
        <v>1</v>
      </c>
      <c r="AA71" t="n">
        <v>0.03</v>
      </c>
    </row>
    <row r="72">
      <c r="A72" t="n">
        <v>1070</v>
      </c>
      <c r="B72" t="inlineStr">
        <is>
          <t>40021,40018,40020</t>
        </is>
      </c>
      <c r="C72" t="n">
        <v>36</v>
      </c>
      <c r="D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2" t="n">
        <v>1</v>
      </c>
      <c r="F72" t="n">
        <v>0.054</v>
      </c>
      <c r="G72" t="n">
        <v>8001</v>
      </c>
      <c r="H72" t="n">
        <v>55</v>
      </c>
      <c r="I72" t="n">
        <v>1</v>
      </c>
      <c r="J72" t="n">
        <v>8000</v>
      </c>
      <c r="K72" t="n">
        <v>80</v>
      </c>
      <c r="L72" t="n">
        <v>1</v>
      </c>
      <c r="M72" t="n">
        <v>2007</v>
      </c>
      <c r="N72" t="n">
        <v>1</v>
      </c>
      <c r="O72" t="n">
        <v>0.05</v>
      </c>
      <c r="P72" t="n">
        <v>9000</v>
      </c>
      <c r="Q72" t="n">
        <v>15</v>
      </c>
      <c r="R72" t="n">
        <v>1</v>
      </c>
      <c r="S72" t="inlineStr">
        <is>
          <t>2001,2002</t>
        </is>
      </c>
      <c r="T72" t="n">
        <v>3</v>
      </c>
      <c r="U72" t="n">
        <v>0.5</v>
      </c>
      <c r="V72" t="n">
        <v>1000</v>
      </c>
      <c r="W72" t="n">
        <v>840</v>
      </c>
      <c r="X72" t="n">
        <v>1</v>
      </c>
      <c r="Y72" t="n">
        <v>2006</v>
      </c>
      <c r="Z72" t="n">
        <v>1</v>
      </c>
      <c r="AA72" t="n">
        <v>0.03</v>
      </c>
    </row>
    <row r="73">
      <c r="A73" t="n">
        <v>1071</v>
      </c>
      <c r="B73" t="inlineStr">
        <is>
          <t>40020,40019,40021</t>
        </is>
      </c>
      <c r="C73" t="n">
        <v>36</v>
      </c>
      <c r="D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3" t="n">
        <v>1</v>
      </c>
      <c r="F73" t="n">
        <v>0.054</v>
      </c>
      <c r="G73" t="n">
        <v>8001</v>
      </c>
      <c r="H73" t="n">
        <v>55</v>
      </c>
      <c r="I73" t="n">
        <v>1</v>
      </c>
      <c r="J73" t="n">
        <v>8000</v>
      </c>
      <c r="K73" t="n">
        <v>80</v>
      </c>
      <c r="L73" t="n">
        <v>1</v>
      </c>
      <c r="M73" t="n">
        <v>2007</v>
      </c>
      <c r="N73" t="n">
        <v>1</v>
      </c>
      <c r="O73" t="n">
        <v>0.05</v>
      </c>
      <c r="P73" t="n">
        <v>9000</v>
      </c>
      <c r="Q73" t="n">
        <v>15</v>
      </c>
      <c r="R73" t="n">
        <v>1</v>
      </c>
      <c r="S73" t="inlineStr">
        <is>
          <t>2001,2002</t>
        </is>
      </c>
      <c r="T73" t="n">
        <v>3</v>
      </c>
      <c r="U73" t="n">
        <v>0.5</v>
      </c>
      <c r="V73" t="n">
        <v>1000</v>
      </c>
      <c r="W73" t="n">
        <v>845</v>
      </c>
      <c r="X73" t="n">
        <v>1</v>
      </c>
      <c r="Y73" t="n">
        <v>2006</v>
      </c>
      <c r="Z73" t="n">
        <v>1</v>
      </c>
      <c r="AA73" t="n">
        <v>0.03</v>
      </c>
    </row>
    <row r="74">
      <c r="A74" t="n">
        <v>1072</v>
      </c>
      <c r="B74" t="inlineStr">
        <is>
          <t>40018,40020,40017</t>
        </is>
      </c>
      <c r="C74" t="n">
        <v>37</v>
      </c>
      <c r="D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4" t="n">
        <v>1</v>
      </c>
      <c r="F74" t="n">
        <v>0.054</v>
      </c>
      <c r="G74" t="n">
        <v>8001</v>
      </c>
      <c r="H74" t="n">
        <v>55</v>
      </c>
      <c r="I74" t="n">
        <v>1</v>
      </c>
      <c r="J74" t="n">
        <v>8000</v>
      </c>
      <c r="K74" t="n">
        <v>80</v>
      </c>
      <c r="L74" t="n">
        <v>1</v>
      </c>
      <c r="M74" t="n">
        <v>2007</v>
      </c>
      <c r="N74" t="n">
        <v>1</v>
      </c>
      <c r="O74" t="n">
        <v>0.05</v>
      </c>
      <c r="P74" t="n">
        <v>9000</v>
      </c>
      <c r="Q74" t="n">
        <v>16</v>
      </c>
      <c r="R74" t="n">
        <v>1</v>
      </c>
      <c r="S74" t="inlineStr">
        <is>
          <t>2001,2002</t>
        </is>
      </c>
      <c r="T74" t="n">
        <v>3</v>
      </c>
      <c r="U74" t="n">
        <v>0.5</v>
      </c>
      <c r="V74" t="n">
        <v>1000</v>
      </c>
      <c r="W74" t="n">
        <v>850</v>
      </c>
      <c r="X74" t="n">
        <v>1</v>
      </c>
      <c r="Y74" t="n">
        <v>2006</v>
      </c>
      <c r="Z74" t="n">
        <v>1</v>
      </c>
      <c r="AA74" t="n">
        <v>0.03</v>
      </c>
    </row>
    <row r="75">
      <c r="A75" t="n">
        <v>1073</v>
      </c>
      <c r="B75" t="inlineStr">
        <is>
          <t>40019,40018</t>
        </is>
      </c>
      <c r="C75" t="n">
        <v>37</v>
      </c>
      <c r="D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5" t="n">
        <v>1</v>
      </c>
      <c r="F75" t="n">
        <v>0.054</v>
      </c>
      <c r="G75" t="n">
        <v>8001</v>
      </c>
      <c r="H75" t="n">
        <v>55</v>
      </c>
      <c r="I75" t="n">
        <v>1</v>
      </c>
      <c r="J75" t="n">
        <v>8000</v>
      </c>
      <c r="K75" t="n">
        <v>80</v>
      </c>
      <c r="L75" t="n">
        <v>1</v>
      </c>
      <c r="M75" t="n">
        <v>2007</v>
      </c>
      <c r="N75" t="n">
        <v>1</v>
      </c>
      <c r="O75" t="n">
        <v>0.05</v>
      </c>
      <c r="P75" t="n">
        <v>9000</v>
      </c>
      <c r="Q75" t="n">
        <v>16</v>
      </c>
      <c r="R75" t="n">
        <v>1</v>
      </c>
      <c r="S75" t="inlineStr">
        <is>
          <t>2001,2002</t>
        </is>
      </c>
      <c r="T75" t="n">
        <v>3</v>
      </c>
      <c r="U75" t="n">
        <v>0.5</v>
      </c>
      <c r="V75" t="n">
        <v>1000</v>
      </c>
      <c r="W75" t="n">
        <v>855</v>
      </c>
      <c r="X75" t="n">
        <v>1</v>
      </c>
      <c r="Y75" t="n">
        <v>2006</v>
      </c>
      <c r="Z75" t="n">
        <v>1</v>
      </c>
      <c r="AA75" t="n">
        <v>0.03</v>
      </c>
    </row>
    <row r="76">
      <c r="A76" t="n">
        <v>1074</v>
      </c>
      <c r="B76" t="inlineStr">
        <is>
          <t>40017,40018,40021</t>
        </is>
      </c>
      <c r="C76" t="n">
        <v>38</v>
      </c>
      <c r="D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6" t="n">
        <v>1</v>
      </c>
      <c r="F76" t="n">
        <v>0.054</v>
      </c>
      <c r="G76" t="n">
        <v>8001</v>
      </c>
      <c r="H76" t="n">
        <v>55</v>
      </c>
      <c r="I76" t="n">
        <v>1</v>
      </c>
      <c r="J76" t="n">
        <v>8000</v>
      </c>
      <c r="K76" t="n">
        <v>85</v>
      </c>
      <c r="L76" t="n">
        <v>1</v>
      </c>
      <c r="M76" t="n">
        <v>2007</v>
      </c>
      <c r="N76" t="n">
        <v>1</v>
      </c>
      <c r="O76" t="n">
        <v>0.05</v>
      </c>
      <c r="P76" t="n">
        <v>9000</v>
      </c>
      <c r="Q76" t="n">
        <v>16</v>
      </c>
      <c r="R76" t="n">
        <v>1</v>
      </c>
      <c r="S76" t="inlineStr">
        <is>
          <t>2001,2002</t>
        </is>
      </c>
      <c r="T76" t="n">
        <v>3</v>
      </c>
      <c r="U76" t="n">
        <v>0.5</v>
      </c>
      <c r="V76" t="n">
        <v>1000</v>
      </c>
      <c r="W76" t="n">
        <v>860</v>
      </c>
      <c r="X76" t="n">
        <v>1</v>
      </c>
      <c r="Y76" t="n">
        <v>2006</v>
      </c>
      <c r="Z76" t="n">
        <v>1</v>
      </c>
      <c r="AA76" t="n">
        <v>0.03</v>
      </c>
    </row>
    <row r="77">
      <c r="A77" t="n">
        <v>1075</v>
      </c>
      <c r="B77" t="inlineStr">
        <is>
          <t>40018,40019,40020</t>
        </is>
      </c>
      <c r="C77" t="n">
        <v>38</v>
      </c>
      <c r="D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7" t="n">
        <v>1</v>
      </c>
      <c r="F77" t="n">
        <v>0.054</v>
      </c>
      <c r="G77" t="n">
        <v>8001</v>
      </c>
      <c r="H77" t="n">
        <v>55</v>
      </c>
      <c r="I77" t="n">
        <v>1</v>
      </c>
      <c r="J77" t="n">
        <v>8000</v>
      </c>
      <c r="K77" t="n">
        <v>85</v>
      </c>
      <c r="L77" t="n">
        <v>1</v>
      </c>
      <c r="M77" t="n">
        <v>2007</v>
      </c>
      <c r="N77" t="n">
        <v>1</v>
      </c>
      <c r="O77" t="n">
        <v>0.05</v>
      </c>
      <c r="P77" t="n">
        <v>9000</v>
      </c>
      <c r="Q77" t="n">
        <v>16</v>
      </c>
      <c r="R77" t="n">
        <v>1</v>
      </c>
      <c r="S77" t="inlineStr">
        <is>
          <t>2001,2002</t>
        </is>
      </c>
      <c r="T77" t="n">
        <v>3</v>
      </c>
      <c r="U77" t="n">
        <v>0.5</v>
      </c>
      <c r="V77" t="n">
        <v>1000</v>
      </c>
      <c r="W77" t="n">
        <v>865</v>
      </c>
      <c r="X77" t="n">
        <v>1</v>
      </c>
      <c r="Y77" t="n">
        <v>2006</v>
      </c>
      <c r="Z77" t="n">
        <v>1</v>
      </c>
      <c r="AA77" t="n">
        <v>0.03</v>
      </c>
    </row>
    <row r="78">
      <c r="A78" t="n">
        <v>1076</v>
      </c>
      <c r="B78" t="inlineStr">
        <is>
          <t>40020,40017,40018,40019</t>
        </is>
      </c>
      <c r="C78" t="n">
        <v>39</v>
      </c>
      <c r="D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8" t="n">
        <v>1</v>
      </c>
      <c r="F78" t="n">
        <v>0.054</v>
      </c>
      <c r="G78" t="n">
        <v>8001</v>
      </c>
      <c r="H78" t="n">
        <v>55</v>
      </c>
      <c r="I78" t="n">
        <v>1</v>
      </c>
      <c r="J78" t="n">
        <v>8000</v>
      </c>
      <c r="K78" t="n">
        <v>85</v>
      </c>
      <c r="L78" t="n">
        <v>1</v>
      </c>
      <c r="M78" t="n">
        <v>2007</v>
      </c>
      <c r="N78" t="n">
        <v>1</v>
      </c>
      <c r="O78" t="n">
        <v>0.05</v>
      </c>
      <c r="P78" t="n">
        <v>9000</v>
      </c>
      <c r="Q78" t="n">
        <v>16</v>
      </c>
      <c r="R78" t="n">
        <v>1</v>
      </c>
      <c r="S78" t="inlineStr">
        <is>
          <t>2001,2002</t>
        </is>
      </c>
      <c r="T78" t="n">
        <v>3</v>
      </c>
      <c r="U78" t="n">
        <v>0.5</v>
      </c>
      <c r="V78" t="n">
        <v>1000</v>
      </c>
      <c r="W78" t="n">
        <v>875</v>
      </c>
      <c r="X78" t="n">
        <v>1</v>
      </c>
      <c r="Y78" t="n">
        <v>2006</v>
      </c>
      <c r="Z78" t="n">
        <v>1</v>
      </c>
      <c r="AA78" t="n">
        <v>0.03</v>
      </c>
    </row>
    <row r="79">
      <c r="A79" t="n">
        <v>1077</v>
      </c>
      <c r="B79" t="inlineStr">
        <is>
          <t>40017,40021,40020,40019</t>
        </is>
      </c>
      <c r="C79" t="n">
        <v>39</v>
      </c>
      <c r="D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9" t="n">
        <v>1</v>
      </c>
      <c r="F79" t="n">
        <v>0.055</v>
      </c>
      <c r="G79" t="n">
        <v>8001</v>
      </c>
      <c r="H79" t="n">
        <v>55</v>
      </c>
      <c r="I79" t="n">
        <v>1</v>
      </c>
      <c r="J79" t="n">
        <v>8000</v>
      </c>
      <c r="K79" t="n">
        <v>85</v>
      </c>
      <c r="L79" t="n">
        <v>1</v>
      </c>
      <c r="M79" t="n">
        <v>2007</v>
      </c>
      <c r="N79" t="n">
        <v>1</v>
      </c>
      <c r="O79" t="n">
        <v>0.05</v>
      </c>
      <c r="P79" t="n">
        <v>9000</v>
      </c>
      <c r="Q79" t="n">
        <v>16</v>
      </c>
      <c r="R79" t="n">
        <v>1</v>
      </c>
      <c r="S79" t="inlineStr">
        <is>
          <t>2001,2002</t>
        </is>
      </c>
      <c r="T79" t="n">
        <v>3</v>
      </c>
      <c r="U79" t="n">
        <v>0.5</v>
      </c>
      <c r="V79" t="n">
        <v>1000</v>
      </c>
      <c r="W79" t="n">
        <v>880</v>
      </c>
      <c r="X79" t="n">
        <v>1</v>
      </c>
      <c r="Y79" t="n">
        <v>2006</v>
      </c>
      <c r="Z79" t="n">
        <v>1</v>
      </c>
      <c r="AA79" t="n">
        <v>0.03</v>
      </c>
    </row>
    <row r="80">
      <c r="A80" t="n">
        <v>1078</v>
      </c>
      <c r="B80" t="inlineStr">
        <is>
          <t>40020,40019,40017,40021</t>
        </is>
      </c>
      <c r="C80" t="n">
        <v>40</v>
      </c>
      <c r="D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0" t="n">
        <v>1</v>
      </c>
      <c r="F80" t="n">
        <v>0.055</v>
      </c>
      <c r="G80" t="n">
        <v>8001</v>
      </c>
      <c r="H80" t="n">
        <v>55</v>
      </c>
      <c r="I80" t="n">
        <v>1</v>
      </c>
      <c r="J80" t="n">
        <v>8000</v>
      </c>
      <c r="K80" t="n">
        <v>85</v>
      </c>
      <c r="L80" t="n">
        <v>1</v>
      </c>
      <c r="M80" t="n">
        <v>2007</v>
      </c>
      <c r="N80" t="n">
        <v>1</v>
      </c>
      <c r="O80" t="n">
        <v>0.05</v>
      </c>
      <c r="P80" t="n">
        <v>9000</v>
      </c>
      <c r="Q80" t="n">
        <v>17</v>
      </c>
      <c r="R80" t="n">
        <v>1</v>
      </c>
      <c r="S80" t="inlineStr">
        <is>
          <t>2001,2002</t>
        </is>
      </c>
      <c r="T80" t="n">
        <v>3</v>
      </c>
      <c r="U80" t="n">
        <v>0.5</v>
      </c>
      <c r="V80" t="n">
        <v>1000</v>
      </c>
      <c r="W80" t="n">
        <v>885</v>
      </c>
      <c r="X80" t="n">
        <v>1</v>
      </c>
      <c r="Y80" t="n">
        <v>2006</v>
      </c>
      <c r="Z80" t="n">
        <v>1</v>
      </c>
      <c r="AA80" t="n">
        <v>0.03</v>
      </c>
    </row>
    <row r="81">
      <c r="A81" t="n">
        <v>1079</v>
      </c>
      <c r="B81" t="inlineStr">
        <is>
          <t>40017,40020,40021</t>
        </is>
      </c>
      <c r="C81" t="n">
        <v>40</v>
      </c>
      <c r="D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1" t="n">
        <v>1</v>
      </c>
      <c r="F81" t="n">
        <v>0.055</v>
      </c>
      <c r="G81" t="n">
        <v>8001</v>
      </c>
      <c r="H81" t="n">
        <v>55</v>
      </c>
      <c r="I81" t="n">
        <v>1</v>
      </c>
      <c r="J81" t="n">
        <v>8000</v>
      </c>
      <c r="K81" t="n">
        <v>85</v>
      </c>
      <c r="L81" t="n">
        <v>1</v>
      </c>
      <c r="M81" t="n">
        <v>2007</v>
      </c>
      <c r="N81" t="n">
        <v>1</v>
      </c>
      <c r="O81" t="n">
        <v>0.05</v>
      </c>
      <c r="P81" t="n">
        <v>9000</v>
      </c>
      <c r="Q81" t="n">
        <v>17</v>
      </c>
      <c r="R81" t="n">
        <v>1</v>
      </c>
      <c r="S81" t="inlineStr">
        <is>
          <t>2001,2002</t>
        </is>
      </c>
      <c r="T81" t="n">
        <v>3</v>
      </c>
      <c r="U81" t="n">
        <v>0.5</v>
      </c>
      <c r="V81" t="n">
        <v>1000</v>
      </c>
      <c r="W81" t="n">
        <v>895</v>
      </c>
      <c r="X81" t="n">
        <v>1</v>
      </c>
      <c r="Y81" t="n">
        <v>2006</v>
      </c>
      <c r="Z81" t="n">
        <v>1</v>
      </c>
      <c r="AA81" t="n">
        <v>0.03</v>
      </c>
    </row>
    <row r="82">
      <c r="A82" t="n">
        <v>1080</v>
      </c>
      <c r="B82" t="inlineStr">
        <is>
          <t>40020,40018,40021</t>
        </is>
      </c>
      <c r="C82" t="n">
        <v>41</v>
      </c>
      <c r="D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2" t="n">
        <v>1</v>
      </c>
      <c r="F82" t="n">
        <v>0.055</v>
      </c>
      <c r="G82" t="n">
        <v>8001</v>
      </c>
      <c r="H82" t="n">
        <v>60</v>
      </c>
      <c r="I82" t="n">
        <v>1</v>
      </c>
      <c r="J82" t="n">
        <v>8000</v>
      </c>
      <c r="K82" t="n">
        <v>85</v>
      </c>
      <c r="L82" t="n">
        <v>1</v>
      </c>
      <c r="M82" t="n">
        <v>2007</v>
      </c>
      <c r="N82" t="n">
        <v>1</v>
      </c>
      <c r="O82" t="n">
        <v>0.05</v>
      </c>
      <c r="P82" t="n">
        <v>9000</v>
      </c>
      <c r="Q82" t="n">
        <v>17</v>
      </c>
      <c r="R82" t="n">
        <v>1</v>
      </c>
      <c r="S82" t="inlineStr">
        <is>
          <t>2001,2002</t>
        </is>
      </c>
      <c r="T82" t="n">
        <v>3</v>
      </c>
      <c r="U82" t="n">
        <v>0.5</v>
      </c>
      <c r="V82" t="n">
        <v>1000</v>
      </c>
      <c r="W82" t="n">
        <v>900</v>
      </c>
      <c r="X82" t="n">
        <v>1</v>
      </c>
      <c r="Y82" t="n">
        <v>2006</v>
      </c>
      <c r="Z82" t="n">
        <v>1</v>
      </c>
      <c r="AA82" t="n">
        <v>0.03</v>
      </c>
    </row>
    <row r="83">
      <c r="A83" t="n">
        <v>1081</v>
      </c>
      <c r="B83" t="inlineStr">
        <is>
          <t>40017,40019,40021,40020</t>
        </is>
      </c>
      <c r="C83" t="n">
        <v>41</v>
      </c>
      <c r="D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3" t="n">
        <v>1</v>
      </c>
      <c r="F83" t="n">
        <v>0.055</v>
      </c>
      <c r="G83" t="n">
        <v>8001</v>
      </c>
      <c r="H83" t="n">
        <v>60</v>
      </c>
      <c r="I83" t="n">
        <v>1</v>
      </c>
      <c r="J83" t="n">
        <v>8000</v>
      </c>
      <c r="K83" t="n">
        <v>85</v>
      </c>
      <c r="L83" t="n">
        <v>1</v>
      </c>
      <c r="M83" t="n">
        <v>2007</v>
      </c>
      <c r="N83" t="n">
        <v>1</v>
      </c>
      <c r="O83" t="n">
        <v>0.05</v>
      </c>
      <c r="P83" t="n">
        <v>9000</v>
      </c>
      <c r="Q83" t="n">
        <v>17</v>
      </c>
      <c r="R83" t="n">
        <v>1</v>
      </c>
      <c r="S83" t="inlineStr">
        <is>
          <t>2001,2002</t>
        </is>
      </c>
      <c r="T83" t="n">
        <v>3</v>
      </c>
      <c r="U83" t="n">
        <v>0.5</v>
      </c>
      <c r="V83" t="n">
        <v>1000</v>
      </c>
      <c r="W83" t="n">
        <v>905</v>
      </c>
      <c r="X83" t="n">
        <v>1</v>
      </c>
      <c r="Y83" t="n">
        <v>2006</v>
      </c>
      <c r="Z83" t="n">
        <v>1</v>
      </c>
      <c r="AA83" t="n">
        <v>0.03</v>
      </c>
    </row>
    <row r="84">
      <c r="A84" t="n">
        <v>1082</v>
      </c>
      <c r="B84" t="inlineStr">
        <is>
          <t>40020,40021,40017</t>
        </is>
      </c>
      <c r="C84" t="n">
        <v>42</v>
      </c>
      <c r="D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4" t="n">
        <v>1</v>
      </c>
      <c r="F84" t="n">
        <v>0.055</v>
      </c>
      <c r="G84" t="n">
        <v>8001</v>
      </c>
      <c r="H84" t="n">
        <v>60</v>
      </c>
      <c r="I84" t="n">
        <v>1</v>
      </c>
      <c r="J84" t="n">
        <v>8000</v>
      </c>
      <c r="K84" t="n">
        <v>90</v>
      </c>
      <c r="L84" t="n">
        <v>1</v>
      </c>
      <c r="M84" t="n">
        <v>2007</v>
      </c>
      <c r="N84" t="n">
        <v>1</v>
      </c>
      <c r="O84" t="n">
        <v>0.05</v>
      </c>
      <c r="P84" t="n">
        <v>9000</v>
      </c>
      <c r="Q84" t="n">
        <v>17</v>
      </c>
      <c r="R84" t="n">
        <v>1</v>
      </c>
      <c r="S84" t="inlineStr">
        <is>
          <t>2001,2002</t>
        </is>
      </c>
      <c r="T84" t="n">
        <v>3</v>
      </c>
      <c r="U84" t="n">
        <v>0.5</v>
      </c>
      <c r="V84" t="n">
        <v>1000</v>
      </c>
      <c r="W84" t="n">
        <v>910</v>
      </c>
      <c r="X84" t="n">
        <v>1</v>
      </c>
      <c r="Y84" t="n">
        <v>2006</v>
      </c>
      <c r="Z84" t="n">
        <v>1</v>
      </c>
      <c r="AA84" t="n">
        <v>0.03</v>
      </c>
    </row>
    <row r="85">
      <c r="A85" t="n">
        <v>1083</v>
      </c>
      <c r="B85" t="inlineStr">
        <is>
          <t>40020,40021,40017,40019</t>
        </is>
      </c>
      <c r="C85" t="n">
        <v>42</v>
      </c>
      <c r="D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5" t="n">
        <v>1</v>
      </c>
      <c r="F85" t="n">
        <v>0.055</v>
      </c>
      <c r="G85" t="n">
        <v>8001</v>
      </c>
      <c r="H85" t="n">
        <v>60</v>
      </c>
      <c r="I85" t="n">
        <v>1</v>
      </c>
      <c r="J85" t="n">
        <v>8000</v>
      </c>
      <c r="K85" t="n">
        <v>90</v>
      </c>
      <c r="L85" t="n">
        <v>1</v>
      </c>
      <c r="M85" t="n">
        <v>2007</v>
      </c>
      <c r="N85" t="n">
        <v>1</v>
      </c>
      <c r="O85" t="n">
        <v>0.05</v>
      </c>
      <c r="P85" t="n">
        <v>9000</v>
      </c>
      <c r="Q85" t="n">
        <v>17</v>
      </c>
      <c r="R85" t="n">
        <v>1</v>
      </c>
      <c r="S85" t="inlineStr">
        <is>
          <t>2001,2002</t>
        </is>
      </c>
      <c r="T85" t="n">
        <v>3</v>
      </c>
      <c r="U85" t="n">
        <v>0.5</v>
      </c>
      <c r="V85" t="n">
        <v>1000</v>
      </c>
      <c r="W85" t="n">
        <v>920</v>
      </c>
      <c r="X85" t="n">
        <v>1</v>
      </c>
      <c r="Y85" t="n">
        <v>2006</v>
      </c>
      <c r="Z85" t="n">
        <v>1</v>
      </c>
      <c r="AA85" t="n">
        <v>0.03</v>
      </c>
    </row>
    <row r="86">
      <c r="A86" t="n">
        <v>1084</v>
      </c>
      <c r="B86" t="inlineStr">
        <is>
          <t>40018,40019</t>
        </is>
      </c>
      <c r="C86" t="n">
        <v>43</v>
      </c>
      <c r="D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6" t="n">
        <v>1</v>
      </c>
      <c r="F86" t="n">
        <v>0.055</v>
      </c>
      <c r="G86" t="n">
        <v>8001</v>
      </c>
      <c r="H86" t="n">
        <v>60</v>
      </c>
      <c r="I86" t="n">
        <v>1</v>
      </c>
      <c r="J86" t="n">
        <v>8000</v>
      </c>
      <c r="K86" t="n">
        <v>90</v>
      </c>
      <c r="L86" t="n">
        <v>1</v>
      </c>
      <c r="M86" t="n">
        <v>2007</v>
      </c>
      <c r="N86" t="n">
        <v>1</v>
      </c>
      <c r="O86" t="n">
        <v>0.05</v>
      </c>
      <c r="P86" t="n">
        <v>9000</v>
      </c>
      <c r="Q86" t="n">
        <v>17</v>
      </c>
      <c r="R86" t="n">
        <v>1</v>
      </c>
      <c r="S86" t="inlineStr">
        <is>
          <t>2001,2002</t>
        </is>
      </c>
      <c r="T86" t="n">
        <v>3</v>
      </c>
      <c r="U86" t="n">
        <v>0.5</v>
      </c>
      <c r="V86" t="n">
        <v>1000</v>
      </c>
      <c r="W86" t="n">
        <v>925</v>
      </c>
      <c r="X86" t="n">
        <v>1</v>
      </c>
      <c r="Y86" t="n">
        <v>2006</v>
      </c>
      <c r="Z86" t="n">
        <v>1</v>
      </c>
      <c r="AA86" t="n">
        <v>0.03</v>
      </c>
    </row>
    <row r="87">
      <c r="A87" t="n">
        <v>1085</v>
      </c>
      <c r="B87" t="inlineStr">
        <is>
          <t>40018,40020,40019,40021</t>
        </is>
      </c>
      <c r="C87" t="n">
        <v>43</v>
      </c>
      <c r="D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7" t="n">
        <v>1</v>
      </c>
      <c r="F87" t="n">
        <v>0.055</v>
      </c>
      <c r="G87" t="n">
        <v>8001</v>
      </c>
      <c r="H87" t="n">
        <v>60</v>
      </c>
      <c r="I87" t="n">
        <v>1</v>
      </c>
      <c r="J87" t="n">
        <v>8000</v>
      </c>
      <c r="K87" t="n">
        <v>90</v>
      </c>
      <c r="L87" t="n">
        <v>1</v>
      </c>
      <c r="M87" t="n">
        <v>2007</v>
      </c>
      <c r="N87" t="n">
        <v>1</v>
      </c>
      <c r="O87" t="n">
        <v>0.05</v>
      </c>
      <c r="P87" t="n">
        <v>9000</v>
      </c>
      <c r="Q87" t="n">
        <v>18</v>
      </c>
      <c r="R87" t="n">
        <v>1</v>
      </c>
      <c r="S87" t="inlineStr">
        <is>
          <t>2001,2002</t>
        </is>
      </c>
      <c r="T87" t="n">
        <v>3</v>
      </c>
      <c r="U87" t="n">
        <v>0.5</v>
      </c>
      <c r="V87" t="n">
        <v>1000</v>
      </c>
      <c r="W87" t="n">
        <v>935</v>
      </c>
      <c r="X87" t="n">
        <v>1</v>
      </c>
      <c r="Y87" t="n">
        <v>2006</v>
      </c>
      <c r="Z87" t="n">
        <v>1</v>
      </c>
      <c r="AA87" t="n">
        <v>0.03</v>
      </c>
    </row>
    <row r="88">
      <c r="A88" t="n">
        <v>1086</v>
      </c>
      <c r="B88" t="inlineStr">
        <is>
          <t>40018,40021</t>
        </is>
      </c>
      <c r="C88" t="n">
        <v>44</v>
      </c>
      <c r="D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8" t="n">
        <v>1</v>
      </c>
      <c r="F88" t="n">
        <v>0.056</v>
      </c>
      <c r="G88" t="n">
        <v>8001</v>
      </c>
      <c r="H88" t="n">
        <v>60</v>
      </c>
      <c r="I88" t="n">
        <v>1</v>
      </c>
      <c r="J88" t="n">
        <v>8000</v>
      </c>
      <c r="K88" t="n">
        <v>90</v>
      </c>
      <c r="L88" t="n">
        <v>1</v>
      </c>
      <c r="M88" t="n">
        <v>2007</v>
      </c>
      <c r="N88" t="n">
        <v>1</v>
      </c>
      <c r="O88" t="n">
        <v>0.05</v>
      </c>
      <c r="P88" t="n">
        <v>9000</v>
      </c>
      <c r="Q88" t="n">
        <v>18</v>
      </c>
      <c r="R88" t="n">
        <v>1</v>
      </c>
      <c r="S88" t="inlineStr">
        <is>
          <t>2001,2002</t>
        </is>
      </c>
      <c r="T88" t="n">
        <v>3</v>
      </c>
      <c r="U88" t="n">
        <v>0.5</v>
      </c>
      <c r="V88" t="n">
        <v>1000</v>
      </c>
      <c r="W88" t="n">
        <v>940</v>
      </c>
      <c r="X88" t="n">
        <v>1</v>
      </c>
      <c r="Y88" t="n">
        <v>2006</v>
      </c>
      <c r="Z88" t="n">
        <v>1</v>
      </c>
      <c r="AA88" t="n">
        <v>0.03</v>
      </c>
    </row>
    <row r="89">
      <c r="A89" t="n">
        <v>1087</v>
      </c>
      <c r="B89" t="inlineStr">
        <is>
          <t>40017,40021,40019</t>
        </is>
      </c>
      <c r="C89" t="n">
        <v>44</v>
      </c>
      <c r="D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9" t="n">
        <v>1</v>
      </c>
      <c r="F89" t="n">
        <v>0.056</v>
      </c>
      <c r="G89" t="n">
        <v>8001</v>
      </c>
      <c r="H89" t="n">
        <v>60</v>
      </c>
      <c r="I89" t="n">
        <v>1</v>
      </c>
      <c r="J89" t="n">
        <v>8000</v>
      </c>
      <c r="K89" t="n">
        <v>90</v>
      </c>
      <c r="L89" t="n">
        <v>1</v>
      </c>
      <c r="M89" t="n">
        <v>2007</v>
      </c>
      <c r="N89" t="n">
        <v>1</v>
      </c>
      <c r="O89" t="n">
        <v>0.05</v>
      </c>
      <c r="P89" t="n">
        <v>9000</v>
      </c>
      <c r="Q89" t="n">
        <v>18</v>
      </c>
      <c r="R89" t="n">
        <v>1</v>
      </c>
      <c r="S89" t="inlineStr">
        <is>
          <t>2001,2002</t>
        </is>
      </c>
      <c r="T89" t="n">
        <v>3</v>
      </c>
      <c r="U89" t="n">
        <v>0.5</v>
      </c>
      <c r="V89" t="n">
        <v>1000</v>
      </c>
      <c r="W89" t="n">
        <v>945</v>
      </c>
      <c r="X89" t="n">
        <v>1</v>
      </c>
      <c r="Y89" t="n">
        <v>2006</v>
      </c>
      <c r="Z89" t="n">
        <v>1</v>
      </c>
      <c r="AA89" t="n">
        <v>0.03</v>
      </c>
    </row>
    <row r="90">
      <c r="A90" t="n">
        <v>1088</v>
      </c>
      <c r="B90" t="inlineStr">
        <is>
          <t>40017,40021,40020,40019</t>
        </is>
      </c>
      <c r="C90" t="n">
        <v>45</v>
      </c>
      <c r="D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0" t="n">
        <v>1</v>
      </c>
      <c r="F90" t="n">
        <v>0.056</v>
      </c>
      <c r="G90" t="n">
        <v>8001</v>
      </c>
      <c r="H90" t="n">
        <v>60</v>
      </c>
      <c r="I90" t="n">
        <v>1</v>
      </c>
      <c r="J90" t="n">
        <v>8000</v>
      </c>
      <c r="K90" t="n">
        <v>90</v>
      </c>
      <c r="L90" t="n">
        <v>1</v>
      </c>
      <c r="M90" t="n">
        <v>2007</v>
      </c>
      <c r="N90" t="n">
        <v>1</v>
      </c>
      <c r="O90" t="n">
        <v>0.05</v>
      </c>
      <c r="P90" t="n">
        <v>9000</v>
      </c>
      <c r="Q90" t="n">
        <v>18</v>
      </c>
      <c r="R90" t="n">
        <v>1</v>
      </c>
      <c r="S90" t="inlineStr">
        <is>
          <t>2001,2002</t>
        </is>
      </c>
      <c r="T90" t="n">
        <v>3</v>
      </c>
      <c r="U90" t="n">
        <v>0.5</v>
      </c>
      <c r="V90" t="n">
        <v>1000</v>
      </c>
      <c r="W90" t="n">
        <v>955</v>
      </c>
      <c r="X90" t="n">
        <v>1</v>
      </c>
      <c r="Y90" t="n">
        <v>2006</v>
      </c>
      <c r="Z90" t="n">
        <v>1</v>
      </c>
      <c r="AA90" t="n">
        <v>0.03</v>
      </c>
    </row>
    <row r="91">
      <c r="A91" t="n">
        <v>1089</v>
      </c>
      <c r="B91" t="inlineStr">
        <is>
          <t>50004,40017,40019,40020,40021</t>
        </is>
      </c>
      <c r="C91" t="n">
        <v>45</v>
      </c>
      <c r="D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1" t="n">
        <v>1</v>
      </c>
      <c r="F91" t="n">
        <v>0.056</v>
      </c>
      <c r="G91" t="n">
        <v>8001</v>
      </c>
      <c r="H91" t="n">
        <v>60</v>
      </c>
      <c r="I91" t="n">
        <v>1</v>
      </c>
      <c r="J91" t="n">
        <v>8000</v>
      </c>
      <c r="K91" t="n">
        <v>90</v>
      </c>
      <c r="L91" t="n">
        <v>1</v>
      </c>
      <c r="M91" t="n">
        <v>2007</v>
      </c>
      <c r="N91" t="n">
        <v>1</v>
      </c>
      <c r="O91" t="n">
        <v>0.05</v>
      </c>
      <c r="P91" t="n">
        <v>9000</v>
      </c>
      <c r="Q91" t="n">
        <v>18</v>
      </c>
      <c r="R91" t="n">
        <v>1</v>
      </c>
      <c r="S91" t="inlineStr">
        <is>
          <t>2001,2002</t>
        </is>
      </c>
      <c r="T91" t="n">
        <v>3</v>
      </c>
      <c r="U91" t="n">
        <v>0.5</v>
      </c>
      <c r="V91" t="n">
        <v>1000</v>
      </c>
      <c r="W91" t="n">
        <v>960</v>
      </c>
      <c r="X91" t="n">
        <v>1</v>
      </c>
      <c r="Y91" t="n">
        <v>2006</v>
      </c>
      <c r="Z91" t="n">
        <v>1</v>
      </c>
      <c r="AA91" t="n">
        <v>0.03</v>
      </c>
    </row>
    <row r="92">
      <c r="A92" t="n">
        <v>1090</v>
      </c>
      <c r="B92" t="inlineStr">
        <is>
          <t>40026,40022</t>
        </is>
      </c>
      <c r="C92" t="n">
        <v>46</v>
      </c>
      <c r="D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2" t="n">
        <v>1</v>
      </c>
      <c r="F92" t="n">
        <v>0.056</v>
      </c>
      <c r="G92" t="n">
        <v>8001</v>
      </c>
      <c r="H92" t="n">
        <v>60</v>
      </c>
      <c r="I92" t="n">
        <v>1</v>
      </c>
      <c r="J92" t="n">
        <v>8000</v>
      </c>
      <c r="K92" t="n">
        <v>95</v>
      </c>
      <c r="L92" t="n">
        <v>1</v>
      </c>
      <c r="M92" t="n">
        <v>2007</v>
      </c>
      <c r="N92" t="n">
        <v>1</v>
      </c>
      <c r="O92" t="n">
        <v>0.05</v>
      </c>
      <c r="P92" t="n">
        <v>9000</v>
      </c>
      <c r="Q92" t="n">
        <v>19</v>
      </c>
      <c r="R92" t="n">
        <v>1</v>
      </c>
      <c r="S92" t="inlineStr">
        <is>
          <t>2001,2002</t>
        </is>
      </c>
      <c r="T92" t="n">
        <v>3</v>
      </c>
      <c r="U92" t="n">
        <v>0.5</v>
      </c>
      <c r="V92" t="n">
        <v>1000</v>
      </c>
      <c r="W92" t="n">
        <v>970</v>
      </c>
      <c r="X92" t="n">
        <v>1</v>
      </c>
      <c r="Y92" t="n">
        <v>2006</v>
      </c>
      <c r="Z92" t="n">
        <v>1</v>
      </c>
      <c r="AA92" t="n">
        <v>0.03</v>
      </c>
    </row>
    <row r="93">
      <c r="A93" t="n">
        <v>1091</v>
      </c>
      <c r="B93" t="inlineStr">
        <is>
          <t>40027,40024</t>
        </is>
      </c>
      <c r="C93" t="n">
        <v>46</v>
      </c>
      <c r="D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3" t="n">
        <v>1</v>
      </c>
      <c r="F93" t="n">
        <v>0.056</v>
      </c>
      <c r="G93" t="n">
        <v>8001</v>
      </c>
      <c r="H93" t="n">
        <v>60</v>
      </c>
      <c r="I93" t="n">
        <v>1</v>
      </c>
      <c r="J93" t="n">
        <v>8000</v>
      </c>
      <c r="K93" t="n">
        <v>95</v>
      </c>
      <c r="L93" t="n">
        <v>1</v>
      </c>
      <c r="M93" t="n">
        <v>2007</v>
      </c>
      <c r="N93" t="n">
        <v>1</v>
      </c>
      <c r="O93" t="n">
        <v>0.05</v>
      </c>
      <c r="P93" t="n">
        <v>9000</v>
      </c>
      <c r="Q93" t="n">
        <v>19</v>
      </c>
      <c r="R93" t="n">
        <v>1</v>
      </c>
      <c r="S93" t="inlineStr">
        <is>
          <t>2001,2002</t>
        </is>
      </c>
      <c r="T93" t="n">
        <v>3</v>
      </c>
      <c r="U93" t="n">
        <v>0.5</v>
      </c>
      <c r="V93" t="n">
        <v>1000</v>
      </c>
      <c r="W93" t="n">
        <v>975</v>
      </c>
      <c r="X93" t="n">
        <v>1</v>
      </c>
      <c r="Y93" t="n">
        <v>2006</v>
      </c>
      <c r="Z93" t="n">
        <v>1</v>
      </c>
      <c r="AA93" t="n">
        <v>0.03</v>
      </c>
    </row>
    <row r="94">
      <c r="A94" t="n">
        <v>1092</v>
      </c>
      <c r="B94" t="inlineStr">
        <is>
          <t>40022,40026</t>
        </is>
      </c>
      <c r="C94" t="n">
        <v>47</v>
      </c>
      <c r="D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4" t="n">
        <v>1</v>
      </c>
      <c r="F94" t="n">
        <v>0.056</v>
      </c>
      <c r="G94" t="n">
        <v>8001</v>
      </c>
      <c r="H94" t="n">
        <v>65</v>
      </c>
      <c r="I94" t="n">
        <v>1</v>
      </c>
      <c r="J94" t="n">
        <v>8000</v>
      </c>
      <c r="K94" t="n">
        <v>95</v>
      </c>
      <c r="L94" t="n">
        <v>1</v>
      </c>
      <c r="M94" t="n">
        <v>2007</v>
      </c>
      <c r="N94" t="n">
        <v>1</v>
      </c>
      <c r="O94" t="n">
        <v>0.05</v>
      </c>
      <c r="P94" t="n">
        <v>9000</v>
      </c>
      <c r="Q94" t="n">
        <v>19</v>
      </c>
      <c r="R94" t="n">
        <v>1</v>
      </c>
      <c r="S94" t="inlineStr">
        <is>
          <t>2001,2002</t>
        </is>
      </c>
      <c r="T94" t="n">
        <v>3</v>
      </c>
      <c r="U94" t="n">
        <v>0.5</v>
      </c>
      <c r="V94" t="n">
        <v>1000</v>
      </c>
      <c r="W94" t="n">
        <v>980</v>
      </c>
      <c r="X94" t="n">
        <v>1</v>
      </c>
      <c r="Y94" t="n">
        <v>2006</v>
      </c>
      <c r="Z94" t="n">
        <v>1</v>
      </c>
      <c r="AA94" t="n">
        <v>0.03</v>
      </c>
    </row>
    <row r="95">
      <c r="A95" t="n">
        <v>1093</v>
      </c>
      <c r="B95" t="inlineStr">
        <is>
          <t>40026,40025</t>
        </is>
      </c>
      <c r="C95" t="n">
        <v>47</v>
      </c>
      <c r="D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5" t="n">
        <v>1</v>
      </c>
      <c r="F95" t="n">
        <v>0.056</v>
      </c>
      <c r="G95" t="n">
        <v>8001</v>
      </c>
      <c r="H95" t="n">
        <v>65</v>
      </c>
      <c r="I95" t="n">
        <v>1</v>
      </c>
      <c r="J95" t="n">
        <v>8000</v>
      </c>
      <c r="K95" t="n">
        <v>95</v>
      </c>
      <c r="L95" t="n">
        <v>1</v>
      </c>
      <c r="M95" t="n">
        <v>2007</v>
      </c>
      <c r="N95" t="n">
        <v>1</v>
      </c>
      <c r="O95" t="n">
        <v>0.05</v>
      </c>
      <c r="P95" t="n">
        <v>9000</v>
      </c>
      <c r="Q95" t="n">
        <v>19</v>
      </c>
      <c r="R95" t="n">
        <v>1</v>
      </c>
      <c r="S95" t="inlineStr">
        <is>
          <t>2001,2002</t>
        </is>
      </c>
      <c r="T95" t="n">
        <v>3</v>
      </c>
      <c r="U95" t="n">
        <v>0.5</v>
      </c>
      <c r="V95" t="n">
        <v>1000</v>
      </c>
      <c r="W95" t="n">
        <v>990</v>
      </c>
      <c r="X95" t="n">
        <v>1</v>
      </c>
      <c r="Y95" t="n">
        <v>2006</v>
      </c>
      <c r="Z95" t="n">
        <v>1</v>
      </c>
      <c r="AA95" t="n">
        <v>0.03</v>
      </c>
    </row>
    <row r="96">
      <c r="A96" t="n">
        <v>1094</v>
      </c>
      <c r="B96" t="inlineStr">
        <is>
          <t>40026,40024</t>
        </is>
      </c>
      <c r="C96" t="n">
        <v>48</v>
      </c>
      <c r="D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6" t="n">
        <v>1</v>
      </c>
      <c r="F96" t="n">
        <v>0.057</v>
      </c>
      <c r="G96" t="n">
        <v>8001</v>
      </c>
      <c r="H96" t="n">
        <v>65</v>
      </c>
      <c r="I96" t="n">
        <v>1</v>
      </c>
      <c r="J96" t="n">
        <v>8000</v>
      </c>
      <c r="K96" t="n">
        <v>95</v>
      </c>
      <c r="L96" t="n">
        <v>1</v>
      </c>
      <c r="M96" t="n">
        <v>2007</v>
      </c>
      <c r="N96" t="n">
        <v>1</v>
      </c>
      <c r="O96" t="n">
        <v>0.05</v>
      </c>
      <c r="P96" t="n">
        <v>9000</v>
      </c>
      <c r="Q96" t="n">
        <v>19</v>
      </c>
      <c r="R96" t="n">
        <v>1</v>
      </c>
      <c r="S96" t="inlineStr">
        <is>
          <t>2001,2002</t>
        </is>
      </c>
      <c r="T96" t="n">
        <v>3</v>
      </c>
      <c r="U96" t="n">
        <v>0.5</v>
      </c>
      <c r="V96" t="n">
        <v>1000</v>
      </c>
      <c r="W96" t="n">
        <v>995</v>
      </c>
      <c r="X96" t="n">
        <v>1</v>
      </c>
      <c r="Y96" t="n">
        <v>2006</v>
      </c>
      <c r="Z96" t="n">
        <v>1</v>
      </c>
      <c r="AA96" t="n">
        <v>0.03</v>
      </c>
    </row>
    <row r="97">
      <c r="A97" t="n">
        <v>1095</v>
      </c>
      <c r="B97" t="inlineStr">
        <is>
          <t>40027,40025</t>
        </is>
      </c>
      <c r="C97" t="n">
        <v>48</v>
      </c>
      <c r="D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7" t="n">
        <v>1</v>
      </c>
      <c r="F97" t="n">
        <v>0.057</v>
      </c>
      <c r="G97" t="n">
        <v>8001</v>
      </c>
      <c r="H97" t="n">
        <v>65</v>
      </c>
      <c r="I97" t="n">
        <v>1</v>
      </c>
      <c r="J97" t="n">
        <v>8000</v>
      </c>
      <c r="K97" t="n">
        <v>95</v>
      </c>
      <c r="L97" t="n">
        <v>1</v>
      </c>
      <c r="M97" t="n">
        <v>2007</v>
      </c>
      <c r="N97" t="n">
        <v>1</v>
      </c>
      <c r="O97" t="n">
        <v>0.05</v>
      </c>
      <c r="P97" t="n">
        <v>9000</v>
      </c>
      <c r="Q97" t="n">
        <v>19</v>
      </c>
      <c r="R97" t="n">
        <v>1</v>
      </c>
      <c r="S97" t="inlineStr">
        <is>
          <t>2001,2002</t>
        </is>
      </c>
      <c r="T97" t="n">
        <v>3</v>
      </c>
      <c r="U97" t="n">
        <v>0.5</v>
      </c>
      <c r="V97" t="n">
        <v>1000</v>
      </c>
      <c r="W97" t="n">
        <v>1005</v>
      </c>
      <c r="X97" t="n">
        <v>1</v>
      </c>
      <c r="Y97" t="n">
        <v>2006</v>
      </c>
      <c r="Z97" t="n">
        <v>1</v>
      </c>
      <c r="AA97" t="n">
        <v>0.03</v>
      </c>
    </row>
    <row r="98">
      <c r="A98" t="n">
        <v>1096</v>
      </c>
      <c r="B98" t="inlineStr">
        <is>
          <t>40026,40024</t>
        </is>
      </c>
      <c r="C98" t="n">
        <v>49</v>
      </c>
      <c r="D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8" t="n">
        <v>1</v>
      </c>
      <c r="F98" t="n">
        <v>0.057</v>
      </c>
      <c r="G98" t="n">
        <v>8001</v>
      </c>
      <c r="H98" t="n">
        <v>65</v>
      </c>
      <c r="I98" t="n">
        <v>1</v>
      </c>
      <c r="J98" t="n">
        <v>8000</v>
      </c>
      <c r="K98" t="n">
        <v>95</v>
      </c>
      <c r="L98" t="n">
        <v>1</v>
      </c>
      <c r="M98" t="n">
        <v>2007</v>
      </c>
      <c r="N98" t="n">
        <v>1</v>
      </c>
      <c r="O98" t="n">
        <v>0.05</v>
      </c>
      <c r="P98" t="n">
        <v>9000</v>
      </c>
      <c r="Q98" t="n">
        <v>20</v>
      </c>
      <c r="R98" t="n">
        <v>1</v>
      </c>
      <c r="S98" t="inlineStr">
        <is>
          <t>2001,2002</t>
        </is>
      </c>
      <c r="T98" t="n">
        <v>3</v>
      </c>
      <c r="U98" t="n">
        <v>0.5</v>
      </c>
      <c r="V98" t="n">
        <v>1000</v>
      </c>
      <c r="W98" t="n">
        <v>1010</v>
      </c>
      <c r="X98" t="n">
        <v>1</v>
      </c>
      <c r="Y98" t="n">
        <v>2006</v>
      </c>
      <c r="Z98" t="n">
        <v>1</v>
      </c>
      <c r="AA98" t="n">
        <v>0.03</v>
      </c>
    </row>
    <row r="99">
      <c r="A99" t="n">
        <v>1097</v>
      </c>
      <c r="B99" t="inlineStr">
        <is>
          <t>40024,40026</t>
        </is>
      </c>
      <c r="C99" t="n">
        <v>49</v>
      </c>
      <c r="D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9" t="n">
        <v>1</v>
      </c>
      <c r="F99" t="n">
        <v>0.057</v>
      </c>
      <c r="G99" t="n">
        <v>8001</v>
      </c>
      <c r="H99" t="n">
        <v>65</v>
      </c>
      <c r="I99" t="n">
        <v>1</v>
      </c>
      <c r="J99" t="n">
        <v>8000</v>
      </c>
      <c r="K99" t="n">
        <v>100</v>
      </c>
      <c r="L99" t="n">
        <v>1</v>
      </c>
      <c r="M99" t="n">
        <v>2007</v>
      </c>
      <c r="N99" t="n">
        <v>1</v>
      </c>
      <c r="O99" t="n">
        <v>0.05</v>
      </c>
      <c r="P99" t="n">
        <v>9000</v>
      </c>
      <c r="Q99" t="n">
        <v>20</v>
      </c>
      <c r="R99" t="n">
        <v>1</v>
      </c>
      <c r="S99" t="inlineStr">
        <is>
          <t>2001,2002</t>
        </is>
      </c>
      <c r="T99" t="n">
        <v>3</v>
      </c>
      <c r="U99" t="n">
        <v>0.5</v>
      </c>
      <c r="V99" t="n">
        <v>1000</v>
      </c>
      <c r="W99" t="n">
        <v>1020</v>
      </c>
      <c r="X99" t="n">
        <v>1</v>
      </c>
      <c r="Y99" t="n">
        <v>2006</v>
      </c>
      <c r="Z99" t="n">
        <v>1</v>
      </c>
      <c r="AA99" t="n">
        <v>0.03</v>
      </c>
    </row>
    <row r="100">
      <c r="A100" t="n">
        <v>1098</v>
      </c>
      <c r="B100" t="inlineStr">
        <is>
          <t>40022,40026,40027</t>
        </is>
      </c>
      <c r="C100" t="n">
        <v>50</v>
      </c>
      <c r="D1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0" t="n">
        <v>1</v>
      </c>
      <c r="F100" t="n">
        <v>0.057</v>
      </c>
      <c r="G100" t="n">
        <v>8001</v>
      </c>
      <c r="H100" t="n">
        <v>65</v>
      </c>
      <c r="I100" t="n">
        <v>1</v>
      </c>
      <c r="J100" t="n">
        <v>8000</v>
      </c>
      <c r="K100" t="n">
        <v>100</v>
      </c>
      <c r="L100" t="n">
        <v>1</v>
      </c>
      <c r="M100" t="n">
        <v>2007</v>
      </c>
      <c r="N100" t="n">
        <v>1</v>
      </c>
      <c r="O100" t="n">
        <v>0.05</v>
      </c>
      <c r="P100" t="n">
        <v>9000</v>
      </c>
      <c r="Q100" t="n">
        <v>20</v>
      </c>
      <c r="R100" t="n">
        <v>1</v>
      </c>
      <c r="S100" t="inlineStr">
        <is>
          <t>2001,2002</t>
        </is>
      </c>
      <c r="T100" t="n">
        <v>3</v>
      </c>
      <c r="U100" t="n">
        <v>0.5</v>
      </c>
      <c r="V100" t="n">
        <v>1000</v>
      </c>
      <c r="W100" t="n">
        <v>1025</v>
      </c>
      <c r="X100" t="n">
        <v>1</v>
      </c>
      <c r="Y100" t="n">
        <v>2006</v>
      </c>
      <c r="Z100" t="n">
        <v>1</v>
      </c>
      <c r="AA100" t="n">
        <v>0.03</v>
      </c>
    </row>
    <row r="101">
      <c r="A101" t="n">
        <v>1099</v>
      </c>
      <c r="B101" t="inlineStr">
        <is>
          <t>40022,40025,40027,40024</t>
        </is>
      </c>
      <c r="C101" t="n">
        <v>50</v>
      </c>
      <c r="D1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1" t="n">
        <v>1</v>
      </c>
      <c r="F101" t="n">
        <v>0.057</v>
      </c>
      <c r="G101" t="n">
        <v>8001</v>
      </c>
      <c r="H101" t="n">
        <v>65</v>
      </c>
      <c r="I101" t="n">
        <v>1</v>
      </c>
      <c r="J101" t="n">
        <v>8000</v>
      </c>
      <c r="K101" t="n">
        <v>100</v>
      </c>
      <c r="L101" t="n">
        <v>1</v>
      </c>
      <c r="M101" t="n">
        <v>2007</v>
      </c>
      <c r="N101" t="n">
        <v>1</v>
      </c>
      <c r="O101" t="n">
        <v>0.05</v>
      </c>
      <c r="P101" t="n">
        <v>9000</v>
      </c>
      <c r="Q101" t="n">
        <v>20</v>
      </c>
      <c r="R101" t="n">
        <v>1</v>
      </c>
      <c r="S101" t="inlineStr">
        <is>
          <t>2001,2002</t>
        </is>
      </c>
      <c r="T101" t="n">
        <v>3</v>
      </c>
      <c r="U101" t="n">
        <v>0.5</v>
      </c>
      <c r="V101" t="n">
        <v>1000</v>
      </c>
      <c r="W101" t="n">
        <v>1035</v>
      </c>
      <c r="X101" t="n">
        <v>1</v>
      </c>
      <c r="Y101" t="n">
        <v>2006</v>
      </c>
      <c r="Z101" t="n">
        <v>1</v>
      </c>
      <c r="AA101" t="n">
        <v>0.03</v>
      </c>
    </row>
    <row r="102">
      <c r="A102" t="n">
        <v>1100</v>
      </c>
      <c r="B102" t="inlineStr">
        <is>
          <t>40022,40026,40024,40025</t>
        </is>
      </c>
      <c r="C102" t="n">
        <v>51</v>
      </c>
      <c r="D1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2" t="n">
        <v>1</v>
      </c>
      <c r="F102" t="n">
        <v>0.057</v>
      </c>
      <c r="G102" t="n">
        <v>8001</v>
      </c>
      <c r="H102" t="n">
        <v>65</v>
      </c>
      <c r="I102" t="n">
        <v>1</v>
      </c>
      <c r="J102" t="n">
        <v>8000</v>
      </c>
      <c r="K102" t="n">
        <v>100</v>
      </c>
      <c r="L102" t="n">
        <v>1</v>
      </c>
      <c r="M102" t="n">
        <v>2007</v>
      </c>
      <c r="N102" t="n">
        <v>1</v>
      </c>
      <c r="O102" t="n">
        <v>0.05</v>
      </c>
      <c r="P102" t="n">
        <v>9000</v>
      </c>
      <c r="Q102" t="n">
        <v>20</v>
      </c>
      <c r="R102" t="n">
        <v>1</v>
      </c>
      <c r="S102" t="inlineStr">
        <is>
          <t>2001,2002</t>
        </is>
      </c>
      <c r="T102" t="n">
        <v>3</v>
      </c>
      <c r="U102" t="n">
        <v>0.5</v>
      </c>
      <c r="V102" t="n">
        <v>1000</v>
      </c>
      <c r="W102" t="n">
        <v>1045</v>
      </c>
      <c r="X102" t="n">
        <v>1</v>
      </c>
      <c r="Y102" t="n">
        <v>2006</v>
      </c>
      <c r="Z102" t="n">
        <v>1</v>
      </c>
      <c r="AA102" t="n">
        <v>0.03</v>
      </c>
    </row>
    <row r="103">
      <c r="A103" t="n">
        <v>1101</v>
      </c>
      <c r="B103" t="inlineStr">
        <is>
          <t>40027,40022,40025</t>
        </is>
      </c>
      <c r="C103" t="n">
        <v>51</v>
      </c>
      <c r="D1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3" t="n">
        <v>1</v>
      </c>
      <c r="F103" t="n">
        <v>0.058</v>
      </c>
      <c r="G103" t="n">
        <v>8001</v>
      </c>
      <c r="H103" t="n">
        <v>65</v>
      </c>
      <c r="I103" t="n">
        <v>1</v>
      </c>
      <c r="J103" t="n">
        <v>8000</v>
      </c>
      <c r="K103" t="n">
        <v>100</v>
      </c>
      <c r="L103" t="n">
        <v>1</v>
      </c>
      <c r="M103" t="n">
        <v>2007</v>
      </c>
      <c r="N103" t="n">
        <v>1</v>
      </c>
      <c r="O103" t="n">
        <v>0.05</v>
      </c>
      <c r="P103" t="n">
        <v>9000</v>
      </c>
      <c r="Q103" t="n">
        <v>21</v>
      </c>
      <c r="R103" t="n">
        <v>1</v>
      </c>
      <c r="S103" t="inlineStr">
        <is>
          <t>2001,2002</t>
        </is>
      </c>
      <c r="T103" t="n">
        <v>3</v>
      </c>
      <c r="U103" t="n">
        <v>0.5</v>
      </c>
      <c r="V103" t="n">
        <v>1000</v>
      </c>
      <c r="W103" t="n">
        <v>1050</v>
      </c>
      <c r="X103" t="n">
        <v>1</v>
      </c>
      <c r="Y103" t="n">
        <v>2006</v>
      </c>
      <c r="Z103" t="n">
        <v>1</v>
      </c>
      <c r="AA103" t="n">
        <v>0.03</v>
      </c>
    </row>
    <row r="104">
      <c r="A104" t="n">
        <v>1102</v>
      </c>
      <c r="B104" t="inlineStr">
        <is>
          <t>40027,40024,40025</t>
        </is>
      </c>
      <c r="C104" t="n">
        <v>52</v>
      </c>
      <c r="D1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4" t="n">
        <v>1</v>
      </c>
      <c r="F104" t="n">
        <v>0.058</v>
      </c>
      <c r="G104" t="n">
        <v>8001</v>
      </c>
      <c r="H104" t="n">
        <v>70</v>
      </c>
      <c r="I104" t="n">
        <v>1</v>
      </c>
      <c r="J104" t="n">
        <v>8000</v>
      </c>
      <c r="K104" t="n">
        <v>100</v>
      </c>
      <c r="L104" t="n">
        <v>1</v>
      </c>
      <c r="M104" t="n">
        <v>2007</v>
      </c>
      <c r="N104" t="n">
        <v>1</v>
      </c>
      <c r="O104" t="n">
        <v>0.05</v>
      </c>
      <c r="P104" t="n">
        <v>9000</v>
      </c>
      <c r="Q104" t="n">
        <v>21</v>
      </c>
      <c r="R104" t="n">
        <v>1</v>
      </c>
      <c r="S104" t="inlineStr">
        <is>
          <t>2001,2002</t>
        </is>
      </c>
      <c r="T104" t="n">
        <v>3</v>
      </c>
      <c r="U104" t="n">
        <v>0.5</v>
      </c>
      <c r="V104" t="n">
        <v>1000</v>
      </c>
      <c r="W104" t="n">
        <v>1060</v>
      </c>
      <c r="X104" t="n">
        <v>1</v>
      </c>
      <c r="Y104" t="n">
        <v>2006</v>
      </c>
      <c r="Z104" t="n">
        <v>1</v>
      </c>
      <c r="AA104" t="n">
        <v>0.03</v>
      </c>
    </row>
    <row r="105">
      <c r="A105" t="n">
        <v>1103</v>
      </c>
      <c r="B105" t="inlineStr">
        <is>
          <t>40024,40022,40027,40025</t>
        </is>
      </c>
      <c r="C105" t="n">
        <v>52</v>
      </c>
      <c r="D1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5" t="n">
        <v>1</v>
      </c>
      <c r="F105" t="n">
        <v>0.058</v>
      </c>
      <c r="G105" t="n">
        <v>8001</v>
      </c>
      <c r="H105" t="n">
        <v>70</v>
      </c>
      <c r="I105" t="n">
        <v>1</v>
      </c>
      <c r="J105" t="n">
        <v>8000</v>
      </c>
      <c r="K105" t="n">
        <v>100</v>
      </c>
      <c r="L105" t="n">
        <v>1</v>
      </c>
      <c r="M105" t="n">
        <v>2007</v>
      </c>
      <c r="N105" t="n">
        <v>1</v>
      </c>
      <c r="O105" t="n">
        <v>0.05</v>
      </c>
      <c r="P105" t="n">
        <v>9000</v>
      </c>
      <c r="Q105" t="n">
        <v>21</v>
      </c>
      <c r="R105" t="n">
        <v>1</v>
      </c>
      <c r="S105" t="inlineStr">
        <is>
          <t>2001,2002</t>
        </is>
      </c>
      <c r="T105" t="n">
        <v>3</v>
      </c>
      <c r="U105" t="n">
        <v>0.5</v>
      </c>
      <c r="V105" t="n">
        <v>1000</v>
      </c>
      <c r="W105" t="n">
        <v>1065</v>
      </c>
      <c r="X105" t="n">
        <v>1</v>
      </c>
      <c r="Y105" t="n">
        <v>2006</v>
      </c>
      <c r="Z105" t="n">
        <v>1</v>
      </c>
      <c r="AA105" t="n">
        <v>0.03</v>
      </c>
    </row>
    <row r="106">
      <c r="A106" t="n">
        <v>1104</v>
      </c>
      <c r="B106" t="inlineStr">
        <is>
          <t>40024,40027,40026,40022</t>
        </is>
      </c>
      <c r="C106" t="n">
        <v>53</v>
      </c>
      <c r="D1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6" t="n">
        <v>1</v>
      </c>
      <c r="F106" t="n">
        <v>0.058</v>
      </c>
      <c r="G106" t="n">
        <v>8001</v>
      </c>
      <c r="H106" t="n">
        <v>70</v>
      </c>
      <c r="I106" t="n">
        <v>1</v>
      </c>
      <c r="J106" t="n">
        <v>8000</v>
      </c>
      <c r="K106" t="n">
        <v>105</v>
      </c>
      <c r="L106" t="n">
        <v>1</v>
      </c>
      <c r="M106" t="n">
        <v>2007</v>
      </c>
      <c r="N106" t="n">
        <v>1</v>
      </c>
      <c r="O106" t="n">
        <v>0.05</v>
      </c>
      <c r="P106" t="n">
        <v>9000</v>
      </c>
      <c r="Q106" t="n">
        <v>21</v>
      </c>
      <c r="R106" t="n">
        <v>1</v>
      </c>
      <c r="S106" t="inlineStr">
        <is>
          <t>2001,2002</t>
        </is>
      </c>
      <c r="T106" t="n">
        <v>3</v>
      </c>
      <c r="U106" t="n">
        <v>0.5</v>
      </c>
      <c r="V106" t="n">
        <v>1000</v>
      </c>
      <c r="W106" t="n">
        <v>1075</v>
      </c>
      <c r="X106" t="n">
        <v>1</v>
      </c>
      <c r="Y106" t="n">
        <v>2006</v>
      </c>
      <c r="Z106" t="n">
        <v>1</v>
      </c>
      <c r="AA106" t="n">
        <v>0.03</v>
      </c>
    </row>
    <row r="107">
      <c r="A107" t="n">
        <v>1105</v>
      </c>
      <c r="B107" t="inlineStr">
        <is>
          <t>40024,40026,40022</t>
        </is>
      </c>
      <c r="C107" t="n">
        <v>53</v>
      </c>
      <c r="D1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7" t="n">
        <v>1</v>
      </c>
      <c r="F107" t="n">
        <v>0.058</v>
      </c>
      <c r="G107" t="n">
        <v>8001</v>
      </c>
      <c r="H107" t="n">
        <v>70</v>
      </c>
      <c r="I107" t="n">
        <v>1</v>
      </c>
      <c r="J107" t="n">
        <v>8000</v>
      </c>
      <c r="K107" t="n">
        <v>105</v>
      </c>
      <c r="L107" t="n">
        <v>1</v>
      </c>
      <c r="M107" t="n">
        <v>2007</v>
      </c>
      <c r="N107" t="n">
        <v>1</v>
      </c>
      <c r="O107" t="n">
        <v>0.05</v>
      </c>
      <c r="P107" t="n">
        <v>9000</v>
      </c>
      <c r="Q107" t="n">
        <v>21</v>
      </c>
      <c r="R107" t="n">
        <v>1</v>
      </c>
      <c r="S107" t="inlineStr">
        <is>
          <t>2001,2002</t>
        </is>
      </c>
      <c r="T107" t="n">
        <v>3</v>
      </c>
      <c r="U107" t="n">
        <v>0.5</v>
      </c>
      <c r="V107" t="n">
        <v>1000</v>
      </c>
      <c r="W107" t="n">
        <v>1085</v>
      </c>
      <c r="X107" t="n">
        <v>1</v>
      </c>
      <c r="Y107" t="n">
        <v>2006</v>
      </c>
      <c r="Z107" t="n">
        <v>1</v>
      </c>
      <c r="AA107" t="n">
        <v>0.03</v>
      </c>
    </row>
    <row r="108">
      <c r="A108" t="n">
        <v>1106</v>
      </c>
      <c r="B108" t="inlineStr">
        <is>
          <t>40022,40026,40025,40024</t>
        </is>
      </c>
      <c r="C108" t="n">
        <v>54</v>
      </c>
      <c r="D1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8" t="n">
        <v>1</v>
      </c>
      <c r="F108" t="n">
        <v>0.058</v>
      </c>
      <c r="G108" t="n">
        <v>8001</v>
      </c>
      <c r="H108" t="n">
        <v>70</v>
      </c>
      <c r="I108" t="n">
        <v>1</v>
      </c>
      <c r="J108" t="n">
        <v>8000</v>
      </c>
      <c r="K108" t="n">
        <v>105</v>
      </c>
      <c r="L108" t="n">
        <v>1</v>
      </c>
      <c r="M108" t="n">
        <v>2007</v>
      </c>
      <c r="N108" t="n">
        <v>1</v>
      </c>
      <c r="O108" t="n">
        <v>0.05</v>
      </c>
      <c r="P108" t="n">
        <v>9000</v>
      </c>
      <c r="Q108" t="n">
        <v>22</v>
      </c>
      <c r="R108" t="n">
        <v>1</v>
      </c>
      <c r="S108" t="inlineStr">
        <is>
          <t>2001,2002</t>
        </is>
      </c>
      <c r="T108" t="n">
        <v>3</v>
      </c>
      <c r="U108" t="n">
        <v>0.5</v>
      </c>
      <c r="V108" t="n">
        <v>1000</v>
      </c>
      <c r="W108" t="n">
        <v>1090</v>
      </c>
      <c r="X108" t="n">
        <v>1</v>
      </c>
      <c r="Y108" t="n">
        <v>2006</v>
      </c>
      <c r="Z108" t="n">
        <v>1</v>
      </c>
      <c r="AA108" t="n">
        <v>0.03</v>
      </c>
    </row>
    <row r="109">
      <c r="A109" t="n">
        <v>1107</v>
      </c>
      <c r="B109" t="inlineStr">
        <is>
          <t>40024,40025</t>
        </is>
      </c>
      <c r="C109" t="n">
        <v>54</v>
      </c>
      <c r="D1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9" t="n">
        <v>1</v>
      </c>
      <c r="F109" t="n">
        <v>0.058</v>
      </c>
      <c r="G109" t="n">
        <v>8001</v>
      </c>
      <c r="H109" t="n">
        <v>70</v>
      </c>
      <c r="I109" t="n">
        <v>1</v>
      </c>
      <c r="J109" t="n">
        <v>8000</v>
      </c>
      <c r="K109" t="n">
        <v>105</v>
      </c>
      <c r="L109" t="n">
        <v>1</v>
      </c>
      <c r="M109" t="n">
        <v>2007</v>
      </c>
      <c r="N109" t="n">
        <v>1</v>
      </c>
      <c r="O109" t="n">
        <v>0.05</v>
      </c>
      <c r="P109" t="n">
        <v>9000</v>
      </c>
      <c r="Q109" t="n">
        <v>22</v>
      </c>
      <c r="R109" t="n">
        <v>1</v>
      </c>
      <c r="S109" t="inlineStr">
        <is>
          <t>2001,2002</t>
        </is>
      </c>
      <c r="T109" t="n">
        <v>4</v>
      </c>
      <c r="U109" t="n">
        <v>0.5</v>
      </c>
      <c r="V109" t="n">
        <v>1000</v>
      </c>
      <c r="W109" t="n">
        <v>1100</v>
      </c>
      <c r="X109" t="n">
        <v>1</v>
      </c>
      <c r="Y109" t="n">
        <v>2006</v>
      </c>
      <c r="Z109" t="n">
        <v>1</v>
      </c>
      <c r="AA109" t="n">
        <v>0.03</v>
      </c>
    </row>
    <row r="110">
      <c r="A110" t="n">
        <v>1108</v>
      </c>
      <c r="B110" t="inlineStr">
        <is>
          <t>40027,40024,40025,40026</t>
        </is>
      </c>
      <c r="C110" t="n">
        <v>55</v>
      </c>
      <c r="D1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0" t="n">
        <v>1</v>
      </c>
      <c r="F110" t="n">
        <v>0.059</v>
      </c>
      <c r="G110" t="n">
        <v>8001</v>
      </c>
      <c r="H110" t="n">
        <v>70</v>
      </c>
      <c r="I110" t="n">
        <v>1</v>
      </c>
      <c r="J110" t="n">
        <v>8000</v>
      </c>
      <c r="K110" t="n">
        <v>105</v>
      </c>
      <c r="L110" t="n">
        <v>1</v>
      </c>
      <c r="M110" t="n">
        <v>2007</v>
      </c>
      <c r="N110" t="n">
        <v>1</v>
      </c>
      <c r="O110" t="n">
        <v>0.05</v>
      </c>
      <c r="P110" t="n">
        <v>9000</v>
      </c>
      <c r="Q110" t="n">
        <v>22</v>
      </c>
      <c r="R110" t="n">
        <v>1</v>
      </c>
      <c r="S110" t="inlineStr">
        <is>
          <t>2001,2002</t>
        </is>
      </c>
      <c r="T110" t="n">
        <v>4</v>
      </c>
      <c r="U110" t="n">
        <v>0.5</v>
      </c>
      <c r="V110" t="n">
        <v>1000</v>
      </c>
      <c r="W110" t="n">
        <v>1110</v>
      </c>
      <c r="X110" t="n">
        <v>1</v>
      </c>
      <c r="Y110" t="n">
        <v>2006</v>
      </c>
      <c r="Z110" t="n">
        <v>1</v>
      </c>
      <c r="AA110" t="n">
        <v>0.03</v>
      </c>
    </row>
    <row r="111">
      <c r="A111" t="n">
        <v>1109</v>
      </c>
      <c r="B111" t="inlineStr">
        <is>
          <t>40027,40022,40026,40025</t>
        </is>
      </c>
      <c r="C111" t="n">
        <v>55</v>
      </c>
      <c r="D1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1" t="n">
        <v>1</v>
      </c>
      <c r="F111" t="n">
        <v>0.059</v>
      </c>
      <c r="G111" t="n">
        <v>8001</v>
      </c>
      <c r="H111" t="n">
        <v>70</v>
      </c>
      <c r="I111" t="n">
        <v>1</v>
      </c>
      <c r="J111" t="n">
        <v>8000</v>
      </c>
      <c r="K111" t="n">
        <v>105</v>
      </c>
      <c r="L111" t="n">
        <v>1</v>
      </c>
      <c r="M111" t="n">
        <v>2007</v>
      </c>
      <c r="N111" t="n">
        <v>1</v>
      </c>
      <c r="O111" t="n">
        <v>0.05</v>
      </c>
      <c r="P111" t="n">
        <v>9000</v>
      </c>
      <c r="Q111" t="n">
        <v>22</v>
      </c>
      <c r="R111" t="n">
        <v>1</v>
      </c>
      <c r="S111" t="inlineStr">
        <is>
          <t>2001,2002</t>
        </is>
      </c>
      <c r="T111" t="n">
        <v>4</v>
      </c>
      <c r="U111" t="n">
        <v>0.5</v>
      </c>
      <c r="V111" t="n">
        <v>1000</v>
      </c>
      <c r="W111" t="n">
        <v>1115</v>
      </c>
      <c r="X111" t="n">
        <v>1</v>
      </c>
      <c r="Y111" t="n">
        <v>2006</v>
      </c>
      <c r="Z111" t="n">
        <v>1</v>
      </c>
      <c r="AA111" t="n">
        <v>0.03</v>
      </c>
    </row>
    <row r="112">
      <c r="A112" t="n">
        <v>1110</v>
      </c>
      <c r="B112" t="inlineStr">
        <is>
          <t>40025,40026,40024,40027</t>
        </is>
      </c>
      <c r="C112" t="n">
        <v>56</v>
      </c>
      <c r="D1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2" t="n">
        <v>1</v>
      </c>
      <c r="F112" t="n">
        <v>0.059</v>
      </c>
      <c r="G112" t="n">
        <v>8001</v>
      </c>
      <c r="H112" t="n">
        <v>70</v>
      </c>
      <c r="I112" t="n">
        <v>1</v>
      </c>
      <c r="J112" t="n">
        <v>8000</v>
      </c>
      <c r="K112" t="n">
        <v>110</v>
      </c>
      <c r="L112" t="n">
        <v>1</v>
      </c>
      <c r="M112" t="n">
        <v>2007</v>
      </c>
      <c r="N112" t="n">
        <v>1</v>
      </c>
      <c r="O112" t="n">
        <v>0.05</v>
      </c>
      <c r="P112" t="n">
        <v>9000</v>
      </c>
      <c r="Q112" t="n">
        <v>22</v>
      </c>
      <c r="R112" t="n">
        <v>1</v>
      </c>
      <c r="S112" t="inlineStr">
        <is>
          <t>2001,2002</t>
        </is>
      </c>
      <c r="T112" t="n">
        <v>4</v>
      </c>
      <c r="U112" t="n">
        <v>0.5</v>
      </c>
      <c r="V112" t="n">
        <v>1000</v>
      </c>
      <c r="W112" t="n">
        <v>1125</v>
      </c>
      <c r="X112" t="n">
        <v>1</v>
      </c>
      <c r="Y112" t="n">
        <v>2006</v>
      </c>
      <c r="Z112" t="n">
        <v>1</v>
      </c>
      <c r="AA112" t="n">
        <v>0.03</v>
      </c>
    </row>
    <row r="113">
      <c r="A113" t="n">
        <v>1111</v>
      </c>
      <c r="B113" t="inlineStr">
        <is>
          <t>40026,40027,40025,40024,40022</t>
        </is>
      </c>
      <c r="C113" t="n">
        <v>56</v>
      </c>
      <c r="D1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3" t="n">
        <v>1</v>
      </c>
      <c r="F113" t="n">
        <v>0.059</v>
      </c>
      <c r="G113" t="n">
        <v>8001</v>
      </c>
      <c r="H113" t="n">
        <v>75</v>
      </c>
      <c r="I113" t="n">
        <v>1</v>
      </c>
      <c r="J113" t="n">
        <v>8000</v>
      </c>
      <c r="K113" t="n">
        <v>110</v>
      </c>
      <c r="L113" t="n">
        <v>1</v>
      </c>
      <c r="M113" t="n">
        <v>2007</v>
      </c>
      <c r="N113" t="n">
        <v>1</v>
      </c>
      <c r="O113" t="n">
        <v>0.05</v>
      </c>
      <c r="P113" t="n">
        <v>9000</v>
      </c>
      <c r="Q113" t="n">
        <v>23</v>
      </c>
      <c r="R113" t="n">
        <v>1</v>
      </c>
      <c r="S113" t="inlineStr">
        <is>
          <t>2001,2002</t>
        </is>
      </c>
      <c r="T113" t="n">
        <v>4</v>
      </c>
      <c r="U113" t="n">
        <v>0.5</v>
      </c>
      <c r="V113" t="n">
        <v>1000</v>
      </c>
      <c r="W113" t="n">
        <v>1135</v>
      </c>
      <c r="X113" t="n">
        <v>1</v>
      </c>
      <c r="Y113" t="n">
        <v>2006</v>
      </c>
      <c r="Z113" t="n">
        <v>1</v>
      </c>
      <c r="AA113" t="n">
        <v>0.03</v>
      </c>
    </row>
    <row r="114">
      <c r="A114" t="n">
        <v>1112</v>
      </c>
      <c r="B114" t="inlineStr">
        <is>
          <t>40026,40027,40022</t>
        </is>
      </c>
      <c r="C114" t="n">
        <v>57</v>
      </c>
      <c r="D1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4" t="n">
        <v>1</v>
      </c>
      <c r="F114" t="n">
        <v>0.059</v>
      </c>
      <c r="G114" t="n">
        <v>8001</v>
      </c>
      <c r="H114" t="n">
        <v>75</v>
      </c>
      <c r="I114" t="n">
        <v>1</v>
      </c>
      <c r="J114" t="n">
        <v>8000</v>
      </c>
      <c r="K114" t="n">
        <v>110</v>
      </c>
      <c r="L114" t="n">
        <v>1</v>
      </c>
      <c r="M114" t="n">
        <v>2007</v>
      </c>
      <c r="N114" t="n">
        <v>1</v>
      </c>
      <c r="O114" t="n">
        <v>0.05</v>
      </c>
      <c r="P114" t="n">
        <v>9000</v>
      </c>
      <c r="Q114" t="n">
        <v>23</v>
      </c>
      <c r="R114" t="n">
        <v>1</v>
      </c>
      <c r="S114" t="inlineStr">
        <is>
          <t>2001,2002</t>
        </is>
      </c>
      <c r="T114" t="n">
        <v>4</v>
      </c>
      <c r="U114" t="n">
        <v>0.5</v>
      </c>
      <c r="V114" t="n">
        <v>1000</v>
      </c>
      <c r="W114" t="n">
        <v>1140</v>
      </c>
      <c r="X114" t="n">
        <v>1</v>
      </c>
      <c r="Y114" t="n">
        <v>2006</v>
      </c>
      <c r="Z114" t="n">
        <v>1</v>
      </c>
      <c r="AA114" t="n">
        <v>0.03</v>
      </c>
    </row>
    <row r="115">
      <c r="A115" t="n">
        <v>1113</v>
      </c>
      <c r="B115" t="inlineStr">
        <is>
          <t>40026,40024,40027</t>
        </is>
      </c>
      <c r="C115" t="n">
        <v>57</v>
      </c>
      <c r="D1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5" t="n">
        <v>1</v>
      </c>
      <c r="F115" t="n">
        <v>0.059</v>
      </c>
      <c r="G115" t="n">
        <v>8001</v>
      </c>
      <c r="H115" t="n">
        <v>75</v>
      </c>
      <c r="I115" t="n">
        <v>1</v>
      </c>
      <c r="J115" t="n">
        <v>8000</v>
      </c>
      <c r="K115" t="n">
        <v>110</v>
      </c>
      <c r="L115" t="n">
        <v>1</v>
      </c>
      <c r="M115" t="n">
        <v>2007</v>
      </c>
      <c r="N115" t="n">
        <v>1</v>
      </c>
      <c r="O115" t="n">
        <v>0.05</v>
      </c>
      <c r="P115" t="n">
        <v>9000</v>
      </c>
      <c r="Q115" t="n">
        <v>23</v>
      </c>
      <c r="R115" t="n">
        <v>1</v>
      </c>
      <c r="S115" t="inlineStr">
        <is>
          <t>2001,2002</t>
        </is>
      </c>
      <c r="T115" t="n">
        <v>4</v>
      </c>
      <c r="U115" t="n">
        <v>0.5</v>
      </c>
      <c r="V115" t="n">
        <v>1000</v>
      </c>
      <c r="W115" t="n">
        <v>1150</v>
      </c>
      <c r="X115" t="n">
        <v>1</v>
      </c>
      <c r="Y115" t="n">
        <v>2006</v>
      </c>
      <c r="Z115" t="n">
        <v>1</v>
      </c>
      <c r="AA115" t="n">
        <v>0.03</v>
      </c>
    </row>
    <row r="116">
      <c r="A116" t="n">
        <v>1114</v>
      </c>
      <c r="B116" t="inlineStr">
        <is>
          <t>40022,40026,40027</t>
        </is>
      </c>
      <c r="C116" t="n">
        <v>58</v>
      </c>
      <c r="D1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6" t="n">
        <v>1</v>
      </c>
      <c r="F116" t="n">
        <v>0.059</v>
      </c>
      <c r="G116" t="n">
        <v>8001</v>
      </c>
      <c r="H116" t="n">
        <v>75</v>
      </c>
      <c r="I116" t="n">
        <v>1</v>
      </c>
      <c r="J116" t="n">
        <v>8000</v>
      </c>
      <c r="K116" t="n">
        <v>110</v>
      </c>
      <c r="L116" t="n">
        <v>1</v>
      </c>
      <c r="M116" t="n">
        <v>2007</v>
      </c>
      <c r="N116" t="n">
        <v>1</v>
      </c>
      <c r="O116" t="n">
        <v>0.05</v>
      </c>
      <c r="P116" t="n">
        <v>9000</v>
      </c>
      <c r="Q116" t="n">
        <v>23</v>
      </c>
      <c r="R116" t="n">
        <v>1</v>
      </c>
      <c r="S116" t="inlineStr">
        <is>
          <t>2001,2002</t>
        </is>
      </c>
      <c r="T116" t="n">
        <v>4</v>
      </c>
      <c r="U116" t="n">
        <v>0.5</v>
      </c>
      <c r="V116" t="n">
        <v>1000</v>
      </c>
      <c r="W116" t="n">
        <v>1160</v>
      </c>
      <c r="X116" t="n">
        <v>1</v>
      </c>
      <c r="Y116" t="n">
        <v>2006</v>
      </c>
      <c r="Z116" t="n">
        <v>1</v>
      </c>
      <c r="AA116" t="n">
        <v>0.03</v>
      </c>
    </row>
    <row r="117">
      <c r="A117" t="n">
        <v>1115</v>
      </c>
      <c r="B117" t="inlineStr">
        <is>
          <t>40025,40024,40026,40022</t>
        </is>
      </c>
      <c r="C117" t="n">
        <v>58</v>
      </c>
      <c r="D1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7" t="n">
        <v>1</v>
      </c>
      <c r="F117" t="n">
        <v>0.06</v>
      </c>
      <c r="G117" t="n">
        <v>8001</v>
      </c>
      <c r="H117" t="n">
        <v>75</v>
      </c>
      <c r="I117" t="n">
        <v>1</v>
      </c>
      <c r="J117" t="n">
        <v>8000</v>
      </c>
      <c r="K117" t="n">
        <v>110</v>
      </c>
      <c r="L117" t="n">
        <v>1</v>
      </c>
      <c r="M117" t="n">
        <v>2007</v>
      </c>
      <c r="N117" t="n">
        <v>1</v>
      </c>
      <c r="O117" t="n">
        <v>0.05</v>
      </c>
      <c r="P117" t="n">
        <v>9000</v>
      </c>
      <c r="Q117" t="n">
        <v>23</v>
      </c>
      <c r="R117" t="n">
        <v>1</v>
      </c>
      <c r="S117" t="inlineStr">
        <is>
          <t>2001,2002</t>
        </is>
      </c>
      <c r="T117" t="n">
        <v>4</v>
      </c>
      <c r="U117" t="n">
        <v>0.5</v>
      </c>
      <c r="V117" t="n">
        <v>1000</v>
      </c>
      <c r="W117" t="n">
        <v>1165</v>
      </c>
      <c r="X117" t="n">
        <v>1</v>
      </c>
      <c r="Y117" t="n">
        <v>2006</v>
      </c>
      <c r="Z117" t="n">
        <v>1</v>
      </c>
      <c r="AA117" t="n">
        <v>0.03</v>
      </c>
    </row>
    <row r="118">
      <c r="A118" t="n">
        <v>1116</v>
      </c>
      <c r="B118" t="inlineStr">
        <is>
          <t>40027,40022,40026</t>
        </is>
      </c>
      <c r="C118" t="n">
        <v>59</v>
      </c>
      <c r="D1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8" t="n">
        <v>1</v>
      </c>
      <c r="F118" t="n">
        <v>0.06</v>
      </c>
      <c r="G118" t="n">
        <v>8001</v>
      </c>
      <c r="H118" t="n">
        <v>75</v>
      </c>
      <c r="I118" t="n">
        <v>1</v>
      </c>
      <c r="J118" t="n">
        <v>8000</v>
      </c>
      <c r="K118" t="n">
        <v>115</v>
      </c>
      <c r="L118" t="n">
        <v>1</v>
      </c>
      <c r="M118" t="n">
        <v>2007</v>
      </c>
      <c r="N118" t="n">
        <v>1</v>
      </c>
      <c r="O118" t="n">
        <v>0.05</v>
      </c>
      <c r="P118" t="n">
        <v>9000</v>
      </c>
      <c r="Q118" t="n">
        <v>24</v>
      </c>
      <c r="R118" t="n">
        <v>1</v>
      </c>
      <c r="S118" t="inlineStr">
        <is>
          <t>2001,2002</t>
        </is>
      </c>
      <c r="T118" t="n">
        <v>4</v>
      </c>
      <c r="U118" t="n">
        <v>0.5</v>
      </c>
      <c r="V118" t="n">
        <v>1000</v>
      </c>
      <c r="W118" t="n">
        <v>1175</v>
      </c>
      <c r="X118" t="n">
        <v>1</v>
      </c>
      <c r="Y118" t="n">
        <v>2006</v>
      </c>
      <c r="Z118" t="n">
        <v>1</v>
      </c>
      <c r="AA118" t="n">
        <v>0.03</v>
      </c>
    </row>
    <row r="119">
      <c r="A119" t="n">
        <v>1117</v>
      </c>
      <c r="B119" t="inlineStr">
        <is>
          <t>40024,40026</t>
        </is>
      </c>
      <c r="C119" t="n">
        <v>59</v>
      </c>
      <c r="D1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9" t="n">
        <v>1</v>
      </c>
      <c r="F119" t="n">
        <v>0.06</v>
      </c>
      <c r="G119" t="n">
        <v>8001</v>
      </c>
      <c r="H119" t="n">
        <v>75</v>
      </c>
      <c r="I119" t="n">
        <v>1</v>
      </c>
      <c r="J119" t="n">
        <v>8000</v>
      </c>
      <c r="K119" t="n">
        <v>115</v>
      </c>
      <c r="L119" t="n">
        <v>1</v>
      </c>
      <c r="M119" t="n">
        <v>2007</v>
      </c>
      <c r="N119" t="n">
        <v>1</v>
      </c>
      <c r="O119" t="n">
        <v>0.05</v>
      </c>
      <c r="P119" t="n">
        <v>9000</v>
      </c>
      <c r="Q119" t="n">
        <v>24</v>
      </c>
      <c r="R119" t="n">
        <v>1</v>
      </c>
      <c r="S119" t="inlineStr">
        <is>
          <t>2001,2002</t>
        </is>
      </c>
      <c r="T119" t="n">
        <v>4</v>
      </c>
      <c r="U119" t="n">
        <v>0.5</v>
      </c>
      <c r="V119" t="n">
        <v>1000</v>
      </c>
      <c r="W119" t="n">
        <v>1185</v>
      </c>
      <c r="X119" t="n">
        <v>1</v>
      </c>
      <c r="Y119" t="n">
        <v>2006</v>
      </c>
      <c r="Z119" t="n">
        <v>1</v>
      </c>
      <c r="AA119" t="n">
        <v>0.03</v>
      </c>
    </row>
    <row r="120">
      <c r="A120" t="n">
        <v>1118</v>
      </c>
      <c r="B120" t="inlineStr">
        <is>
          <t>40026,40027,40024</t>
        </is>
      </c>
      <c r="C120" t="n">
        <v>60</v>
      </c>
      <c r="D1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0" t="n">
        <v>1</v>
      </c>
      <c r="F120" t="n">
        <v>0.06</v>
      </c>
      <c r="G120" t="n">
        <v>8001</v>
      </c>
      <c r="H120" t="n">
        <v>75</v>
      </c>
      <c r="I120" t="n">
        <v>1</v>
      </c>
      <c r="J120" t="n">
        <v>8000</v>
      </c>
      <c r="K120" t="n">
        <v>115</v>
      </c>
      <c r="L120" t="n">
        <v>1</v>
      </c>
      <c r="M120" t="n">
        <v>2007</v>
      </c>
      <c r="N120" t="n">
        <v>1</v>
      </c>
      <c r="O120" t="n">
        <v>0.05</v>
      </c>
      <c r="P120" t="n">
        <v>9000</v>
      </c>
      <c r="Q120" t="n">
        <v>24</v>
      </c>
      <c r="R120" t="n">
        <v>1</v>
      </c>
      <c r="S120" t="inlineStr">
        <is>
          <t>2001,2002</t>
        </is>
      </c>
      <c r="T120" t="n">
        <v>4</v>
      </c>
      <c r="U120" t="n">
        <v>0.5</v>
      </c>
      <c r="V120" t="n">
        <v>1000</v>
      </c>
      <c r="W120" t="n">
        <v>1195</v>
      </c>
      <c r="X120" t="n">
        <v>1</v>
      </c>
      <c r="Y120" t="n">
        <v>2006</v>
      </c>
      <c r="Z120" t="n">
        <v>1</v>
      </c>
      <c r="AA120" t="n">
        <v>0.03</v>
      </c>
    </row>
    <row r="121">
      <c r="A121" t="n">
        <v>1119</v>
      </c>
      <c r="B121" t="inlineStr">
        <is>
          <t>50005,40022,40025,40024,40027</t>
        </is>
      </c>
      <c r="C121" t="n">
        <v>60</v>
      </c>
      <c r="D1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1" t="n">
        <v>1</v>
      </c>
      <c r="F121" t="n">
        <v>0.06</v>
      </c>
      <c r="G121" t="n">
        <v>8001</v>
      </c>
      <c r="H121" t="n">
        <v>75</v>
      </c>
      <c r="I121" t="n">
        <v>1</v>
      </c>
      <c r="J121" t="n">
        <v>8000</v>
      </c>
      <c r="K121" t="n">
        <v>115</v>
      </c>
      <c r="L121" t="n">
        <v>1</v>
      </c>
      <c r="M121" t="n">
        <v>2007</v>
      </c>
      <c r="N121" t="n">
        <v>1</v>
      </c>
      <c r="O121" t="n">
        <v>0.05</v>
      </c>
      <c r="P121" t="n">
        <v>9000</v>
      </c>
      <c r="Q121" t="n">
        <v>24</v>
      </c>
      <c r="R121" t="n">
        <v>1</v>
      </c>
      <c r="S121" t="inlineStr">
        <is>
          <t>2001,2002</t>
        </is>
      </c>
      <c r="T121" t="n">
        <v>4</v>
      </c>
      <c r="U121" t="n">
        <v>0.5</v>
      </c>
      <c r="V121" t="n">
        <v>1000</v>
      </c>
      <c r="W121" t="n">
        <v>1205</v>
      </c>
      <c r="X121" t="n">
        <v>1</v>
      </c>
      <c r="Y121" t="n">
        <v>2006</v>
      </c>
      <c r="Z121" t="n">
        <v>1</v>
      </c>
      <c r="AA121" t="n">
        <v>0.03</v>
      </c>
    </row>
    <row r="122">
      <c r="A122" t="n">
        <v>1120</v>
      </c>
      <c r="B122" t="inlineStr">
        <is>
          <t>40031</t>
        </is>
      </c>
      <c r="C122" t="n">
        <v>61</v>
      </c>
      <c r="D1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2" t="n">
        <v>1</v>
      </c>
      <c r="F122" t="n">
        <v>0.06</v>
      </c>
      <c r="G122" t="n">
        <v>8001</v>
      </c>
      <c r="H122" t="n">
        <v>80</v>
      </c>
      <c r="I122" t="n">
        <v>1</v>
      </c>
      <c r="J122" t="n">
        <v>8000</v>
      </c>
      <c r="K122" t="n">
        <v>115</v>
      </c>
      <c r="L122" t="n">
        <v>1</v>
      </c>
      <c r="M122" t="n">
        <v>2007</v>
      </c>
      <c r="N122" t="n">
        <v>1</v>
      </c>
      <c r="O122" t="n">
        <v>0.05</v>
      </c>
      <c r="P122" t="n">
        <v>9000</v>
      </c>
      <c r="Q122" t="n">
        <v>25</v>
      </c>
      <c r="R122" t="n">
        <v>1</v>
      </c>
      <c r="S122" t="inlineStr">
        <is>
          <t>2001,2002</t>
        </is>
      </c>
      <c r="T122" t="n">
        <v>4</v>
      </c>
      <c r="U122" t="n">
        <v>0.5</v>
      </c>
      <c r="V122" t="n">
        <v>1000</v>
      </c>
      <c r="W122" t="n">
        <v>1210</v>
      </c>
      <c r="X122" t="n">
        <v>1</v>
      </c>
      <c r="Y122" t="n">
        <v>2006</v>
      </c>
      <c r="Z122" t="n">
        <v>1</v>
      </c>
      <c r="AA122" t="n">
        <v>0.03</v>
      </c>
    </row>
    <row r="123">
      <c r="A123" t="n">
        <v>1121</v>
      </c>
      <c r="B123" t="inlineStr">
        <is>
          <t>40029,40028</t>
        </is>
      </c>
      <c r="C123" t="n">
        <v>61</v>
      </c>
      <c r="D1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3" t="n">
        <v>1</v>
      </c>
      <c r="F123" t="n">
        <v>0.061</v>
      </c>
      <c r="G123" t="n">
        <v>8001</v>
      </c>
      <c r="H123" t="n">
        <v>80</v>
      </c>
      <c r="I123" t="n">
        <v>1</v>
      </c>
      <c r="J123" t="n">
        <v>8000</v>
      </c>
      <c r="K123" t="n">
        <v>115</v>
      </c>
      <c r="L123" t="n">
        <v>1</v>
      </c>
      <c r="M123" t="n">
        <v>2007</v>
      </c>
      <c r="N123" t="n">
        <v>1</v>
      </c>
      <c r="O123" t="n">
        <v>0.05</v>
      </c>
      <c r="P123" t="n">
        <v>9000</v>
      </c>
      <c r="Q123" t="n">
        <v>25</v>
      </c>
      <c r="R123" t="n">
        <v>1</v>
      </c>
      <c r="S123" t="inlineStr">
        <is>
          <t>2001,2002</t>
        </is>
      </c>
      <c r="T123" t="n">
        <v>4</v>
      </c>
      <c r="U123" t="n">
        <v>0.5</v>
      </c>
      <c r="V123" t="n">
        <v>1000</v>
      </c>
      <c r="W123" t="n">
        <v>1220</v>
      </c>
      <c r="X123" t="n">
        <v>1</v>
      </c>
      <c r="Y123" t="n">
        <v>2006</v>
      </c>
      <c r="Z123" t="n">
        <v>1</v>
      </c>
      <c r="AA123" t="n">
        <v>0.03</v>
      </c>
    </row>
    <row r="124">
      <c r="A124" t="n">
        <v>1122</v>
      </c>
      <c r="B124" t="inlineStr">
        <is>
          <t>40028,40031</t>
        </is>
      </c>
      <c r="C124" t="n">
        <v>62</v>
      </c>
      <c r="D1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4" t="n">
        <v>1</v>
      </c>
      <c r="F124" t="n">
        <v>0.061</v>
      </c>
      <c r="G124" t="n">
        <v>8001</v>
      </c>
      <c r="H124" t="n">
        <v>80</v>
      </c>
      <c r="I124" t="n">
        <v>1</v>
      </c>
      <c r="J124" t="n">
        <v>8000</v>
      </c>
      <c r="K124" t="n">
        <v>120</v>
      </c>
      <c r="L124" t="n">
        <v>1</v>
      </c>
      <c r="M124" t="n">
        <v>2007</v>
      </c>
      <c r="N124" t="n">
        <v>1</v>
      </c>
      <c r="O124" t="n">
        <v>0.05</v>
      </c>
      <c r="P124" t="n">
        <v>9000</v>
      </c>
      <c r="Q124" t="n">
        <v>25</v>
      </c>
      <c r="R124" t="n">
        <v>1</v>
      </c>
      <c r="S124" t="inlineStr">
        <is>
          <t>2001,2002</t>
        </is>
      </c>
      <c r="T124" t="n">
        <v>4</v>
      </c>
      <c r="U124" t="n">
        <v>0.5</v>
      </c>
      <c r="V124" t="n">
        <v>1000</v>
      </c>
      <c r="W124" t="n">
        <v>1230</v>
      </c>
      <c r="X124" t="n">
        <v>1</v>
      </c>
      <c r="Y124" t="n">
        <v>2006</v>
      </c>
      <c r="Z124" t="n">
        <v>1</v>
      </c>
      <c r="AA124" t="n">
        <v>0.03</v>
      </c>
    </row>
    <row r="125">
      <c r="A125" t="n">
        <v>1123</v>
      </c>
      <c r="B125" t="inlineStr">
        <is>
          <t>40030,40031</t>
        </is>
      </c>
      <c r="C125" t="n">
        <v>62</v>
      </c>
      <c r="D1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5" t="n">
        <v>1</v>
      </c>
      <c r="F125" t="n">
        <v>0.061</v>
      </c>
      <c r="G125" t="n">
        <v>8001</v>
      </c>
      <c r="H125" t="n">
        <v>80</v>
      </c>
      <c r="I125" t="n">
        <v>1</v>
      </c>
      <c r="J125" t="n">
        <v>8000</v>
      </c>
      <c r="K125" t="n">
        <v>120</v>
      </c>
      <c r="L125" t="n">
        <v>1</v>
      </c>
      <c r="M125" t="n">
        <v>2007</v>
      </c>
      <c r="N125" t="n">
        <v>1</v>
      </c>
      <c r="O125" t="n">
        <v>0.05</v>
      </c>
      <c r="P125" t="n">
        <v>9000</v>
      </c>
      <c r="Q125" t="n">
        <v>25</v>
      </c>
      <c r="R125" t="n">
        <v>1</v>
      </c>
      <c r="S125" t="inlineStr">
        <is>
          <t>2001,2002</t>
        </is>
      </c>
      <c r="T125" t="n">
        <v>4</v>
      </c>
      <c r="U125" t="n">
        <v>0.5</v>
      </c>
      <c r="V125" t="n">
        <v>1000</v>
      </c>
      <c r="W125" t="n">
        <v>1240</v>
      </c>
      <c r="X125" t="n">
        <v>1</v>
      </c>
      <c r="Y125" t="n">
        <v>2006</v>
      </c>
      <c r="Z125" t="n">
        <v>1</v>
      </c>
      <c r="AA125" t="n">
        <v>0.03</v>
      </c>
    </row>
    <row r="126">
      <c r="A126" t="n">
        <v>1124</v>
      </c>
      <c r="B126" t="inlineStr">
        <is>
          <t>40028,40030,40033</t>
        </is>
      </c>
      <c r="C126" t="n">
        <v>63</v>
      </c>
      <c r="D1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6" t="n">
        <v>1</v>
      </c>
      <c r="F126" t="n">
        <v>0.061</v>
      </c>
      <c r="G126" t="n">
        <v>8001</v>
      </c>
      <c r="H126" t="n">
        <v>80</v>
      </c>
      <c r="I126" t="n">
        <v>1</v>
      </c>
      <c r="J126" t="n">
        <v>8000</v>
      </c>
      <c r="K126" t="n">
        <v>120</v>
      </c>
      <c r="L126" t="n">
        <v>1</v>
      </c>
      <c r="M126" t="n">
        <v>2007</v>
      </c>
      <c r="N126" t="n">
        <v>1</v>
      </c>
      <c r="O126" t="n">
        <v>0.05</v>
      </c>
      <c r="P126" t="n">
        <v>9000</v>
      </c>
      <c r="Q126" t="n">
        <v>26</v>
      </c>
      <c r="R126" t="n">
        <v>1</v>
      </c>
      <c r="S126" t="inlineStr">
        <is>
          <t>2001,2002</t>
        </is>
      </c>
      <c r="T126" t="n">
        <v>4</v>
      </c>
      <c r="U126" t="n">
        <v>0.5</v>
      </c>
      <c r="V126" t="n">
        <v>1000</v>
      </c>
      <c r="W126" t="n">
        <v>1250</v>
      </c>
      <c r="X126" t="n">
        <v>1</v>
      </c>
      <c r="Y126" t="n">
        <v>2006</v>
      </c>
      <c r="Z126" t="n">
        <v>1</v>
      </c>
      <c r="AA126" t="n">
        <v>0.03</v>
      </c>
    </row>
    <row r="127">
      <c r="A127" t="n">
        <v>1125</v>
      </c>
      <c r="B127" t="inlineStr">
        <is>
          <t>40029,40028,40033</t>
        </is>
      </c>
      <c r="C127" t="n">
        <v>63</v>
      </c>
      <c r="D1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7" t="n">
        <v>1</v>
      </c>
      <c r="F127" t="n">
        <v>0.061</v>
      </c>
      <c r="G127" t="n">
        <v>8001</v>
      </c>
      <c r="H127" t="n">
        <v>80</v>
      </c>
      <c r="I127" t="n">
        <v>1</v>
      </c>
      <c r="J127" t="n">
        <v>8000</v>
      </c>
      <c r="K127" t="n">
        <v>120</v>
      </c>
      <c r="L127" t="n">
        <v>1</v>
      </c>
      <c r="M127" t="n">
        <v>2007</v>
      </c>
      <c r="N127" t="n">
        <v>1</v>
      </c>
      <c r="O127" t="n">
        <v>0.05</v>
      </c>
      <c r="P127" t="n">
        <v>9000</v>
      </c>
      <c r="Q127" t="n">
        <v>26</v>
      </c>
      <c r="R127" t="n">
        <v>1</v>
      </c>
      <c r="S127" t="inlineStr">
        <is>
          <t>2001,2002</t>
        </is>
      </c>
      <c r="T127" t="n">
        <v>4</v>
      </c>
      <c r="U127" t="n">
        <v>0.5</v>
      </c>
      <c r="V127" t="n">
        <v>1000</v>
      </c>
      <c r="W127" t="n">
        <v>1260</v>
      </c>
      <c r="X127" t="n">
        <v>1</v>
      </c>
      <c r="Y127" t="n">
        <v>2006</v>
      </c>
      <c r="Z127" t="n">
        <v>1</v>
      </c>
      <c r="AA127" t="n">
        <v>0.03</v>
      </c>
    </row>
    <row r="128">
      <c r="A128" t="n">
        <v>1126</v>
      </c>
      <c r="B128" t="inlineStr">
        <is>
          <t>40031,40029</t>
        </is>
      </c>
      <c r="C128" t="n">
        <v>64</v>
      </c>
      <c r="D1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8" t="n">
        <v>1</v>
      </c>
      <c r="F128" t="n">
        <v>0.061</v>
      </c>
      <c r="G128" t="n">
        <v>8001</v>
      </c>
      <c r="H128" t="n">
        <v>80</v>
      </c>
      <c r="I128" t="n">
        <v>1</v>
      </c>
      <c r="J128" t="n">
        <v>8000</v>
      </c>
      <c r="K128" t="n">
        <v>120</v>
      </c>
      <c r="L128" t="n">
        <v>1</v>
      </c>
      <c r="M128" t="n">
        <v>2007</v>
      </c>
      <c r="N128" t="n">
        <v>1</v>
      </c>
      <c r="O128" t="n">
        <v>0.05</v>
      </c>
      <c r="P128" t="n">
        <v>9000</v>
      </c>
      <c r="Q128" t="n">
        <v>26</v>
      </c>
      <c r="R128" t="n">
        <v>1</v>
      </c>
      <c r="S128" t="inlineStr">
        <is>
          <t>2001,2002</t>
        </is>
      </c>
      <c r="T128" t="n">
        <v>4</v>
      </c>
      <c r="U128" t="n">
        <v>0.5</v>
      </c>
      <c r="V128" t="n">
        <v>1000</v>
      </c>
      <c r="W128" t="n">
        <v>1265</v>
      </c>
      <c r="X128" t="n">
        <v>1</v>
      </c>
      <c r="Y128" t="n">
        <v>2006</v>
      </c>
      <c r="Z128" t="n">
        <v>1</v>
      </c>
      <c r="AA128" t="n">
        <v>0.03</v>
      </c>
    </row>
    <row r="129">
      <c r="A129" t="n">
        <v>1127</v>
      </c>
      <c r="B129" t="inlineStr">
        <is>
          <t>40033,40028,40031</t>
        </is>
      </c>
      <c r="C129" t="n">
        <v>64</v>
      </c>
      <c r="D1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9" t="n">
        <v>1</v>
      </c>
      <c r="F129" t="n">
        <v>0.062</v>
      </c>
      <c r="G129" t="n">
        <v>8001</v>
      </c>
      <c r="H129" t="n">
        <v>80</v>
      </c>
      <c r="I129" t="n">
        <v>1</v>
      </c>
      <c r="J129" t="n">
        <v>8000</v>
      </c>
      <c r="K129" t="n">
        <v>125</v>
      </c>
      <c r="L129" t="n">
        <v>1</v>
      </c>
      <c r="M129" t="n">
        <v>2007</v>
      </c>
      <c r="N129" t="n">
        <v>1</v>
      </c>
      <c r="O129" t="n">
        <v>0.05</v>
      </c>
      <c r="P129" t="n">
        <v>9000</v>
      </c>
      <c r="Q129" t="n">
        <v>26</v>
      </c>
      <c r="R129" t="n">
        <v>1</v>
      </c>
      <c r="S129" t="inlineStr">
        <is>
          <t>2001,2002</t>
        </is>
      </c>
      <c r="T129" t="n">
        <v>4</v>
      </c>
      <c r="U129" t="n">
        <v>0.5</v>
      </c>
      <c r="V129" t="n">
        <v>1000</v>
      </c>
      <c r="W129" t="n">
        <v>1275</v>
      </c>
      <c r="X129" t="n">
        <v>1</v>
      </c>
      <c r="Y129" t="n">
        <v>2006</v>
      </c>
      <c r="Z129" t="n">
        <v>1</v>
      </c>
      <c r="AA129" t="n">
        <v>0.03</v>
      </c>
    </row>
    <row r="130">
      <c r="A130" t="n">
        <v>1128</v>
      </c>
      <c r="B130" t="inlineStr">
        <is>
          <t>40029,40031,40033</t>
        </is>
      </c>
      <c r="C130" t="n">
        <v>65</v>
      </c>
      <c r="D1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0" t="n">
        <v>1</v>
      </c>
      <c r="F130" t="n">
        <v>0.062</v>
      </c>
      <c r="G130" t="n">
        <v>8001</v>
      </c>
      <c r="H130" t="n">
        <v>80</v>
      </c>
      <c r="I130" t="n">
        <v>1</v>
      </c>
      <c r="J130" t="n">
        <v>8000</v>
      </c>
      <c r="K130" t="n">
        <v>125</v>
      </c>
      <c r="L130" t="n">
        <v>1</v>
      </c>
      <c r="M130" t="n">
        <v>2007</v>
      </c>
      <c r="N130" t="n">
        <v>1</v>
      </c>
      <c r="O130" t="n">
        <v>0.05</v>
      </c>
      <c r="P130" t="n">
        <v>9000</v>
      </c>
      <c r="Q130" t="n">
        <v>26</v>
      </c>
      <c r="R130" t="n">
        <v>1</v>
      </c>
      <c r="S130" t="inlineStr">
        <is>
          <t>2001,2002</t>
        </is>
      </c>
      <c r="T130" t="n">
        <v>4</v>
      </c>
      <c r="U130" t="n">
        <v>0.5</v>
      </c>
      <c r="V130" t="n">
        <v>1000</v>
      </c>
      <c r="W130" t="n">
        <v>1285</v>
      </c>
      <c r="X130" t="n">
        <v>1</v>
      </c>
      <c r="Y130" t="n">
        <v>2006</v>
      </c>
      <c r="Z130" t="n">
        <v>1</v>
      </c>
      <c r="AA130" t="n">
        <v>0.03</v>
      </c>
    </row>
    <row r="131">
      <c r="A131" t="n">
        <v>1129</v>
      </c>
      <c r="B131" t="inlineStr">
        <is>
          <t>40031,40030,40028,40033</t>
        </is>
      </c>
      <c r="C131" t="n">
        <v>65</v>
      </c>
      <c r="D1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1" t="n">
        <v>1</v>
      </c>
      <c r="F131" t="n">
        <v>0.062</v>
      </c>
      <c r="G131" t="n">
        <v>8001</v>
      </c>
      <c r="H131" t="n">
        <v>85</v>
      </c>
      <c r="I131" t="n">
        <v>1</v>
      </c>
      <c r="J131" t="n">
        <v>8000</v>
      </c>
      <c r="K131" t="n">
        <v>125</v>
      </c>
      <c r="L131" t="n">
        <v>1</v>
      </c>
      <c r="M131" t="n">
        <v>2007</v>
      </c>
      <c r="N131" t="n">
        <v>1</v>
      </c>
      <c r="O131" t="n">
        <v>0.05</v>
      </c>
      <c r="P131" t="n">
        <v>9000</v>
      </c>
      <c r="Q131" t="n">
        <v>27</v>
      </c>
      <c r="R131" t="n">
        <v>1</v>
      </c>
      <c r="S131" t="inlineStr">
        <is>
          <t>2001,2002</t>
        </is>
      </c>
      <c r="T131" t="n">
        <v>4</v>
      </c>
      <c r="U131" t="n">
        <v>0.5</v>
      </c>
      <c r="V131" t="n">
        <v>1000</v>
      </c>
      <c r="W131" t="n">
        <v>1295</v>
      </c>
      <c r="X131" t="n">
        <v>1</v>
      </c>
      <c r="Y131" t="n">
        <v>2006</v>
      </c>
      <c r="Z131" t="n">
        <v>1</v>
      </c>
      <c r="AA131" t="n">
        <v>0.03</v>
      </c>
    </row>
    <row r="132">
      <c r="A132" t="n">
        <v>1130</v>
      </c>
      <c r="B132" t="inlineStr">
        <is>
          <t>40031,40028,40029</t>
        </is>
      </c>
      <c r="C132" t="n">
        <v>66</v>
      </c>
      <c r="D1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2" t="n">
        <v>1</v>
      </c>
      <c r="F132" t="n">
        <v>0.062</v>
      </c>
      <c r="G132" t="n">
        <v>8001</v>
      </c>
      <c r="H132" t="n">
        <v>85</v>
      </c>
      <c r="I132" t="n">
        <v>1</v>
      </c>
      <c r="J132" t="n">
        <v>8000</v>
      </c>
      <c r="K132" t="n">
        <v>125</v>
      </c>
      <c r="L132" t="n">
        <v>1</v>
      </c>
      <c r="M132" t="n">
        <v>2007</v>
      </c>
      <c r="N132" t="n">
        <v>1</v>
      </c>
      <c r="O132" t="n">
        <v>0.05</v>
      </c>
      <c r="P132" t="n">
        <v>9000</v>
      </c>
      <c r="Q132" t="n">
        <v>27</v>
      </c>
      <c r="R132" t="n">
        <v>1</v>
      </c>
      <c r="S132" t="inlineStr">
        <is>
          <t>2001,2002</t>
        </is>
      </c>
      <c r="T132" t="n">
        <v>4</v>
      </c>
      <c r="U132" t="n">
        <v>0.5</v>
      </c>
      <c r="V132" t="n">
        <v>1000</v>
      </c>
      <c r="W132" t="n">
        <v>1305</v>
      </c>
      <c r="X132" t="n">
        <v>1</v>
      </c>
      <c r="Y132" t="n">
        <v>2006</v>
      </c>
      <c r="Z132" t="n">
        <v>1</v>
      </c>
      <c r="AA132" t="n">
        <v>0.03</v>
      </c>
    </row>
    <row r="133">
      <c r="A133" t="n">
        <v>1131</v>
      </c>
      <c r="B133" t="inlineStr">
        <is>
          <t>40033,40029,40028</t>
        </is>
      </c>
      <c r="C133" t="n">
        <v>66</v>
      </c>
      <c r="D1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3" t="n">
        <v>1</v>
      </c>
      <c r="F133" t="n">
        <v>0.062</v>
      </c>
      <c r="G133" t="n">
        <v>8001</v>
      </c>
      <c r="H133" t="n">
        <v>85</v>
      </c>
      <c r="I133" t="n">
        <v>1</v>
      </c>
      <c r="J133" t="n">
        <v>8000</v>
      </c>
      <c r="K133" t="n">
        <v>125</v>
      </c>
      <c r="L133" t="n">
        <v>1</v>
      </c>
      <c r="M133" t="n">
        <v>2007</v>
      </c>
      <c r="N133" t="n">
        <v>1</v>
      </c>
      <c r="O133" t="n">
        <v>0.05</v>
      </c>
      <c r="P133" t="n">
        <v>9000</v>
      </c>
      <c r="Q133" t="n">
        <v>27</v>
      </c>
      <c r="R133" t="n">
        <v>1</v>
      </c>
      <c r="S133" t="inlineStr">
        <is>
          <t>2001,2002</t>
        </is>
      </c>
      <c r="T133" t="n">
        <v>4</v>
      </c>
      <c r="U133" t="n">
        <v>0.5</v>
      </c>
      <c r="V133" t="n">
        <v>1000</v>
      </c>
      <c r="W133" t="n">
        <v>1315</v>
      </c>
      <c r="X133" t="n">
        <v>1</v>
      </c>
      <c r="Y133" t="n">
        <v>2006</v>
      </c>
      <c r="Z133" t="n">
        <v>1</v>
      </c>
      <c r="AA133" t="n">
        <v>0.03</v>
      </c>
    </row>
    <row r="134">
      <c r="A134" t="n">
        <v>1132</v>
      </c>
      <c r="B134" t="inlineStr">
        <is>
          <t>40029,40028,40030,40031</t>
        </is>
      </c>
      <c r="C134" t="n">
        <v>67</v>
      </c>
      <c r="D1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4" t="n">
        <v>1</v>
      </c>
      <c r="F134" t="n">
        <v>0.062</v>
      </c>
      <c r="G134" t="n">
        <v>8001</v>
      </c>
      <c r="H134" t="n">
        <v>85</v>
      </c>
      <c r="I134" t="n">
        <v>1</v>
      </c>
      <c r="J134" t="n">
        <v>8000</v>
      </c>
      <c r="K134" t="n">
        <v>125</v>
      </c>
      <c r="L134" t="n">
        <v>1</v>
      </c>
      <c r="M134" t="n">
        <v>2007</v>
      </c>
      <c r="N134" t="n">
        <v>1</v>
      </c>
      <c r="O134" t="n">
        <v>0.05</v>
      </c>
      <c r="P134" t="n">
        <v>9000</v>
      </c>
      <c r="Q134" t="n">
        <v>27</v>
      </c>
      <c r="R134" t="n">
        <v>1</v>
      </c>
      <c r="S134" t="inlineStr">
        <is>
          <t>2001,2002</t>
        </is>
      </c>
      <c r="T134" t="n">
        <v>4</v>
      </c>
      <c r="U134" t="n">
        <v>0.5</v>
      </c>
      <c r="V134" t="n">
        <v>1000</v>
      </c>
      <c r="W134" t="n">
        <v>1325</v>
      </c>
      <c r="X134" t="n">
        <v>1</v>
      </c>
      <c r="Y134" t="n">
        <v>2006</v>
      </c>
      <c r="Z134" t="n">
        <v>1</v>
      </c>
      <c r="AA134" t="n">
        <v>0.03</v>
      </c>
    </row>
    <row r="135">
      <c r="A135" t="n">
        <v>1133</v>
      </c>
      <c r="B135" t="inlineStr">
        <is>
          <t>40029,40031,40030,40028</t>
        </is>
      </c>
      <c r="C135" t="n">
        <v>67</v>
      </c>
      <c r="D1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5" t="n">
        <v>1</v>
      </c>
      <c r="F135" t="n">
        <v>0.063</v>
      </c>
      <c r="G135" t="n">
        <v>8001</v>
      </c>
      <c r="H135" t="n">
        <v>85</v>
      </c>
      <c r="I135" t="n">
        <v>1</v>
      </c>
      <c r="J135" t="n">
        <v>8000</v>
      </c>
      <c r="K135" t="n">
        <v>130</v>
      </c>
      <c r="L135" t="n">
        <v>1</v>
      </c>
      <c r="M135" t="n">
        <v>2007</v>
      </c>
      <c r="N135" t="n">
        <v>1</v>
      </c>
      <c r="O135" t="n">
        <v>0.05</v>
      </c>
      <c r="P135" t="n">
        <v>9000</v>
      </c>
      <c r="Q135" t="n">
        <v>28</v>
      </c>
      <c r="R135" t="n">
        <v>1</v>
      </c>
      <c r="S135" t="inlineStr">
        <is>
          <t>2001,2002</t>
        </is>
      </c>
      <c r="T135" t="n">
        <v>4</v>
      </c>
      <c r="U135" t="n">
        <v>0.5</v>
      </c>
      <c r="V135" t="n">
        <v>1000</v>
      </c>
      <c r="W135" t="n">
        <v>1335</v>
      </c>
      <c r="X135" t="n">
        <v>1</v>
      </c>
      <c r="Y135" t="n">
        <v>2006</v>
      </c>
      <c r="Z135" t="n">
        <v>1</v>
      </c>
      <c r="AA135" t="n">
        <v>0.03</v>
      </c>
    </row>
    <row r="136">
      <c r="A136" t="n">
        <v>1134</v>
      </c>
      <c r="B136" t="inlineStr">
        <is>
          <t>40033,40030,40028</t>
        </is>
      </c>
      <c r="C136" t="n">
        <v>68</v>
      </c>
      <c r="D1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6" t="n">
        <v>1</v>
      </c>
      <c r="F136" t="n">
        <v>0.063</v>
      </c>
      <c r="G136" t="n">
        <v>8001</v>
      </c>
      <c r="H136" t="n">
        <v>85</v>
      </c>
      <c r="I136" t="n">
        <v>1</v>
      </c>
      <c r="J136" t="n">
        <v>8000</v>
      </c>
      <c r="K136" t="n">
        <v>130</v>
      </c>
      <c r="L136" t="n">
        <v>1</v>
      </c>
      <c r="M136" t="n">
        <v>2007</v>
      </c>
      <c r="N136" t="n">
        <v>1</v>
      </c>
      <c r="O136" t="n">
        <v>0.05</v>
      </c>
      <c r="P136" t="n">
        <v>9000</v>
      </c>
      <c r="Q136" t="n">
        <v>28</v>
      </c>
      <c r="R136" t="n">
        <v>1</v>
      </c>
      <c r="S136" t="inlineStr">
        <is>
          <t>2001,2002</t>
        </is>
      </c>
      <c r="T136" t="n">
        <v>4</v>
      </c>
      <c r="U136" t="n">
        <v>0.5</v>
      </c>
      <c r="V136" t="n">
        <v>1000</v>
      </c>
      <c r="W136" t="n">
        <v>1345</v>
      </c>
      <c r="X136" t="n">
        <v>1</v>
      </c>
      <c r="Y136" t="n">
        <v>2006</v>
      </c>
      <c r="Z136" t="n">
        <v>1</v>
      </c>
      <c r="AA136" t="n">
        <v>0.03</v>
      </c>
    </row>
    <row r="137">
      <c r="A137" t="n">
        <v>1135</v>
      </c>
      <c r="B137" t="inlineStr">
        <is>
          <t>40033,40029,40030</t>
        </is>
      </c>
      <c r="C137" t="n">
        <v>68</v>
      </c>
      <c r="D1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7" t="n">
        <v>1</v>
      </c>
      <c r="F137" t="n">
        <v>0.063</v>
      </c>
      <c r="G137" t="n">
        <v>8001</v>
      </c>
      <c r="H137" t="n">
        <v>85</v>
      </c>
      <c r="I137" t="n">
        <v>1</v>
      </c>
      <c r="J137" t="n">
        <v>8000</v>
      </c>
      <c r="K137" t="n">
        <v>130</v>
      </c>
      <c r="L137" t="n">
        <v>1</v>
      </c>
      <c r="M137" t="n">
        <v>2007</v>
      </c>
      <c r="N137" t="n">
        <v>1</v>
      </c>
      <c r="O137" t="n">
        <v>0.05</v>
      </c>
      <c r="P137" t="n">
        <v>9000</v>
      </c>
      <c r="Q137" t="n">
        <v>28</v>
      </c>
      <c r="R137" t="n">
        <v>1</v>
      </c>
      <c r="S137" t="inlineStr">
        <is>
          <t>2001,2002</t>
        </is>
      </c>
      <c r="T137" t="n">
        <v>4</v>
      </c>
      <c r="U137" t="n">
        <v>0.5</v>
      </c>
      <c r="V137" t="n">
        <v>1000</v>
      </c>
      <c r="W137" t="n">
        <v>1355</v>
      </c>
      <c r="X137" t="n">
        <v>1</v>
      </c>
      <c r="Y137" t="n">
        <v>2006</v>
      </c>
      <c r="Z137" t="n">
        <v>1</v>
      </c>
      <c r="AA137" t="n">
        <v>0.03</v>
      </c>
    </row>
    <row r="138">
      <c r="A138" t="n">
        <v>1136</v>
      </c>
      <c r="B138" t="inlineStr">
        <is>
          <t>40031,40030,40029,40028</t>
        </is>
      </c>
      <c r="C138" t="n">
        <v>69</v>
      </c>
      <c r="D1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8" t="n">
        <v>1</v>
      </c>
      <c r="F138" t="n">
        <v>0.063</v>
      </c>
      <c r="G138" t="n">
        <v>8001</v>
      </c>
      <c r="H138" t="n">
        <v>85</v>
      </c>
      <c r="I138" t="n">
        <v>1</v>
      </c>
      <c r="J138" t="n">
        <v>8000</v>
      </c>
      <c r="K138" t="n">
        <v>130</v>
      </c>
      <c r="L138" t="n">
        <v>1</v>
      </c>
      <c r="M138" t="n">
        <v>2007</v>
      </c>
      <c r="N138" t="n">
        <v>1</v>
      </c>
      <c r="O138" t="n">
        <v>0.05</v>
      </c>
      <c r="P138" t="n">
        <v>9000</v>
      </c>
      <c r="Q138" t="n">
        <v>28</v>
      </c>
      <c r="R138" t="n">
        <v>1</v>
      </c>
      <c r="S138" t="inlineStr">
        <is>
          <t>2001,2002</t>
        </is>
      </c>
      <c r="T138" t="n">
        <v>4</v>
      </c>
      <c r="U138" t="n">
        <v>0.5</v>
      </c>
      <c r="V138" t="n">
        <v>1000</v>
      </c>
      <c r="W138" t="n">
        <v>1365</v>
      </c>
      <c r="X138" t="n">
        <v>1</v>
      </c>
      <c r="Y138" t="n">
        <v>2006</v>
      </c>
      <c r="Z138" t="n">
        <v>1</v>
      </c>
      <c r="AA138" t="n">
        <v>0.03</v>
      </c>
    </row>
    <row r="139">
      <c r="A139" t="n">
        <v>1137</v>
      </c>
      <c r="B139" t="inlineStr">
        <is>
          <t>40031,40033,40029</t>
        </is>
      </c>
      <c r="C139" t="n">
        <v>69</v>
      </c>
      <c r="D1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9" t="n">
        <v>1</v>
      </c>
      <c r="F139" t="n">
        <v>0.063</v>
      </c>
      <c r="G139" t="n">
        <v>8001</v>
      </c>
      <c r="H139" t="n">
        <v>90</v>
      </c>
      <c r="I139" t="n">
        <v>1</v>
      </c>
      <c r="J139" t="n">
        <v>8000</v>
      </c>
      <c r="K139" t="n">
        <v>130</v>
      </c>
      <c r="L139" t="n">
        <v>1</v>
      </c>
      <c r="M139" t="n">
        <v>2007</v>
      </c>
      <c r="N139" t="n">
        <v>1</v>
      </c>
      <c r="O139" t="n">
        <v>0.05</v>
      </c>
      <c r="P139" t="n">
        <v>9000</v>
      </c>
      <c r="Q139" t="n">
        <v>29</v>
      </c>
      <c r="R139" t="n">
        <v>1</v>
      </c>
      <c r="S139" t="inlineStr">
        <is>
          <t>2001,2002</t>
        </is>
      </c>
      <c r="T139" t="n">
        <v>4</v>
      </c>
      <c r="U139" t="n">
        <v>0.5</v>
      </c>
      <c r="V139" t="n">
        <v>1000</v>
      </c>
      <c r="W139" t="n">
        <v>1375</v>
      </c>
      <c r="X139" t="n">
        <v>1</v>
      </c>
      <c r="Y139" t="n">
        <v>2006</v>
      </c>
      <c r="Z139" t="n">
        <v>1</v>
      </c>
      <c r="AA139" t="n">
        <v>0.03</v>
      </c>
    </row>
    <row r="140">
      <c r="A140" t="n">
        <v>1138</v>
      </c>
      <c r="B140" t="inlineStr">
        <is>
          <t>40031,40030,40029,40028</t>
        </is>
      </c>
      <c r="C140" t="n">
        <v>70</v>
      </c>
      <c r="D1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0" t="n">
        <v>1</v>
      </c>
      <c r="F140" t="n">
        <v>0.063</v>
      </c>
      <c r="G140" t="n">
        <v>8001</v>
      </c>
      <c r="H140" t="n">
        <v>90</v>
      </c>
      <c r="I140" t="n">
        <v>1</v>
      </c>
      <c r="J140" t="n">
        <v>8000</v>
      </c>
      <c r="K140" t="n">
        <v>135</v>
      </c>
      <c r="L140" t="n">
        <v>1</v>
      </c>
      <c r="M140" t="n">
        <v>2007</v>
      </c>
      <c r="N140" t="n">
        <v>1</v>
      </c>
      <c r="O140" t="n">
        <v>0.05</v>
      </c>
      <c r="P140" t="n">
        <v>9000</v>
      </c>
      <c r="Q140" t="n">
        <v>29</v>
      </c>
      <c r="R140" t="n">
        <v>1</v>
      </c>
      <c r="S140" t="inlineStr">
        <is>
          <t>2001,2002</t>
        </is>
      </c>
      <c r="T140" t="n">
        <v>4</v>
      </c>
      <c r="U140" t="n">
        <v>0.5</v>
      </c>
      <c r="V140" t="n">
        <v>1000</v>
      </c>
      <c r="W140" t="n">
        <v>1385</v>
      </c>
      <c r="X140" t="n">
        <v>1</v>
      </c>
      <c r="Y140" t="n">
        <v>2006</v>
      </c>
      <c r="Z140" t="n">
        <v>1</v>
      </c>
      <c r="AA140" t="n">
        <v>0.03</v>
      </c>
    </row>
    <row r="141">
      <c r="A141" t="n">
        <v>1139</v>
      </c>
      <c r="B141" t="inlineStr">
        <is>
          <t>40033,40029,40028</t>
        </is>
      </c>
      <c r="C141" t="n">
        <v>70</v>
      </c>
      <c r="D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1" t="n">
        <v>1</v>
      </c>
      <c r="F141" t="n">
        <v>0.064</v>
      </c>
      <c r="G141" t="n">
        <v>8001</v>
      </c>
      <c r="H141" t="n">
        <v>90</v>
      </c>
      <c r="I141" t="n">
        <v>1</v>
      </c>
      <c r="J141" t="n">
        <v>8000</v>
      </c>
      <c r="K141" t="n">
        <v>135</v>
      </c>
      <c r="L141" t="n">
        <v>1</v>
      </c>
      <c r="M141" t="n">
        <v>2007</v>
      </c>
      <c r="N141" t="n">
        <v>1</v>
      </c>
      <c r="O141" t="n">
        <v>0.05</v>
      </c>
      <c r="P141" t="n">
        <v>9000</v>
      </c>
      <c r="Q141" t="n">
        <v>29</v>
      </c>
      <c r="R141" t="n">
        <v>1</v>
      </c>
      <c r="S141" t="inlineStr">
        <is>
          <t>2001,2002</t>
        </is>
      </c>
      <c r="T141" t="n">
        <v>4</v>
      </c>
      <c r="U141" t="n">
        <v>0.5</v>
      </c>
      <c r="V141" t="n">
        <v>1000</v>
      </c>
      <c r="W141" t="n">
        <v>1395</v>
      </c>
      <c r="X141" t="n">
        <v>1</v>
      </c>
      <c r="Y141" t="n">
        <v>2006</v>
      </c>
      <c r="Z141" t="n">
        <v>1</v>
      </c>
      <c r="AA141" t="n">
        <v>0.03</v>
      </c>
    </row>
    <row r="142">
      <c r="A142" t="n">
        <v>1140</v>
      </c>
      <c r="B142" t="inlineStr">
        <is>
          <t>40028,40029</t>
        </is>
      </c>
      <c r="C142" t="n">
        <v>71</v>
      </c>
      <c r="D1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2" t="n">
        <v>1</v>
      </c>
      <c r="F142" t="n">
        <v>0.064</v>
      </c>
      <c r="G142" t="n">
        <v>8001</v>
      </c>
      <c r="H142" t="n">
        <v>90</v>
      </c>
      <c r="I142" t="n">
        <v>1</v>
      </c>
      <c r="J142" t="n">
        <v>8000</v>
      </c>
      <c r="K142" t="n">
        <v>135</v>
      </c>
      <c r="L142" t="n">
        <v>1</v>
      </c>
      <c r="M142" t="n">
        <v>2007</v>
      </c>
      <c r="N142" t="n">
        <v>1</v>
      </c>
      <c r="O142" t="n">
        <v>0.05</v>
      </c>
      <c r="P142" t="n">
        <v>9000</v>
      </c>
      <c r="Q142" t="n">
        <v>29</v>
      </c>
      <c r="R142" t="n">
        <v>1</v>
      </c>
      <c r="S142" t="inlineStr">
        <is>
          <t>2001,2002</t>
        </is>
      </c>
      <c r="T142" t="n">
        <v>4</v>
      </c>
      <c r="U142" t="n">
        <v>0.5</v>
      </c>
      <c r="V142" t="n">
        <v>1000</v>
      </c>
      <c r="W142" t="n">
        <v>1405</v>
      </c>
      <c r="X142" t="n">
        <v>1</v>
      </c>
      <c r="Y142" t="n">
        <v>2006</v>
      </c>
      <c r="Z142" t="n">
        <v>1</v>
      </c>
      <c r="AA142" t="n">
        <v>0.03</v>
      </c>
    </row>
    <row r="143">
      <c r="A143" t="n">
        <v>1141</v>
      </c>
      <c r="B143" t="inlineStr">
        <is>
          <t>40033,40029,40028</t>
        </is>
      </c>
      <c r="C143" t="n">
        <v>71</v>
      </c>
      <c r="D1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3" t="n">
        <v>1</v>
      </c>
      <c r="F143" t="n">
        <v>0.064</v>
      </c>
      <c r="G143" t="n">
        <v>8001</v>
      </c>
      <c r="H143" t="n">
        <v>90</v>
      </c>
      <c r="I143" t="n">
        <v>1</v>
      </c>
      <c r="J143" t="n">
        <v>8000</v>
      </c>
      <c r="K143" t="n">
        <v>135</v>
      </c>
      <c r="L143" t="n">
        <v>1</v>
      </c>
      <c r="M143" t="n">
        <v>2007</v>
      </c>
      <c r="N143" t="n">
        <v>1</v>
      </c>
      <c r="O143" t="n">
        <v>0.05</v>
      </c>
      <c r="P143" t="n">
        <v>9000</v>
      </c>
      <c r="Q143" t="n">
        <v>30</v>
      </c>
      <c r="R143" t="n">
        <v>1</v>
      </c>
      <c r="S143" t="inlineStr">
        <is>
          <t>2001,2002</t>
        </is>
      </c>
      <c r="T143" t="n">
        <v>5</v>
      </c>
      <c r="U143" t="n">
        <v>0.5</v>
      </c>
      <c r="V143" t="n">
        <v>1000</v>
      </c>
      <c r="W143" t="n">
        <v>1415</v>
      </c>
      <c r="X143" t="n">
        <v>1</v>
      </c>
      <c r="Y143" t="n">
        <v>2006</v>
      </c>
      <c r="Z143" t="n">
        <v>1</v>
      </c>
      <c r="AA143" t="n">
        <v>0.03</v>
      </c>
    </row>
    <row r="144">
      <c r="A144" t="n">
        <v>1142</v>
      </c>
      <c r="B144" t="inlineStr">
        <is>
          <t>40030,40028</t>
        </is>
      </c>
      <c r="C144" t="n">
        <v>72</v>
      </c>
      <c r="D1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4" t="n">
        <v>1</v>
      </c>
      <c r="F144" t="n">
        <v>0.064</v>
      </c>
      <c r="G144" t="n">
        <v>8001</v>
      </c>
      <c r="H144" t="n">
        <v>90</v>
      </c>
      <c r="I144" t="n">
        <v>1</v>
      </c>
      <c r="J144" t="n">
        <v>8000</v>
      </c>
      <c r="K144" t="n">
        <v>135</v>
      </c>
      <c r="L144" t="n">
        <v>1</v>
      </c>
      <c r="M144" t="n">
        <v>2007</v>
      </c>
      <c r="N144" t="n">
        <v>1</v>
      </c>
      <c r="O144" t="n">
        <v>0.05</v>
      </c>
      <c r="P144" t="n">
        <v>9000</v>
      </c>
      <c r="Q144" t="n">
        <v>30</v>
      </c>
      <c r="R144" t="n">
        <v>1</v>
      </c>
      <c r="S144" t="inlineStr">
        <is>
          <t>2001,2002</t>
        </is>
      </c>
      <c r="T144" t="n">
        <v>5</v>
      </c>
      <c r="U144" t="n">
        <v>0.5</v>
      </c>
      <c r="V144" t="n">
        <v>1000</v>
      </c>
      <c r="W144" t="n">
        <v>1425</v>
      </c>
      <c r="X144" t="n">
        <v>1</v>
      </c>
      <c r="Y144" t="n">
        <v>2006</v>
      </c>
      <c r="Z144" t="n">
        <v>1</v>
      </c>
      <c r="AA144" t="n">
        <v>0.03</v>
      </c>
    </row>
    <row r="145">
      <c r="A145" t="n">
        <v>1143</v>
      </c>
      <c r="B145" t="inlineStr">
        <is>
          <t>40033,40029,40028,40031</t>
        </is>
      </c>
      <c r="C145" t="n">
        <v>72</v>
      </c>
      <c r="D1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5" t="n">
        <v>1</v>
      </c>
      <c r="F145" t="n">
        <v>0.064</v>
      </c>
      <c r="G145" t="n">
        <v>8001</v>
      </c>
      <c r="H145" t="n">
        <v>90</v>
      </c>
      <c r="I145" t="n">
        <v>1</v>
      </c>
      <c r="J145" t="n">
        <v>8000</v>
      </c>
      <c r="K145" t="n">
        <v>140</v>
      </c>
      <c r="L145" t="n">
        <v>1</v>
      </c>
      <c r="M145" t="n">
        <v>2007</v>
      </c>
      <c r="N145" t="n">
        <v>1</v>
      </c>
      <c r="O145" t="n">
        <v>0.05</v>
      </c>
      <c r="P145" t="n">
        <v>9000</v>
      </c>
      <c r="Q145" t="n">
        <v>30</v>
      </c>
      <c r="R145" t="n">
        <v>1</v>
      </c>
      <c r="S145" t="inlineStr">
        <is>
          <t>2001,2002</t>
        </is>
      </c>
      <c r="T145" t="n">
        <v>5</v>
      </c>
      <c r="U145" t="n">
        <v>0.5</v>
      </c>
      <c r="V145" t="n">
        <v>1000</v>
      </c>
      <c r="W145" t="n">
        <v>1435</v>
      </c>
      <c r="X145" t="n">
        <v>1</v>
      </c>
      <c r="Y145" t="n">
        <v>2006</v>
      </c>
      <c r="Z145" t="n">
        <v>1</v>
      </c>
      <c r="AA145" t="n">
        <v>0.03</v>
      </c>
    </row>
    <row r="146">
      <c r="A146" t="n">
        <v>1144</v>
      </c>
      <c r="B146" t="inlineStr">
        <is>
          <t>40031,40030,40028</t>
        </is>
      </c>
      <c r="C146" t="n">
        <v>73</v>
      </c>
      <c r="D1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6" t="n">
        <v>1</v>
      </c>
      <c r="F146" t="n">
        <v>0.065</v>
      </c>
      <c r="G146" t="n">
        <v>8001</v>
      </c>
      <c r="H146" t="n">
        <v>90</v>
      </c>
      <c r="I146" t="n">
        <v>1</v>
      </c>
      <c r="J146" t="n">
        <v>8000</v>
      </c>
      <c r="K146" t="n">
        <v>140</v>
      </c>
      <c r="L146" t="n">
        <v>1</v>
      </c>
      <c r="M146" t="n">
        <v>2007</v>
      </c>
      <c r="N146" t="n">
        <v>1</v>
      </c>
      <c r="O146" t="n">
        <v>0.05</v>
      </c>
      <c r="P146" t="n">
        <v>9000</v>
      </c>
      <c r="Q146" t="n">
        <v>30</v>
      </c>
      <c r="R146" t="n">
        <v>1</v>
      </c>
      <c r="S146" t="inlineStr">
        <is>
          <t>2001,2002</t>
        </is>
      </c>
      <c r="T146" t="n">
        <v>5</v>
      </c>
      <c r="U146" t="n">
        <v>0.5</v>
      </c>
      <c r="V146" t="n">
        <v>1000</v>
      </c>
      <c r="W146" t="n">
        <v>1445</v>
      </c>
      <c r="X146" t="n">
        <v>1</v>
      </c>
      <c r="Y146" t="n">
        <v>2006</v>
      </c>
      <c r="Z146" t="n">
        <v>1</v>
      </c>
      <c r="AA146" t="n">
        <v>0.03</v>
      </c>
    </row>
    <row r="147">
      <c r="A147" t="n">
        <v>1145</v>
      </c>
      <c r="B147" t="inlineStr">
        <is>
          <t>40028,40031,40029</t>
        </is>
      </c>
      <c r="C147" t="n">
        <v>73</v>
      </c>
      <c r="D1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7" t="n">
        <v>1</v>
      </c>
      <c r="F147" t="n">
        <v>0.065</v>
      </c>
      <c r="G147" t="n">
        <v>8001</v>
      </c>
      <c r="H147" t="n">
        <v>95</v>
      </c>
      <c r="I147" t="n">
        <v>1</v>
      </c>
      <c r="J147" t="n">
        <v>8000</v>
      </c>
      <c r="K147" t="n">
        <v>140</v>
      </c>
      <c r="L147" t="n">
        <v>1</v>
      </c>
      <c r="M147" t="n">
        <v>2007</v>
      </c>
      <c r="N147" t="n">
        <v>1</v>
      </c>
      <c r="O147" t="n">
        <v>0.05</v>
      </c>
      <c r="P147" t="n">
        <v>9000</v>
      </c>
      <c r="Q147" t="n">
        <v>31</v>
      </c>
      <c r="R147" t="n">
        <v>1</v>
      </c>
      <c r="S147" t="inlineStr">
        <is>
          <t>2001,2002</t>
        </is>
      </c>
      <c r="T147" t="n">
        <v>5</v>
      </c>
      <c r="U147" t="n">
        <v>0.5</v>
      </c>
      <c r="V147" t="n">
        <v>1000</v>
      </c>
      <c r="W147" t="n">
        <v>1455</v>
      </c>
      <c r="X147" t="n">
        <v>1</v>
      </c>
      <c r="Y147" t="n">
        <v>2006</v>
      </c>
      <c r="Z147" t="n">
        <v>1</v>
      </c>
      <c r="AA147" t="n">
        <v>0.03</v>
      </c>
    </row>
    <row r="148">
      <c r="A148" t="n">
        <v>1146</v>
      </c>
      <c r="B148" t="inlineStr">
        <is>
          <t>40028,40029</t>
        </is>
      </c>
      <c r="C148" t="n">
        <v>74</v>
      </c>
      <c r="D1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8" t="n">
        <v>1</v>
      </c>
      <c r="F148" t="n">
        <v>0.065</v>
      </c>
      <c r="G148" t="n">
        <v>8001</v>
      </c>
      <c r="H148" t="n">
        <v>95</v>
      </c>
      <c r="I148" t="n">
        <v>1</v>
      </c>
      <c r="J148" t="n">
        <v>8000</v>
      </c>
      <c r="K148" t="n">
        <v>140</v>
      </c>
      <c r="L148" t="n">
        <v>1</v>
      </c>
      <c r="M148" t="n">
        <v>2007</v>
      </c>
      <c r="N148" t="n">
        <v>1</v>
      </c>
      <c r="O148" t="n">
        <v>0.05</v>
      </c>
      <c r="P148" t="n">
        <v>9000</v>
      </c>
      <c r="Q148" t="n">
        <v>31</v>
      </c>
      <c r="R148" t="n">
        <v>1</v>
      </c>
      <c r="S148" t="inlineStr">
        <is>
          <t>2001,2002</t>
        </is>
      </c>
      <c r="T148" t="n">
        <v>5</v>
      </c>
      <c r="U148" t="n">
        <v>0.5</v>
      </c>
      <c r="V148" t="n">
        <v>1000</v>
      </c>
      <c r="W148" t="n">
        <v>1465</v>
      </c>
      <c r="X148" t="n">
        <v>1</v>
      </c>
      <c r="Y148" t="n">
        <v>2006</v>
      </c>
      <c r="Z148" t="n">
        <v>1</v>
      </c>
      <c r="AA148" t="n">
        <v>0.03</v>
      </c>
    </row>
    <row r="149">
      <c r="A149" t="n">
        <v>1147</v>
      </c>
      <c r="B149" t="inlineStr">
        <is>
          <t>40029,40031</t>
        </is>
      </c>
      <c r="C149" t="n">
        <v>74</v>
      </c>
      <c r="D1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9" t="n">
        <v>1</v>
      </c>
      <c r="F149" t="n">
        <v>0.065</v>
      </c>
      <c r="G149" t="n">
        <v>8001</v>
      </c>
      <c r="H149" t="n">
        <v>95</v>
      </c>
      <c r="I149" t="n">
        <v>1</v>
      </c>
      <c r="J149" t="n">
        <v>8000</v>
      </c>
      <c r="K149" t="n">
        <v>140</v>
      </c>
      <c r="L149" t="n">
        <v>1</v>
      </c>
      <c r="M149" t="n">
        <v>2007</v>
      </c>
      <c r="N149" t="n">
        <v>1</v>
      </c>
      <c r="O149" t="n">
        <v>0.05</v>
      </c>
      <c r="P149" t="n">
        <v>9000</v>
      </c>
      <c r="Q149" t="n">
        <v>31</v>
      </c>
      <c r="R149" t="n">
        <v>1</v>
      </c>
      <c r="S149" t="inlineStr">
        <is>
          <t>2001,2002</t>
        </is>
      </c>
      <c r="T149" t="n">
        <v>5</v>
      </c>
      <c r="U149" t="n">
        <v>0.5</v>
      </c>
      <c r="V149" t="n">
        <v>1000</v>
      </c>
      <c r="W149" t="n">
        <v>1475</v>
      </c>
      <c r="X149" t="n">
        <v>1</v>
      </c>
      <c r="Y149" t="n">
        <v>2006</v>
      </c>
      <c r="Z149" t="n">
        <v>1</v>
      </c>
      <c r="AA149" t="n">
        <v>0.03</v>
      </c>
    </row>
    <row r="150">
      <c r="A150" t="n">
        <v>1148</v>
      </c>
      <c r="B150" t="inlineStr">
        <is>
          <t>40031,40033,40029,40030</t>
        </is>
      </c>
      <c r="C150" t="n">
        <v>75</v>
      </c>
      <c r="D1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0" t="n">
        <v>1</v>
      </c>
      <c r="F150" t="n">
        <v>0.065</v>
      </c>
      <c r="G150" t="n">
        <v>8001</v>
      </c>
      <c r="H150" t="n">
        <v>95</v>
      </c>
      <c r="I150" t="n">
        <v>1</v>
      </c>
      <c r="J150" t="n">
        <v>8000</v>
      </c>
      <c r="K150" t="n">
        <v>145</v>
      </c>
      <c r="L150" t="n">
        <v>1</v>
      </c>
      <c r="M150" t="n">
        <v>2007</v>
      </c>
      <c r="N150" t="n">
        <v>1</v>
      </c>
      <c r="O150" t="n">
        <v>0.05</v>
      </c>
      <c r="P150" t="n">
        <v>9000</v>
      </c>
      <c r="Q150" t="n">
        <v>31</v>
      </c>
      <c r="R150" t="n">
        <v>1</v>
      </c>
      <c r="S150" t="inlineStr">
        <is>
          <t>2001,2002</t>
        </is>
      </c>
      <c r="T150" t="n">
        <v>5</v>
      </c>
      <c r="U150" t="n">
        <v>0.5</v>
      </c>
      <c r="V150" t="n">
        <v>1000</v>
      </c>
      <c r="W150" t="n">
        <v>1485</v>
      </c>
      <c r="X150" t="n">
        <v>1</v>
      </c>
      <c r="Y150" t="n">
        <v>2006</v>
      </c>
      <c r="Z150" t="n">
        <v>1</v>
      </c>
      <c r="AA150" t="n">
        <v>0.03</v>
      </c>
    </row>
    <row r="151">
      <c r="A151" t="n">
        <v>1149</v>
      </c>
      <c r="B151" t="inlineStr">
        <is>
          <t>50006,40033,40030,40031,40029</t>
        </is>
      </c>
      <c r="C151" t="n">
        <v>75</v>
      </c>
      <c r="D1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1" t="n">
        <v>1</v>
      </c>
      <c r="F151" t="n">
        <v>0.065</v>
      </c>
      <c r="G151" t="n">
        <v>8001</v>
      </c>
      <c r="H151" t="n">
        <v>95</v>
      </c>
      <c r="I151" t="n">
        <v>1</v>
      </c>
      <c r="J151" t="n">
        <v>8000</v>
      </c>
      <c r="K151" t="n">
        <v>145</v>
      </c>
      <c r="L151" t="n">
        <v>1</v>
      </c>
      <c r="M151" t="n">
        <v>2007</v>
      </c>
      <c r="N151" t="n">
        <v>1</v>
      </c>
      <c r="O151" t="n">
        <v>0.05</v>
      </c>
      <c r="P151" t="n">
        <v>9000</v>
      </c>
      <c r="Q151" t="n">
        <v>32</v>
      </c>
      <c r="R151" t="n">
        <v>1</v>
      </c>
      <c r="S151" t="inlineStr">
        <is>
          <t>2001,2002</t>
        </is>
      </c>
      <c r="T151" t="n">
        <v>5</v>
      </c>
      <c r="U151" t="n">
        <v>0.5</v>
      </c>
      <c r="V151" t="n">
        <v>1000</v>
      </c>
      <c r="W151" t="n">
        <v>1495</v>
      </c>
      <c r="X151" t="n">
        <v>1</v>
      </c>
      <c r="Y151" t="n">
        <v>2006</v>
      </c>
      <c r="Z151" t="n">
        <v>1</v>
      </c>
      <c r="AA151" t="n">
        <v>0.03</v>
      </c>
    </row>
    <row r="152">
      <c r="A152" t="n">
        <v>1150</v>
      </c>
      <c r="B152" t="inlineStr">
        <is>
          <t>40037,40034</t>
        </is>
      </c>
      <c r="C152" t="n">
        <v>76</v>
      </c>
      <c r="D1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2" t="n">
        <v>1</v>
      </c>
      <c r="F152" t="n">
        <v>0.066</v>
      </c>
      <c r="G152" t="n">
        <v>8001</v>
      </c>
      <c r="H152" t="n">
        <v>95</v>
      </c>
      <c r="I152" t="n">
        <v>1</v>
      </c>
      <c r="J152" t="n">
        <v>8000</v>
      </c>
      <c r="K152" t="n">
        <v>145</v>
      </c>
      <c r="L152" t="n">
        <v>1</v>
      </c>
      <c r="M152" t="n">
        <v>2007</v>
      </c>
      <c r="N152" t="n">
        <v>1</v>
      </c>
      <c r="O152" t="n">
        <v>0.05</v>
      </c>
      <c r="P152" t="n">
        <v>9000</v>
      </c>
      <c r="Q152" t="n">
        <v>32</v>
      </c>
      <c r="R152" t="n">
        <v>1</v>
      </c>
      <c r="S152" t="inlineStr">
        <is>
          <t>2001,2002</t>
        </is>
      </c>
      <c r="T152" t="n">
        <v>5</v>
      </c>
      <c r="U152" t="n">
        <v>0.5</v>
      </c>
      <c r="V152" t="n">
        <v>1000</v>
      </c>
      <c r="W152" t="n">
        <v>1505</v>
      </c>
      <c r="X152" t="n">
        <v>1</v>
      </c>
      <c r="Y152" t="n">
        <v>2006</v>
      </c>
      <c r="Z152" t="n">
        <v>1</v>
      </c>
      <c r="AA152" t="n">
        <v>0.03</v>
      </c>
    </row>
    <row r="153">
      <c r="A153" t="n">
        <v>1151</v>
      </c>
      <c r="B153" t="inlineStr">
        <is>
          <t>40037,40036</t>
        </is>
      </c>
      <c r="C153" t="n">
        <v>76</v>
      </c>
      <c r="D1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3" t="n">
        <v>1</v>
      </c>
      <c r="F153" t="n">
        <v>0.066</v>
      </c>
      <c r="G153" t="n">
        <v>8001</v>
      </c>
      <c r="H153" t="n">
        <v>95</v>
      </c>
      <c r="I153" t="n">
        <v>1</v>
      </c>
      <c r="J153" t="n">
        <v>8000</v>
      </c>
      <c r="K153" t="n">
        <v>145</v>
      </c>
      <c r="L153" t="n">
        <v>1</v>
      </c>
      <c r="M153" t="n">
        <v>2007</v>
      </c>
      <c r="N153" t="n">
        <v>1</v>
      </c>
      <c r="O153" t="n">
        <v>0.05</v>
      </c>
      <c r="P153" t="n">
        <v>9000</v>
      </c>
      <c r="Q153" t="n">
        <v>32</v>
      </c>
      <c r="R153" t="n">
        <v>1</v>
      </c>
      <c r="S153" t="inlineStr">
        <is>
          <t>2001,2002</t>
        </is>
      </c>
      <c r="T153" t="n">
        <v>5</v>
      </c>
      <c r="U153" t="n">
        <v>0.5</v>
      </c>
      <c r="V153" t="n">
        <v>1000</v>
      </c>
      <c r="W153" t="n">
        <v>1515</v>
      </c>
      <c r="X153" t="n">
        <v>1</v>
      </c>
      <c r="Y153" t="n">
        <v>2006</v>
      </c>
      <c r="Z153" t="n">
        <v>1</v>
      </c>
      <c r="AA153" t="n">
        <v>0.03</v>
      </c>
    </row>
    <row r="154">
      <c r="A154" t="n">
        <v>1152</v>
      </c>
      <c r="B154" t="inlineStr">
        <is>
          <t>40034</t>
        </is>
      </c>
      <c r="C154" t="n">
        <v>77</v>
      </c>
      <c r="D1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4" t="n">
        <v>1</v>
      </c>
      <c r="F154" t="n">
        <v>0.066</v>
      </c>
      <c r="G154" t="n">
        <v>8001</v>
      </c>
      <c r="H154" t="n">
        <v>100</v>
      </c>
      <c r="I154" t="n">
        <v>1</v>
      </c>
      <c r="J154" t="n">
        <v>8000</v>
      </c>
      <c r="K154" t="n">
        <v>145</v>
      </c>
      <c r="L154" t="n">
        <v>1</v>
      </c>
      <c r="M154" t="n">
        <v>2007</v>
      </c>
      <c r="N154" t="n">
        <v>1</v>
      </c>
      <c r="O154" t="n">
        <v>0.05</v>
      </c>
      <c r="P154" t="n">
        <v>9000</v>
      </c>
      <c r="Q154" t="n">
        <v>32</v>
      </c>
      <c r="R154" t="n">
        <v>1</v>
      </c>
      <c r="S154" t="inlineStr">
        <is>
          <t>2001,2002</t>
        </is>
      </c>
      <c r="T154" t="n">
        <v>5</v>
      </c>
      <c r="U154" t="n">
        <v>0.5</v>
      </c>
      <c r="V154" t="n">
        <v>1000</v>
      </c>
      <c r="W154" t="n">
        <v>1530</v>
      </c>
      <c r="X154" t="n">
        <v>1</v>
      </c>
      <c r="Y154" t="n">
        <v>2006</v>
      </c>
      <c r="Z154" t="n">
        <v>1</v>
      </c>
      <c r="AA154" t="n">
        <v>0.03</v>
      </c>
    </row>
    <row r="155">
      <c r="A155" t="n">
        <v>1153</v>
      </c>
      <c r="B155" t="inlineStr">
        <is>
          <t>40038,40034</t>
        </is>
      </c>
      <c r="C155" t="n">
        <v>77</v>
      </c>
      <c r="D1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5" t="n">
        <v>1</v>
      </c>
      <c r="F155" t="n">
        <v>0.066</v>
      </c>
      <c r="G155" t="n">
        <v>8001</v>
      </c>
      <c r="H155" t="n">
        <v>100</v>
      </c>
      <c r="I155" t="n">
        <v>1</v>
      </c>
      <c r="J155" t="n">
        <v>8000</v>
      </c>
      <c r="K155" t="n">
        <v>150</v>
      </c>
      <c r="L155" t="n">
        <v>1</v>
      </c>
      <c r="M155" t="n">
        <v>2007</v>
      </c>
      <c r="N155" t="n">
        <v>1</v>
      </c>
      <c r="O155" t="n">
        <v>0.05</v>
      </c>
      <c r="P155" t="n">
        <v>9000</v>
      </c>
      <c r="Q155" t="n">
        <v>33</v>
      </c>
      <c r="R155" t="n">
        <v>1</v>
      </c>
      <c r="S155" t="inlineStr">
        <is>
          <t>2001,2002</t>
        </is>
      </c>
      <c r="T155" t="n">
        <v>5</v>
      </c>
      <c r="U155" t="n">
        <v>0.5</v>
      </c>
      <c r="V155" t="n">
        <v>1000</v>
      </c>
      <c r="W155" t="n">
        <v>1540</v>
      </c>
      <c r="X155" t="n">
        <v>1</v>
      </c>
      <c r="Y155" t="n">
        <v>2006</v>
      </c>
      <c r="Z155" t="n">
        <v>1</v>
      </c>
      <c r="AA155" t="n">
        <v>0.03</v>
      </c>
    </row>
    <row r="156">
      <c r="A156" t="n">
        <v>1154</v>
      </c>
      <c r="B156" t="inlineStr">
        <is>
          <t>40036,40039,40034</t>
        </is>
      </c>
      <c r="C156" t="n">
        <v>78</v>
      </c>
      <c r="D1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6" t="n">
        <v>1</v>
      </c>
      <c r="F156" t="n">
        <v>0.066</v>
      </c>
      <c r="G156" t="n">
        <v>8001</v>
      </c>
      <c r="H156" t="n">
        <v>100</v>
      </c>
      <c r="I156" t="n">
        <v>1</v>
      </c>
      <c r="J156" t="n">
        <v>8000</v>
      </c>
      <c r="K156" t="n">
        <v>150</v>
      </c>
      <c r="L156" t="n">
        <v>1</v>
      </c>
      <c r="M156" t="n">
        <v>2007</v>
      </c>
      <c r="N156" t="n">
        <v>1</v>
      </c>
      <c r="O156" t="n">
        <v>0.05</v>
      </c>
      <c r="P156" t="n">
        <v>9000</v>
      </c>
      <c r="Q156" t="n">
        <v>33</v>
      </c>
      <c r="R156" t="n">
        <v>1</v>
      </c>
      <c r="S156" t="inlineStr">
        <is>
          <t>2001,2002</t>
        </is>
      </c>
      <c r="T156" t="n">
        <v>5</v>
      </c>
      <c r="U156" t="n">
        <v>0.5</v>
      </c>
      <c r="V156" t="n">
        <v>1000</v>
      </c>
      <c r="W156" t="n">
        <v>1550</v>
      </c>
      <c r="X156" t="n">
        <v>1</v>
      </c>
      <c r="Y156" t="n">
        <v>2006</v>
      </c>
      <c r="Z156" t="n">
        <v>1</v>
      </c>
      <c r="AA156" t="n">
        <v>0.03</v>
      </c>
    </row>
    <row r="157">
      <c r="A157" t="n">
        <v>1155</v>
      </c>
      <c r="B157" t="inlineStr">
        <is>
          <t>40034,40039</t>
        </is>
      </c>
      <c r="C157" t="n">
        <v>78</v>
      </c>
      <c r="D1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7" t="n">
        <v>1</v>
      </c>
      <c r="F157" t="n">
        <v>0.067</v>
      </c>
      <c r="G157" t="n">
        <v>8001</v>
      </c>
      <c r="H157" t="n">
        <v>100</v>
      </c>
      <c r="I157" t="n">
        <v>1</v>
      </c>
      <c r="J157" t="n">
        <v>8000</v>
      </c>
      <c r="K157" t="n">
        <v>150</v>
      </c>
      <c r="L157" t="n">
        <v>1</v>
      </c>
      <c r="M157" t="n">
        <v>2007</v>
      </c>
      <c r="N157" t="n">
        <v>1</v>
      </c>
      <c r="O157" t="n">
        <v>0.05</v>
      </c>
      <c r="P157" t="n">
        <v>9000</v>
      </c>
      <c r="Q157" t="n">
        <v>33</v>
      </c>
      <c r="R157" t="n">
        <v>1</v>
      </c>
      <c r="S157" t="inlineStr">
        <is>
          <t>2001,2002</t>
        </is>
      </c>
      <c r="T157" t="n">
        <v>5</v>
      </c>
      <c r="U157" t="n">
        <v>0.5</v>
      </c>
      <c r="V157" t="n">
        <v>1000</v>
      </c>
      <c r="W157" t="n">
        <v>1560</v>
      </c>
      <c r="X157" t="n">
        <v>1</v>
      </c>
      <c r="Y157" t="n">
        <v>2006</v>
      </c>
      <c r="Z157" t="n">
        <v>1</v>
      </c>
      <c r="AA157" t="n">
        <v>0.03</v>
      </c>
    </row>
    <row r="158">
      <c r="A158" t="n">
        <v>1156</v>
      </c>
      <c r="B158" t="inlineStr">
        <is>
          <t>40034,40038</t>
        </is>
      </c>
      <c r="C158" t="n">
        <v>79</v>
      </c>
      <c r="D1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8" t="n">
        <v>1</v>
      </c>
      <c r="F158" t="n">
        <v>0.067</v>
      </c>
      <c r="G158" t="n">
        <v>8001</v>
      </c>
      <c r="H158" t="n">
        <v>100</v>
      </c>
      <c r="I158" t="n">
        <v>1</v>
      </c>
      <c r="J158" t="n">
        <v>8000</v>
      </c>
      <c r="K158" t="n">
        <v>150</v>
      </c>
      <c r="L158" t="n">
        <v>1</v>
      </c>
      <c r="M158" t="n">
        <v>2007</v>
      </c>
      <c r="N158" t="n">
        <v>1</v>
      </c>
      <c r="O158" t="n">
        <v>0.05</v>
      </c>
      <c r="P158" t="n">
        <v>9000</v>
      </c>
      <c r="Q158" t="n">
        <v>34</v>
      </c>
      <c r="R158" t="n">
        <v>1</v>
      </c>
      <c r="S158" t="inlineStr">
        <is>
          <t>2001,2002</t>
        </is>
      </c>
      <c r="T158" t="n">
        <v>5</v>
      </c>
      <c r="U158" t="n">
        <v>0.5</v>
      </c>
      <c r="V158" t="n">
        <v>1000</v>
      </c>
      <c r="W158" t="n">
        <v>1570</v>
      </c>
      <c r="X158" t="n">
        <v>1</v>
      </c>
      <c r="Y158" t="n">
        <v>2006</v>
      </c>
      <c r="Z158" t="n">
        <v>1</v>
      </c>
      <c r="AA158" t="n">
        <v>0.03</v>
      </c>
    </row>
    <row r="159">
      <c r="A159" t="n">
        <v>1157</v>
      </c>
      <c r="B159" t="inlineStr">
        <is>
          <t>40038,40036,40034</t>
        </is>
      </c>
      <c r="C159" t="n">
        <v>79</v>
      </c>
      <c r="D1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9" t="n">
        <v>1</v>
      </c>
      <c r="F159" t="n">
        <v>0.067</v>
      </c>
      <c r="G159" t="n">
        <v>8001</v>
      </c>
      <c r="H159" t="n">
        <v>100</v>
      </c>
      <c r="I159" t="n">
        <v>1</v>
      </c>
      <c r="J159" t="n">
        <v>8000</v>
      </c>
      <c r="K159" t="n">
        <v>150</v>
      </c>
      <c r="L159" t="n">
        <v>1</v>
      </c>
      <c r="M159" t="n">
        <v>2007</v>
      </c>
      <c r="N159" t="n">
        <v>1</v>
      </c>
      <c r="O159" t="n">
        <v>0.05</v>
      </c>
      <c r="P159" t="n">
        <v>9000</v>
      </c>
      <c r="Q159" t="n">
        <v>34</v>
      </c>
      <c r="R159" t="n">
        <v>1</v>
      </c>
      <c r="S159" t="inlineStr">
        <is>
          <t>2001,2002</t>
        </is>
      </c>
      <c r="T159" t="n">
        <v>5</v>
      </c>
      <c r="U159" t="n">
        <v>0.5</v>
      </c>
      <c r="V159" t="n">
        <v>1000</v>
      </c>
      <c r="W159" t="n">
        <v>1580</v>
      </c>
      <c r="X159" t="n">
        <v>1</v>
      </c>
      <c r="Y159" t="n">
        <v>2006</v>
      </c>
      <c r="Z159" t="n">
        <v>1</v>
      </c>
      <c r="AA159" t="n">
        <v>0.03</v>
      </c>
    </row>
    <row r="160">
      <c r="A160" t="n">
        <v>1158</v>
      </c>
      <c r="B160" t="inlineStr">
        <is>
          <t>40037,40038,40034</t>
        </is>
      </c>
      <c r="C160" t="n">
        <v>80</v>
      </c>
      <c r="D1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0" t="n">
        <v>1</v>
      </c>
      <c r="F160" t="n">
        <v>0.067</v>
      </c>
      <c r="G160" t="n">
        <v>8001</v>
      </c>
      <c r="H160" t="n">
        <v>100</v>
      </c>
      <c r="I160" t="n">
        <v>1</v>
      </c>
      <c r="J160" t="n">
        <v>8000</v>
      </c>
      <c r="K160" t="n">
        <v>155</v>
      </c>
      <c r="L160" t="n">
        <v>1</v>
      </c>
      <c r="M160" t="n">
        <v>2007</v>
      </c>
      <c r="N160" t="n">
        <v>1</v>
      </c>
      <c r="O160" t="n">
        <v>0.05</v>
      </c>
      <c r="P160" t="n">
        <v>9000</v>
      </c>
      <c r="Q160" t="n">
        <v>34</v>
      </c>
      <c r="R160" t="n">
        <v>1</v>
      </c>
      <c r="S160" t="inlineStr">
        <is>
          <t>2001,2002</t>
        </is>
      </c>
      <c r="T160" t="n">
        <v>5</v>
      </c>
      <c r="U160" t="n">
        <v>0.5</v>
      </c>
      <c r="V160" t="n">
        <v>1000</v>
      </c>
      <c r="W160" t="n">
        <v>1595</v>
      </c>
      <c r="X160" t="n">
        <v>1</v>
      </c>
      <c r="Y160" t="n">
        <v>2006</v>
      </c>
      <c r="Z160" t="n">
        <v>1</v>
      </c>
      <c r="AA160" t="n">
        <v>0.03</v>
      </c>
    </row>
    <row r="161">
      <c r="A161" t="n">
        <v>1159</v>
      </c>
      <c r="B161" t="inlineStr">
        <is>
          <t>40034,40036,40038</t>
        </is>
      </c>
      <c r="C161" t="n">
        <v>80</v>
      </c>
      <c r="D1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1" t="n">
        <v>1</v>
      </c>
      <c r="F161" t="n">
        <v>0.067</v>
      </c>
      <c r="G161" t="n">
        <v>8001</v>
      </c>
      <c r="H161" t="n">
        <v>105</v>
      </c>
      <c r="I161" t="n">
        <v>1</v>
      </c>
      <c r="J161" t="n">
        <v>8000</v>
      </c>
      <c r="K161" t="n">
        <v>155</v>
      </c>
      <c r="L161" t="n">
        <v>1</v>
      </c>
      <c r="M161" t="n">
        <v>2007</v>
      </c>
      <c r="N161" t="n">
        <v>1</v>
      </c>
      <c r="O161" t="n">
        <v>0.05</v>
      </c>
      <c r="P161" t="n">
        <v>9000</v>
      </c>
      <c r="Q161" t="n">
        <v>34</v>
      </c>
      <c r="R161" t="n">
        <v>1</v>
      </c>
      <c r="S161" t="inlineStr">
        <is>
          <t>2001,2002</t>
        </is>
      </c>
      <c r="T161" t="n">
        <v>5</v>
      </c>
      <c r="U161" t="n">
        <v>0.5</v>
      </c>
      <c r="V161" t="n">
        <v>1000</v>
      </c>
      <c r="W161" t="n">
        <v>1605</v>
      </c>
      <c r="X161" t="n">
        <v>1</v>
      </c>
      <c r="Y161" t="n">
        <v>2006</v>
      </c>
      <c r="Z161" t="n">
        <v>1</v>
      </c>
      <c r="AA161" t="n">
        <v>0.03</v>
      </c>
    </row>
    <row r="162">
      <c r="A162" t="n">
        <v>1160</v>
      </c>
      <c r="B162" t="inlineStr">
        <is>
          <t>40039,40037</t>
        </is>
      </c>
      <c r="C162" t="n">
        <v>81</v>
      </c>
      <c r="D1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2" t="n">
        <v>1</v>
      </c>
      <c r="F162" t="n">
        <v>0.068</v>
      </c>
      <c r="G162" t="n">
        <v>8001</v>
      </c>
      <c r="H162" t="n">
        <v>105</v>
      </c>
      <c r="I162" t="n">
        <v>1</v>
      </c>
      <c r="J162" t="n">
        <v>8000</v>
      </c>
      <c r="K162" t="n">
        <v>155</v>
      </c>
      <c r="L162" t="n">
        <v>1</v>
      </c>
      <c r="M162" t="n">
        <v>2007</v>
      </c>
      <c r="N162" t="n">
        <v>1</v>
      </c>
      <c r="O162" t="n">
        <v>0.05</v>
      </c>
      <c r="P162" t="n">
        <v>9000</v>
      </c>
      <c r="Q162" t="n">
        <v>35</v>
      </c>
      <c r="R162" t="n">
        <v>1</v>
      </c>
      <c r="S162" t="inlineStr">
        <is>
          <t>2001,2002</t>
        </is>
      </c>
      <c r="T162" t="n">
        <v>5</v>
      </c>
      <c r="U162" t="n">
        <v>0.5</v>
      </c>
      <c r="V162" t="n">
        <v>1000</v>
      </c>
      <c r="W162" t="n">
        <v>1615</v>
      </c>
      <c r="X162" t="n">
        <v>1</v>
      </c>
      <c r="Y162" t="n">
        <v>2006</v>
      </c>
      <c r="Z162" t="n">
        <v>1</v>
      </c>
      <c r="AA162" t="n">
        <v>0.03</v>
      </c>
    </row>
    <row r="163">
      <c r="A163" t="n">
        <v>1161</v>
      </c>
      <c r="B163" t="inlineStr">
        <is>
          <t>40037,40038</t>
        </is>
      </c>
      <c r="C163" t="n">
        <v>81</v>
      </c>
      <c r="D1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3" t="n">
        <v>1</v>
      </c>
      <c r="F163" t="n">
        <v>0.068</v>
      </c>
      <c r="G163" t="n">
        <v>8001</v>
      </c>
      <c r="H163" t="n">
        <v>105</v>
      </c>
      <c r="I163" t="n">
        <v>1</v>
      </c>
      <c r="J163" t="n">
        <v>8000</v>
      </c>
      <c r="K163" t="n">
        <v>155</v>
      </c>
      <c r="L163" t="n">
        <v>1</v>
      </c>
      <c r="M163" t="n">
        <v>2007</v>
      </c>
      <c r="N163" t="n">
        <v>1</v>
      </c>
      <c r="O163" t="n">
        <v>0.05</v>
      </c>
      <c r="P163" t="n">
        <v>9000</v>
      </c>
      <c r="Q163" t="n">
        <v>35</v>
      </c>
      <c r="R163" t="n">
        <v>1</v>
      </c>
      <c r="S163" t="inlineStr">
        <is>
          <t>2001,2002</t>
        </is>
      </c>
      <c r="T163" t="n">
        <v>5</v>
      </c>
      <c r="U163" t="n">
        <v>0.5</v>
      </c>
      <c r="V163" t="n">
        <v>1000</v>
      </c>
      <c r="W163" t="n">
        <v>1625</v>
      </c>
      <c r="X163" t="n">
        <v>1</v>
      </c>
      <c r="Y163" t="n">
        <v>2006</v>
      </c>
      <c r="Z163" t="n">
        <v>1</v>
      </c>
      <c r="AA163" t="n">
        <v>0.03</v>
      </c>
    </row>
    <row r="164">
      <c r="A164" t="n">
        <v>1162</v>
      </c>
      <c r="B164" t="inlineStr">
        <is>
          <t>40037,40036,40034,40038</t>
        </is>
      </c>
      <c r="C164" t="n">
        <v>82</v>
      </c>
      <c r="D1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4" t="n">
        <v>1</v>
      </c>
      <c r="F164" t="n">
        <v>0.068</v>
      </c>
      <c r="G164" t="n">
        <v>8001</v>
      </c>
      <c r="H164" t="n">
        <v>105</v>
      </c>
      <c r="I164" t="n">
        <v>1</v>
      </c>
      <c r="J164" t="n">
        <v>8000</v>
      </c>
      <c r="K164" t="n">
        <v>155</v>
      </c>
      <c r="L164" t="n">
        <v>1</v>
      </c>
      <c r="M164" t="n">
        <v>2007</v>
      </c>
      <c r="N164" t="n">
        <v>1</v>
      </c>
      <c r="O164" t="n">
        <v>0.05</v>
      </c>
      <c r="P164" t="n">
        <v>9000</v>
      </c>
      <c r="Q164" t="n">
        <v>35</v>
      </c>
      <c r="R164" t="n">
        <v>1</v>
      </c>
      <c r="S164" t="inlineStr">
        <is>
          <t>2001,2002</t>
        </is>
      </c>
      <c r="T164" t="n">
        <v>5</v>
      </c>
      <c r="U164" t="n">
        <v>0.5</v>
      </c>
      <c r="V164" t="n">
        <v>1000</v>
      </c>
      <c r="W164" t="n">
        <v>1635</v>
      </c>
      <c r="X164" t="n">
        <v>1</v>
      </c>
      <c r="Y164" t="n">
        <v>2006</v>
      </c>
      <c r="Z164" t="n">
        <v>1</v>
      </c>
      <c r="AA164" t="n">
        <v>0.03</v>
      </c>
    </row>
    <row r="165">
      <c r="A165" t="n">
        <v>1163</v>
      </c>
      <c r="B165" t="inlineStr">
        <is>
          <t>40038,40034,40036</t>
        </is>
      </c>
      <c r="C165" t="n">
        <v>82</v>
      </c>
      <c r="D1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5" t="n">
        <v>1</v>
      </c>
      <c r="F165" t="n">
        <v>0.068</v>
      </c>
      <c r="G165" t="n">
        <v>8001</v>
      </c>
      <c r="H165" t="n">
        <v>105</v>
      </c>
      <c r="I165" t="n">
        <v>1</v>
      </c>
      <c r="J165" t="n">
        <v>8000</v>
      </c>
      <c r="K165" t="n">
        <v>160</v>
      </c>
      <c r="L165" t="n">
        <v>1</v>
      </c>
      <c r="M165" t="n">
        <v>2007</v>
      </c>
      <c r="N165" t="n">
        <v>1</v>
      </c>
      <c r="O165" t="n">
        <v>0.05</v>
      </c>
      <c r="P165" t="n">
        <v>9000</v>
      </c>
      <c r="Q165" t="n">
        <v>35</v>
      </c>
      <c r="R165" t="n">
        <v>1</v>
      </c>
      <c r="S165" t="inlineStr">
        <is>
          <t>2001,2002</t>
        </is>
      </c>
      <c r="T165" t="n">
        <v>5</v>
      </c>
      <c r="U165" t="n">
        <v>0.5</v>
      </c>
      <c r="V165" t="n">
        <v>1000</v>
      </c>
      <c r="W165" t="n">
        <v>1650</v>
      </c>
      <c r="X165" t="n">
        <v>1</v>
      </c>
      <c r="Y165" t="n">
        <v>2006</v>
      </c>
      <c r="Z165" t="n">
        <v>1</v>
      </c>
      <c r="AA165" t="n">
        <v>0.03</v>
      </c>
    </row>
    <row r="166">
      <c r="A166" t="n">
        <v>1164</v>
      </c>
      <c r="B166" t="inlineStr">
        <is>
          <t>40034,40037</t>
        </is>
      </c>
      <c r="C166" t="n">
        <v>83</v>
      </c>
      <c r="D1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6" t="n">
        <v>1</v>
      </c>
      <c r="F166" t="n">
        <v>0.068</v>
      </c>
      <c r="G166" t="n">
        <v>8001</v>
      </c>
      <c r="H166" t="n">
        <v>105</v>
      </c>
      <c r="I166" t="n">
        <v>1</v>
      </c>
      <c r="J166" t="n">
        <v>8000</v>
      </c>
      <c r="K166" t="n">
        <v>160</v>
      </c>
      <c r="L166" t="n">
        <v>1</v>
      </c>
      <c r="M166" t="n">
        <v>2007</v>
      </c>
      <c r="N166" t="n">
        <v>1</v>
      </c>
      <c r="O166" t="n">
        <v>0.05</v>
      </c>
      <c r="P166" t="n">
        <v>9000</v>
      </c>
      <c r="Q166" t="n">
        <v>36</v>
      </c>
      <c r="R166" t="n">
        <v>1</v>
      </c>
      <c r="S166" t="inlineStr">
        <is>
          <t>2001,2002</t>
        </is>
      </c>
      <c r="T166" t="n">
        <v>5</v>
      </c>
      <c r="U166" t="n">
        <v>0.5</v>
      </c>
      <c r="V166" t="n">
        <v>1000</v>
      </c>
      <c r="W166" t="n">
        <v>1660</v>
      </c>
      <c r="X166" t="n">
        <v>1</v>
      </c>
      <c r="Y166" t="n">
        <v>2006</v>
      </c>
      <c r="Z166" t="n">
        <v>1</v>
      </c>
      <c r="AA166" t="n">
        <v>0.03</v>
      </c>
    </row>
    <row r="167">
      <c r="A167" t="n">
        <v>1165</v>
      </c>
      <c r="B167" t="inlineStr">
        <is>
          <t>40038,40039</t>
        </is>
      </c>
      <c r="C167" t="n">
        <v>83</v>
      </c>
      <c r="D1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7" t="n">
        <v>1</v>
      </c>
      <c r="F167" t="n">
        <v>0.06900000000000001</v>
      </c>
      <c r="G167" t="n">
        <v>8001</v>
      </c>
      <c r="H167" t="n">
        <v>105</v>
      </c>
      <c r="I167" t="n">
        <v>1</v>
      </c>
      <c r="J167" t="n">
        <v>8000</v>
      </c>
      <c r="K167" t="n">
        <v>160</v>
      </c>
      <c r="L167" t="n">
        <v>1</v>
      </c>
      <c r="M167" t="n">
        <v>2007</v>
      </c>
      <c r="N167" t="n">
        <v>1</v>
      </c>
      <c r="O167" t="n">
        <v>0.05</v>
      </c>
      <c r="P167" t="n">
        <v>9000</v>
      </c>
      <c r="Q167" t="n">
        <v>36</v>
      </c>
      <c r="R167" t="n">
        <v>1</v>
      </c>
      <c r="S167" t="inlineStr">
        <is>
          <t>2001,2002</t>
        </is>
      </c>
      <c r="T167" t="n">
        <v>5</v>
      </c>
      <c r="U167" t="n">
        <v>0.5</v>
      </c>
      <c r="V167" t="n">
        <v>1000</v>
      </c>
      <c r="W167" t="n">
        <v>1670</v>
      </c>
      <c r="X167" t="n">
        <v>1</v>
      </c>
      <c r="Y167" t="n">
        <v>2006</v>
      </c>
      <c r="Z167" t="n">
        <v>1</v>
      </c>
      <c r="AA167" t="n">
        <v>0.03</v>
      </c>
    </row>
    <row r="168">
      <c r="A168" t="n">
        <v>1166</v>
      </c>
      <c r="B168" t="inlineStr">
        <is>
          <t>40039,40034,40038</t>
        </is>
      </c>
      <c r="C168" t="n">
        <v>84</v>
      </c>
      <c r="D1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8" t="n">
        <v>1</v>
      </c>
      <c r="F168" t="n">
        <v>0.06900000000000001</v>
      </c>
      <c r="G168" t="n">
        <v>8001</v>
      </c>
      <c r="H168" t="n">
        <v>110</v>
      </c>
      <c r="I168" t="n">
        <v>1</v>
      </c>
      <c r="J168" t="n">
        <v>8000</v>
      </c>
      <c r="K168" t="n">
        <v>160</v>
      </c>
      <c r="L168" t="n">
        <v>1</v>
      </c>
      <c r="M168" t="n">
        <v>2007</v>
      </c>
      <c r="N168" t="n">
        <v>1</v>
      </c>
      <c r="O168" t="n">
        <v>0.05</v>
      </c>
      <c r="P168" t="n">
        <v>9000</v>
      </c>
      <c r="Q168" t="n">
        <v>36</v>
      </c>
      <c r="R168" t="n">
        <v>1</v>
      </c>
      <c r="S168" t="inlineStr">
        <is>
          <t>2001,2002</t>
        </is>
      </c>
      <c r="T168" t="n">
        <v>5</v>
      </c>
      <c r="U168" t="n">
        <v>0.5</v>
      </c>
      <c r="V168" t="n">
        <v>1000</v>
      </c>
      <c r="W168" t="n">
        <v>1680</v>
      </c>
      <c r="X168" t="n">
        <v>1</v>
      </c>
      <c r="Y168" t="n">
        <v>2006</v>
      </c>
      <c r="Z168" t="n">
        <v>1</v>
      </c>
      <c r="AA168" t="n">
        <v>0.03</v>
      </c>
    </row>
    <row r="169">
      <c r="A169" t="n">
        <v>1167</v>
      </c>
      <c r="B169" t="inlineStr">
        <is>
          <t>40038,40037,40036</t>
        </is>
      </c>
      <c r="C169" t="n">
        <v>84</v>
      </c>
      <c r="D1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9" t="n">
        <v>1</v>
      </c>
      <c r="F169" t="n">
        <v>0.06900000000000001</v>
      </c>
      <c r="G169" t="n">
        <v>8001</v>
      </c>
      <c r="H169" t="n">
        <v>110</v>
      </c>
      <c r="I169" t="n">
        <v>1</v>
      </c>
      <c r="J169" t="n">
        <v>8000</v>
      </c>
      <c r="K169" t="n">
        <v>165</v>
      </c>
      <c r="L169" t="n">
        <v>1</v>
      </c>
      <c r="M169" t="n">
        <v>2007</v>
      </c>
      <c r="N169" t="n">
        <v>1</v>
      </c>
      <c r="O169" t="n">
        <v>0.05</v>
      </c>
      <c r="P169" t="n">
        <v>9000</v>
      </c>
      <c r="Q169" t="n">
        <v>37</v>
      </c>
      <c r="R169" t="n">
        <v>1</v>
      </c>
      <c r="S169" t="inlineStr">
        <is>
          <t>2001,2002</t>
        </is>
      </c>
      <c r="T169" t="n">
        <v>5</v>
      </c>
      <c r="U169" t="n">
        <v>0.5</v>
      </c>
      <c r="V169" t="n">
        <v>1000</v>
      </c>
      <c r="W169" t="n">
        <v>1695</v>
      </c>
      <c r="X169" t="n">
        <v>1</v>
      </c>
      <c r="Y169" t="n">
        <v>2006</v>
      </c>
      <c r="Z169" t="n">
        <v>1</v>
      </c>
      <c r="AA169" t="n">
        <v>0.03</v>
      </c>
    </row>
    <row r="170">
      <c r="A170" t="n">
        <v>1168</v>
      </c>
      <c r="B170" t="inlineStr">
        <is>
          <t>40038,40036,40037,40034</t>
        </is>
      </c>
      <c r="C170" t="n">
        <v>85</v>
      </c>
      <c r="D1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0" t="n">
        <v>1</v>
      </c>
      <c r="F170" t="n">
        <v>0.06900000000000001</v>
      </c>
      <c r="G170" t="n">
        <v>8001</v>
      </c>
      <c r="H170" t="n">
        <v>110</v>
      </c>
      <c r="I170" t="n">
        <v>1</v>
      </c>
      <c r="J170" t="n">
        <v>8000</v>
      </c>
      <c r="K170" t="n">
        <v>165</v>
      </c>
      <c r="L170" t="n">
        <v>1</v>
      </c>
      <c r="M170" t="n">
        <v>2007</v>
      </c>
      <c r="N170" t="n">
        <v>1</v>
      </c>
      <c r="O170" t="n">
        <v>0.05</v>
      </c>
      <c r="P170" t="n">
        <v>9000</v>
      </c>
      <c r="Q170" t="n">
        <v>37</v>
      </c>
      <c r="R170" t="n">
        <v>1</v>
      </c>
      <c r="S170" t="inlineStr">
        <is>
          <t>2001,2002</t>
        </is>
      </c>
      <c r="T170" t="n">
        <v>5</v>
      </c>
      <c r="U170" t="n">
        <v>0.5</v>
      </c>
      <c r="V170" t="n">
        <v>1000</v>
      </c>
      <c r="W170" t="n">
        <v>1705</v>
      </c>
      <c r="X170" t="n">
        <v>1</v>
      </c>
      <c r="Y170" t="n">
        <v>2006</v>
      </c>
      <c r="Z170" t="n">
        <v>1</v>
      </c>
      <c r="AA170" t="n">
        <v>0.03</v>
      </c>
    </row>
    <row r="171">
      <c r="A171" t="n">
        <v>1169</v>
      </c>
      <c r="B171" t="inlineStr">
        <is>
          <t>40036,40038,40034</t>
        </is>
      </c>
      <c r="C171" t="n">
        <v>85</v>
      </c>
      <c r="D1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1" t="n">
        <v>1</v>
      </c>
      <c r="F171" t="n">
        <v>0.06900000000000001</v>
      </c>
      <c r="G171" t="n">
        <v>8001</v>
      </c>
      <c r="H171" t="n">
        <v>110</v>
      </c>
      <c r="I171" t="n">
        <v>1</v>
      </c>
      <c r="J171" t="n">
        <v>8000</v>
      </c>
      <c r="K171" t="n">
        <v>165</v>
      </c>
      <c r="L171" t="n">
        <v>1</v>
      </c>
      <c r="M171" t="n">
        <v>2007</v>
      </c>
      <c r="N171" t="n">
        <v>1</v>
      </c>
      <c r="O171" t="n">
        <v>0.05</v>
      </c>
      <c r="P171" t="n">
        <v>9000</v>
      </c>
      <c r="Q171" t="n">
        <v>37</v>
      </c>
      <c r="R171" t="n">
        <v>1</v>
      </c>
      <c r="S171" t="inlineStr">
        <is>
          <t>2001,2002</t>
        </is>
      </c>
      <c r="T171" t="n">
        <v>5</v>
      </c>
      <c r="U171" t="n">
        <v>0.5</v>
      </c>
      <c r="V171" t="n">
        <v>1000</v>
      </c>
      <c r="W171" t="n">
        <v>1715</v>
      </c>
      <c r="X171" t="n">
        <v>1</v>
      </c>
      <c r="Y171" t="n">
        <v>2006</v>
      </c>
      <c r="Z171" t="n">
        <v>1</v>
      </c>
      <c r="AA171" t="n">
        <v>0.03</v>
      </c>
    </row>
    <row r="172">
      <c r="A172" t="n">
        <v>1170</v>
      </c>
      <c r="B172" t="inlineStr">
        <is>
          <t>40038,40037,40039,40034</t>
        </is>
      </c>
      <c r="C172" t="n">
        <v>86</v>
      </c>
      <c r="D1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2" t="n">
        <v>1</v>
      </c>
      <c r="F172" t="n">
        <v>0.07000000000000001</v>
      </c>
      <c r="G172" t="n">
        <v>8001</v>
      </c>
      <c r="H172" t="n">
        <v>110</v>
      </c>
      <c r="I172" t="n">
        <v>1</v>
      </c>
      <c r="J172" t="n">
        <v>8000</v>
      </c>
      <c r="K172" t="n">
        <v>165</v>
      </c>
      <c r="L172" t="n">
        <v>1</v>
      </c>
      <c r="M172" t="n">
        <v>2007</v>
      </c>
      <c r="N172" t="n">
        <v>1</v>
      </c>
      <c r="O172" t="n">
        <v>0.05</v>
      </c>
      <c r="P172" t="n">
        <v>9000</v>
      </c>
      <c r="Q172" t="n">
        <v>37</v>
      </c>
      <c r="R172" t="n">
        <v>1</v>
      </c>
      <c r="S172" t="inlineStr">
        <is>
          <t>2001,2002</t>
        </is>
      </c>
      <c r="T172" t="n">
        <v>6</v>
      </c>
      <c r="U172" t="n">
        <v>0.5</v>
      </c>
      <c r="V172" t="n">
        <v>1000</v>
      </c>
      <c r="W172" t="n">
        <v>1725</v>
      </c>
      <c r="X172" t="n">
        <v>1</v>
      </c>
      <c r="Y172" t="n">
        <v>2006</v>
      </c>
      <c r="Z172" t="n">
        <v>1</v>
      </c>
      <c r="AA172" t="n">
        <v>0.03</v>
      </c>
    </row>
    <row r="173">
      <c r="A173" t="n">
        <v>1171</v>
      </c>
      <c r="B173" t="inlineStr">
        <is>
          <t>40034,40036,40038,40039</t>
        </is>
      </c>
      <c r="C173" t="n">
        <v>86</v>
      </c>
      <c r="D1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3" t="n">
        <v>1</v>
      </c>
      <c r="F173" t="n">
        <v>0.07000000000000001</v>
      </c>
      <c r="G173" t="n">
        <v>8001</v>
      </c>
      <c r="H173" t="n">
        <v>110</v>
      </c>
      <c r="I173" t="n">
        <v>1</v>
      </c>
      <c r="J173" t="n">
        <v>8000</v>
      </c>
      <c r="K173" t="n">
        <v>165</v>
      </c>
      <c r="L173" t="n">
        <v>1</v>
      </c>
      <c r="M173" t="n">
        <v>2007</v>
      </c>
      <c r="N173" t="n">
        <v>1</v>
      </c>
      <c r="O173" t="n">
        <v>0.05</v>
      </c>
      <c r="P173" t="n">
        <v>9000</v>
      </c>
      <c r="Q173" t="n">
        <v>38</v>
      </c>
      <c r="R173" t="n">
        <v>1</v>
      </c>
      <c r="S173" t="inlineStr">
        <is>
          <t>2001,2002</t>
        </is>
      </c>
      <c r="T173" t="n">
        <v>6</v>
      </c>
      <c r="U173" t="n">
        <v>0.5</v>
      </c>
      <c r="V173" t="n">
        <v>1000</v>
      </c>
      <c r="W173" t="n">
        <v>1740</v>
      </c>
      <c r="X173" t="n">
        <v>1</v>
      </c>
      <c r="Y173" t="n">
        <v>2006</v>
      </c>
      <c r="Z173" t="n">
        <v>1</v>
      </c>
      <c r="AA173" t="n">
        <v>0.03</v>
      </c>
    </row>
    <row r="174">
      <c r="A174" t="n">
        <v>1172</v>
      </c>
      <c r="B174" t="inlineStr">
        <is>
          <t>40037,40039,40034</t>
        </is>
      </c>
      <c r="C174" t="n">
        <v>87</v>
      </c>
      <c r="D1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4" t="n">
        <v>1</v>
      </c>
      <c r="F174" t="n">
        <v>0.07000000000000001</v>
      </c>
      <c r="G174" t="n">
        <v>8001</v>
      </c>
      <c r="H174" t="n">
        <v>110</v>
      </c>
      <c r="I174" t="n">
        <v>1</v>
      </c>
      <c r="J174" t="n">
        <v>8000</v>
      </c>
      <c r="K174" t="n">
        <v>170</v>
      </c>
      <c r="L174" t="n">
        <v>1</v>
      </c>
      <c r="M174" t="n">
        <v>2007</v>
      </c>
      <c r="N174" t="n">
        <v>1</v>
      </c>
      <c r="O174" t="n">
        <v>0.05</v>
      </c>
      <c r="P174" t="n">
        <v>9000</v>
      </c>
      <c r="Q174" t="n">
        <v>38</v>
      </c>
      <c r="R174" t="n">
        <v>1</v>
      </c>
      <c r="S174" t="inlineStr">
        <is>
          <t>2001,2002</t>
        </is>
      </c>
      <c r="T174" t="n">
        <v>6</v>
      </c>
      <c r="U174" t="n">
        <v>0.5</v>
      </c>
      <c r="V174" t="n">
        <v>1000</v>
      </c>
      <c r="W174" t="n">
        <v>1750</v>
      </c>
      <c r="X174" t="n">
        <v>1</v>
      </c>
      <c r="Y174" t="n">
        <v>2006</v>
      </c>
      <c r="Z174" t="n">
        <v>1</v>
      </c>
      <c r="AA174" t="n">
        <v>0.03</v>
      </c>
    </row>
    <row r="175">
      <c r="A175" t="n">
        <v>1173</v>
      </c>
      <c r="B175" t="inlineStr">
        <is>
          <t>40034,40039,40037,40038</t>
        </is>
      </c>
      <c r="C175" t="n">
        <v>87</v>
      </c>
      <c r="D1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5" t="n">
        <v>1</v>
      </c>
      <c r="F175" t="n">
        <v>0.07000000000000001</v>
      </c>
      <c r="G175" t="n">
        <v>8001</v>
      </c>
      <c r="H175" t="n">
        <v>115</v>
      </c>
      <c r="I175" t="n">
        <v>1</v>
      </c>
      <c r="J175" t="n">
        <v>8000</v>
      </c>
      <c r="K175" t="n">
        <v>170</v>
      </c>
      <c r="L175" t="n">
        <v>1</v>
      </c>
      <c r="M175" t="n">
        <v>2007</v>
      </c>
      <c r="N175" t="n">
        <v>1</v>
      </c>
      <c r="O175" t="n">
        <v>0.05</v>
      </c>
      <c r="P175" t="n">
        <v>9000</v>
      </c>
      <c r="Q175" t="n">
        <v>38</v>
      </c>
      <c r="R175" t="n">
        <v>1</v>
      </c>
      <c r="S175" t="inlineStr">
        <is>
          <t>2001,2002</t>
        </is>
      </c>
      <c r="T175" t="n">
        <v>6</v>
      </c>
      <c r="U175" t="n">
        <v>0.5</v>
      </c>
      <c r="V175" t="n">
        <v>1000</v>
      </c>
      <c r="W175" t="n">
        <v>1760</v>
      </c>
      <c r="X175" t="n">
        <v>1</v>
      </c>
      <c r="Y175" t="n">
        <v>2006</v>
      </c>
      <c r="Z175" t="n">
        <v>1</v>
      </c>
      <c r="AA175" t="n">
        <v>0.03</v>
      </c>
    </row>
    <row r="176">
      <c r="A176" t="n">
        <v>1174</v>
      </c>
      <c r="B176" t="inlineStr">
        <is>
          <t>40038,40036,40034</t>
        </is>
      </c>
      <c r="C176" t="n">
        <v>88</v>
      </c>
      <c r="D1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6" t="n">
        <v>1</v>
      </c>
      <c r="F176" t="n">
        <v>0.07000000000000001</v>
      </c>
      <c r="G176" t="n">
        <v>8001</v>
      </c>
      <c r="H176" t="n">
        <v>115</v>
      </c>
      <c r="I176" t="n">
        <v>1</v>
      </c>
      <c r="J176" t="n">
        <v>8000</v>
      </c>
      <c r="K176" t="n">
        <v>170</v>
      </c>
      <c r="L176" t="n">
        <v>1</v>
      </c>
      <c r="M176" t="n">
        <v>2007</v>
      </c>
      <c r="N176" t="n">
        <v>1</v>
      </c>
      <c r="O176" t="n">
        <v>0.05</v>
      </c>
      <c r="P176" t="n">
        <v>9000</v>
      </c>
      <c r="Q176" t="n">
        <v>39</v>
      </c>
      <c r="R176" t="n">
        <v>1</v>
      </c>
      <c r="S176" t="inlineStr">
        <is>
          <t>2001,2002</t>
        </is>
      </c>
      <c r="T176" t="n">
        <v>6</v>
      </c>
      <c r="U176" t="n">
        <v>0.5</v>
      </c>
      <c r="V176" t="n">
        <v>1000</v>
      </c>
      <c r="W176" t="n">
        <v>1775</v>
      </c>
      <c r="X176" t="n">
        <v>1</v>
      </c>
      <c r="Y176" t="n">
        <v>2006</v>
      </c>
      <c r="Z176" t="n">
        <v>1</v>
      </c>
      <c r="AA176" t="n">
        <v>0.03</v>
      </c>
    </row>
    <row r="177">
      <c r="A177" t="n">
        <v>1175</v>
      </c>
      <c r="B177" t="inlineStr">
        <is>
          <t>40039,40037,40036</t>
        </is>
      </c>
      <c r="C177" t="n">
        <v>88</v>
      </c>
      <c r="D1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7" t="n">
        <v>1</v>
      </c>
      <c r="F177" t="n">
        <v>0.07099999999999999</v>
      </c>
      <c r="G177" t="n">
        <v>8001</v>
      </c>
      <c r="H177" t="n">
        <v>115</v>
      </c>
      <c r="I177" t="n">
        <v>1</v>
      </c>
      <c r="J177" t="n">
        <v>8000</v>
      </c>
      <c r="K177" t="n">
        <v>170</v>
      </c>
      <c r="L177" t="n">
        <v>1</v>
      </c>
      <c r="M177" t="n">
        <v>2007</v>
      </c>
      <c r="N177" t="n">
        <v>1</v>
      </c>
      <c r="O177" t="n">
        <v>0.05</v>
      </c>
      <c r="P177" t="n">
        <v>9000</v>
      </c>
      <c r="Q177" t="n">
        <v>39</v>
      </c>
      <c r="R177" t="n">
        <v>1</v>
      </c>
      <c r="S177" t="inlineStr">
        <is>
          <t>2001,2002</t>
        </is>
      </c>
      <c r="T177" t="n">
        <v>6</v>
      </c>
      <c r="U177" t="n">
        <v>0.5</v>
      </c>
      <c r="V177" t="n">
        <v>1000</v>
      </c>
      <c r="W177" t="n">
        <v>1785</v>
      </c>
      <c r="X177" t="n">
        <v>1</v>
      </c>
      <c r="Y177" t="n">
        <v>2006</v>
      </c>
      <c r="Z177" t="n">
        <v>1</v>
      </c>
      <c r="AA177" t="n">
        <v>0.03</v>
      </c>
    </row>
    <row r="178">
      <c r="A178" t="n">
        <v>1176</v>
      </c>
      <c r="B178" t="inlineStr">
        <is>
          <t>40034,40039,40036,40037</t>
        </is>
      </c>
      <c r="C178" t="n">
        <v>89</v>
      </c>
      <c r="D1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8" t="n">
        <v>1</v>
      </c>
      <c r="F178" t="n">
        <v>0.07099999999999999</v>
      </c>
      <c r="G178" t="n">
        <v>8001</v>
      </c>
      <c r="H178" t="n">
        <v>115</v>
      </c>
      <c r="I178" t="n">
        <v>1</v>
      </c>
      <c r="J178" t="n">
        <v>8000</v>
      </c>
      <c r="K178" t="n">
        <v>170</v>
      </c>
      <c r="L178" t="n">
        <v>1</v>
      </c>
      <c r="M178" t="n">
        <v>2007</v>
      </c>
      <c r="N178" t="n">
        <v>1</v>
      </c>
      <c r="O178" t="n">
        <v>0.05</v>
      </c>
      <c r="P178" t="n">
        <v>9000</v>
      </c>
      <c r="Q178" t="n">
        <v>39</v>
      </c>
      <c r="R178" t="n">
        <v>1</v>
      </c>
      <c r="S178" t="inlineStr">
        <is>
          <t>2001,2002</t>
        </is>
      </c>
      <c r="T178" t="n">
        <v>6</v>
      </c>
      <c r="U178" t="n">
        <v>0.5</v>
      </c>
      <c r="V178" t="n">
        <v>1000</v>
      </c>
      <c r="W178" t="n">
        <v>1795</v>
      </c>
      <c r="X178" t="n">
        <v>1</v>
      </c>
      <c r="Y178" t="n">
        <v>2006</v>
      </c>
      <c r="Z178" t="n">
        <v>1</v>
      </c>
      <c r="AA178" t="n">
        <v>0.03</v>
      </c>
    </row>
    <row r="179">
      <c r="A179" t="n">
        <v>1177</v>
      </c>
      <c r="B179" t="inlineStr">
        <is>
          <t>40037,40036,40038,40039</t>
        </is>
      </c>
      <c r="C179" t="n">
        <v>89</v>
      </c>
      <c r="D1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9" t="n">
        <v>1</v>
      </c>
      <c r="F179" t="n">
        <v>0.07099999999999999</v>
      </c>
      <c r="G179" t="n">
        <v>8001</v>
      </c>
      <c r="H179" t="n">
        <v>115</v>
      </c>
      <c r="I179" t="n">
        <v>1</v>
      </c>
      <c r="J179" t="n">
        <v>8000</v>
      </c>
      <c r="K179" t="n">
        <v>175</v>
      </c>
      <c r="L179" t="n">
        <v>1</v>
      </c>
      <c r="M179" t="n">
        <v>2007</v>
      </c>
      <c r="N179" t="n">
        <v>1</v>
      </c>
      <c r="O179" t="n">
        <v>0.05</v>
      </c>
      <c r="P179" t="n">
        <v>9000</v>
      </c>
      <c r="Q179" t="n">
        <v>39</v>
      </c>
      <c r="R179" t="n">
        <v>1</v>
      </c>
      <c r="S179" t="inlineStr">
        <is>
          <t>2001,2002</t>
        </is>
      </c>
      <c r="T179" t="n">
        <v>6</v>
      </c>
      <c r="U179" t="n">
        <v>0.5</v>
      </c>
      <c r="V179" t="n">
        <v>1000</v>
      </c>
      <c r="W179" t="n">
        <v>1810</v>
      </c>
      <c r="X179" t="n">
        <v>1</v>
      </c>
      <c r="Y179" t="n">
        <v>2006</v>
      </c>
      <c r="Z179" t="n">
        <v>1</v>
      </c>
      <c r="AA179" t="n">
        <v>0.03</v>
      </c>
    </row>
    <row r="180">
      <c r="A180" t="n">
        <v>1178</v>
      </c>
      <c r="B180" t="inlineStr">
        <is>
          <t>40037,40039,40038</t>
        </is>
      </c>
      <c r="C180" t="n">
        <v>90</v>
      </c>
      <c r="D1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0" t="n">
        <v>1</v>
      </c>
      <c r="F180" t="n">
        <v>0.07099999999999999</v>
      </c>
      <c r="G180" t="n">
        <v>8001</v>
      </c>
      <c r="H180" t="n">
        <v>115</v>
      </c>
      <c r="I180" t="n">
        <v>1</v>
      </c>
      <c r="J180" t="n">
        <v>8000</v>
      </c>
      <c r="K180" t="n">
        <v>175</v>
      </c>
      <c r="L180" t="n">
        <v>1</v>
      </c>
      <c r="M180" t="n">
        <v>2007</v>
      </c>
      <c r="N180" t="n">
        <v>1</v>
      </c>
      <c r="O180" t="n">
        <v>0.05</v>
      </c>
      <c r="P180" t="n">
        <v>9000</v>
      </c>
      <c r="Q180" t="n">
        <v>40</v>
      </c>
      <c r="R180" t="n">
        <v>1</v>
      </c>
      <c r="S180" t="inlineStr">
        <is>
          <t>2001,2002</t>
        </is>
      </c>
      <c r="T180" t="n">
        <v>6</v>
      </c>
      <c r="U180" t="n">
        <v>0.5</v>
      </c>
      <c r="V180" t="n">
        <v>1000</v>
      </c>
      <c r="W180" t="n">
        <v>1820</v>
      </c>
      <c r="X180" t="n">
        <v>1</v>
      </c>
      <c r="Y180" t="n">
        <v>2006</v>
      </c>
      <c r="Z180" t="n">
        <v>1</v>
      </c>
      <c r="AA180" t="n">
        <v>0.03</v>
      </c>
    </row>
    <row r="181">
      <c r="A181" t="n">
        <v>1179</v>
      </c>
      <c r="B181" t="inlineStr">
        <is>
          <t>40039,40038,40036,40037</t>
        </is>
      </c>
      <c r="C181" t="n">
        <v>90</v>
      </c>
      <c r="D1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1" t="n">
        <v>1</v>
      </c>
      <c r="F181" t="n">
        <v>0.07099999999999999</v>
      </c>
      <c r="G181" t="n">
        <v>8001</v>
      </c>
      <c r="H181" t="n">
        <v>115</v>
      </c>
      <c r="I181" t="n">
        <v>1</v>
      </c>
      <c r="J181" t="n">
        <v>8000</v>
      </c>
      <c r="K181" t="n">
        <v>175</v>
      </c>
      <c r="L181" t="n">
        <v>1</v>
      </c>
      <c r="M181" t="n">
        <v>2007</v>
      </c>
      <c r="N181" t="n">
        <v>1</v>
      </c>
      <c r="O181" t="n">
        <v>0.05</v>
      </c>
      <c r="P181" t="n">
        <v>9000</v>
      </c>
      <c r="Q181" t="n">
        <v>40</v>
      </c>
      <c r="R181" t="n">
        <v>1</v>
      </c>
      <c r="S181" t="inlineStr">
        <is>
          <t>2001,2002</t>
        </is>
      </c>
      <c r="T181" t="n">
        <v>6</v>
      </c>
      <c r="U181" t="n">
        <v>0.5</v>
      </c>
      <c r="V181" t="n">
        <v>1000</v>
      </c>
      <c r="W181" t="n">
        <v>1830</v>
      </c>
      <c r="X181" t="n">
        <v>1</v>
      </c>
      <c r="Y181" t="n">
        <v>2006</v>
      </c>
      <c r="Z181" t="n">
        <v>1</v>
      </c>
      <c r="AA181" t="n">
        <v>0.03</v>
      </c>
    </row>
    <row r="182">
      <c r="A182" t="n">
        <v>1180</v>
      </c>
      <c r="B182" t="inlineStr">
        <is>
          <t>40039,40034,40036,40037</t>
        </is>
      </c>
      <c r="C182" t="n">
        <v>91</v>
      </c>
      <c r="D1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2" t="n">
        <v>1</v>
      </c>
      <c r="F182" t="n">
        <v>0.07199999999999999</v>
      </c>
      <c r="G182" t="n">
        <v>8001</v>
      </c>
      <c r="H182" t="n">
        <v>120</v>
      </c>
      <c r="I182" t="n">
        <v>1</v>
      </c>
      <c r="J182" t="n">
        <v>8000</v>
      </c>
      <c r="K182" t="n">
        <v>175</v>
      </c>
      <c r="L182" t="n">
        <v>1</v>
      </c>
      <c r="M182" t="n">
        <v>2007</v>
      </c>
      <c r="N182" t="n">
        <v>1</v>
      </c>
      <c r="O182" t="n">
        <v>0.05</v>
      </c>
      <c r="P182" t="n">
        <v>9000</v>
      </c>
      <c r="Q182" t="n">
        <v>40</v>
      </c>
      <c r="R182" t="n">
        <v>1</v>
      </c>
      <c r="S182" t="inlineStr">
        <is>
          <t>2001,2002</t>
        </is>
      </c>
      <c r="T182" t="n">
        <v>6</v>
      </c>
      <c r="U182" t="n">
        <v>0.5</v>
      </c>
      <c r="V182" t="n">
        <v>1000</v>
      </c>
      <c r="W182" t="n">
        <v>1845</v>
      </c>
      <c r="X182" t="n">
        <v>1</v>
      </c>
      <c r="Y182" t="n">
        <v>2006</v>
      </c>
      <c r="Z182" t="n">
        <v>1</v>
      </c>
      <c r="AA182" t="n">
        <v>0.03</v>
      </c>
    </row>
    <row r="183">
      <c r="A183" t="n">
        <v>1181</v>
      </c>
      <c r="B183" t="inlineStr">
        <is>
          <t>40038,40034,40037,40039</t>
        </is>
      </c>
      <c r="C183" t="n">
        <v>91</v>
      </c>
      <c r="D1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3" t="n">
        <v>1</v>
      </c>
      <c r="F183" t="n">
        <v>0.07199999999999999</v>
      </c>
      <c r="G183" t="n">
        <v>8001</v>
      </c>
      <c r="H183" t="n">
        <v>120</v>
      </c>
      <c r="I183" t="n">
        <v>1</v>
      </c>
      <c r="J183" t="n">
        <v>8000</v>
      </c>
      <c r="K183" t="n">
        <v>180</v>
      </c>
      <c r="L183" t="n">
        <v>1</v>
      </c>
      <c r="M183" t="n">
        <v>2007</v>
      </c>
      <c r="N183" t="n">
        <v>1</v>
      </c>
      <c r="O183" t="n">
        <v>0.05</v>
      </c>
      <c r="P183" t="n">
        <v>9000</v>
      </c>
      <c r="Q183" t="n">
        <v>41</v>
      </c>
      <c r="R183" t="n">
        <v>1</v>
      </c>
      <c r="S183" t="inlineStr">
        <is>
          <t>2001,2002</t>
        </is>
      </c>
      <c r="T183" t="n">
        <v>6</v>
      </c>
      <c r="U183" t="n">
        <v>0.5</v>
      </c>
      <c r="V183" t="n">
        <v>1000</v>
      </c>
      <c r="W183" t="n">
        <v>1855</v>
      </c>
      <c r="X183" t="n">
        <v>1</v>
      </c>
      <c r="Y183" t="n">
        <v>2006</v>
      </c>
      <c r="Z183" t="n">
        <v>1</v>
      </c>
      <c r="AA183" t="n">
        <v>0.03</v>
      </c>
    </row>
    <row r="184">
      <c r="A184" t="n">
        <v>1182</v>
      </c>
      <c r="B184" t="inlineStr">
        <is>
          <t>40036,40038</t>
        </is>
      </c>
      <c r="C184" t="n">
        <v>92</v>
      </c>
      <c r="D1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4" t="n">
        <v>1</v>
      </c>
      <c r="F184" t="n">
        <v>0.07199999999999999</v>
      </c>
      <c r="G184" t="n">
        <v>8001</v>
      </c>
      <c r="H184" t="n">
        <v>120</v>
      </c>
      <c r="I184" t="n">
        <v>1</v>
      </c>
      <c r="J184" t="n">
        <v>8000</v>
      </c>
      <c r="K184" t="n">
        <v>180</v>
      </c>
      <c r="L184" t="n">
        <v>1</v>
      </c>
      <c r="M184" t="n">
        <v>2007</v>
      </c>
      <c r="N184" t="n">
        <v>1</v>
      </c>
      <c r="O184" t="n">
        <v>0.05</v>
      </c>
      <c r="P184" t="n">
        <v>9000</v>
      </c>
      <c r="Q184" t="n">
        <v>41</v>
      </c>
      <c r="R184" t="n">
        <v>1</v>
      </c>
      <c r="S184" t="inlineStr">
        <is>
          <t>2001,2002</t>
        </is>
      </c>
      <c r="T184" t="n">
        <v>6</v>
      </c>
      <c r="U184" t="n">
        <v>0.5</v>
      </c>
      <c r="V184" t="n">
        <v>1000</v>
      </c>
      <c r="W184" t="n">
        <v>1865</v>
      </c>
      <c r="X184" t="n">
        <v>1</v>
      </c>
      <c r="Y184" t="n">
        <v>2006</v>
      </c>
      <c r="Z184" t="n">
        <v>1</v>
      </c>
      <c r="AA184" t="n">
        <v>0.03</v>
      </c>
    </row>
    <row r="185">
      <c r="A185" t="n">
        <v>1183</v>
      </c>
      <c r="B185" t="inlineStr">
        <is>
          <t>40038,40039,40037</t>
        </is>
      </c>
      <c r="C185" t="n">
        <v>92</v>
      </c>
      <c r="D1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5" t="n">
        <v>1</v>
      </c>
      <c r="F185" t="n">
        <v>0.07199999999999999</v>
      </c>
      <c r="G185" t="n">
        <v>8001</v>
      </c>
      <c r="H185" t="n">
        <v>120</v>
      </c>
      <c r="I185" t="n">
        <v>1</v>
      </c>
      <c r="J185" t="n">
        <v>8000</v>
      </c>
      <c r="K185" t="n">
        <v>180</v>
      </c>
      <c r="L185" t="n">
        <v>1</v>
      </c>
      <c r="M185" t="n">
        <v>2007</v>
      </c>
      <c r="N185" t="n">
        <v>1</v>
      </c>
      <c r="O185" t="n">
        <v>0.05</v>
      </c>
      <c r="P185" t="n">
        <v>9000</v>
      </c>
      <c r="Q185" t="n">
        <v>41</v>
      </c>
      <c r="R185" t="n">
        <v>1</v>
      </c>
      <c r="S185" t="inlineStr">
        <is>
          <t>2001,2002</t>
        </is>
      </c>
      <c r="T185" t="n">
        <v>6</v>
      </c>
      <c r="U185" t="n">
        <v>0.5</v>
      </c>
      <c r="V185" t="n">
        <v>1000</v>
      </c>
      <c r="W185" t="n">
        <v>1880</v>
      </c>
      <c r="X185" t="n">
        <v>1</v>
      </c>
      <c r="Y185" t="n">
        <v>2006</v>
      </c>
      <c r="Z185" t="n">
        <v>1</v>
      </c>
      <c r="AA185" t="n">
        <v>0.03</v>
      </c>
    </row>
    <row r="186">
      <c r="A186" t="n">
        <v>1184</v>
      </c>
      <c r="B186" t="inlineStr">
        <is>
          <t>40039,40038,40037</t>
        </is>
      </c>
      <c r="C186" t="n">
        <v>93</v>
      </c>
      <c r="D1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6" t="n">
        <v>1</v>
      </c>
      <c r="F186" t="n">
        <v>0.073</v>
      </c>
      <c r="G186" t="n">
        <v>8001</v>
      </c>
      <c r="H186" t="n">
        <v>120</v>
      </c>
      <c r="I186" t="n">
        <v>1</v>
      </c>
      <c r="J186" t="n">
        <v>8000</v>
      </c>
      <c r="K186" t="n">
        <v>180</v>
      </c>
      <c r="L186" t="n">
        <v>1</v>
      </c>
      <c r="M186" t="n">
        <v>2007</v>
      </c>
      <c r="N186" t="n">
        <v>1</v>
      </c>
      <c r="O186" t="n">
        <v>0.05</v>
      </c>
      <c r="P186" t="n">
        <v>9000</v>
      </c>
      <c r="Q186" t="n">
        <v>42</v>
      </c>
      <c r="R186" t="n">
        <v>1</v>
      </c>
      <c r="S186" t="inlineStr">
        <is>
          <t>2001,2002</t>
        </is>
      </c>
      <c r="T186" t="n">
        <v>6</v>
      </c>
      <c r="U186" t="n">
        <v>0.5</v>
      </c>
      <c r="V186" t="n">
        <v>1000</v>
      </c>
      <c r="W186" t="n">
        <v>1890</v>
      </c>
      <c r="X186" t="n">
        <v>1</v>
      </c>
      <c r="Y186" t="n">
        <v>2006</v>
      </c>
      <c r="Z186" t="n">
        <v>1</v>
      </c>
      <c r="AA186" t="n">
        <v>0.03</v>
      </c>
    </row>
    <row r="187">
      <c r="A187" t="n">
        <v>1185</v>
      </c>
      <c r="B187" t="inlineStr">
        <is>
          <t>40036,40038,40037,40034</t>
        </is>
      </c>
      <c r="C187" t="n">
        <v>93</v>
      </c>
      <c r="D1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7" t="n">
        <v>1</v>
      </c>
      <c r="F187" t="n">
        <v>0.073</v>
      </c>
      <c r="G187" t="n">
        <v>8001</v>
      </c>
      <c r="H187" t="n">
        <v>120</v>
      </c>
      <c r="I187" t="n">
        <v>1</v>
      </c>
      <c r="J187" t="n">
        <v>8000</v>
      </c>
      <c r="K187" t="n">
        <v>185</v>
      </c>
      <c r="L187" t="n">
        <v>1</v>
      </c>
      <c r="M187" t="n">
        <v>2007</v>
      </c>
      <c r="N187" t="n">
        <v>1</v>
      </c>
      <c r="O187" t="n">
        <v>0.05</v>
      </c>
      <c r="P187" t="n">
        <v>9000</v>
      </c>
      <c r="Q187" t="n">
        <v>42</v>
      </c>
      <c r="R187" t="n">
        <v>1</v>
      </c>
      <c r="S187" t="inlineStr">
        <is>
          <t>2001,2002</t>
        </is>
      </c>
      <c r="T187" t="n">
        <v>6</v>
      </c>
      <c r="U187" t="n">
        <v>0.5</v>
      </c>
      <c r="V187" t="n">
        <v>1000</v>
      </c>
      <c r="W187" t="n">
        <v>1905</v>
      </c>
      <c r="X187" t="n">
        <v>1</v>
      </c>
      <c r="Y187" t="n">
        <v>2006</v>
      </c>
      <c r="Z187" t="n">
        <v>1</v>
      </c>
      <c r="AA187" t="n">
        <v>0.03</v>
      </c>
    </row>
    <row r="188">
      <c r="A188" t="n">
        <v>1186</v>
      </c>
      <c r="B188" t="inlineStr">
        <is>
          <t>40037,40038,40036,40034</t>
        </is>
      </c>
      <c r="C188" t="n">
        <v>94</v>
      </c>
      <c r="D1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8" t="n">
        <v>1</v>
      </c>
      <c r="F188" t="n">
        <v>0.073</v>
      </c>
      <c r="G188" t="n">
        <v>8001</v>
      </c>
      <c r="H188" t="n">
        <v>125</v>
      </c>
      <c r="I188" t="n">
        <v>1</v>
      </c>
      <c r="J188" t="n">
        <v>8000</v>
      </c>
      <c r="K188" t="n">
        <v>185</v>
      </c>
      <c r="L188" t="n">
        <v>1</v>
      </c>
      <c r="M188" t="n">
        <v>2007</v>
      </c>
      <c r="N188" t="n">
        <v>1</v>
      </c>
      <c r="O188" t="n">
        <v>0.05</v>
      </c>
      <c r="P188" t="n">
        <v>9000</v>
      </c>
      <c r="Q188" t="n">
        <v>42</v>
      </c>
      <c r="R188" t="n">
        <v>1</v>
      </c>
      <c r="S188" t="inlineStr">
        <is>
          <t>2001,2002</t>
        </is>
      </c>
      <c r="T188" t="n">
        <v>6</v>
      </c>
      <c r="U188" t="n">
        <v>0.5</v>
      </c>
      <c r="V188" t="n">
        <v>1000</v>
      </c>
      <c r="W188" t="n">
        <v>1915</v>
      </c>
      <c r="X188" t="n">
        <v>1</v>
      </c>
      <c r="Y188" t="n">
        <v>2006</v>
      </c>
      <c r="Z188" t="n">
        <v>1</v>
      </c>
      <c r="AA188" t="n">
        <v>0.03</v>
      </c>
    </row>
    <row r="189">
      <c r="A189" t="n">
        <v>1187</v>
      </c>
      <c r="B189" t="inlineStr">
        <is>
          <t>40038,40036,40039</t>
        </is>
      </c>
      <c r="C189" t="n">
        <v>94</v>
      </c>
      <c r="D1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9" t="n">
        <v>1</v>
      </c>
      <c r="F189" t="n">
        <v>0.073</v>
      </c>
      <c r="G189" t="n">
        <v>8001</v>
      </c>
      <c r="H189" t="n">
        <v>125</v>
      </c>
      <c r="I189" t="n">
        <v>1</v>
      </c>
      <c r="J189" t="n">
        <v>8000</v>
      </c>
      <c r="K189" t="n">
        <v>185</v>
      </c>
      <c r="L189" t="n">
        <v>1</v>
      </c>
      <c r="M189" t="n">
        <v>2007</v>
      </c>
      <c r="N189" t="n">
        <v>1</v>
      </c>
      <c r="O189" t="n">
        <v>0.05</v>
      </c>
      <c r="P189" t="n">
        <v>9000</v>
      </c>
      <c r="Q189" t="n">
        <v>42</v>
      </c>
      <c r="R189" t="n">
        <v>1</v>
      </c>
      <c r="S189" t="inlineStr">
        <is>
          <t>2001,2002</t>
        </is>
      </c>
      <c r="T189" t="n">
        <v>6</v>
      </c>
      <c r="U189" t="n">
        <v>0.5</v>
      </c>
      <c r="V189" t="n">
        <v>1000</v>
      </c>
      <c r="W189" t="n">
        <v>1925</v>
      </c>
      <c r="X189" t="n">
        <v>1</v>
      </c>
      <c r="Y189" t="n">
        <v>2006</v>
      </c>
      <c r="Z189" t="n">
        <v>1</v>
      </c>
      <c r="AA189" t="n">
        <v>0.03</v>
      </c>
    </row>
    <row r="190">
      <c r="A190" t="n">
        <v>1188</v>
      </c>
      <c r="B190" t="inlineStr">
        <is>
          <t>40036,40034,40039,40037,40038</t>
        </is>
      </c>
      <c r="C190" t="n">
        <v>95</v>
      </c>
      <c r="D1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0" t="n">
        <v>1</v>
      </c>
      <c r="F190" t="n">
        <v>0.073</v>
      </c>
      <c r="G190" t="n">
        <v>8001</v>
      </c>
      <c r="H190" t="n">
        <v>125</v>
      </c>
      <c r="I190" t="n">
        <v>1</v>
      </c>
      <c r="J190" t="n">
        <v>8000</v>
      </c>
      <c r="K190" t="n">
        <v>185</v>
      </c>
      <c r="L190" t="n">
        <v>1</v>
      </c>
      <c r="M190" t="n">
        <v>2007</v>
      </c>
      <c r="N190" t="n">
        <v>1</v>
      </c>
      <c r="O190" t="n">
        <v>0.05</v>
      </c>
      <c r="P190" t="n">
        <v>9000</v>
      </c>
      <c r="Q190" t="n">
        <v>43</v>
      </c>
      <c r="R190" t="n">
        <v>1</v>
      </c>
      <c r="S190" t="inlineStr">
        <is>
          <t>2001,2002</t>
        </is>
      </c>
      <c r="T190" t="n">
        <v>6</v>
      </c>
      <c r="U190" t="n">
        <v>0.5</v>
      </c>
      <c r="V190" t="n">
        <v>1000</v>
      </c>
      <c r="W190" t="n">
        <v>1940</v>
      </c>
      <c r="X190" t="n">
        <v>1</v>
      </c>
      <c r="Y190" t="n">
        <v>2006</v>
      </c>
      <c r="Z190" t="n">
        <v>1</v>
      </c>
      <c r="AA190" t="n">
        <v>0.03</v>
      </c>
    </row>
    <row r="191">
      <c r="A191" t="n">
        <v>1189</v>
      </c>
      <c r="B191" t="inlineStr">
        <is>
          <t>50007,40039,40034,40037,40036</t>
        </is>
      </c>
      <c r="C191" t="n">
        <v>95</v>
      </c>
      <c r="D1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1" t="n">
        <v>1</v>
      </c>
      <c r="F191" t="n">
        <v>0.074</v>
      </c>
      <c r="G191" t="n">
        <v>8001</v>
      </c>
      <c r="H191" t="n">
        <v>125</v>
      </c>
      <c r="I191" t="n">
        <v>1</v>
      </c>
      <c r="J191" t="n">
        <v>8000</v>
      </c>
      <c r="K191" t="n">
        <v>185</v>
      </c>
      <c r="L191" t="n">
        <v>1</v>
      </c>
      <c r="M191" t="n">
        <v>2007</v>
      </c>
      <c r="N191" t="n">
        <v>1</v>
      </c>
      <c r="O191" t="n">
        <v>0.05</v>
      </c>
      <c r="P191" t="n">
        <v>9000</v>
      </c>
      <c r="Q191" t="n">
        <v>43</v>
      </c>
      <c r="R191" t="n">
        <v>1</v>
      </c>
      <c r="S191" t="inlineStr">
        <is>
          <t>2001,2002</t>
        </is>
      </c>
      <c r="T191" t="n">
        <v>6</v>
      </c>
      <c r="U191" t="n">
        <v>0.5</v>
      </c>
      <c r="V191" t="n">
        <v>1000</v>
      </c>
      <c r="W191" t="n">
        <v>1950</v>
      </c>
      <c r="X191" t="n">
        <v>1</v>
      </c>
      <c r="Y191" t="n">
        <v>2006</v>
      </c>
      <c r="Z191" t="n">
        <v>1</v>
      </c>
      <c r="AA191" t="n">
        <v>0.03</v>
      </c>
    </row>
    <row r="192">
      <c r="A192" t="n">
        <v>1190</v>
      </c>
      <c r="B192" t="inlineStr">
        <is>
          <t>40040,40044</t>
        </is>
      </c>
      <c r="C192" t="n">
        <v>96</v>
      </c>
      <c r="D1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2" t="n">
        <v>1</v>
      </c>
      <c r="F192" t="n">
        <v>0.074</v>
      </c>
      <c r="G192" t="n">
        <v>8001</v>
      </c>
      <c r="H192" t="n">
        <v>125</v>
      </c>
      <c r="I192" t="n">
        <v>1</v>
      </c>
      <c r="J192" t="n">
        <v>8000</v>
      </c>
      <c r="K192" t="n">
        <v>190</v>
      </c>
      <c r="L192" t="n">
        <v>1</v>
      </c>
      <c r="M192" t="n">
        <v>2007</v>
      </c>
      <c r="N192" t="n">
        <v>1</v>
      </c>
      <c r="O192" t="n">
        <v>0.05</v>
      </c>
      <c r="P192" t="n">
        <v>9000</v>
      </c>
      <c r="Q192" t="n">
        <v>43</v>
      </c>
      <c r="R192" t="n">
        <v>1</v>
      </c>
      <c r="S192" t="inlineStr">
        <is>
          <t>2001,2002</t>
        </is>
      </c>
      <c r="T192" t="n">
        <v>6</v>
      </c>
      <c r="U192" t="n">
        <v>0.5</v>
      </c>
      <c r="V192" t="n">
        <v>1000</v>
      </c>
      <c r="W192" t="n">
        <v>1965</v>
      </c>
      <c r="X192" t="n">
        <v>1</v>
      </c>
      <c r="Y192" t="n">
        <v>2006</v>
      </c>
      <c r="Z192" t="n">
        <v>1</v>
      </c>
      <c r="AA192" t="n">
        <v>0.03</v>
      </c>
    </row>
    <row r="193">
      <c r="A193" t="n">
        <v>1191</v>
      </c>
      <c r="B193" t="inlineStr">
        <is>
          <t>40073,40044</t>
        </is>
      </c>
      <c r="C193" t="n">
        <v>96</v>
      </c>
      <c r="D1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3" t="n">
        <v>1</v>
      </c>
      <c r="F193" t="n">
        <v>0.074</v>
      </c>
      <c r="G193" t="n">
        <v>8001</v>
      </c>
      <c r="H193" t="n">
        <v>125</v>
      </c>
      <c r="I193" t="n">
        <v>1</v>
      </c>
      <c r="J193" t="n">
        <v>8000</v>
      </c>
      <c r="K193" t="n">
        <v>190</v>
      </c>
      <c r="L193" t="n">
        <v>1</v>
      </c>
      <c r="M193" t="n">
        <v>2007</v>
      </c>
      <c r="N193" t="n">
        <v>1</v>
      </c>
      <c r="O193" t="n">
        <v>0.05</v>
      </c>
      <c r="P193" t="n">
        <v>9000</v>
      </c>
      <c r="Q193" t="n">
        <v>44</v>
      </c>
      <c r="R193" t="n">
        <v>1</v>
      </c>
      <c r="S193" t="inlineStr">
        <is>
          <t>2001,2002</t>
        </is>
      </c>
      <c r="T193" t="n">
        <v>6</v>
      </c>
      <c r="U193" t="n">
        <v>0.5</v>
      </c>
      <c r="V193" t="n">
        <v>1000</v>
      </c>
      <c r="W193" t="n">
        <v>1975</v>
      </c>
      <c r="X193" t="n">
        <v>1</v>
      </c>
      <c r="Y193" t="n">
        <v>2006</v>
      </c>
      <c r="Z193" t="n">
        <v>1</v>
      </c>
      <c r="AA193" t="n">
        <v>0.03</v>
      </c>
    </row>
    <row r="194">
      <c r="A194" t="n">
        <v>1192</v>
      </c>
      <c r="B194" t="inlineStr">
        <is>
          <t>40073,40043</t>
        </is>
      </c>
      <c r="C194" t="n">
        <v>97</v>
      </c>
      <c r="D1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4" t="n">
        <v>1</v>
      </c>
      <c r="F194" t="n">
        <v>0.074</v>
      </c>
      <c r="G194" t="n">
        <v>8001</v>
      </c>
      <c r="H194" t="n">
        <v>125</v>
      </c>
      <c r="I194" t="n">
        <v>1</v>
      </c>
      <c r="J194" t="n">
        <v>8000</v>
      </c>
      <c r="K194" t="n">
        <v>190</v>
      </c>
      <c r="L194" t="n">
        <v>1</v>
      </c>
      <c r="M194" t="n">
        <v>2007</v>
      </c>
      <c r="N194" t="n">
        <v>1</v>
      </c>
      <c r="O194" t="n">
        <v>0.05</v>
      </c>
      <c r="P194" t="n">
        <v>9000</v>
      </c>
      <c r="Q194" t="n">
        <v>44</v>
      </c>
      <c r="R194" t="n">
        <v>1</v>
      </c>
      <c r="S194" t="inlineStr">
        <is>
          <t>2001,2002</t>
        </is>
      </c>
      <c r="T194" t="n">
        <v>6</v>
      </c>
      <c r="U194" t="n">
        <v>0.5</v>
      </c>
      <c r="V194" t="n">
        <v>1000</v>
      </c>
      <c r="W194" t="n">
        <v>1990</v>
      </c>
      <c r="X194" t="n">
        <v>1</v>
      </c>
      <c r="Y194" t="n">
        <v>2006</v>
      </c>
      <c r="Z194" t="n">
        <v>1</v>
      </c>
      <c r="AA194" t="n">
        <v>0.03</v>
      </c>
    </row>
    <row r="195">
      <c r="A195" t="n">
        <v>1193</v>
      </c>
      <c r="B195" t="inlineStr">
        <is>
          <t>40040</t>
        </is>
      </c>
      <c r="C195" t="n">
        <v>97</v>
      </c>
      <c r="D1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5" t="n">
        <v>1</v>
      </c>
      <c r="F195" t="n">
        <v>0.074</v>
      </c>
      <c r="G195" t="n">
        <v>8001</v>
      </c>
      <c r="H195" t="n">
        <v>130</v>
      </c>
      <c r="I195" t="n">
        <v>1</v>
      </c>
      <c r="J195" t="n">
        <v>8000</v>
      </c>
      <c r="K195" t="n">
        <v>190</v>
      </c>
      <c r="L195" t="n">
        <v>1</v>
      </c>
      <c r="M195" t="n">
        <v>2007</v>
      </c>
      <c r="N195" t="n">
        <v>1</v>
      </c>
      <c r="O195" t="n">
        <v>0.05</v>
      </c>
      <c r="P195" t="n">
        <v>9000</v>
      </c>
      <c r="Q195" t="n">
        <v>44</v>
      </c>
      <c r="R195" t="n">
        <v>1</v>
      </c>
      <c r="S195" t="inlineStr">
        <is>
          <t>2001,2002</t>
        </is>
      </c>
      <c r="T195" t="n">
        <v>6</v>
      </c>
      <c r="U195" t="n">
        <v>0.5</v>
      </c>
      <c r="V195" t="n">
        <v>1000</v>
      </c>
      <c r="W195" t="n">
        <v>2000</v>
      </c>
      <c r="X195" t="n">
        <v>1</v>
      </c>
      <c r="Y195" t="n">
        <v>2006</v>
      </c>
      <c r="Z195" t="n">
        <v>1</v>
      </c>
      <c r="AA195" t="n">
        <v>0.03</v>
      </c>
    </row>
    <row r="196">
      <c r="A196" t="n">
        <v>1194</v>
      </c>
      <c r="B196" t="inlineStr">
        <is>
          <t>40043,40041</t>
        </is>
      </c>
      <c r="C196" t="n">
        <v>98</v>
      </c>
      <c r="D1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6" t="n">
        <v>1</v>
      </c>
      <c r="F196" t="n">
        <v>0.075</v>
      </c>
      <c r="G196" t="n">
        <v>8001</v>
      </c>
      <c r="H196" t="n">
        <v>130</v>
      </c>
      <c r="I196" t="n">
        <v>1</v>
      </c>
      <c r="J196" t="n">
        <v>8000</v>
      </c>
      <c r="K196" t="n">
        <v>195</v>
      </c>
      <c r="L196" t="n">
        <v>1</v>
      </c>
      <c r="M196" t="n">
        <v>2007</v>
      </c>
      <c r="N196" t="n">
        <v>1</v>
      </c>
      <c r="O196" t="n">
        <v>0.05</v>
      </c>
      <c r="P196" t="n">
        <v>9000</v>
      </c>
      <c r="Q196" t="n">
        <v>45</v>
      </c>
      <c r="R196" t="n">
        <v>1</v>
      </c>
      <c r="S196" t="inlineStr">
        <is>
          <t>2001,2002</t>
        </is>
      </c>
      <c r="T196" t="n">
        <v>6</v>
      </c>
      <c r="U196" t="n">
        <v>0.5</v>
      </c>
      <c r="V196" t="n">
        <v>1000</v>
      </c>
      <c r="W196" t="n">
        <v>2015</v>
      </c>
      <c r="X196" t="n">
        <v>1</v>
      </c>
      <c r="Y196" t="n">
        <v>2006</v>
      </c>
      <c r="Z196" t="n">
        <v>1</v>
      </c>
      <c r="AA196" t="n">
        <v>0.03</v>
      </c>
    </row>
    <row r="197">
      <c r="A197" t="n">
        <v>1195</v>
      </c>
      <c r="B197" t="inlineStr">
        <is>
          <t>40041,40040,40073</t>
        </is>
      </c>
      <c r="C197" t="n">
        <v>98</v>
      </c>
      <c r="D1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7" t="n">
        <v>1</v>
      </c>
      <c r="F197" t="n">
        <v>0.075</v>
      </c>
      <c r="G197" t="n">
        <v>8001</v>
      </c>
      <c r="H197" t="n">
        <v>130</v>
      </c>
      <c r="I197" t="n">
        <v>1</v>
      </c>
      <c r="J197" t="n">
        <v>8000</v>
      </c>
      <c r="K197" t="n">
        <v>195</v>
      </c>
      <c r="L197" t="n">
        <v>1</v>
      </c>
      <c r="M197" t="n">
        <v>2007</v>
      </c>
      <c r="N197" t="n">
        <v>1</v>
      </c>
      <c r="O197" t="n">
        <v>0.05</v>
      </c>
      <c r="P197" t="n">
        <v>9000</v>
      </c>
      <c r="Q197" t="n">
        <v>45</v>
      </c>
      <c r="R197" t="n">
        <v>1</v>
      </c>
      <c r="S197" t="inlineStr">
        <is>
          <t>2001,2002</t>
        </is>
      </c>
      <c r="T197" t="n">
        <v>6</v>
      </c>
      <c r="U197" t="n">
        <v>0.5</v>
      </c>
      <c r="V197" t="n">
        <v>1000</v>
      </c>
      <c r="W197" t="n">
        <v>2025</v>
      </c>
      <c r="X197" t="n">
        <v>1</v>
      </c>
      <c r="Y197" t="n">
        <v>2006</v>
      </c>
      <c r="Z197" t="n">
        <v>1</v>
      </c>
      <c r="AA197" t="n">
        <v>0.03</v>
      </c>
    </row>
    <row r="198">
      <c r="A198" t="n">
        <v>1196</v>
      </c>
      <c r="B198" t="inlineStr">
        <is>
          <t>40041,40044,40073</t>
        </is>
      </c>
      <c r="C198" t="n">
        <v>99</v>
      </c>
      <c r="D1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8" t="n">
        <v>1</v>
      </c>
      <c r="F198" t="n">
        <v>0.075</v>
      </c>
      <c r="G198" t="n">
        <v>8001</v>
      </c>
      <c r="H198" t="n">
        <v>130</v>
      </c>
      <c r="I198" t="n">
        <v>1</v>
      </c>
      <c r="J198" t="n">
        <v>8000</v>
      </c>
      <c r="K198" t="n">
        <v>195</v>
      </c>
      <c r="L198" t="n">
        <v>1</v>
      </c>
      <c r="M198" t="n">
        <v>2007</v>
      </c>
      <c r="N198" t="n">
        <v>1</v>
      </c>
      <c r="O198" t="n">
        <v>0.05</v>
      </c>
      <c r="P198" t="n">
        <v>9000</v>
      </c>
      <c r="Q198" t="n">
        <v>45</v>
      </c>
      <c r="R198" t="n">
        <v>1</v>
      </c>
      <c r="S198" t="inlineStr">
        <is>
          <t>2001,2002</t>
        </is>
      </c>
      <c r="T198" t="n">
        <v>7</v>
      </c>
      <c r="U198" t="n">
        <v>0.5</v>
      </c>
      <c r="V198" t="n">
        <v>1000</v>
      </c>
      <c r="W198" t="n">
        <v>2040</v>
      </c>
      <c r="X198" t="n">
        <v>1</v>
      </c>
      <c r="Y198" t="n">
        <v>2006</v>
      </c>
      <c r="Z198" t="n">
        <v>1</v>
      </c>
      <c r="AA198" t="n">
        <v>0.03</v>
      </c>
    </row>
    <row r="199">
      <c r="A199" t="n">
        <v>1197</v>
      </c>
      <c r="B199" t="inlineStr">
        <is>
          <t>40073,40040,40044</t>
        </is>
      </c>
      <c r="C199" t="n">
        <v>99</v>
      </c>
      <c r="D1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9" t="n">
        <v>1</v>
      </c>
      <c r="F199" t="n">
        <v>0.075</v>
      </c>
      <c r="G199" t="n">
        <v>8001</v>
      </c>
      <c r="H199" t="n">
        <v>130</v>
      </c>
      <c r="I199" t="n">
        <v>1</v>
      </c>
      <c r="J199" t="n">
        <v>8000</v>
      </c>
      <c r="K199" t="n">
        <v>195</v>
      </c>
      <c r="L199" t="n">
        <v>1</v>
      </c>
      <c r="M199" t="n">
        <v>2007</v>
      </c>
      <c r="N199" t="n">
        <v>1</v>
      </c>
      <c r="O199" t="n">
        <v>0.05</v>
      </c>
      <c r="P199" t="n">
        <v>9000</v>
      </c>
      <c r="Q199" t="n">
        <v>45</v>
      </c>
      <c r="R199" t="n">
        <v>1</v>
      </c>
      <c r="S199" t="inlineStr">
        <is>
          <t>2001,2002</t>
        </is>
      </c>
      <c r="T199" t="n">
        <v>7</v>
      </c>
      <c r="U199" t="n">
        <v>0.5</v>
      </c>
      <c r="V199" t="n">
        <v>1000</v>
      </c>
      <c r="W199" t="n">
        <v>2050</v>
      </c>
      <c r="X199" t="n">
        <v>1</v>
      </c>
      <c r="Y199" t="n">
        <v>2006</v>
      </c>
      <c r="Z199" t="n">
        <v>1</v>
      </c>
      <c r="AA199" t="n">
        <v>0.03</v>
      </c>
    </row>
    <row r="200">
      <c r="A200" t="n">
        <v>1198</v>
      </c>
      <c r="B200" t="inlineStr">
        <is>
          <t>40044,40041,40040</t>
        </is>
      </c>
      <c r="C200" t="n">
        <v>100</v>
      </c>
      <c r="D2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0" t="n">
        <v>1</v>
      </c>
      <c r="F200" t="n">
        <v>0.076</v>
      </c>
      <c r="G200" t="n">
        <v>8001</v>
      </c>
      <c r="H200" t="n">
        <v>130</v>
      </c>
      <c r="I200" t="n">
        <v>1</v>
      </c>
      <c r="J200" t="n">
        <v>8000</v>
      </c>
      <c r="K200" t="n">
        <v>200</v>
      </c>
      <c r="L200" t="n">
        <v>1</v>
      </c>
      <c r="M200" t="n">
        <v>2007</v>
      </c>
      <c r="N200" t="n">
        <v>1</v>
      </c>
      <c r="O200" t="n">
        <v>0.05</v>
      </c>
      <c r="P200" t="n">
        <v>9000</v>
      </c>
      <c r="Q200" t="n">
        <v>46</v>
      </c>
      <c r="R200" t="n">
        <v>1</v>
      </c>
      <c r="S200" t="inlineStr">
        <is>
          <t>2001,2002</t>
        </is>
      </c>
      <c r="T200" t="n">
        <v>7</v>
      </c>
      <c r="U200" t="n">
        <v>0.5</v>
      </c>
      <c r="V200" t="n">
        <v>1000</v>
      </c>
      <c r="W200" t="n">
        <v>2065</v>
      </c>
      <c r="X200" t="n">
        <v>1</v>
      </c>
      <c r="Y200" t="n">
        <v>2006</v>
      </c>
      <c r="Z200" t="n">
        <v>1</v>
      </c>
      <c r="AA200" t="n">
        <v>0.03</v>
      </c>
    </row>
    <row r="201">
      <c r="A201" t="n">
        <v>1199</v>
      </c>
      <c r="B201" t="inlineStr">
        <is>
          <t>40041,40073,40040</t>
        </is>
      </c>
      <c r="C201" t="n">
        <v>100</v>
      </c>
      <c r="D2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1" t="n">
        <v>1</v>
      </c>
      <c r="F201" t="n">
        <v>0.076</v>
      </c>
      <c r="G201" t="n">
        <v>8001</v>
      </c>
      <c r="H201" t="n">
        <v>135</v>
      </c>
      <c r="I201" t="n">
        <v>1</v>
      </c>
      <c r="J201" t="n">
        <v>8000</v>
      </c>
      <c r="K201" t="n">
        <v>200</v>
      </c>
      <c r="L201" t="n">
        <v>1</v>
      </c>
      <c r="M201" t="n">
        <v>2007</v>
      </c>
      <c r="N201" t="n">
        <v>1</v>
      </c>
      <c r="O201" t="n">
        <v>0.05</v>
      </c>
      <c r="P201" t="n">
        <v>9000</v>
      </c>
      <c r="Q201" t="n">
        <v>46</v>
      </c>
      <c r="R201" t="n">
        <v>1</v>
      </c>
      <c r="S201" t="inlineStr">
        <is>
          <t>2001,2002</t>
        </is>
      </c>
      <c r="T201" t="n">
        <v>7</v>
      </c>
      <c r="U201" t="n">
        <v>0.5</v>
      </c>
      <c r="V201" t="n">
        <v>1000</v>
      </c>
      <c r="W201" t="n">
        <v>2075</v>
      </c>
      <c r="X201" t="n">
        <v>1</v>
      </c>
      <c r="Y201" t="n">
        <v>2006</v>
      </c>
      <c r="Z201" t="n">
        <v>1</v>
      </c>
      <c r="AA201" t="n">
        <v>0.03</v>
      </c>
    </row>
    <row r="202">
      <c r="A202" t="n">
        <v>1200</v>
      </c>
      <c r="B202" t="inlineStr">
        <is>
          <t>40041,40044</t>
        </is>
      </c>
      <c r="C202" t="n">
        <v>101</v>
      </c>
      <c r="D2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2" t="n">
        <v>1</v>
      </c>
      <c r="F202" t="n">
        <v>0.076</v>
      </c>
      <c r="G202" t="n">
        <v>8001</v>
      </c>
      <c r="H202" t="n">
        <v>135</v>
      </c>
      <c r="I202" t="n">
        <v>1</v>
      </c>
      <c r="J202" t="n">
        <v>8000</v>
      </c>
      <c r="K202" t="n">
        <v>200</v>
      </c>
      <c r="L202" t="n">
        <v>1</v>
      </c>
      <c r="M202" t="n">
        <v>2007</v>
      </c>
      <c r="N202" t="n">
        <v>1</v>
      </c>
      <c r="O202" t="n">
        <v>0.05</v>
      </c>
      <c r="P202" t="n">
        <v>9000</v>
      </c>
      <c r="Q202" t="n">
        <v>46</v>
      </c>
      <c r="R202" t="n">
        <v>1</v>
      </c>
      <c r="S202" t="inlineStr">
        <is>
          <t>2001,2002</t>
        </is>
      </c>
      <c r="T202" t="n">
        <v>7</v>
      </c>
      <c r="U202" t="n">
        <v>0.5</v>
      </c>
      <c r="V202" t="n">
        <v>1000</v>
      </c>
      <c r="W202" t="n">
        <v>2090</v>
      </c>
      <c r="X202" t="n">
        <v>1</v>
      </c>
      <c r="Y202" t="n">
        <v>2006</v>
      </c>
      <c r="Z202" t="n">
        <v>1</v>
      </c>
      <c r="AA202" t="n">
        <v>0.03</v>
      </c>
    </row>
    <row r="203">
      <c r="A203" t="n">
        <v>1201</v>
      </c>
      <c r="B203" t="inlineStr">
        <is>
          <t>40044,40043</t>
        </is>
      </c>
      <c r="C203" t="n">
        <v>101</v>
      </c>
      <c r="D2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3" t="n">
        <v>1</v>
      </c>
      <c r="F203" t="n">
        <v>0.076</v>
      </c>
      <c r="G203" t="n">
        <v>8001</v>
      </c>
      <c r="H203" t="n">
        <v>135</v>
      </c>
      <c r="I203" t="n">
        <v>1</v>
      </c>
      <c r="J203" t="n">
        <v>8000</v>
      </c>
      <c r="K203" t="n">
        <v>200</v>
      </c>
      <c r="L203" t="n">
        <v>1</v>
      </c>
      <c r="M203" t="n">
        <v>2007</v>
      </c>
      <c r="N203" t="n">
        <v>1</v>
      </c>
      <c r="O203" t="n">
        <v>0.05</v>
      </c>
      <c r="P203" t="n">
        <v>9000</v>
      </c>
      <c r="Q203" t="n">
        <v>47</v>
      </c>
      <c r="R203" t="n">
        <v>1</v>
      </c>
      <c r="S203" t="inlineStr">
        <is>
          <t>2001,2002</t>
        </is>
      </c>
      <c r="T203" t="n">
        <v>7</v>
      </c>
      <c r="U203" t="n">
        <v>0.5</v>
      </c>
      <c r="V203" t="n">
        <v>1000</v>
      </c>
      <c r="W203" t="n">
        <v>2100</v>
      </c>
      <c r="X203" t="n">
        <v>1</v>
      </c>
      <c r="Y203" t="n">
        <v>2006</v>
      </c>
      <c r="Z203" t="n">
        <v>1</v>
      </c>
      <c r="AA203" t="n">
        <v>0.03</v>
      </c>
    </row>
    <row r="204">
      <c r="A204" t="n">
        <v>1202</v>
      </c>
      <c r="B204" t="inlineStr">
        <is>
          <t>40041,40040,40073,40044</t>
        </is>
      </c>
      <c r="C204" t="n">
        <v>102</v>
      </c>
      <c r="D2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4" t="n">
        <v>1</v>
      </c>
      <c r="F204" t="n">
        <v>0.076</v>
      </c>
      <c r="G204" t="n">
        <v>8001</v>
      </c>
      <c r="H204" t="n">
        <v>135</v>
      </c>
      <c r="I204" t="n">
        <v>1</v>
      </c>
      <c r="J204" t="n">
        <v>8000</v>
      </c>
      <c r="K204" t="n">
        <v>205</v>
      </c>
      <c r="L204" t="n">
        <v>1</v>
      </c>
      <c r="M204" t="n">
        <v>2007</v>
      </c>
      <c r="N204" t="n">
        <v>1</v>
      </c>
      <c r="O204" t="n">
        <v>0.05</v>
      </c>
      <c r="P204" t="n">
        <v>9000</v>
      </c>
      <c r="Q204" t="n">
        <v>47</v>
      </c>
      <c r="R204" t="n">
        <v>1</v>
      </c>
      <c r="S204" t="inlineStr">
        <is>
          <t>2001,2002</t>
        </is>
      </c>
      <c r="T204" t="n">
        <v>7</v>
      </c>
      <c r="U204" t="n">
        <v>0.5</v>
      </c>
      <c r="V204" t="n">
        <v>1000</v>
      </c>
      <c r="W204" t="n">
        <v>2115</v>
      </c>
      <c r="X204" t="n">
        <v>1</v>
      </c>
      <c r="Y204" t="n">
        <v>2006</v>
      </c>
      <c r="Z204" t="n">
        <v>1</v>
      </c>
      <c r="AA204" t="n">
        <v>0.03</v>
      </c>
    </row>
    <row r="205">
      <c r="A205" t="n">
        <v>1203</v>
      </c>
      <c r="B205" t="inlineStr">
        <is>
          <t>40041,40044,40040,40073</t>
        </is>
      </c>
      <c r="C205" t="n">
        <v>102</v>
      </c>
      <c r="D2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5" t="n">
        <v>1</v>
      </c>
      <c r="F205" t="n">
        <v>0.077</v>
      </c>
      <c r="G205" t="n">
        <v>8001</v>
      </c>
      <c r="H205" t="n">
        <v>135</v>
      </c>
      <c r="I205" t="n">
        <v>1</v>
      </c>
      <c r="J205" t="n">
        <v>8000</v>
      </c>
      <c r="K205" t="n">
        <v>205</v>
      </c>
      <c r="L205" t="n">
        <v>1</v>
      </c>
      <c r="M205" t="n">
        <v>2007</v>
      </c>
      <c r="N205" t="n">
        <v>1</v>
      </c>
      <c r="O205" t="n">
        <v>0.05</v>
      </c>
      <c r="P205" t="n">
        <v>9000</v>
      </c>
      <c r="Q205" t="n">
        <v>47</v>
      </c>
      <c r="R205" t="n">
        <v>1</v>
      </c>
      <c r="S205" t="inlineStr">
        <is>
          <t>2001,2002</t>
        </is>
      </c>
      <c r="T205" t="n">
        <v>7</v>
      </c>
      <c r="U205" t="n">
        <v>0.5</v>
      </c>
      <c r="V205" t="n">
        <v>1000</v>
      </c>
      <c r="W205" t="n">
        <v>2125</v>
      </c>
      <c r="X205" t="n">
        <v>1</v>
      </c>
      <c r="Y205" t="n">
        <v>2006</v>
      </c>
      <c r="Z205" t="n">
        <v>1</v>
      </c>
      <c r="AA205" t="n">
        <v>0.03</v>
      </c>
    </row>
    <row r="206">
      <c r="A206" t="n">
        <v>1204</v>
      </c>
      <c r="B206" t="inlineStr">
        <is>
          <t>40041,40040,40073</t>
        </is>
      </c>
      <c r="C206" t="n">
        <v>103</v>
      </c>
      <c r="D2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6" t="n">
        <v>1</v>
      </c>
      <c r="F206" t="n">
        <v>0.077</v>
      </c>
      <c r="G206" t="n">
        <v>8001</v>
      </c>
      <c r="H206" t="n">
        <v>135</v>
      </c>
      <c r="I206" t="n">
        <v>1</v>
      </c>
      <c r="J206" t="n">
        <v>8000</v>
      </c>
      <c r="K206" t="n">
        <v>205</v>
      </c>
      <c r="L206" t="n">
        <v>1</v>
      </c>
      <c r="M206" t="n">
        <v>2007</v>
      </c>
      <c r="N206" t="n">
        <v>1</v>
      </c>
      <c r="O206" t="n">
        <v>0.05</v>
      </c>
      <c r="P206" t="n">
        <v>9000</v>
      </c>
      <c r="Q206" t="n">
        <v>48</v>
      </c>
      <c r="R206" t="n">
        <v>1</v>
      </c>
      <c r="S206" t="inlineStr">
        <is>
          <t>2001,2002</t>
        </is>
      </c>
      <c r="T206" t="n">
        <v>7</v>
      </c>
      <c r="U206" t="n">
        <v>0.5</v>
      </c>
      <c r="V206" t="n">
        <v>1000</v>
      </c>
      <c r="W206" t="n">
        <v>2140</v>
      </c>
      <c r="X206" t="n">
        <v>1</v>
      </c>
      <c r="Y206" t="n">
        <v>2006</v>
      </c>
      <c r="Z206" t="n">
        <v>1</v>
      </c>
      <c r="AA206" t="n">
        <v>0.03</v>
      </c>
    </row>
    <row r="207">
      <c r="A207" t="n">
        <v>1205</v>
      </c>
      <c r="B207" t="inlineStr">
        <is>
          <t>40073,40040</t>
        </is>
      </c>
      <c r="C207" t="n">
        <v>103</v>
      </c>
      <c r="D2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7" t="n">
        <v>1</v>
      </c>
      <c r="F207" t="n">
        <v>0.077</v>
      </c>
      <c r="G207" t="n">
        <v>8001</v>
      </c>
      <c r="H207" t="n">
        <v>140</v>
      </c>
      <c r="I207" t="n">
        <v>1</v>
      </c>
      <c r="J207" t="n">
        <v>8000</v>
      </c>
      <c r="K207" t="n">
        <v>205</v>
      </c>
      <c r="L207" t="n">
        <v>1</v>
      </c>
      <c r="M207" t="n">
        <v>2007</v>
      </c>
      <c r="N207" t="n">
        <v>1</v>
      </c>
      <c r="O207" t="n">
        <v>0.05</v>
      </c>
      <c r="P207" t="n">
        <v>9000</v>
      </c>
      <c r="Q207" t="n">
        <v>48</v>
      </c>
      <c r="R207" t="n">
        <v>1</v>
      </c>
      <c r="S207" t="inlineStr">
        <is>
          <t>2001,2002</t>
        </is>
      </c>
      <c r="T207" t="n">
        <v>7</v>
      </c>
      <c r="U207" t="n">
        <v>0.5</v>
      </c>
      <c r="V207" t="n">
        <v>1000</v>
      </c>
      <c r="W207" t="n">
        <v>2150</v>
      </c>
      <c r="X207" t="n">
        <v>1</v>
      </c>
      <c r="Y207" t="n">
        <v>2006</v>
      </c>
      <c r="Z207" t="n">
        <v>1</v>
      </c>
      <c r="AA207" t="n">
        <v>0.03</v>
      </c>
    </row>
    <row r="208">
      <c r="A208" t="n">
        <v>1206</v>
      </c>
      <c r="B208" t="inlineStr">
        <is>
          <t>40040,40041,40043,40044</t>
        </is>
      </c>
      <c r="C208" t="n">
        <v>104</v>
      </c>
      <c r="D2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8" t="n">
        <v>1</v>
      </c>
      <c r="F208" t="n">
        <v>0.077</v>
      </c>
      <c r="G208" t="n">
        <v>8001</v>
      </c>
      <c r="H208" t="n">
        <v>140</v>
      </c>
      <c r="I208" t="n">
        <v>1</v>
      </c>
      <c r="J208" t="n">
        <v>8000</v>
      </c>
      <c r="K208" t="n">
        <v>210</v>
      </c>
      <c r="L208" t="n">
        <v>1</v>
      </c>
      <c r="M208" t="n">
        <v>2007</v>
      </c>
      <c r="N208" t="n">
        <v>1</v>
      </c>
      <c r="O208" t="n">
        <v>0.05</v>
      </c>
      <c r="P208" t="n">
        <v>9000</v>
      </c>
      <c r="Q208" t="n">
        <v>48</v>
      </c>
      <c r="R208" t="n">
        <v>1</v>
      </c>
      <c r="S208" t="inlineStr">
        <is>
          <t>2001,2002</t>
        </is>
      </c>
      <c r="T208" t="n">
        <v>7</v>
      </c>
      <c r="U208" t="n">
        <v>0.5</v>
      </c>
      <c r="V208" t="n">
        <v>1000</v>
      </c>
      <c r="W208" t="n">
        <v>2165</v>
      </c>
      <c r="X208" t="n">
        <v>1</v>
      </c>
      <c r="Y208" t="n">
        <v>2006</v>
      </c>
      <c r="Z208" t="n">
        <v>1</v>
      </c>
      <c r="AA208" t="n">
        <v>0.03</v>
      </c>
    </row>
    <row r="209">
      <c r="A209" t="n">
        <v>1207</v>
      </c>
      <c r="B209" t="inlineStr">
        <is>
          <t>40073,40040,40044,40043</t>
        </is>
      </c>
      <c r="C209" t="n">
        <v>104</v>
      </c>
      <c r="D2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9" t="n">
        <v>1</v>
      </c>
      <c r="F209" t="n">
        <v>0.078</v>
      </c>
      <c r="G209" t="n">
        <v>8001</v>
      </c>
      <c r="H209" t="n">
        <v>140</v>
      </c>
      <c r="I209" t="n">
        <v>1</v>
      </c>
      <c r="J209" t="n">
        <v>8000</v>
      </c>
      <c r="K209" t="n">
        <v>210</v>
      </c>
      <c r="L209" t="n">
        <v>1</v>
      </c>
      <c r="M209" t="n">
        <v>2007</v>
      </c>
      <c r="N209" t="n">
        <v>1</v>
      </c>
      <c r="O209" t="n">
        <v>0.05</v>
      </c>
      <c r="P209" t="n">
        <v>9000</v>
      </c>
      <c r="Q209" t="n">
        <v>49</v>
      </c>
      <c r="R209" t="n">
        <v>1</v>
      </c>
      <c r="S209" t="inlineStr">
        <is>
          <t>2001,2002</t>
        </is>
      </c>
      <c r="T209" t="n">
        <v>7</v>
      </c>
      <c r="U209" t="n">
        <v>0.5</v>
      </c>
      <c r="V209" t="n">
        <v>1000</v>
      </c>
      <c r="W209" t="n">
        <v>2175</v>
      </c>
      <c r="X209" t="n">
        <v>1</v>
      </c>
      <c r="Y209" t="n">
        <v>2006</v>
      </c>
      <c r="Z209" t="n">
        <v>1</v>
      </c>
      <c r="AA209" t="n">
        <v>0.03</v>
      </c>
    </row>
    <row r="210">
      <c r="A210" t="n">
        <v>1208</v>
      </c>
      <c r="B210" t="inlineStr">
        <is>
          <t>40073,40040,40041,40043,40044</t>
        </is>
      </c>
      <c r="C210" t="n">
        <v>105</v>
      </c>
      <c r="D2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0" t="n">
        <v>1</v>
      </c>
      <c r="F210" t="n">
        <v>0.078</v>
      </c>
      <c r="G210" t="n">
        <v>8001</v>
      </c>
      <c r="H210" t="n">
        <v>140</v>
      </c>
      <c r="I210" t="n">
        <v>1</v>
      </c>
      <c r="J210" t="n">
        <v>8000</v>
      </c>
      <c r="K210" t="n">
        <v>210</v>
      </c>
      <c r="L210" t="n">
        <v>1</v>
      </c>
      <c r="M210" t="n">
        <v>2007</v>
      </c>
      <c r="N210" t="n">
        <v>1</v>
      </c>
      <c r="O210" t="n">
        <v>0.05</v>
      </c>
      <c r="P210" t="n">
        <v>9000</v>
      </c>
      <c r="Q210" t="n">
        <v>49</v>
      </c>
      <c r="R210" t="n">
        <v>1</v>
      </c>
      <c r="S210" t="inlineStr">
        <is>
          <t>2001,2002</t>
        </is>
      </c>
      <c r="T210" t="n">
        <v>7</v>
      </c>
      <c r="U210" t="n">
        <v>0.5</v>
      </c>
      <c r="V210" t="n">
        <v>1000</v>
      </c>
      <c r="W210" t="n">
        <v>2190</v>
      </c>
      <c r="X210" t="n">
        <v>1</v>
      </c>
      <c r="Y210" t="n">
        <v>2006</v>
      </c>
      <c r="Z210" t="n">
        <v>1</v>
      </c>
      <c r="AA210" t="n">
        <v>0.03</v>
      </c>
    </row>
    <row r="211">
      <c r="A211" t="n">
        <v>1209</v>
      </c>
      <c r="B211" t="inlineStr">
        <is>
          <t>40044,40073,40043</t>
        </is>
      </c>
      <c r="C211" t="n">
        <v>105</v>
      </c>
      <c r="D2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1" t="n">
        <v>1</v>
      </c>
      <c r="F211" t="n">
        <v>0.078</v>
      </c>
      <c r="G211" t="n">
        <v>8001</v>
      </c>
      <c r="H211" t="n">
        <v>140</v>
      </c>
      <c r="I211" t="n">
        <v>1</v>
      </c>
      <c r="J211" t="n">
        <v>8000</v>
      </c>
      <c r="K211" t="n">
        <v>210</v>
      </c>
      <c r="L211" t="n">
        <v>1</v>
      </c>
      <c r="M211" t="n">
        <v>2007</v>
      </c>
      <c r="N211" t="n">
        <v>1</v>
      </c>
      <c r="O211" t="n">
        <v>0.05</v>
      </c>
      <c r="P211" t="n">
        <v>9000</v>
      </c>
      <c r="Q211" t="n">
        <v>49</v>
      </c>
      <c r="R211" t="n">
        <v>1</v>
      </c>
      <c r="S211" t="inlineStr">
        <is>
          <t>2001,2002</t>
        </is>
      </c>
      <c r="T211" t="n">
        <v>7</v>
      </c>
      <c r="U211" t="n">
        <v>0.5</v>
      </c>
      <c r="V211" t="n">
        <v>1000</v>
      </c>
      <c r="W211" t="n">
        <v>2200</v>
      </c>
      <c r="X211" t="n">
        <v>1</v>
      </c>
      <c r="Y211" t="n">
        <v>2006</v>
      </c>
      <c r="Z211" t="n">
        <v>1</v>
      </c>
      <c r="AA211" t="n">
        <v>0.03</v>
      </c>
    </row>
    <row r="212">
      <c r="A212" t="n">
        <v>1210</v>
      </c>
      <c r="B212" t="inlineStr">
        <is>
          <t>40040,40073,40041,40044</t>
        </is>
      </c>
      <c r="C212" t="n">
        <v>106</v>
      </c>
      <c r="D2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2" t="n">
        <v>1</v>
      </c>
      <c r="F212" t="n">
        <v>0.078</v>
      </c>
      <c r="G212" t="n">
        <v>8001</v>
      </c>
      <c r="H212" t="n">
        <v>140</v>
      </c>
      <c r="I212" t="n">
        <v>1</v>
      </c>
      <c r="J212" t="n">
        <v>8000</v>
      </c>
      <c r="K212" t="n">
        <v>215</v>
      </c>
      <c r="L212" t="n">
        <v>1</v>
      </c>
      <c r="M212" t="n">
        <v>2007</v>
      </c>
      <c r="N212" t="n">
        <v>1</v>
      </c>
      <c r="O212" t="n">
        <v>0.05</v>
      </c>
      <c r="P212" t="n">
        <v>9000</v>
      </c>
      <c r="Q212" t="n">
        <v>50</v>
      </c>
      <c r="R212" t="n">
        <v>1</v>
      </c>
      <c r="S212" t="inlineStr">
        <is>
          <t>2001,2002</t>
        </is>
      </c>
      <c r="T212" t="n">
        <v>7</v>
      </c>
      <c r="U212" t="n">
        <v>0.5</v>
      </c>
      <c r="V212" t="n">
        <v>1000</v>
      </c>
      <c r="W212" t="n">
        <v>2215</v>
      </c>
      <c r="X212" t="n">
        <v>1</v>
      </c>
      <c r="Y212" t="n">
        <v>2006</v>
      </c>
      <c r="Z212" t="n">
        <v>1</v>
      </c>
      <c r="AA212" t="n">
        <v>0.03</v>
      </c>
    </row>
    <row r="213">
      <c r="A213" t="n">
        <v>1211</v>
      </c>
      <c r="B213" t="inlineStr">
        <is>
          <t>40040,40043,40041,40044</t>
        </is>
      </c>
      <c r="C213" t="n">
        <v>106</v>
      </c>
      <c r="D2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3" t="n">
        <v>1</v>
      </c>
      <c r="F213" t="n">
        <v>0.078</v>
      </c>
      <c r="G213" t="n">
        <v>8001</v>
      </c>
      <c r="H213" t="n">
        <v>145</v>
      </c>
      <c r="I213" t="n">
        <v>1</v>
      </c>
      <c r="J213" t="n">
        <v>8000</v>
      </c>
      <c r="K213" t="n">
        <v>215</v>
      </c>
      <c r="L213" t="n">
        <v>1</v>
      </c>
      <c r="M213" t="n">
        <v>2007</v>
      </c>
      <c r="N213" t="n">
        <v>1</v>
      </c>
      <c r="O213" t="n">
        <v>0.05</v>
      </c>
      <c r="P213" t="n">
        <v>9000</v>
      </c>
      <c r="Q213" t="n">
        <v>50</v>
      </c>
      <c r="R213" t="n">
        <v>1</v>
      </c>
      <c r="S213" t="inlineStr">
        <is>
          <t>2001,2002</t>
        </is>
      </c>
      <c r="T213" t="n">
        <v>7</v>
      </c>
      <c r="U213" t="n">
        <v>0.5</v>
      </c>
      <c r="V213" t="n">
        <v>1000</v>
      </c>
      <c r="W213" t="n">
        <v>2225</v>
      </c>
      <c r="X213" t="n">
        <v>1</v>
      </c>
      <c r="Y213" t="n">
        <v>2006</v>
      </c>
      <c r="Z213" t="n">
        <v>1</v>
      </c>
      <c r="AA213" t="n">
        <v>0.03</v>
      </c>
    </row>
    <row r="214">
      <c r="A214" t="n">
        <v>1212</v>
      </c>
      <c r="B214" t="inlineStr">
        <is>
          <t>40043,40040,40041,40073</t>
        </is>
      </c>
      <c r="C214" t="n">
        <v>107</v>
      </c>
      <c r="D2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4" t="n">
        <v>1</v>
      </c>
      <c r="F214" t="n">
        <v>0.079</v>
      </c>
      <c r="G214" t="n">
        <v>8001</v>
      </c>
      <c r="H214" t="n">
        <v>145</v>
      </c>
      <c r="I214" t="n">
        <v>1</v>
      </c>
      <c r="J214" t="n">
        <v>8000</v>
      </c>
      <c r="K214" t="n">
        <v>215</v>
      </c>
      <c r="L214" t="n">
        <v>1</v>
      </c>
      <c r="M214" t="n">
        <v>2007</v>
      </c>
      <c r="N214" t="n">
        <v>1</v>
      </c>
      <c r="O214" t="n">
        <v>0.05</v>
      </c>
      <c r="P214" t="n">
        <v>9000</v>
      </c>
      <c r="Q214" t="n">
        <v>50</v>
      </c>
      <c r="R214" t="n">
        <v>1</v>
      </c>
      <c r="S214" t="inlineStr">
        <is>
          <t>2001,2002</t>
        </is>
      </c>
      <c r="T214" t="n">
        <v>7</v>
      </c>
      <c r="U214" t="n">
        <v>0.5</v>
      </c>
      <c r="V214" t="n">
        <v>1000</v>
      </c>
      <c r="W214" t="n">
        <v>2240</v>
      </c>
      <c r="X214" t="n">
        <v>1</v>
      </c>
      <c r="Y214" t="n">
        <v>2006</v>
      </c>
      <c r="Z214" t="n">
        <v>1</v>
      </c>
      <c r="AA214" t="n">
        <v>0.03</v>
      </c>
    </row>
    <row r="215">
      <c r="A215" t="n">
        <v>1213</v>
      </c>
      <c r="B215" t="inlineStr">
        <is>
          <t>40073,40041,40043,40040</t>
        </is>
      </c>
      <c r="C215" t="n">
        <v>107</v>
      </c>
      <c r="D2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5" t="n">
        <v>1</v>
      </c>
      <c r="F215" t="n">
        <v>0.079</v>
      </c>
      <c r="G215" t="n">
        <v>8001</v>
      </c>
      <c r="H215" t="n">
        <v>145</v>
      </c>
      <c r="I215" t="n">
        <v>1</v>
      </c>
      <c r="J215" t="n">
        <v>8000</v>
      </c>
      <c r="K215" t="n">
        <v>215</v>
      </c>
      <c r="L215" t="n">
        <v>1</v>
      </c>
      <c r="M215" t="n">
        <v>2007</v>
      </c>
      <c r="N215" t="n">
        <v>1</v>
      </c>
      <c r="O215" t="n">
        <v>0.05</v>
      </c>
      <c r="P215" t="n">
        <v>9000</v>
      </c>
      <c r="Q215" t="n">
        <v>51</v>
      </c>
      <c r="R215" t="n">
        <v>1</v>
      </c>
      <c r="S215" t="inlineStr">
        <is>
          <t>2001,2002</t>
        </is>
      </c>
      <c r="T215" t="n">
        <v>7</v>
      </c>
      <c r="U215" t="n">
        <v>0.5</v>
      </c>
      <c r="V215" t="n">
        <v>1000</v>
      </c>
      <c r="W215" t="n">
        <v>2255</v>
      </c>
      <c r="X215" t="n">
        <v>1</v>
      </c>
      <c r="Y215" t="n">
        <v>2006</v>
      </c>
      <c r="Z215" t="n">
        <v>1</v>
      </c>
      <c r="AA215" t="n">
        <v>0.03</v>
      </c>
    </row>
    <row r="216">
      <c r="A216" t="n">
        <v>1214</v>
      </c>
      <c r="B216" t="inlineStr">
        <is>
          <t>40044,40073,40043,40041</t>
        </is>
      </c>
      <c r="C216" t="n">
        <v>108</v>
      </c>
      <c r="D2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6" t="n">
        <v>1</v>
      </c>
      <c r="F216" t="n">
        <v>0.079</v>
      </c>
      <c r="G216" t="n">
        <v>8001</v>
      </c>
      <c r="H216" t="n">
        <v>145</v>
      </c>
      <c r="I216" t="n">
        <v>1</v>
      </c>
      <c r="J216" t="n">
        <v>8000</v>
      </c>
      <c r="K216" t="n">
        <v>220</v>
      </c>
      <c r="L216" t="n">
        <v>1</v>
      </c>
      <c r="M216" t="n">
        <v>2007</v>
      </c>
      <c r="N216" t="n">
        <v>1</v>
      </c>
      <c r="O216" t="n">
        <v>0.05</v>
      </c>
      <c r="P216" t="n">
        <v>9000</v>
      </c>
      <c r="Q216" t="n">
        <v>51</v>
      </c>
      <c r="R216" t="n">
        <v>1</v>
      </c>
      <c r="S216" t="inlineStr">
        <is>
          <t>2001,2002</t>
        </is>
      </c>
      <c r="T216" t="n">
        <v>7</v>
      </c>
      <c r="U216" t="n">
        <v>0.5</v>
      </c>
      <c r="V216" t="n">
        <v>1000</v>
      </c>
      <c r="W216" t="n">
        <v>2265</v>
      </c>
      <c r="X216" t="n">
        <v>1</v>
      </c>
      <c r="Y216" t="n">
        <v>2006</v>
      </c>
      <c r="Z216" t="n">
        <v>1</v>
      </c>
      <c r="AA216" t="n">
        <v>0.03</v>
      </c>
    </row>
    <row r="217">
      <c r="A217" t="n">
        <v>1215</v>
      </c>
      <c r="B217" t="inlineStr">
        <is>
          <t>40041,40043,40073</t>
        </is>
      </c>
      <c r="C217" t="n">
        <v>108</v>
      </c>
      <c r="D2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7" t="n">
        <v>1</v>
      </c>
      <c r="F217" t="n">
        <v>0.079</v>
      </c>
      <c r="G217" t="n">
        <v>8001</v>
      </c>
      <c r="H217" t="n">
        <v>145</v>
      </c>
      <c r="I217" t="n">
        <v>1</v>
      </c>
      <c r="J217" t="n">
        <v>8000</v>
      </c>
      <c r="K217" t="n">
        <v>220</v>
      </c>
      <c r="L217" t="n">
        <v>1</v>
      </c>
      <c r="M217" t="n">
        <v>2007</v>
      </c>
      <c r="N217" t="n">
        <v>1</v>
      </c>
      <c r="O217" t="n">
        <v>0.05</v>
      </c>
      <c r="P217" t="n">
        <v>9000</v>
      </c>
      <c r="Q217" t="n">
        <v>51</v>
      </c>
      <c r="R217" t="n">
        <v>1</v>
      </c>
      <c r="S217" t="inlineStr">
        <is>
          <t>2001,2002</t>
        </is>
      </c>
      <c r="T217" t="n">
        <v>7</v>
      </c>
      <c r="U217" t="n">
        <v>0.5</v>
      </c>
      <c r="V217" t="n">
        <v>1000</v>
      </c>
      <c r="W217" t="n">
        <v>2280</v>
      </c>
      <c r="X217" t="n">
        <v>1</v>
      </c>
      <c r="Y217" t="n">
        <v>2006</v>
      </c>
      <c r="Z217" t="n">
        <v>1</v>
      </c>
      <c r="AA217" t="n">
        <v>0.03</v>
      </c>
    </row>
    <row r="218">
      <c r="A218" t="n">
        <v>1216</v>
      </c>
      <c r="B218" t="inlineStr">
        <is>
          <t>40044,40041,40043</t>
        </is>
      </c>
      <c r="C218" t="n">
        <v>109</v>
      </c>
      <c r="D2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8" t="n">
        <v>1</v>
      </c>
      <c r="F218" t="n">
        <v>0.08</v>
      </c>
      <c r="G218" t="n">
        <v>8001</v>
      </c>
      <c r="H218" t="n">
        <v>145</v>
      </c>
      <c r="I218" t="n">
        <v>1</v>
      </c>
      <c r="J218" t="n">
        <v>8000</v>
      </c>
      <c r="K218" t="n">
        <v>220</v>
      </c>
      <c r="L218" t="n">
        <v>1</v>
      </c>
      <c r="M218" t="n">
        <v>2007</v>
      </c>
      <c r="N218" t="n">
        <v>1</v>
      </c>
      <c r="O218" t="n">
        <v>0.05</v>
      </c>
      <c r="P218" t="n">
        <v>9000</v>
      </c>
      <c r="Q218" t="n">
        <v>51</v>
      </c>
      <c r="R218" t="n">
        <v>1</v>
      </c>
      <c r="S218" t="inlineStr">
        <is>
          <t>2001,2002</t>
        </is>
      </c>
      <c r="T218" t="n">
        <v>7</v>
      </c>
      <c r="U218" t="n">
        <v>0.5</v>
      </c>
      <c r="V218" t="n">
        <v>1000</v>
      </c>
      <c r="W218" t="n">
        <v>2290</v>
      </c>
      <c r="X218" t="n">
        <v>1</v>
      </c>
      <c r="Y218" t="n">
        <v>2006</v>
      </c>
      <c r="Z218" t="n">
        <v>1</v>
      </c>
      <c r="AA218" t="n">
        <v>0.03</v>
      </c>
    </row>
    <row r="219">
      <c r="A219" t="n">
        <v>1217</v>
      </c>
      <c r="B219" t="inlineStr">
        <is>
          <t>40041,40044</t>
        </is>
      </c>
      <c r="C219" t="n">
        <v>109</v>
      </c>
      <c r="D2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9" t="n">
        <v>1</v>
      </c>
      <c r="F219" t="n">
        <v>0.08</v>
      </c>
      <c r="G219" t="n">
        <v>8001</v>
      </c>
      <c r="H219" t="n">
        <v>150</v>
      </c>
      <c r="I219" t="n">
        <v>1</v>
      </c>
      <c r="J219" t="n">
        <v>8000</v>
      </c>
      <c r="K219" t="n">
        <v>220</v>
      </c>
      <c r="L219" t="n">
        <v>1</v>
      </c>
      <c r="M219" t="n">
        <v>2007</v>
      </c>
      <c r="N219" t="n">
        <v>1</v>
      </c>
      <c r="O219" t="n">
        <v>0.05</v>
      </c>
      <c r="P219" t="n">
        <v>9000</v>
      </c>
      <c r="Q219" t="n">
        <v>52</v>
      </c>
      <c r="R219" t="n">
        <v>1</v>
      </c>
      <c r="S219" t="inlineStr">
        <is>
          <t>2001,2002</t>
        </is>
      </c>
      <c r="T219" t="n">
        <v>7</v>
      </c>
      <c r="U219" t="n">
        <v>0.5</v>
      </c>
      <c r="V219" t="n">
        <v>1000</v>
      </c>
      <c r="W219" t="n">
        <v>2305</v>
      </c>
      <c r="X219" t="n">
        <v>1</v>
      </c>
      <c r="Y219" t="n">
        <v>2006</v>
      </c>
      <c r="Z219" t="n">
        <v>1</v>
      </c>
      <c r="AA219" t="n">
        <v>0.03</v>
      </c>
    </row>
    <row r="220">
      <c r="A220" t="n">
        <v>1218</v>
      </c>
      <c r="B220" t="inlineStr">
        <is>
          <t>40040,40043,40044</t>
        </is>
      </c>
      <c r="C220" t="n">
        <v>110</v>
      </c>
      <c r="D2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0" t="n">
        <v>1</v>
      </c>
      <c r="F220" t="n">
        <v>0.08</v>
      </c>
      <c r="G220" t="n">
        <v>8001</v>
      </c>
      <c r="H220" t="n">
        <v>150</v>
      </c>
      <c r="I220" t="n">
        <v>1</v>
      </c>
      <c r="J220" t="n">
        <v>8000</v>
      </c>
      <c r="K220" t="n">
        <v>225</v>
      </c>
      <c r="L220" t="n">
        <v>1</v>
      </c>
      <c r="M220" t="n">
        <v>2007</v>
      </c>
      <c r="N220" t="n">
        <v>1</v>
      </c>
      <c r="O220" t="n">
        <v>0.05</v>
      </c>
      <c r="P220" t="n">
        <v>9000</v>
      </c>
      <c r="Q220" t="n">
        <v>52</v>
      </c>
      <c r="R220" t="n">
        <v>1</v>
      </c>
      <c r="S220" t="inlineStr">
        <is>
          <t>2001,2002</t>
        </is>
      </c>
      <c r="T220" t="n">
        <v>7</v>
      </c>
      <c r="U220" t="n">
        <v>0.5</v>
      </c>
      <c r="V220" t="n">
        <v>1000</v>
      </c>
      <c r="W220" t="n">
        <v>2320</v>
      </c>
      <c r="X220" t="n">
        <v>1</v>
      </c>
      <c r="Y220" t="n">
        <v>2006</v>
      </c>
      <c r="Z220" t="n">
        <v>1</v>
      </c>
      <c r="AA220" t="n">
        <v>0.03</v>
      </c>
    </row>
    <row r="221">
      <c r="A221" t="n">
        <v>1219</v>
      </c>
      <c r="B221" t="inlineStr">
        <is>
          <t>40040,40043,40073</t>
        </is>
      </c>
      <c r="C221" t="n">
        <v>110</v>
      </c>
      <c r="D2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1" t="n">
        <v>1</v>
      </c>
      <c r="F221" t="n">
        <v>0.08</v>
      </c>
      <c r="G221" t="n">
        <v>8001</v>
      </c>
      <c r="H221" t="n">
        <v>150</v>
      </c>
      <c r="I221" t="n">
        <v>1</v>
      </c>
      <c r="J221" t="n">
        <v>8000</v>
      </c>
      <c r="K221" t="n">
        <v>225</v>
      </c>
      <c r="L221" t="n">
        <v>1</v>
      </c>
      <c r="M221" t="n">
        <v>2007</v>
      </c>
      <c r="N221" t="n">
        <v>1</v>
      </c>
      <c r="O221" t="n">
        <v>0.05</v>
      </c>
      <c r="P221" t="n">
        <v>9000</v>
      </c>
      <c r="Q221" t="n">
        <v>52</v>
      </c>
      <c r="R221" t="n">
        <v>1</v>
      </c>
      <c r="S221" t="inlineStr">
        <is>
          <t>2001,2002</t>
        </is>
      </c>
      <c r="T221" t="n">
        <v>7</v>
      </c>
      <c r="U221" t="n">
        <v>0.5</v>
      </c>
      <c r="V221" t="n">
        <v>1000</v>
      </c>
      <c r="W221" t="n">
        <v>2330</v>
      </c>
      <c r="X221" t="n">
        <v>1</v>
      </c>
      <c r="Y221" t="n">
        <v>2006</v>
      </c>
      <c r="Z221" t="n">
        <v>1</v>
      </c>
      <c r="AA221" t="n">
        <v>0.03</v>
      </c>
    </row>
    <row r="222">
      <c r="A222" t="n">
        <v>1220</v>
      </c>
      <c r="B222" t="inlineStr">
        <is>
          <t>40041,40073,40040</t>
        </is>
      </c>
      <c r="C222" t="n">
        <v>111</v>
      </c>
      <c r="D2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2" t="n">
        <v>1</v>
      </c>
      <c r="F222" t="n">
        <v>0.081</v>
      </c>
      <c r="G222" t="n">
        <v>8001</v>
      </c>
      <c r="H222" t="n">
        <v>150</v>
      </c>
      <c r="I222" t="n">
        <v>1</v>
      </c>
      <c r="J222" t="n">
        <v>8000</v>
      </c>
      <c r="K222" t="n">
        <v>225</v>
      </c>
      <c r="L222" t="n">
        <v>1</v>
      </c>
      <c r="M222" t="n">
        <v>2007</v>
      </c>
      <c r="N222" t="n">
        <v>1</v>
      </c>
      <c r="O222" t="n">
        <v>0.05</v>
      </c>
      <c r="P222" t="n">
        <v>9000</v>
      </c>
      <c r="Q222" t="n">
        <v>53</v>
      </c>
      <c r="R222" t="n">
        <v>1</v>
      </c>
      <c r="S222" t="inlineStr">
        <is>
          <t>2001,2002</t>
        </is>
      </c>
      <c r="T222" t="n">
        <v>8</v>
      </c>
      <c r="U222" t="n">
        <v>0.5</v>
      </c>
      <c r="V222" t="n">
        <v>1000</v>
      </c>
      <c r="W222" t="n">
        <v>2345</v>
      </c>
      <c r="X222" t="n">
        <v>1</v>
      </c>
      <c r="Y222" t="n">
        <v>2006</v>
      </c>
      <c r="Z222" t="n">
        <v>1</v>
      </c>
      <c r="AA222" t="n">
        <v>0.03</v>
      </c>
    </row>
    <row r="223">
      <c r="A223" t="n">
        <v>1221</v>
      </c>
      <c r="B223" t="inlineStr">
        <is>
          <t>40073,40044,40040,40041</t>
        </is>
      </c>
      <c r="C223" t="n">
        <v>111</v>
      </c>
      <c r="D2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3" t="n">
        <v>1</v>
      </c>
      <c r="F223" t="n">
        <v>0.081</v>
      </c>
      <c r="G223" t="n">
        <v>8001</v>
      </c>
      <c r="H223" t="n">
        <v>150</v>
      </c>
      <c r="I223" t="n">
        <v>1</v>
      </c>
      <c r="J223" t="n">
        <v>8000</v>
      </c>
      <c r="K223" t="n">
        <v>225</v>
      </c>
      <c r="L223" t="n">
        <v>1</v>
      </c>
      <c r="M223" t="n">
        <v>2007</v>
      </c>
      <c r="N223" t="n">
        <v>1</v>
      </c>
      <c r="O223" t="n">
        <v>0.05</v>
      </c>
      <c r="P223" t="n">
        <v>9000</v>
      </c>
      <c r="Q223" t="n">
        <v>53</v>
      </c>
      <c r="R223" t="n">
        <v>1</v>
      </c>
      <c r="S223" t="inlineStr">
        <is>
          <t>2001,2002</t>
        </is>
      </c>
      <c r="T223" t="n">
        <v>8</v>
      </c>
      <c r="U223" t="n">
        <v>0.5</v>
      </c>
      <c r="V223" t="n">
        <v>1000</v>
      </c>
      <c r="W223" t="n">
        <v>2355</v>
      </c>
      <c r="X223" t="n">
        <v>1</v>
      </c>
      <c r="Y223" t="n">
        <v>2006</v>
      </c>
      <c r="Z223" t="n">
        <v>1</v>
      </c>
      <c r="AA223" t="n">
        <v>0.03</v>
      </c>
    </row>
    <row r="224">
      <c r="A224" t="n">
        <v>1222</v>
      </c>
      <c r="B224" t="inlineStr">
        <is>
          <t>40044,40073</t>
        </is>
      </c>
      <c r="C224" t="n">
        <v>112</v>
      </c>
      <c r="D2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4" t="n">
        <v>1</v>
      </c>
      <c r="F224" t="n">
        <v>0.081</v>
      </c>
      <c r="G224" t="n">
        <v>8001</v>
      </c>
      <c r="H224" t="n">
        <v>150</v>
      </c>
      <c r="I224" t="n">
        <v>1</v>
      </c>
      <c r="J224" t="n">
        <v>8000</v>
      </c>
      <c r="K224" t="n">
        <v>230</v>
      </c>
      <c r="L224" t="n">
        <v>1</v>
      </c>
      <c r="M224" t="n">
        <v>2007</v>
      </c>
      <c r="N224" t="n">
        <v>1</v>
      </c>
      <c r="O224" t="n">
        <v>0.05</v>
      </c>
      <c r="P224" t="n">
        <v>9000</v>
      </c>
      <c r="Q224" t="n">
        <v>53</v>
      </c>
      <c r="R224" t="n">
        <v>1</v>
      </c>
      <c r="S224" t="inlineStr">
        <is>
          <t>2001,2002</t>
        </is>
      </c>
      <c r="T224" t="n">
        <v>8</v>
      </c>
      <c r="U224" t="n">
        <v>0.5</v>
      </c>
      <c r="V224" t="n">
        <v>1000</v>
      </c>
      <c r="W224" t="n">
        <v>2370</v>
      </c>
      <c r="X224" t="n">
        <v>1</v>
      </c>
      <c r="Y224" t="n">
        <v>2006</v>
      </c>
      <c r="Z224" t="n">
        <v>1</v>
      </c>
      <c r="AA224" t="n">
        <v>0.03</v>
      </c>
    </row>
    <row r="225">
      <c r="A225" t="n">
        <v>1223</v>
      </c>
      <c r="B225" t="inlineStr">
        <is>
          <t>40073,40044,40043</t>
        </is>
      </c>
      <c r="C225" t="n">
        <v>112</v>
      </c>
      <c r="D2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5" t="n">
        <v>1</v>
      </c>
      <c r="F225" t="n">
        <v>0.081</v>
      </c>
      <c r="G225" t="n">
        <v>8001</v>
      </c>
      <c r="H225" t="n">
        <v>155</v>
      </c>
      <c r="I225" t="n">
        <v>1</v>
      </c>
      <c r="J225" t="n">
        <v>8000</v>
      </c>
      <c r="K225" t="n">
        <v>230</v>
      </c>
      <c r="L225" t="n">
        <v>1</v>
      </c>
      <c r="M225" t="n">
        <v>2007</v>
      </c>
      <c r="N225" t="n">
        <v>1</v>
      </c>
      <c r="O225" t="n">
        <v>0.05</v>
      </c>
      <c r="P225" t="n">
        <v>9000</v>
      </c>
      <c r="Q225" t="n">
        <v>54</v>
      </c>
      <c r="R225" t="n">
        <v>1</v>
      </c>
      <c r="S225" t="inlineStr">
        <is>
          <t>2001,2002</t>
        </is>
      </c>
      <c r="T225" t="n">
        <v>8</v>
      </c>
      <c r="U225" t="n">
        <v>0.5</v>
      </c>
      <c r="V225" t="n">
        <v>1000</v>
      </c>
      <c r="W225" t="n">
        <v>2385</v>
      </c>
      <c r="X225" t="n">
        <v>1</v>
      </c>
      <c r="Y225" t="n">
        <v>2006</v>
      </c>
      <c r="Z225" t="n">
        <v>1</v>
      </c>
      <c r="AA225" t="n">
        <v>0.03</v>
      </c>
    </row>
    <row r="226">
      <c r="A226" t="n">
        <v>1224</v>
      </c>
      <c r="B226" t="inlineStr">
        <is>
          <t>40040,40041,40044</t>
        </is>
      </c>
      <c r="C226" t="n">
        <v>113</v>
      </c>
      <c r="D2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6" t="n">
        <v>1</v>
      </c>
      <c r="F226" t="n">
        <v>0.081</v>
      </c>
      <c r="G226" t="n">
        <v>8001</v>
      </c>
      <c r="H226" t="n">
        <v>155</v>
      </c>
      <c r="I226" t="n">
        <v>1</v>
      </c>
      <c r="J226" t="n">
        <v>8000</v>
      </c>
      <c r="K226" t="n">
        <v>230</v>
      </c>
      <c r="L226" t="n">
        <v>1</v>
      </c>
      <c r="M226" t="n">
        <v>2007</v>
      </c>
      <c r="N226" t="n">
        <v>1</v>
      </c>
      <c r="O226" t="n">
        <v>0.05</v>
      </c>
      <c r="P226" t="n">
        <v>9000</v>
      </c>
      <c r="Q226" t="n">
        <v>54</v>
      </c>
      <c r="R226" t="n">
        <v>1</v>
      </c>
      <c r="S226" t="inlineStr">
        <is>
          <t>2001,2002</t>
        </is>
      </c>
      <c r="T226" t="n">
        <v>8</v>
      </c>
      <c r="U226" t="n">
        <v>0.5</v>
      </c>
      <c r="V226" t="n">
        <v>1000</v>
      </c>
      <c r="W226" t="n">
        <v>2395</v>
      </c>
      <c r="X226" t="n">
        <v>1</v>
      </c>
      <c r="Y226" t="n">
        <v>2006</v>
      </c>
      <c r="Z226" t="n">
        <v>1</v>
      </c>
      <c r="AA226" t="n">
        <v>0.03</v>
      </c>
    </row>
    <row r="227">
      <c r="A227" t="n">
        <v>1225</v>
      </c>
      <c r="B227" t="inlineStr">
        <is>
          <t>40073,40041,40043,40040</t>
        </is>
      </c>
      <c r="C227" t="n">
        <v>113</v>
      </c>
      <c r="D2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7" t="n">
        <v>1</v>
      </c>
      <c r="F227" t="n">
        <v>0.082</v>
      </c>
      <c r="G227" t="n">
        <v>8001</v>
      </c>
      <c r="H227" t="n">
        <v>155</v>
      </c>
      <c r="I227" t="n">
        <v>1</v>
      </c>
      <c r="J227" t="n">
        <v>8000</v>
      </c>
      <c r="K227" t="n">
        <v>230</v>
      </c>
      <c r="L227" t="n">
        <v>1</v>
      </c>
      <c r="M227" t="n">
        <v>2007</v>
      </c>
      <c r="N227" t="n">
        <v>1</v>
      </c>
      <c r="O227" t="n">
        <v>0.05</v>
      </c>
      <c r="P227" t="n">
        <v>9000</v>
      </c>
      <c r="Q227" t="n">
        <v>54</v>
      </c>
      <c r="R227" t="n">
        <v>1</v>
      </c>
      <c r="S227" t="inlineStr">
        <is>
          <t>2001,2002</t>
        </is>
      </c>
      <c r="T227" t="n">
        <v>8</v>
      </c>
      <c r="U227" t="n">
        <v>0.5</v>
      </c>
      <c r="V227" t="n">
        <v>1000</v>
      </c>
      <c r="W227" t="n">
        <v>2410</v>
      </c>
      <c r="X227" t="n">
        <v>1</v>
      </c>
      <c r="Y227" t="n">
        <v>2006</v>
      </c>
      <c r="Z227" t="n">
        <v>1</v>
      </c>
      <c r="AA227" t="n">
        <v>0.03</v>
      </c>
    </row>
    <row r="228">
      <c r="A228" t="n">
        <v>1226</v>
      </c>
      <c r="B228" t="inlineStr">
        <is>
          <t>40040,40073,40043</t>
        </is>
      </c>
      <c r="C228" t="n">
        <v>114</v>
      </c>
      <c r="D2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8" t="n">
        <v>1</v>
      </c>
      <c r="F228" t="n">
        <v>0.082</v>
      </c>
      <c r="G228" t="n">
        <v>8001</v>
      </c>
      <c r="H228" t="n">
        <v>155</v>
      </c>
      <c r="I228" t="n">
        <v>1</v>
      </c>
      <c r="J228" t="n">
        <v>8000</v>
      </c>
      <c r="K228" t="n">
        <v>235</v>
      </c>
      <c r="L228" t="n">
        <v>1</v>
      </c>
      <c r="M228" t="n">
        <v>2007</v>
      </c>
      <c r="N228" t="n">
        <v>1</v>
      </c>
      <c r="O228" t="n">
        <v>0.05</v>
      </c>
      <c r="P228" t="n">
        <v>9000</v>
      </c>
      <c r="Q228" t="n">
        <v>55</v>
      </c>
      <c r="R228" t="n">
        <v>1</v>
      </c>
      <c r="S228" t="inlineStr">
        <is>
          <t>2001,2002</t>
        </is>
      </c>
      <c r="T228" t="n">
        <v>8</v>
      </c>
      <c r="U228" t="n">
        <v>0.5</v>
      </c>
      <c r="V228" t="n">
        <v>1000</v>
      </c>
      <c r="W228" t="n">
        <v>2425</v>
      </c>
      <c r="X228" t="n">
        <v>1</v>
      </c>
      <c r="Y228" t="n">
        <v>2006</v>
      </c>
      <c r="Z228" t="n">
        <v>1</v>
      </c>
      <c r="AA228" t="n">
        <v>0.03</v>
      </c>
    </row>
    <row r="229">
      <c r="A229" t="n">
        <v>1227</v>
      </c>
      <c r="B229" t="inlineStr">
        <is>
          <t>40040,40041</t>
        </is>
      </c>
      <c r="C229" t="n">
        <v>114</v>
      </c>
      <c r="D2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9" t="n">
        <v>1</v>
      </c>
      <c r="F229" t="n">
        <v>0.082</v>
      </c>
      <c r="G229" t="n">
        <v>8001</v>
      </c>
      <c r="H229" t="n">
        <v>155</v>
      </c>
      <c r="I229" t="n">
        <v>1</v>
      </c>
      <c r="J229" t="n">
        <v>8000</v>
      </c>
      <c r="K229" t="n">
        <v>235</v>
      </c>
      <c r="L229" t="n">
        <v>1</v>
      </c>
      <c r="M229" t="n">
        <v>2007</v>
      </c>
      <c r="N229" t="n">
        <v>1</v>
      </c>
      <c r="O229" t="n">
        <v>0.05</v>
      </c>
      <c r="P229" t="n">
        <v>9000</v>
      </c>
      <c r="Q229" t="n">
        <v>55</v>
      </c>
      <c r="R229" t="n">
        <v>1</v>
      </c>
      <c r="S229" t="inlineStr">
        <is>
          <t>2001,2002</t>
        </is>
      </c>
      <c r="T229" t="n">
        <v>8</v>
      </c>
      <c r="U229" t="n">
        <v>0.5</v>
      </c>
      <c r="V229" t="n">
        <v>1000</v>
      </c>
      <c r="W229" t="n">
        <v>2435</v>
      </c>
      <c r="X229" t="n">
        <v>1</v>
      </c>
      <c r="Y229" t="n">
        <v>2006</v>
      </c>
      <c r="Z229" t="n">
        <v>1</v>
      </c>
      <c r="AA229" t="n">
        <v>0.03</v>
      </c>
    </row>
    <row r="230">
      <c r="A230" t="n">
        <v>1228</v>
      </c>
      <c r="B230" t="inlineStr">
        <is>
          <t>40041,40044,40073,40040</t>
        </is>
      </c>
      <c r="C230" t="n">
        <v>115</v>
      </c>
      <c r="D2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0" t="n">
        <v>1</v>
      </c>
      <c r="F230" t="n">
        <v>0.082</v>
      </c>
      <c r="G230" t="n">
        <v>8001</v>
      </c>
      <c r="H230" t="n">
        <v>155</v>
      </c>
      <c r="I230" t="n">
        <v>1</v>
      </c>
      <c r="J230" t="n">
        <v>8000</v>
      </c>
      <c r="K230" t="n">
        <v>235</v>
      </c>
      <c r="L230" t="n">
        <v>1</v>
      </c>
      <c r="M230" t="n">
        <v>2007</v>
      </c>
      <c r="N230" t="n">
        <v>1</v>
      </c>
      <c r="O230" t="n">
        <v>0.05</v>
      </c>
      <c r="P230" t="n">
        <v>9000</v>
      </c>
      <c r="Q230" t="n">
        <v>55</v>
      </c>
      <c r="R230" t="n">
        <v>1</v>
      </c>
      <c r="S230" t="inlineStr">
        <is>
          <t>2001,2002</t>
        </is>
      </c>
      <c r="T230" t="n">
        <v>8</v>
      </c>
      <c r="U230" t="n">
        <v>0.5</v>
      </c>
      <c r="V230" t="n">
        <v>1000</v>
      </c>
      <c r="W230" t="n">
        <v>2450</v>
      </c>
      <c r="X230" t="n">
        <v>1</v>
      </c>
      <c r="Y230" t="n">
        <v>2006</v>
      </c>
      <c r="Z230" t="n">
        <v>1</v>
      </c>
      <c r="AA230" t="n">
        <v>0.03</v>
      </c>
    </row>
    <row r="231">
      <c r="A231" t="n">
        <v>1229</v>
      </c>
      <c r="B231" t="inlineStr">
        <is>
          <t>50008,40041,40044,40073,40043</t>
        </is>
      </c>
      <c r="C231" t="n">
        <v>115</v>
      </c>
      <c r="D2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1" t="n">
        <v>1</v>
      </c>
      <c r="F231" t="n">
        <v>0.083</v>
      </c>
      <c r="G231" t="n">
        <v>8001</v>
      </c>
      <c r="H231" t="n">
        <v>160</v>
      </c>
      <c r="I231" t="n">
        <v>1</v>
      </c>
      <c r="J231" t="n">
        <v>8000</v>
      </c>
      <c r="K231" t="n">
        <v>235</v>
      </c>
      <c r="L231" t="n">
        <v>1</v>
      </c>
      <c r="M231" t="n">
        <v>2007</v>
      </c>
      <c r="N231" t="n">
        <v>1</v>
      </c>
      <c r="O231" t="n">
        <v>0.05</v>
      </c>
      <c r="P231" t="n">
        <v>9000</v>
      </c>
      <c r="Q231" t="n">
        <v>56</v>
      </c>
      <c r="R231" t="n">
        <v>1</v>
      </c>
      <c r="S231" t="inlineStr">
        <is>
          <t>2001,2002</t>
        </is>
      </c>
      <c r="T231" t="n">
        <v>8</v>
      </c>
      <c r="U231" t="n">
        <v>0.5</v>
      </c>
      <c r="V231" t="n">
        <v>1000</v>
      </c>
      <c r="W231" t="n">
        <v>2465</v>
      </c>
      <c r="X231" t="n">
        <v>1</v>
      </c>
      <c r="Y231" t="n">
        <v>2006</v>
      </c>
      <c r="Z231" t="n">
        <v>1</v>
      </c>
      <c r="AA231" t="n">
        <v>0.03</v>
      </c>
    </row>
    <row r="232">
      <c r="A232" t="n">
        <v>1230</v>
      </c>
      <c r="B232" t="inlineStr">
        <is>
          <t>40074,40032</t>
        </is>
      </c>
      <c r="C232" t="n">
        <v>116</v>
      </c>
      <c r="D2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2" t="n">
        <v>1</v>
      </c>
      <c r="F232" t="n">
        <v>0.083</v>
      </c>
      <c r="G232" t="n">
        <v>8001</v>
      </c>
      <c r="H232" t="n">
        <v>160</v>
      </c>
      <c r="I232" t="n">
        <v>1</v>
      </c>
      <c r="J232" t="n">
        <v>8000</v>
      </c>
      <c r="K232" t="n">
        <v>240</v>
      </c>
      <c r="L232" t="n">
        <v>1</v>
      </c>
      <c r="M232" t="n">
        <v>2007</v>
      </c>
      <c r="N232" t="n">
        <v>1</v>
      </c>
      <c r="O232" t="n">
        <v>0.05</v>
      </c>
      <c r="P232" t="n">
        <v>9000</v>
      </c>
      <c r="Q232" t="n">
        <v>56</v>
      </c>
      <c r="R232" t="n">
        <v>1</v>
      </c>
      <c r="S232" t="inlineStr">
        <is>
          <t>2001,2002</t>
        </is>
      </c>
      <c r="T232" t="n">
        <v>8</v>
      </c>
      <c r="U232" t="n">
        <v>0.5</v>
      </c>
      <c r="V232" t="n">
        <v>1000</v>
      </c>
      <c r="W232" t="n">
        <v>2475</v>
      </c>
      <c r="X232" t="n">
        <v>1</v>
      </c>
      <c r="Y232" t="n">
        <v>2006</v>
      </c>
      <c r="Z232" t="n">
        <v>1</v>
      </c>
      <c r="AA232" t="n">
        <v>0.03</v>
      </c>
    </row>
    <row r="233">
      <c r="A233" t="n">
        <v>1231</v>
      </c>
      <c r="B233" t="inlineStr">
        <is>
          <t>40046,40042</t>
        </is>
      </c>
      <c r="C233" t="n">
        <v>116</v>
      </c>
      <c r="D2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3" t="n">
        <v>1</v>
      </c>
      <c r="F233" t="n">
        <v>0.083</v>
      </c>
      <c r="G233" t="n">
        <v>8001</v>
      </c>
      <c r="H233" t="n">
        <v>160</v>
      </c>
      <c r="I233" t="n">
        <v>1</v>
      </c>
      <c r="J233" t="n">
        <v>8000</v>
      </c>
      <c r="K233" t="n">
        <v>240</v>
      </c>
      <c r="L233" t="n">
        <v>1</v>
      </c>
      <c r="M233" t="n">
        <v>2007</v>
      </c>
      <c r="N233" t="n">
        <v>1</v>
      </c>
      <c r="O233" t="n">
        <v>0.05</v>
      </c>
      <c r="P233" t="n">
        <v>9000</v>
      </c>
      <c r="Q233" t="n">
        <v>56</v>
      </c>
      <c r="R233" t="n">
        <v>1</v>
      </c>
      <c r="S233" t="inlineStr">
        <is>
          <t>2001,2002</t>
        </is>
      </c>
      <c r="T233" t="n">
        <v>8</v>
      </c>
      <c r="U233" t="n">
        <v>0.5</v>
      </c>
      <c r="V233" t="n">
        <v>1000</v>
      </c>
      <c r="W233" t="n">
        <v>2490</v>
      </c>
      <c r="X233" t="n">
        <v>1</v>
      </c>
      <c r="Y233" t="n">
        <v>2006</v>
      </c>
      <c r="Z233" t="n">
        <v>1</v>
      </c>
      <c r="AA233" t="n">
        <v>0.03</v>
      </c>
    </row>
    <row r="234">
      <c r="A234" t="n">
        <v>1232</v>
      </c>
      <c r="B234" t="inlineStr">
        <is>
          <t>40042,40047</t>
        </is>
      </c>
      <c r="C234" t="n">
        <v>117</v>
      </c>
      <c r="D2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4" t="n">
        <v>1</v>
      </c>
      <c r="F234" t="n">
        <v>0.083</v>
      </c>
      <c r="G234" t="n">
        <v>8001</v>
      </c>
      <c r="H234" t="n">
        <v>160</v>
      </c>
      <c r="I234" t="n">
        <v>1</v>
      </c>
      <c r="J234" t="n">
        <v>8000</v>
      </c>
      <c r="K234" t="n">
        <v>240</v>
      </c>
      <c r="L234" t="n">
        <v>1</v>
      </c>
      <c r="M234" t="n">
        <v>2007</v>
      </c>
      <c r="N234" t="n">
        <v>1</v>
      </c>
      <c r="O234" t="n">
        <v>0.05</v>
      </c>
      <c r="P234" t="n">
        <v>9000</v>
      </c>
      <c r="Q234" t="n">
        <v>57</v>
      </c>
      <c r="R234" t="n">
        <v>1</v>
      </c>
      <c r="S234" t="inlineStr">
        <is>
          <t>2001,2002</t>
        </is>
      </c>
      <c r="T234" t="n">
        <v>8</v>
      </c>
      <c r="U234" t="n">
        <v>0.5</v>
      </c>
      <c r="V234" t="n">
        <v>1000</v>
      </c>
      <c r="W234" t="n">
        <v>2505</v>
      </c>
      <c r="X234" t="n">
        <v>1</v>
      </c>
      <c r="Y234" t="n">
        <v>2006</v>
      </c>
      <c r="Z234" t="n">
        <v>1</v>
      </c>
      <c r="AA234" t="n">
        <v>0.03</v>
      </c>
    </row>
    <row r="235">
      <c r="A235" t="n">
        <v>1233</v>
      </c>
      <c r="B235" t="inlineStr">
        <is>
          <t>40047,40042</t>
        </is>
      </c>
      <c r="C235" t="n">
        <v>117</v>
      </c>
      <c r="D2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5" t="n">
        <v>1</v>
      </c>
      <c r="F235" t="n">
        <v>0.08400000000000001</v>
      </c>
      <c r="G235" t="n">
        <v>8001</v>
      </c>
      <c r="H235" t="n">
        <v>160</v>
      </c>
      <c r="I235" t="n">
        <v>1</v>
      </c>
      <c r="J235" t="n">
        <v>8000</v>
      </c>
      <c r="K235" t="n">
        <v>240</v>
      </c>
      <c r="L235" t="n">
        <v>1</v>
      </c>
      <c r="M235" t="n">
        <v>2007</v>
      </c>
      <c r="N235" t="n">
        <v>1</v>
      </c>
      <c r="O235" t="n">
        <v>0.05</v>
      </c>
      <c r="P235" t="n">
        <v>9000</v>
      </c>
      <c r="Q235" t="n">
        <v>57</v>
      </c>
      <c r="R235" t="n">
        <v>1</v>
      </c>
      <c r="S235" t="inlineStr">
        <is>
          <t>2001,2002</t>
        </is>
      </c>
      <c r="T235" t="n">
        <v>8</v>
      </c>
      <c r="U235" t="n">
        <v>0.5</v>
      </c>
      <c r="V235" t="n">
        <v>1000</v>
      </c>
      <c r="W235" t="n">
        <v>2515</v>
      </c>
      <c r="X235" t="n">
        <v>1</v>
      </c>
      <c r="Y235" t="n">
        <v>2006</v>
      </c>
      <c r="Z235" t="n">
        <v>1</v>
      </c>
      <c r="AA235" t="n">
        <v>0.03</v>
      </c>
    </row>
    <row r="236">
      <c r="A236" t="n">
        <v>1234</v>
      </c>
      <c r="B236" t="inlineStr">
        <is>
          <t>40046,40032</t>
        </is>
      </c>
      <c r="C236" t="n">
        <v>118</v>
      </c>
      <c r="D2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6" t="n">
        <v>1</v>
      </c>
      <c r="F236" t="n">
        <v>0.08400000000000001</v>
      </c>
      <c r="G236" t="n">
        <v>8001</v>
      </c>
      <c r="H236" t="n">
        <v>160</v>
      </c>
      <c r="I236" t="n">
        <v>1</v>
      </c>
      <c r="J236" t="n">
        <v>8000</v>
      </c>
      <c r="K236" t="n">
        <v>245</v>
      </c>
      <c r="L236" t="n">
        <v>1</v>
      </c>
      <c r="M236" t="n">
        <v>2007</v>
      </c>
      <c r="N236" t="n">
        <v>1</v>
      </c>
      <c r="O236" t="n">
        <v>0.05</v>
      </c>
      <c r="P236" t="n">
        <v>9000</v>
      </c>
      <c r="Q236" t="n">
        <v>57</v>
      </c>
      <c r="R236" t="n">
        <v>1</v>
      </c>
      <c r="S236" t="inlineStr">
        <is>
          <t>2001,2002</t>
        </is>
      </c>
      <c r="T236" t="n">
        <v>8</v>
      </c>
      <c r="U236" t="n">
        <v>0.5</v>
      </c>
      <c r="V236" t="n">
        <v>1000</v>
      </c>
      <c r="W236" t="n">
        <v>2530</v>
      </c>
      <c r="X236" t="n">
        <v>1</v>
      </c>
      <c r="Y236" t="n">
        <v>2006</v>
      </c>
      <c r="Z236" t="n">
        <v>1</v>
      </c>
      <c r="AA236" t="n">
        <v>0.03</v>
      </c>
    </row>
    <row r="237">
      <c r="A237" t="n">
        <v>1235</v>
      </c>
      <c r="B237" t="inlineStr">
        <is>
          <t>40046,40032</t>
        </is>
      </c>
      <c r="C237" t="n">
        <v>118</v>
      </c>
      <c r="D2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7" t="n">
        <v>1</v>
      </c>
      <c r="F237" t="n">
        <v>0.08400000000000001</v>
      </c>
      <c r="G237" t="n">
        <v>8001</v>
      </c>
      <c r="H237" t="n">
        <v>165</v>
      </c>
      <c r="I237" t="n">
        <v>1</v>
      </c>
      <c r="J237" t="n">
        <v>8000</v>
      </c>
      <c r="K237" t="n">
        <v>245</v>
      </c>
      <c r="L237" t="n">
        <v>1</v>
      </c>
      <c r="M237" t="n">
        <v>2007</v>
      </c>
      <c r="N237" t="n">
        <v>1</v>
      </c>
      <c r="O237" t="n">
        <v>0.05</v>
      </c>
      <c r="P237" t="n">
        <v>9000</v>
      </c>
      <c r="Q237" t="n">
        <v>58</v>
      </c>
      <c r="R237" t="n">
        <v>1</v>
      </c>
      <c r="S237" t="inlineStr">
        <is>
          <t>2001,2002</t>
        </is>
      </c>
      <c r="T237" t="n">
        <v>8</v>
      </c>
      <c r="U237" t="n">
        <v>0.5</v>
      </c>
      <c r="V237" t="n">
        <v>1000</v>
      </c>
      <c r="W237" t="n">
        <v>2545</v>
      </c>
      <c r="X237" t="n">
        <v>1</v>
      </c>
      <c r="Y237" t="n">
        <v>2006</v>
      </c>
      <c r="Z237" t="n">
        <v>1</v>
      </c>
      <c r="AA237" t="n">
        <v>0.03</v>
      </c>
    </row>
    <row r="238">
      <c r="A238" t="n">
        <v>1236</v>
      </c>
      <c r="B238" t="inlineStr">
        <is>
          <t>40046,40042</t>
        </is>
      </c>
      <c r="C238" t="n">
        <v>119</v>
      </c>
      <c r="D2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8" t="n">
        <v>1</v>
      </c>
      <c r="F238" t="n">
        <v>0.08400000000000001</v>
      </c>
      <c r="G238" t="n">
        <v>8001</v>
      </c>
      <c r="H238" t="n">
        <v>165</v>
      </c>
      <c r="I238" t="n">
        <v>1</v>
      </c>
      <c r="J238" t="n">
        <v>8000</v>
      </c>
      <c r="K238" t="n">
        <v>245</v>
      </c>
      <c r="L238" t="n">
        <v>1</v>
      </c>
      <c r="M238" t="n">
        <v>2007</v>
      </c>
      <c r="N238" t="n">
        <v>1</v>
      </c>
      <c r="O238" t="n">
        <v>0.05</v>
      </c>
      <c r="P238" t="n">
        <v>9000</v>
      </c>
      <c r="Q238" t="n">
        <v>58</v>
      </c>
      <c r="R238" t="n">
        <v>1</v>
      </c>
      <c r="S238" t="inlineStr">
        <is>
          <t>2001,2002</t>
        </is>
      </c>
      <c r="T238" t="n">
        <v>8</v>
      </c>
      <c r="U238" t="n">
        <v>0.5</v>
      </c>
      <c r="V238" t="n">
        <v>1000</v>
      </c>
      <c r="W238" t="n">
        <v>2555</v>
      </c>
      <c r="X238" t="n">
        <v>1</v>
      </c>
      <c r="Y238" t="n">
        <v>2006</v>
      </c>
      <c r="Z238" t="n">
        <v>1</v>
      </c>
      <c r="AA238" t="n">
        <v>0.03</v>
      </c>
    </row>
    <row r="239">
      <c r="A239" t="n">
        <v>1237</v>
      </c>
      <c r="B239" t="inlineStr">
        <is>
          <t>40047,40046</t>
        </is>
      </c>
      <c r="C239" t="n">
        <v>119</v>
      </c>
      <c r="D2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9" t="n">
        <v>1</v>
      </c>
      <c r="F239" t="n">
        <v>0.08500000000000001</v>
      </c>
      <c r="G239" t="n">
        <v>8001</v>
      </c>
      <c r="H239" t="n">
        <v>165</v>
      </c>
      <c r="I239" t="n">
        <v>1</v>
      </c>
      <c r="J239" t="n">
        <v>8000</v>
      </c>
      <c r="K239" t="n">
        <v>245</v>
      </c>
      <c r="L239" t="n">
        <v>1</v>
      </c>
      <c r="M239" t="n">
        <v>2007</v>
      </c>
      <c r="N239" t="n">
        <v>1</v>
      </c>
      <c r="O239" t="n">
        <v>0.05</v>
      </c>
      <c r="P239" t="n">
        <v>9000</v>
      </c>
      <c r="Q239" t="n">
        <v>58</v>
      </c>
      <c r="R239" t="n">
        <v>1</v>
      </c>
      <c r="S239" t="inlineStr">
        <is>
          <t>2001,2002</t>
        </is>
      </c>
      <c r="T239" t="n">
        <v>8</v>
      </c>
      <c r="U239" t="n">
        <v>0.5</v>
      </c>
      <c r="V239" t="n">
        <v>1000</v>
      </c>
      <c r="W239" t="n">
        <v>2570</v>
      </c>
      <c r="X239" t="n">
        <v>1</v>
      </c>
      <c r="Y239" t="n">
        <v>2006</v>
      </c>
      <c r="Z239" t="n">
        <v>1</v>
      </c>
      <c r="AA239" t="n">
        <v>0.03</v>
      </c>
    </row>
    <row r="240">
      <c r="A240" t="n">
        <v>1238</v>
      </c>
      <c r="B240" t="inlineStr">
        <is>
          <t>40047,40046</t>
        </is>
      </c>
      <c r="C240" t="n">
        <v>120</v>
      </c>
      <c r="D2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0" t="n">
        <v>1</v>
      </c>
      <c r="F240" t="n">
        <v>0.08500000000000001</v>
      </c>
      <c r="G240" t="n">
        <v>8001</v>
      </c>
      <c r="H240" t="n">
        <v>165</v>
      </c>
      <c r="I240" t="n">
        <v>1</v>
      </c>
      <c r="J240" t="n">
        <v>8000</v>
      </c>
      <c r="K240" t="n">
        <v>250</v>
      </c>
      <c r="L240" t="n">
        <v>1</v>
      </c>
      <c r="M240" t="n">
        <v>2007</v>
      </c>
      <c r="N240" t="n">
        <v>1</v>
      </c>
      <c r="O240" t="n">
        <v>0.05</v>
      </c>
      <c r="P240" t="n">
        <v>9000</v>
      </c>
      <c r="Q240" t="n">
        <v>59</v>
      </c>
      <c r="R240" t="n">
        <v>1</v>
      </c>
      <c r="S240" t="inlineStr">
        <is>
          <t>2001,2002</t>
        </is>
      </c>
      <c r="T240" t="n">
        <v>8</v>
      </c>
      <c r="U240" t="n">
        <v>0.5</v>
      </c>
      <c r="V240" t="n">
        <v>1000</v>
      </c>
      <c r="W240" t="n">
        <v>2585</v>
      </c>
      <c r="X240" t="n">
        <v>1</v>
      </c>
      <c r="Y240" t="n">
        <v>2006</v>
      </c>
      <c r="Z240" t="n">
        <v>1</v>
      </c>
      <c r="AA240" t="n">
        <v>0.03</v>
      </c>
    </row>
    <row r="241">
      <c r="A241" t="n">
        <v>1239</v>
      </c>
      <c r="B241" t="inlineStr">
        <is>
          <t>40046,40047,40032</t>
        </is>
      </c>
      <c r="C241" t="n">
        <v>120</v>
      </c>
      <c r="D2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1" t="n">
        <v>1</v>
      </c>
      <c r="F241" t="n">
        <v>0.08500000000000001</v>
      </c>
      <c r="G241" t="n">
        <v>8001</v>
      </c>
      <c r="H241" t="n">
        <v>165</v>
      </c>
      <c r="I241" t="n">
        <v>1</v>
      </c>
      <c r="J241" t="n">
        <v>8000</v>
      </c>
      <c r="K241" t="n">
        <v>250</v>
      </c>
      <c r="L241" t="n">
        <v>1</v>
      </c>
      <c r="M241" t="n">
        <v>2007</v>
      </c>
      <c r="N241" t="n">
        <v>1</v>
      </c>
      <c r="O241" t="n">
        <v>0.05</v>
      </c>
      <c r="P241" t="n">
        <v>9000</v>
      </c>
      <c r="Q241" t="n">
        <v>59</v>
      </c>
      <c r="R241" t="n">
        <v>1</v>
      </c>
      <c r="S241" t="inlineStr">
        <is>
          <t>2001,2002</t>
        </is>
      </c>
      <c r="T241" t="n">
        <v>8</v>
      </c>
      <c r="U241" t="n">
        <v>0.5</v>
      </c>
      <c r="V241" t="n">
        <v>1000</v>
      </c>
      <c r="W241" t="n">
        <v>2595</v>
      </c>
      <c r="X241" t="n">
        <v>1</v>
      </c>
      <c r="Y241" t="n">
        <v>2006</v>
      </c>
      <c r="Z241" t="n">
        <v>1</v>
      </c>
      <c r="AA241" t="n">
        <v>0.03</v>
      </c>
    </row>
    <row r="242">
      <c r="A242" t="n">
        <v>1240</v>
      </c>
      <c r="B242" t="inlineStr">
        <is>
          <t>40032,40042,40047</t>
        </is>
      </c>
      <c r="C242" t="n">
        <v>121</v>
      </c>
      <c r="D2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2" t="n">
        <v>1</v>
      </c>
      <c r="F242" t="n">
        <v>0.08500000000000001</v>
      </c>
      <c r="G242" t="n">
        <v>8001</v>
      </c>
      <c r="H242" t="n">
        <v>165</v>
      </c>
      <c r="I242" t="n">
        <v>1</v>
      </c>
      <c r="J242" t="n">
        <v>8000</v>
      </c>
      <c r="K242" t="n">
        <v>250</v>
      </c>
      <c r="L242" t="n">
        <v>1</v>
      </c>
      <c r="M242" t="n">
        <v>2007</v>
      </c>
      <c r="N242" t="n">
        <v>1</v>
      </c>
      <c r="O242" t="n">
        <v>0.05</v>
      </c>
      <c r="P242" t="n">
        <v>9000</v>
      </c>
      <c r="Q242" t="n">
        <v>59</v>
      </c>
      <c r="R242" t="n">
        <v>1</v>
      </c>
      <c r="S242" t="inlineStr">
        <is>
          <t>2001,2002</t>
        </is>
      </c>
      <c r="T242" t="n">
        <v>8</v>
      </c>
      <c r="U242" t="n">
        <v>0.5</v>
      </c>
      <c r="V242" t="n">
        <v>1000</v>
      </c>
      <c r="W242" t="n">
        <v>2610</v>
      </c>
      <c r="X242" t="n">
        <v>1</v>
      </c>
      <c r="Y242" t="n">
        <v>2006</v>
      </c>
      <c r="Z242" t="n">
        <v>1</v>
      </c>
      <c r="AA242" t="n">
        <v>0.03</v>
      </c>
    </row>
    <row r="243">
      <c r="A243" t="n">
        <v>1241</v>
      </c>
      <c r="B243" t="inlineStr">
        <is>
          <t>40074,40046,40042</t>
        </is>
      </c>
      <c r="C243" t="n">
        <v>121</v>
      </c>
      <c r="D2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3" t="n">
        <v>1</v>
      </c>
      <c r="F243" t="n">
        <v>0.08599999999999999</v>
      </c>
      <c r="G243" t="n">
        <v>8001</v>
      </c>
      <c r="H243" t="n">
        <v>170</v>
      </c>
      <c r="I243" t="n">
        <v>1</v>
      </c>
      <c r="J243" t="n">
        <v>8000</v>
      </c>
      <c r="K243" t="n">
        <v>250</v>
      </c>
      <c r="L243" t="n">
        <v>1</v>
      </c>
      <c r="M243" t="n">
        <v>2007</v>
      </c>
      <c r="N243" t="n">
        <v>1</v>
      </c>
      <c r="O243" t="n">
        <v>0.05</v>
      </c>
      <c r="P243" t="n">
        <v>9000</v>
      </c>
      <c r="Q243" t="n">
        <v>60</v>
      </c>
      <c r="R243" t="n">
        <v>1</v>
      </c>
      <c r="S243" t="inlineStr">
        <is>
          <t>2001,2002</t>
        </is>
      </c>
      <c r="T243" t="n">
        <v>8</v>
      </c>
      <c r="U243" t="n">
        <v>0.5</v>
      </c>
      <c r="V243" t="n">
        <v>1000</v>
      </c>
      <c r="W243" t="n">
        <v>2625</v>
      </c>
      <c r="X243" t="n">
        <v>1</v>
      </c>
      <c r="Y243" t="n">
        <v>2006</v>
      </c>
      <c r="Z243" t="n">
        <v>1</v>
      </c>
      <c r="AA243" t="n">
        <v>0.03</v>
      </c>
    </row>
    <row r="244">
      <c r="A244" t="n">
        <v>1242</v>
      </c>
      <c r="B244" t="inlineStr">
        <is>
          <t>40074,40046,40042,40032</t>
        </is>
      </c>
      <c r="C244" t="n">
        <v>122</v>
      </c>
      <c r="D2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4" t="n">
        <v>1</v>
      </c>
      <c r="F244" t="n">
        <v>0.08599999999999999</v>
      </c>
      <c r="G244" t="n">
        <v>8001</v>
      </c>
      <c r="H244" t="n">
        <v>170</v>
      </c>
      <c r="I244" t="n">
        <v>1</v>
      </c>
      <c r="J244" t="n">
        <v>8000</v>
      </c>
      <c r="K244" t="n">
        <v>255</v>
      </c>
      <c r="L244" t="n">
        <v>1</v>
      </c>
      <c r="M244" t="n">
        <v>2007</v>
      </c>
      <c r="N244" t="n">
        <v>1</v>
      </c>
      <c r="O244" t="n">
        <v>0.05</v>
      </c>
      <c r="P244" t="n">
        <v>9000</v>
      </c>
      <c r="Q244" t="n">
        <v>60</v>
      </c>
      <c r="R244" t="n">
        <v>1</v>
      </c>
      <c r="S244" t="inlineStr">
        <is>
          <t>2001,2002</t>
        </is>
      </c>
      <c r="T244" t="n">
        <v>8</v>
      </c>
      <c r="U244" t="n">
        <v>0.5</v>
      </c>
      <c r="V244" t="n">
        <v>1000</v>
      </c>
      <c r="W244" t="n">
        <v>2640</v>
      </c>
      <c r="X244" t="n">
        <v>1</v>
      </c>
      <c r="Y244" t="n">
        <v>2006</v>
      </c>
      <c r="Z244" t="n">
        <v>1</v>
      </c>
      <c r="AA244" t="n">
        <v>0.03</v>
      </c>
    </row>
    <row r="245">
      <c r="A245" t="n">
        <v>1243</v>
      </c>
      <c r="B245" t="inlineStr">
        <is>
          <t>40046,40074,40032</t>
        </is>
      </c>
      <c r="C245" t="n">
        <v>122</v>
      </c>
      <c r="D2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5" t="n">
        <v>1</v>
      </c>
      <c r="F245" t="n">
        <v>0.08599999999999999</v>
      </c>
      <c r="G245" t="n">
        <v>8001</v>
      </c>
      <c r="H245" t="n">
        <v>170</v>
      </c>
      <c r="I245" t="n">
        <v>1</v>
      </c>
      <c r="J245" t="n">
        <v>8000</v>
      </c>
      <c r="K245" t="n">
        <v>255</v>
      </c>
      <c r="L245" t="n">
        <v>1</v>
      </c>
      <c r="M245" t="n">
        <v>2007</v>
      </c>
      <c r="N245" t="n">
        <v>1</v>
      </c>
      <c r="O245" t="n">
        <v>0.05</v>
      </c>
      <c r="P245" t="n">
        <v>9000</v>
      </c>
      <c r="Q245" t="n">
        <v>60</v>
      </c>
      <c r="R245" t="n">
        <v>1</v>
      </c>
      <c r="S245" t="inlineStr">
        <is>
          <t>2001,2002</t>
        </is>
      </c>
      <c r="T245" t="n">
        <v>8</v>
      </c>
      <c r="U245" t="n">
        <v>0.5</v>
      </c>
      <c r="V245" t="n">
        <v>1000</v>
      </c>
      <c r="W245" t="n">
        <v>2650</v>
      </c>
      <c r="X245" t="n">
        <v>1</v>
      </c>
      <c r="Y245" t="n">
        <v>2006</v>
      </c>
      <c r="Z245" t="n">
        <v>1</v>
      </c>
      <c r="AA245" t="n">
        <v>0.03</v>
      </c>
    </row>
    <row r="246">
      <c r="A246" t="n">
        <v>1244</v>
      </c>
      <c r="B246" t="inlineStr">
        <is>
          <t>40042,40074,40032</t>
        </is>
      </c>
      <c r="C246" t="n">
        <v>123</v>
      </c>
      <c r="D2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6" t="n">
        <v>1</v>
      </c>
      <c r="F246" t="n">
        <v>0.08599999999999999</v>
      </c>
      <c r="G246" t="n">
        <v>8001</v>
      </c>
      <c r="H246" t="n">
        <v>170</v>
      </c>
      <c r="I246" t="n">
        <v>1</v>
      </c>
      <c r="J246" t="n">
        <v>8000</v>
      </c>
      <c r="K246" t="n">
        <v>255</v>
      </c>
      <c r="L246" t="n">
        <v>1</v>
      </c>
      <c r="M246" t="n">
        <v>2007</v>
      </c>
      <c r="N246" t="n">
        <v>1</v>
      </c>
      <c r="O246" t="n">
        <v>0.05</v>
      </c>
      <c r="P246" t="n">
        <v>9000</v>
      </c>
      <c r="Q246" t="n">
        <v>61</v>
      </c>
      <c r="R246" t="n">
        <v>1</v>
      </c>
      <c r="S246" t="inlineStr">
        <is>
          <t>2001,2002</t>
        </is>
      </c>
      <c r="T246" t="n">
        <v>9</v>
      </c>
      <c r="U246" t="n">
        <v>0.5</v>
      </c>
      <c r="V246" t="n">
        <v>1000</v>
      </c>
      <c r="W246" t="n">
        <v>2665</v>
      </c>
      <c r="X246" t="n">
        <v>1</v>
      </c>
      <c r="Y246" t="n">
        <v>2006</v>
      </c>
      <c r="Z246" t="n">
        <v>1</v>
      </c>
      <c r="AA246" t="n">
        <v>0.03</v>
      </c>
    </row>
    <row r="247">
      <c r="A247" t="n">
        <v>1245</v>
      </c>
      <c r="B247" t="inlineStr">
        <is>
          <t>40074,40046,40047</t>
        </is>
      </c>
      <c r="C247" t="n">
        <v>123</v>
      </c>
      <c r="D2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7" t="n">
        <v>1</v>
      </c>
      <c r="F247" t="n">
        <v>0.08699999999999999</v>
      </c>
      <c r="G247" t="n">
        <v>8001</v>
      </c>
      <c r="H247" t="n">
        <v>170</v>
      </c>
      <c r="I247" t="n">
        <v>1</v>
      </c>
      <c r="J247" t="n">
        <v>8000</v>
      </c>
      <c r="K247" t="n">
        <v>255</v>
      </c>
      <c r="L247" t="n">
        <v>1</v>
      </c>
      <c r="M247" t="n">
        <v>2007</v>
      </c>
      <c r="N247" t="n">
        <v>1</v>
      </c>
      <c r="O247" t="n">
        <v>0.05</v>
      </c>
      <c r="P247" t="n">
        <v>9000</v>
      </c>
      <c r="Q247" t="n">
        <v>61</v>
      </c>
      <c r="R247" t="n">
        <v>1</v>
      </c>
      <c r="S247" t="inlineStr">
        <is>
          <t>2001,2002</t>
        </is>
      </c>
      <c r="T247" t="n">
        <v>9</v>
      </c>
      <c r="U247" t="n">
        <v>0.5</v>
      </c>
      <c r="V247" t="n">
        <v>1000</v>
      </c>
      <c r="W247" t="n">
        <v>2680</v>
      </c>
      <c r="X247" t="n">
        <v>1</v>
      </c>
      <c r="Y247" t="n">
        <v>2006</v>
      </c>
      <c r="Z247" t="n">
        <v>1</v>
      </c>
      <c r="AA247" t="n">
        <v>0.03</v>
      </c>
    </row>
    <row r="248">
      <c r="A248" t="n">
        <v>1246</v>
      </c>
      <c r="B248" t="inlineStr">
        <is>
          <t>40074,40046,40032,40042</t>
        </is>
      </c>
      <c r="C248" t="n">
        <v>124</v>
      </c>
      <c r="D2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8" t="n">
        <v>1</v>
      </c>
      <c r="F248" t="n">
        <v>0.08699999999999999</v>
      </c>
      <c r="G248" t="n">
        <v>8001</v>
      </c>
      <c r="H248" t="n">
        <v>170</v>
      </c>
      <c r="I248" t="n">
        <v>1</v>
      </c>
      <c r="J248" t="n">
        <v>8000</v>
      </c>
      <c r="K248" t="n">
        <v>260</v>
      </c>
      <c r="L248" t="n">
        <v>1</v>
      </c>
      <c r="M248" t="n">
        <v>2007</v>
      </c>
      <c r="N248" t="n">
        <v>1</v>
      </c>
      <c r="O248" t="n">
        <v>0.05</v>
      </c>
      <c r="P248" t="n">
        <v>9000</v>
      </c>
      <c r="Q248" t="n">
        <v>61</v>
      </c>
      <c r="R248" t="n">
        <v>1</v>
      </c>
      <c r="S248" t="inlineStr">
        <is>
          <t>2001,2002</t>
        </is>
      </c>
      <c r="T248" t="n">
        <v>9</v>
      </c>
      <c r="U248" t="n">
        <v>0.5</v>
      </c>
      <c r="V248" t="n">
        <v>1000</v>
      </c>
      <c r="W248" t="n">
        <v>2690</v>
      </c>
      <c r="X248" t="n">
        <v>1</v>
      </c>
      <c r="Y248" t="n">
        <v>2006</v>
      </c>
      <c r="Z248" t="n">
        <v>1</v>
      </c>
      <c r="AA248" t="n">
        <v>0.03</v>
      </c>
    </row>
    <row r="249">
      <c r="A249" t="n">
        <v>1247</v>
      </c>
      <c r="B249" t="inlineStr">
        <is>
          <t>40074,40047,40042</t>
        </is>
      </c>
      <c r="C249" t="n">
        <v>124</v>
      </c>
      <c r="D2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9" t="n">
        <v>1</v>
      </c>
      <c r="F249" t="n">
        <v>0.08699999999999999</v>
      </c>
      <c r="G249" t="n">
        <v>8001</v>
      </c>
      <c r="H249" t="n">
        <v>175</v>
      </c>
      <c r="I249" t="n">
        <v>1</v>
      </c>
      <c r="J249" t="n">
        <v>8000</v>
      </c>
      <c r="K249" t="n">
        <v>260</v>
      </c>
      <c r="L249" t="n">
        <v>1</v>
      </c>
      <c r="M249" t="n">
        <v>2007</v>
      </c>
      <c r="N249" t="n">
        <v>1</v>
      </c>
      <c r="O249" t="n">
        <v>0.05</v>
      </c>
      <c r="P249" t="n">
        <v>9000</v>
      </c>
      <c r="Q249" t="n">
        <v>62</v>
      </c>
      <c r="R249" t="n">
        <v>1</v>
      </c>
      <c r="S249" t="inlineStr">
        <is>
          <t>2001,2002</t>
        </is>
      </c>
      <c r="T249" t="n">
        <v>9</v>
      </c>
      <c r="U249" t="n">
        <v>0.5</v>
      </c>
      <c r="V249" t="n">
        <v>1000</v>
      </c>
      <c r="W249" t="n">
        <v>2705</v>
      </c>
      <c r="X249" t="n">
        <v>1</v>
      </c>
      <c r="Y249" t="n">
        <v>2006</v>
      </c>
      <c r="Z249" t="n">
        <v>1</v>
      </c>
      <c r="AA249" t="n">
        <v>0.03</v>
      </c>
    </row>
    <row r="250">
      <c r="A250" t="n">
        <v>1248</v>
      </c>
      <c r="B250" t="inlineStr">
        <is>
          <t>40042,40047,40032</t>
        </is>
      </c>
      <c r="C250" t="n">
        <v>125</v>
      </c>
      <c r="D2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0" t="n">
        <v>1</v>
      </c>
      <c r="F250" t="n">
        <v>0.08699999999999999</v>
      </c>
      <c r="G250" t="n">
        <v>8001</v>
      </c>
      <c r="H250" t="n">
        <v>175</v>
      </c>
      <c r="I250" t="n">
        <v>1</v>
      </c>
      <c r="J250" t="n">
        <v>8000</v>
      </c>
      <c r="K250" t="n">
        <v>260</v>
      </c>
      <c r="L250" t="n">
        <v>1</v>
      </c>
      <c r="M250" t="n">
        <v>2007</v>
      </c>
      <c r="N250" t="n">
        <v>1</v>
      </c>
      <c r="O250" t="n">
        <v>0.05</v>
      </c>
      <c r="P250" t="n">
        <v>9000</v>
      </c>
      <c r="Q250" t="n">
        <v>62</v>
      </c>
      <c r="R250" t="n">
        <v>1</v>
      </c>
      <c r="S250" t="inlineStr">
        <is>
          <t>2001,2002</t>
        </is>
      </c>
      <c r="T250" t="n">
        <v>9</v>
      </c>
      <c r="U250" t="n">
        <v>0.5</v>
      </c>
      <c r="V250" t="n">
        <v>1000</v>
      </c>
      <c r="W250" t="n">
        <v>2720</v>
      </c>
      <c r="X250" t="n">
        <v>1</v>
      </c>
      <c r="Y250" t="n">
        <v>2006</v>
      </c>
      <c r="Z250" t="n">
        <v>1</v>
      </c>
      <c r="AA250" t="n">
        <v>0.03</v>
      </c>
    </row>
    <row r="251">
      <c r="A251" t="n">
        <v>1249</v>
      </c>
      <c r="B251" t="inlineStr">
        <is>
          <t>40074,40046,40032,40042,40047</t>
        </is>
      </c>
      <c r="C251" t="n">
        <v>125</v>
      </c>
      <c r="D2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1" t="n">
        <v>1</v>
      </c>
      <c r="F251" t="n">
        <v>0.08699999999999999</v>
      </c>
      <c r="G251" t="n">
        <v>8001</v>
      </c>
      <c r="H251" t="n">
        <v>175</v>
      </c>
      <c r="I251" t="n">
        <v>1</v>
      </c>
      <c r="J251" t="n">
        <v>8000</v>
      </c>
      <c r="K251" t="n">
        <v>260</v>
      </c>
      <c r="L251" t="n">
        <v>1</v>
      </c>
      <c r="M251" t="n">
        <v>2007</v>
      </c>
      <c r="N251" t="n">
        <v>1</v>
      </c>
      <c r="O251" t="n">
        <v>0.05</v>
      </c>
      <c r="P251" t="n">
        <v>9000</v>
      </c>
      <c r="Q251" t="n">
        <v>62</v>
      </c>
      <c r="R251" t="n">
        <v>1</v>
      </c>
      <c r="S251" t="inlineStr">
        <is>
          <t>2001,2002</t>
        </is>
      </c>
      <c r="T251" t="n">
        <v>9</v>
      </c>
      <c r="U251" t="n">
        <v>0.5</v>
      </c>
      <c r="V251" t="n">
        <v>1000</v>
      </c>
      <c r="W251" t="n">
        <v>2735</v>
      </c>
      <c r="X251" t="n">
        <v>1</v>
      </c>
      <c r="Y251" t="n">
        <v>2006</v>
      </c>
      <c r="Z251" t="n">
        <v>1</v>
      </c>
      <c r="AA251" t="n">
        <v>0.03</v>
      </c>
    </row>
    <row r="252">
      <c r="A252" t="n">
        <v>1250</v>
      </c>
      <c r="B252" t="inlineStr">
        <is>
          <t>40074,40047,40042</t>
        </is>
      </c>
      <c r="C252" t="n">
        <v>126</v>
      </c>
      <c r="D2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2" t="n">
        <v>1</v>
      </c>
      <c r="F252" t="n">
        <v>0.08799999999999999</v>
      </c>
      <c r="G252" t="n">
        <v>8001</v>
      </c>
      <c r="H252" t="n">
        <v>175</v>
      </c>
      <c r="I252" t="n">
        <v>1</v>
      </c>
      <c r="J252" t="n">
        <v>8000</v>
      </c>
      <c r="K252" t="n">
        <v>265</v>
      </c>
      <c r="L252" t="n">
        <v>1</v>
      </c>
      <c r="M252" t="n">
        <v>2007</v>
      </c>
      <c r="N252" t="n">
        <v>1</v>
      </c>
      <c r="O252" t="n">
        <v>0.05</v>
      </c>
      <c r="P252" t="n">
        <v>9000</v>
      </c>
      <c r="Q252" t="n">
        <v>63</v>
      </c>
      <c r="R252" t="n">
        <v>1</v>
      </c>
      <c r="S252" t="inlineStr">
        <is>
          <t>2001,2002</t>
        </is>
      </c>
      <c r="T252" t="n">
        <v>9</v>
      </c>
      <c r="U252" t="n">
        <v>0.5</v>
      </c>
      <c r="V252" t="n">
        <v>1000</v>
      </c>
      <c r="W252" t="n">
        <v>2745</v>
      </c>
      <c r="X252" t="n">
        <v>1</v>
      </c>
      <c r="Y252" t="n">
        <v>2006</v>
      </c>
      <c r="Z252" t="n">
        <v>1</v>
      </c>
      <c r="AA252" t="n">
        <v>0.03</v>
      </c>
    </row>
    <row r="253">
      <c r="A253" t="n">
        <v>1251</v>
      </c>
      <c r="B253" t="inlineStr">
        <is>
          <t>40074,40042,40046</t>
        </is>
      </c>
      <c r="C253" t="n">
        <v>126</v>
      </c>
      <c r="D2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3" t="n">
        <v>1</v>
      </c>
      <c r="F253" t="n">
        <v>0.08799999999999999</v>
      </c>
      <c r="G253" t="n">
        <v>8001</v>
      </c>
      <c r="H253" t="n">
        <v>175</v>
      </c>
      <c r="I253" t="n">
        <v>1</v>
      </c>
      <c r="J253" t="n">
        <v>8000</v>
      </c>
      <c r="K253" t="n">
        <v>265</v>
      </c>
      <c r="L253" t="n">
        <v>1</v>
      </c>
      <c r="M253" t="n">
        <v>2007</v>
      </c>
      <c r="N253" t="n">
        <v>1</v>
      </c>
      <c r="O253" t="n">
        <v>0.05</v>
      </c>
      <c r="P253" t="n">
        <v>9000</v>
      </c>
      <c r="Q253" t="n">
        <v>63</v>
      </c>
      <c r="R253" t="n">
        <v>1</v>
      </c>
      <c r="S253" t="inlineStr">
        <is>
          <t>2001,2002</t>
        </is>
      </c>
      <c r="T253" t="n">
        <v>9</v>
      </c>
      <c r="U253" t="n">
        <v>0.5</v>
      </c>
      <c r="V253" t="n">
        <v>1000</v>
      </c>
      <c r="W253" t="n">
        <v>2760</v>
      </c>
      <c r="X253" t="n">
        <v>1</v>
      </c>
      <c r="Y253" t="n">
        <v>2006</v>
      </c>
      <c r="Z253" t="n">
        <v>1</v>
      </c>
      <c r="AA253" t="n">
        <v>0.03</v>
      </c>
    </row>
    <row r="254">
      <c r="A254" t="n">
        <v>1252</v>
      </c>
      <c r="B254" t="inlineStr">
        <is>
          <t>40032,40047,40042</t>
        </is>
      </c>
      <c r="C254" t="n">
        <v>127</v>
      </c>
      <c r="D2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4" t="n">
        <v>1</v>
      </c>
      <c r="F254" t="n">
        <v>0.08799999999999999</v>
      </c>
      <c r="G254" t="n">
        <v>8001</v>
      </c>
      <c r="H254" t="n">
        <v>180</v>
      </c>
      <c r="I254" t="n">
        <v>1</v>
      </c>
      <c r="J254" t="n">
        <v>8000</v>
      </c>
      <c r="K254" t="n">
        <v>265</v>
      </c>
      <c r="L254" t="n">
        <v>1</v>
      </c>
      <c r="M254" t="n">
        <v>2007</v>
      </c>
      <c r="N254" t="n">
        <v>1</v>
      </c>
      <c r="O254" t="n">
        <v>0.05</v>
      </c>
      <c r="P254" t="n">
        <v>9000</v>
      </c>
      <c r="Q254" t="n">
        <v>63</v>
      </c>
      <c r="R254" t="n">
        <v>1</v>
      </c>
      <c r="S254" t="inlineStr">
        <is>
          <t>2001,2002</t>
        </is>
      </c>
      <c r="T254" t="n">
        <v>9</v>
      </c>
      <c r="U254" t="n">
        <v>0.5</v>
      </c>
      <c r="V254" t="n">
        <v>1000</v>
      </c>
      <c r="W254" t="n">
        <v>2775</v>
      </c>
      <c r="X254" t="n">
        <v>1</v>
      </c>
      <c r="Y254" t="n">
        <v>2006</v>
      </c>
      <c r="Z254" t="n">
        <v>1</v>
      </c>
      <c r="AA254" t="n">
        <v>0.03</v>
      </c>
    </row>
    <row r="255">
      <c r="A255" t="n">
        <v>1253</v>
      </c>
      <c r="B255" t="inlineStr">
        <is>
          <t>40047,40042,40046,40032</t>
        </is>
      </c>
      <c r="C255" t="n">
        <v>127</v>
      </c>
      <c r="D2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5" t="n">
        <v>1</v>
      </c>
      <c r="F255" t="n">
        <v>0.08799999999999999</v>
      </c>
      <c r="G255" t="n">
        <v>8001</v>
      </c>
      <c r="H255" t="n">
        <v>180</v>
      </c>
      <c r="I255" t="n">
        <v>1</v>
      </c>
      <c r="J255" t="n">
        <v>8000</v>
      </c>
      <c r="K255" t="n">
        <v>270</v>
      </c>
      <c r="L255" t="n">
        <v>1</v>
      </c>
      <c r="M255" t="n">
        <v>2007</v>
      </c>
      <c r="N255" t="n">
        <v>1</v>
      </c>
      <c r="O255" t="n">
        <v>0.05</v>
      </c>
      <c r="P255" t="n">
        <v>9000</v>
      </c>
      <c r="Q255" t="n">
        <v>64</v>
      </c>
      <c r="R255" t="n">
        <v>1</v>
      </c>
      <c r="S255" t="inlineStr">
        <is>
          <t>2001,2002</t>
        </is>
      </c>
      <c r="T255" t="n">
        <v>9</v>
      </c>
      <c r="U255" t="n">
        <v>0.5</v>
      </c>
      <c r="V255" t="n">
        <v>1000</v>
      </c>
      <c r="W255" t="n">
        <v>2790</v>
      </c>
      <c r="X255" t="n">
        <v>1</v>
      </c>
      <c r="Y255" t="n">
        <v>2006</v>
      </c>
      <c r="Z255" t="n">
        <v>1</v>
      </c>
      <c r="AA255" t="n">
        <v>0.03</v>
      </c>
    </row>
    <row r="256">
      <c r="A256" t="n">
        <v>1254</v>
      </c>
      <c r="B256" t="inlineStr">
        <is>
          <t>40046,40047,40074</t>
        </is>
      </c>
      <c r="C256" t="n">
        <v>128</v>
      </c>
      <c r="D2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6" t="n">
        <v>1</v>
      </c>
      <c r="F256" t="n">
        <v>0.089</v>
      </c>
      <c r="G256" t="n">
        <v>8001</v>
      </c>
      <c r="H256" t="n">
        <v>180</v>
      </c>
      <c r="I256" t="n">
        <v>1</v>
      </c>
      <c r="J256" t="n">
        <v>8000</v>
      </c>
      <c r="K256" t="n">
        <v>270</v>
      </c>
      <c r="L256" t="n">
        <v>1</v>
      </c>
      <c r="M256" t="n">
        <v>2007</v>
      </c>
      <c r="N256" t="n">
        <v>1</v>
      </c>
      <c r="O256" t="n">
        <v>0.05</v>
      </c>
      <c r="P256" t="n">
        <v>9000</v>
      </c>
      <c r="Q256" t="n">
        <v>64</v>
      </c>
      <c r="R256" t="n">
        <v>1</v>
      </c>
      <c r="S256" t="inlineStr">
        <is>
          <t>2001,2002</t>
        </is>
      </c>
      <c r="T256" t="n">
        <v>9</v>
      </c>
      <c r="U256" t="n">
        <v>0.5</v>
      </c>
      <c r="V256" t="n">
        <v>1000</v>
      </c>
      <c r="W256" t="n">
        <v>2800</v>
      </c>
      <c r="X256" t="n">
        <v>1</v>
      </c>
      <c r="Y256" t="n">
        <v>2006</v>
      </c>
      <c r="Z256" t="n">
        <v>1</v>
      </c>
      <c r="AA256" t="n">
        <v>0.03</v>
      </c>
    </row>
    <row r="257">
      <c r="A257" t="n">
        <v>1255</v>
      </c>
      <c r="B257" t="inlineStr">
        <is>
          <t>40032,40046,40047,40042,40074</t>
        </is>
      </c>
      <c r="C257" t="n">
        <v>128</v>
      </c>
      <c r="D2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7" t="n">
        <v>1</v>
      </c>
      <c r="F257" t="n">
        <v>0.089</v>
      </c>
      <c r="G257" t="n">
        <v>8001</v>
      </c>
      <c r="H257" t="n">
        <v>180</v>
      </c>
      <c r="I257" t="n">
        <v>1</v>
      </c>
      <c r="J257" t="n">
        <v>8000</v>
      </c>
      <c r="K257" t="n">
        <v>270</v>
      </c>
      <c r="L257" t="n">
        <v>1</v>
      </c>
      <c r="M257" t="n">
        <v>2007</v>
      </c>
      <c r="N257" t="n">
        <v>1</v>
      </c>
      <c r="O257" t="n">
        <v>0.05</v>
      </c>
      <c r="P257" t="n">
        <v>9000</v>
      </c>
      <c r="Q257" t="n">
        <v>65</v>
      </c>
      <c r="R257" t="n">
        <v>1</v>
      </c>
      <c r="S257" t="inlineStr">
        <is>
          <t>2001,2002</t>
        </is>
      </c>
      <c r="T257" t="n">
        <v>9</v>
      </c>
      <c r="U257" t="n">
        <v>0.5</v>
      </c>
      <c r="V257" t="n">
        <v>1000</v>
      </c>
      <c r="W257" t="n">
        <v>2815</v>
      </c>
      <c r="X257" t="n">
        <v>1</v>
      </c>
      <c r="Y257" t="n">
        <v>2006</v>
      </c>
      <c r="Z257" t="n">
        <v>1</v>
      </c>
      <c r="AA257" t="n">
        <v>0.03</v>
      </c>
    </row>
    <row r="258">
      <c r="A258" t="n">
        <v>1256</v>
      </c>
      <c r="B258" t="inlineStr">
        <is>
          <t>40032,40042,40046</t>
        </is>
      </c>
      <c r="C258" t="n">
        <v>129</v>
      </c>
      <c r="D2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8" t="n">
        <v>1</v>
      </c>
      <c r="F258" t="n">
        <v>0.089</v>
      </c>
      <c r="G258" t="n">
        <v>8001</v>
      </c>
      <c r="H258" t="n">
        <v>180</v>
      </c>
      <c r="I258" t="n">
        <v>1</v>
      </c>
      <c r="J258" t="n">
        <v>8000</v>
      </c>
      <c r="K258" t="n">
        <v>270</v>
      </c>
      <c r="L258" t="n">
        <v>1</v>
      </c>
      <c r="M258" t="n">
        <v>2007</v>
      </c>
      <c r="N258" t="n">
        <v>1</v>
      </c>
      <c r="O258" t="n">
        <v>0.05</v>
      </c>
      <c r="P258" t="n">
        <v>9000</v>
      </c>
      <c r="Q258" t="n">
        <v>65</v>
      </c>
      <c r="R258" t="n">
        <v>1</v>
      </c>
      <c r="S258" t="inlineStr">
        <is>
          <t>2001,2002</t>
        </is>
      </c>
      <c r="T258" t="n">
        <v>9</v>
      </c>
      <c r="U258" t="n">
        <v>0.5</v>
      </c>
      <c r="V258" t="n">
        <v>1000</v>
      </c>
      <c r="W258" t="n">
        <v>2830</v>
      </c>
      <c r="X258" t="n">
        <v>1</v>
      </c>
      <c r="Y258" t="n">
        <v>2006</v>
      </c>
      <c r="Z258" t="n">
        <v>1</v>
      </c>
      <c r="AA258" t="n">
        <v>0.03</v>
      </c>
    </row>
    <row r="259">
      <c r="A259" t="n">
        <v>1257</v>
      </c>
      <c r="B259" t="inlineStr">
        <is>
          <t>40032,40046,40074</t>
        </is>
      </c>
      <c r="C259" t="n">
        <v>129</v>
      </c>
      <c r="D2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9" t="n">
        <v>1</v>
      </c>
      <c r="F259" t="n">
        <v>0.089</v>
      </c>
      <c r="G259" t="n">
        <v>8001</v>
      </c>
      <c r="H259" t="n">
        <v>180</v>
      </c>
      <c r="I259" t="n">
        <v>1</v>
      </c>
      <c r="J259" t="n">
        <v>8000</v>
      </c>
      <c r="K259" t="n">
        <v>275</v>
      </c>
      <c r="L259" t="n">
        <v>1</v>
      </c>
      <c r="M259" t="n">
        <v>2007</v>
      </c>
      <c r="N259" t="n">
        <v>1</v>
      </c>
      <c r="O259" t="n">
        <v>0.05</v>
      </c>
      <c r="P259" t="n">
        <v>9000</v>
      </c>
      <c r="Q259" t="n">
        <v>65</v>
      </c>
      <c r="R259" t="n">
        <v>1</v>
      </c>
      <c r="S259" t="inlineStr">
        <is>
          <t>2001,2002</t>
        </is>
      </c>
      <c r="T259" t="n">
        <v>9</v>
      </c>
      <c r="U259" t="n">
        <v>0.5</v>
      </c>
      <c r="V259" t="n">
        <v>1000</v>
      </c>
      <c r="W259" t="n">
        <v>2845</v>
      </c>
      <c r="X259" t="n">
        <v>1</v>
      </c>
      <c r="Y259" t="n">
        <v>2006</v>
      </c>
      <c r="Z259" t="n">
        <v>1</v>
      </c>
      <c r="AA259" t="n">
        <v>0.03</v>
      </c>
    </row>
    <row r="260">
      <c r="A260" t="n">
        <v>1258</v>
      </c>
      <c r="B260" t="inlineStr">
        <is>
          <t>40047,40074,40046,40032</t>
        </is>
      </c>
      <c r="C260" t="n">
        <v>130</v>
      </c>
      <c r="D2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0" t="n">
        <v>1</v>
      </c>
      <c r="F260" t="n">
        <v>0.09</v>
      </c>
      <c r="G260" t="n">
        <v>8001</v>
      </c>
      <c r="H260" t="n">
        <v>185</v>
      </c>
      <c r="I260" t="n">
        <v>1</v>
      </c>
      <c r="J260" t="n">
        <v>8000</v>
      </c>
      <c r="K260" t="n">
        <v>275</v>
      </c>
      <c r="L260" t="n">
        <v>1</v>
      </c>
      <c r="M260" t="n">
        <v>2007</v>
      </c>
      <c r="N260" t="n">
        <v>1</v>
      </c>
      <c r="O260" t="n">
        <v>0.05</v>
      </c>
      <c r="P260" t="n">
        <v>9000</v>
      </c>
      <c r="Q260" t="n">
        <v>66</v>
      </c>
      <c r="R260" t="n">
        <v>1</v>
      </c>
      <c r="S260" t="inlineStr">
        <is>
          <t>2001,2002</t>
        </is>
      </c>
      <c r="T260" t="n">
        <v>9</v>
      </c>
      <c r="U260" t="n">
        <v>0.5</v>
      </c>
      <c r="V260" t="n">
        <v>1000</v>
      </c>
      <c r="W260" t="n">
        <v>2855</v>
      </c>
      <c r="X260" t="n">
        <v>1</v>
      </c>
      <c r="Y260" t="n">
        <v>2006</v>
      </c>
      <c r="Z260" t="n">
        <v>1</v>
      </c>
      <c r="AA260" t="n">
        <v>0.03</v>
      </c>
    </row>
    <row r="261">
      <c r="A261" t="n">
        <v>1259</v>
      </c>
      <c r="B261" t="inlineStr">
        <is>
          <t>40046,40042,40074,40047</t>
        </is>
      </c>
      <c r="C261" t="n">
        <v>130</v>
      </c>
      <c r="D2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1" t="n">
        <v>1</v>
      </c>
      <c r="F261" t="n">
        <v>0.09</v>
      </c>
      <c r="G261" t="n">
        <v>8001</v>
      </c>
      <c r="H261" t="n">
        <v>185</v>
      </c>
      <c r="I261" t="n">
        <v>1</v>
      </c>
      <c r="J261" t="n">
        <v>8000</v>
      </c>
      <c r="K261" t="n">
        <v>275</v>
      </c>
      <c r="L261" t="n">
        <v>1</v>
      </c>
      <c r="M261" t="n">
        <v>2007</v>
      </c>
      <c r="N261" t="n">
        <v>1</v>
      </c>
      <c r="O261" t="n">
        <v>0.05</v>
      </c>
      <c r="P261" t="n">
        <v>9000</v>
      </c>
      <c r="Q261" t="n">
        <v>66</v>
      </c>
      <c r="R261" t="n">
        <v>1</v>
      </c>
      <c r="S261" t="inlineStr">
        <is>
          <t>2001,2002</t>
        </is>
      </c>
      <c r="T261" t="n">
        <v>9</v>
      </c>
      <c r="U261" t="n">
        <v>0.5</v>
      </c>
      <c r="V261" t="n">
        <v>1000</v>
      </c>
      <c r="W261" t="n">
        <v>2870</v>
      </c>
      <c r="X261" t="n">
        <v>1</v>
      </c>
      <c r="Y261" t="n">
        <v>2006</v>
      </c>
      <c r="Z261" t="n">
        <v>1</v>
      </c>
      <c r="AA261" t="n">
        <v>0.03</v>
      </c>
    </row>
    <row r="262">
      <c r="A262" t="n">
        <v>1260</v>
      </c>
      <c r="B262" t="inlineStr">
        <is>
          <t>40042,40032,40046</t>
        </is>
      </c>
      <c r="C262" t="n">
        <v>131</v>
      </c>
      <c r="D2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2" t="n">
        <v>1</v>
      </c>
      <c r="F262" t="n">
        <v>0.09</v>
      </c>
      <c r="G262" t="n">
        <v>8001</v>
      </c>
      <c r="H262" t="n">
        <v>185</v>
      </c>
      <c r="I262" t="n">
        <v>1</v>
      </c>
      <c r="J262" t="n">
        <v>8000</v>
      </c>
      <c r="K262" t="n">
        <v>275</v>
      </c>
      <c r="L262" t="n">
        <v>1</v>
      </c>
      <c r="M262" t="n">
        <v>2007</v>
      </c>
      <c r="N262" t="n">
        <v>1</v>
      </c>
      <c r="O262" t="n">
        <v>0.05</v>
      </c>
      <c r="P262" t="n">
        <v>9000</v>
      </c>
      <c r="Q262" t="n">
        <v>66</v>
      </c>
      <c r="R262" t="n">
        <v>1</v>
      </c>
      <c r="S262" t="inlineStr">
        <is>
          <t>2001,2002</t>
        </is>
      </c>
      <c r="T262" t="n">
        <v>9</v>
      </c>
      <c r="U262" t="n">
        <v>0.5</v>
      </c>
      <c r="V262" t="n">
        <v>1000</v>
      </c>
      <c r="W262" t="n">
        <v>2885</v>
      </c>
      <c r="X262" t="n">
        <v>1</v>
      </c>
      <c r="Y262" t="n">
        <v>2006</v>
      </c>
      <c r="Z262" t="n">
        <v>1</v>
      </c>
      <c r="AA262" t="n">
        <v>0.03</v>
      </c>
    </row>
    <row r="263">
      <c r="A263" t="n">
        <v>1261</v>
      </c>
      <c r="B263" t="inlineStr">
        <is>
          <t>40042,40074,40046</t>
        </is>
      </c>
      <c r="C263" t="n">
        <v>131</v>
      </c>
      <c r="D2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3" t="n">
        <v>1</v>
      </c>
      <c r="F263" t="n">
        <v>0.09</v>
      </c>
      <c r="G263" t="n">
        <v>8001</v>
      </c>
      <c r="H263" t="n">
        <v>185</v>
      </c>
      <c r="I263" t="n">
        <v>1</v>
      </c>
      <c r="J263" t="n">
        <v>8000</v>
      </c>
      <c r="K263" t="n">
        <v>280</v>
      </c>
      <c r="L263" t="n">
        <v>1</v>
      </c>
      <c r="M263" t="n">
        <v>2007</v>
      </c>
      <c r="N263" t="n">
        <v>1</v>
      </c>
      <c r="O263" t="n">
        <v>0.05</v>
      </c>
      <c r="P263" t="n">
        <v>9000</v>
      </c>
      <c r="Q263" t="n">
        <v>67</v>
      </c>
      <c r="R263" t="n">
        <v>1</v>
      </c>
      <c r="S263" t="inlineStr">
        <is>
          <t>2001,2002</t>
        </is>
      </c>
      <c r="T263" t="n">
        <v>9</v>
      </c>
      <c r="U263" t="n">
        <v>0.5</v>
      </c>
      <c r="V263" t="n">
        <v>1000</v>
      </c>
      <c r="W263" t="n">
        <v>2900</v>
      </c>
      <c r="X263" t="n">
        <v>1</v>
      </c>
      <c r="Y263" t="n">
        <v>2006</v>
      </c>
      <c r="Z263" t="n">
        <v>1</v>
      </c>
      <c r="AA263" t="n">
        <v>0.03</v>
      </c>
    </row>
    <row r="264">
      <c r="A264" t="n">
        <v>1262</v>
      </c>
      <c r="B264" t="inlineStr">
        <is>
          <t>40046,40047,40042</t>
        </is>
      </c>
      <c r="C264" t="n">
        <v>132</v>
      </c>
      <c r="D2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4" t="n">
        <v>1</v>
      </c>
      <c r="F264" t="n">
        <v>0.091</v>
      </c>
      <c r="G264" t="n">
        <v>8001</v>
      </c>
      <c r="H264" t="n">
        <v>185</v>
      </c>
      <c r="I264" t="n">
        <v>1</v>
      </c>
      <c r="J264" t="n">
        <v>8000</v>
      </c>
      <c r="K264" t="n">
        <v>280</v>
      </c>
      <c r="L264" t="n">
        <v>1</v>
      </c>
      <c r="M264" t="n">
        <v>2007</v>
      </c>
      <c r="N264" t="n">
        <v>1</v>
      </c>
      <c r="O264" t="n">
        <v>0.05</v>
      </c>
      <c r="P264" t="n">
        <v>9000</v>
      </c>
      <c r="Q264" t="n">
        <v>67</v>
      </c>
      <c r="R264" t="n">
        <v>1</v>
      </c>
      <c r="S264" t="inlineStr">
        <is>
          <t>2001,2002</t>
        </is>
      </c>
      <c r="T264" t="n">
        <v>9</v>
      </c>
      <c r="U264" t="n">
        <v>0.5</v>
      </c>
      <c r="V264" t="n">
        <v>1000</v>
      </c>
      <c r="W264" t="n">
        <v>2910</v>
      </c>
      <c r="X264" t="n">
        <v>1</v>
      </c>
      <c r="Y264" t="n">
        <v>2006</v>
      </c>
      <c r="Z264" t="n">
        <v>1</v>
      </c>
      <c r="AA264" t="n">
        <v>0.03</v>
      </c>
    </row>
    <row r="265">
      <c r="A265" t="n">
        <v>1263</v>
      </c>
      <c r="B265" t="inlineStr">
        <is>
          <t>40074,40046,40032</t>
        </is>
      </c>
      <c r="C265" t="n">
        <v>132</v>
      </c>
      <c r="D2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5" t="n">
        <v>1</v>
      </c>
      <c r="F265" t="n">
        <v>0.091</v>
      </c>
      <c r="G265" t="n">
        <v>8001</v>
      </c>
      <c r="H265" t="n">
        <v>185</v>
      </c>
      <c r="I265" t="n">
        <v>1</v>
      </c>
      <c r="J265" t="n">
        <v>8000</v>
      </c>
      <c r="K265" t="n">
        <v>280</v>
      </c>
      <c r="L265" t="n">
        <v>1</v>
      </c>
      <c r="M265" t="n">
        <v>2007</v>
      </c>
      <c r="N265" t="n">
        <v>1</v>
      </c>
      <c r="O265" t="n">
        <v>0.05</v>
      </c>
      <c r="P265" t="n">
        <v>9000</v>
      </c>
      <c r="Q265" t="n">
        <v>67</v>
      </c>
      <c r="R265" t="n">
        <v>1</v>
      </c>
      <c r="S265" t="inlineStr">
        <is>
          <t>2001,2002</t>
        </is>
      </c>
      <c r="T265" t="n">
        <v>9</v>
      </c>
      <c r="U265" t="n">
        <v>0.5</v>
      </c>
      <c r="V265" t="n">
        <v>1000</v>
      </c>
      <c r="W265" t="n">
        <v>2925</v>
      </c>
      <c r="X265" t="n">
        <v>1</v>
      </c>
      <c r="Y265" t="n">
        <v>2006</v>
      </c>
      <c r="Z265" t="n">
        <v>1</v>
      </c>
      <c r="AA265" t="n">
        <v>0.03</v>
      </c>
    </row>
    <row r="266">
      <c r="A266" t="n">
        <v>1264</v>
      </c>
      <c r="B266" t="inlineStr">
        <is>
          <t>40032,40046,40042,40047</t>
        </is>
      </c>
      <c r="C266" t="n">
        <v>133</v>
      </c>
      <c r="D2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6" t="n">
        <v>1</v>
      </c>
      <c r="F266" t="n">
        <v>0.091</v>
      </c>
      <c r="G266" t="n">
        <v>8001</v>
      </c>
      <c r="H266" t="n">
        <v>190</v>
      </c>
      <c r="I266" t="n">
        <v>1</v>
      </c>
      <c r="J266" t="n">
        <v>8000</v>
      </c>
      <c r="K266" t="n">
        <v>280</v>
      </c>
      <c r="L266" t="n">
        <v>1</v>
      </c>
      <c r="M266" t="n">
        <v>2007</v>
      </c>
      <c r="N266" t="n">
        <v>1</v>
      </c>
      <c r="O266" t="n">
        <v>0.05</v>
      </c>
      <c r="P266" t="n">
        <v>9000</v>
      </c>
      <c r="Q266" t="n">
        <v>68</v>
      </c>
      <c r="R266" t="n">
        <v>1</v>
      </c>
      <c r="S266" t="inlineStr">
        <is>
          <t>2001,2002</t>
        </is>
      </c>
      <c r="T266" t="n">
        <v>9</v>
      </c>
      <c r="U266" t="n">
        <v>0.5</v>
      </c>
      <c r="V266" t="n">
        <v>1000</v>
      </c>
      <c r="W266" t="n">
        <v>2940</v>
      </c>
      <c r="X266" t="n">
        <v>1</v>
      </c>
      <c r="Y266" t="n">
        <v>2006</v>
      </c>
      <c r="Z266" t="n">
        <v>1</v>
      </c>
      <c r="AA266" t="n">
        <v>0.03</v>
      </c>
    </row>
    <row r="267">
      <c r="A267" t="n">
        <v>1265</v>
      </c>
      <c r="B267" t="inlineStr">
        <is>
          <t>40032,40042,40046</t>
        </is>
      </c>
      <c r="C267" t="n">
        <v>133</v>
      </c>
      <c r="D2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7" t="n">
        <v>1</v>
      </c>
      <c r="F267" t="n">
        <v>0.091</v>
      </c>
      <c r="G267" t="n">
        <v>8001</v>
      </c>
      <c r="H267" t="n">
        <v>190</v>
      </c>
      <c r="I267" t="n">
        <v>1</v>
      </c>
      <c r="J267" t="n">
        <v>8000</v>
      </c>
      <c r="K267" t="n">
        <v>285</v>
      </c>
      <c r="L267" t="n">
        <v>1</v>
      </c>
      <c r="M267" t="n">
        <v>2007</v>
      </c>
      <c r="N267" t="n">
        <v>1</v>
      </c>
      <c r="O267" t="n">
        <v>0.05</v>
      </c>
      <c r="P267" t="n">
        <v>9000</v>
      </c>
      <c r="Q267" t="n">
        <v>68</v>
      </c>
      <c r="R267" t="n">
        <v>1</v>
      </c>
      <c r="S267" t="inlineStr">
        <is>
          <t>2001,2002</t>
        </is>
      </c>
      <c r="T267" t="n">
        <v>9</v>
      </c>
      <c r="U267" t="n">
        <v>0.5</v>
      </c>
      <c r="V267" t="n">
        <v>1000</v>
      </c>
      <c r="W267" t="n">
        <v>2955</v>
      </c>
      <c r="X267" t="n">
        <v>1</v>
      </c>
      <c r="Y267" t="n">
        <v>2006</v>
      </c>
      <c r="Z267" t="n">
        <v>1</v>
      </c>
      <c r="AA267" t="n">
        <v>0.03</v>
      </c>
    </row>
    <row r="268">
      <c r="A268" t="n">
        <v>1266</v>
      </c>
      <c r="B268" t="inlineStr">
        <is>
          <t>40047,40046,40032</t>
        </is>
      </c>
      <c r="C268" t="n">
        <v>134</v>
      </c>
      <c r="D2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8" t="n">
        <v>1</v>
      </c>
      <c r="F268" t="n">
        <v>0.092</v>
      </c>
      <c r="G268" t="n">
        <v>8001</v>
      </c>
      <c r="H268" t="n">
        <v>190</v>
      </c>
      <c r="I268" t="n">
        <v>1</v>
      </c>
      <c r="J268" t="n">
        <v>8000</v>
      </c>
      <c r="K268" t="n">
        <v>285</v>
      </c>
      <c r="L268" t="n">
        <v>1</v>
      </c>
      <c r="M268" t="n">
        <v>2007</v>
      </c>
      <c r="N268" t="n">
        <v>1</v>
      </c>
      <c r="O268" t="n">
        <v>0.05</v>
      </c>
      <c r="P268" t="n">
        <v>9000</v>
      </c>
      <c r="Q268" t="n">
        <v>68</v>
      </c>
      <c r="R268" t="n">
        <v>1</v>
      </c>
      <c r="S268" t="inlineStr">
        <is>
          <t>2001,2002</t>
        </is>
      </c>
      <c r="T268" t="n">
        <v>9</v>
      </c>
      <c r="U268" t="n">
        <v>0.5</v>
      </c>
      <c r="V268" t="n">
        <v>1000</v>
      </c>
      <c r="W268" t="n">
        <v>2970</v>
      </c>
      <c r="X268" t="n">
        <v>1</v>
      </c>
      <c r="Y268" t="n">
        <v>2006</v>
      </c>
      <c r="Z268" t="n">
        <v>1</v>
      </c>
      <c r="AA268" t="n">
        <v>0.03</v>
      </c>
    </row>
    <row r="269">
      <c r="A269" t="n">
        <v>1267</v>
      </c>
      <c r="B269" t="inlineStr">
        <is>
          <t>40046,40042,40047,40074</t>
        </is>
      </c>
      <c r="C269" t="n">
        <v>134</v>
      </c>
      <c r="D2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9" t="n">
        <v>1</v>
      </c>
      <c r="F269" t="n">
        <v>0.092</v>
      </c>
      <c r="G269" t="n">
        <v>8001</v>
      </c>
      <c r="H269" t="n">
        <v>190</v>
      </c>
      <c r="I269" t="n">
        <v>1</v>
      </c>
      <c r="J269" t="n">
        <v>8000</v>
      </c>
      <c r="K269" t="n">
        <v>285</v>
      </c>
      <c r="L269" t="n">
        <v>1</v>
      </c>
      <c r="M269" t="n">
        <v>2007</v>
      </c>
      <c r="N269" t="n">
        <v>1</v>
      </c>
      <c r="O269" t="n">
        <v>0.05</v>
      </c>
      <c r="P269" t="n">
        <v>9000</v>
      </c>
      <c r="Q269" t="n">
        <v>69</v>
      </c>
      <c r="R269" t="n">
        <v>1</v>
      </c>
      <c r="S269" t="inlineStr">
        <is>
          <t>2001,2002</t>
        </is>
      </c>
      <c r="T269" t="n">
        <v>10</v>
      </c>
      <c r="U269" t="n">
        <v>0.5</v>
      </c>
      <c r="V269" t="n">
        <v>1000</v>
      </c>
      <c r="W269" t="n">
        <v>2980</v>
      </c>
      <c r="X269" t="n">
        <v>1</v>
      </c>
      <c r="Y269" t="n">
        <v>2006</v>
      </c>
      <c r="Z269" t="n">
        <v>1</v>
      </c>
      <c r="AA269" t="n">
        <v>0.03</v>
      </c>
    </row>
    <row r="270">
      <c r="A270" t="n">
        <v>1268</v>
      </c>
      <c r="B270" t="inlineStr">
        <is>
          <t>40074,40042,40047,40046</t>
        </is>
      </c>
      <c r="C270" t="n">
        <v>135</v>
      </c>
      <c r="D2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0" t="n">
        <v>1</v>
      </c>
      <c r="F270" t="n">
        <v>0.092</v>
      </c>
      <c r="G270" t="n">
        <v>8001</v>
      </c>
      <c r="H270" t="n">
        <v>190</v>
      </c>
      <c r="I270" t="n">
        <v>1</v>
      </c>
      <c r="J270" t="n">
        <v>8000</v>
      </c>
      <c r="K270" t="n">
        <v>290</v>
      </c>
      <c r="L270" t="n">
        <v>1</v>
      </c>
      <c r="M270" t="n">
        <v>2007</v>
      </c>
      <c r="N270" t="n">
        <v>1</v>
      </c>
      <c r="O270" t="n">
        <v>0.05</v>
      </c>
      <c r="P270" t="n">
        <v>9000</v>
      </c>
      <c r="Q270" t="n">
        <v>69</v>
      </c>
      <c r="R270" t="n">
        <v>1</v>
      </c>
      <c r="S270" t="inlineStr">
        <is>
          <t>2001,2002</t>
        </is>
      </c>
      <c r="T270" t="n">
        <v>10</v>
      </c>
      <c r="U270" t="n">
        <v>0.5</v>
      </c>
      <c r="V270" t="n">
        <v>1000</v>
      </c>
      <c r="W270" t="n">
        <v>2995</v>
      </c>
      <c r="X270" t="n">
        <v>1</v>
      </c>
      <c r="Y270" t="n">
        <v>2006</v>
      </c>
      <c r="Z270" t="n">
        <v>1</v>
      </c>
      <c r="AA270" t="n">
        <v>0.03</v>
      </c>
    </row>
    <row r="271">
      <c r="A271" t="n">
        <v>1269</v>
      </c>
      <c r="B271" t="inlineStr">
        <is>
          <t>50009,40074,40032,40047,40046</t>
        </is>
      </c>
      <c r="C271" t="n">
        <v>135</v>
      </c>
      <c r="D2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1" t="n">
        <v>1</v>
      </c>
      <c r="F271" t="n">
        <v>0.092</v>
      </c>
      <c r="G271" t="n">
        <v>8001</v>
      </c>
      <c r="H271" t="n">
        <v>195</v>
      </c>
      <c r="I271" t="n">
        <v>1</v>
      </c>
      <c r="J271" t="n">
        <v>8000</v>
      </c>
      <c r="K271" t="n">
        <v>290</v>
      </c>
      <c r="L271" t="n">
        <v>1</v>
      </c>
      <c r="M271" t="n">
        <v>2007</v>
      </c>
      <c r="N271" t="n">
        <v>1</v>
      </c>
      <c r="O271" t="n">
        <v>0.05</v>
      </c>
      <c r="P271" t="n">
        <v>9000</v>
      </c>
      <c r="Q271" t="n">
        <v>69</v>
      </c>
      <c r="R271" t="n">
        <v>1</v>
      </c>
      <c r="S271" t="inlineStr">
        <is>
          <t>2001,2002</t>
        </is>
      </c>
      <c r="T271" t="n">
        <v>10</v>
      </c>
      <c r="U271" t="n">
        <v>0.5</v>
      </c>
      <c r="V271" t="n">
        <v>1000</v>
      </c>
      <c r="W271" t="n">
        <v>3010</v>
      </c>
      <c r="X271" t="n">
        <v>1</v>
      </c>
      <c r="Y271" t="n">
        <v>2006</v>
      </c>
      <c r="Z271" t="n">
        <v>1</v>
      </c>
      <c r="AA271" t="n">
        <v>0.03</v>
      </c>
    </row>
    <row r="272">
      <c r="A272" t="n">
        <v>1270</v>
      </c>
      <c r="B272" t="inlineStr">
        <is>
          <t>40075,40050</t>
        </is>
      </c>
      <c r="C272" t="n">
        <v>136</v>
      </c>
      <c r="D2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2" t="n">
        <v>1</v>
      </c>
      <c r="F272" t="n">
        <v>0.093</v>
      </c>
      <c r="G272" t="n">
        <v>8001</v>
      </c>
      <c r="H272" t="n">
        <v>195</v>
      </c>
      <c r="I272" t="n">
        <v>1</v>
      </c>
      <c r="J272" t="n">
        <v>8000</v>
      </c>
      <c r="K272" t="n">
        <v>290</v>
      </c>
      <c r="L272" t="n">
        <v>1</v>
      </c>
      <c r="M272" t="n">
        <v>2007</v>
      </c>
      <c r="N272" t="n">
        <v>1</v>
      </c>
      <c r="O272" t="n">
        <v>0.05</v>
      </c>
      <c r="P272" t="n">
        <v>9000</v>
      </c>
      <c r="Q272" t="n">
        <v>70</v>
      </c>
      <c r="R272" t="n">
        <v>1</v>
      </c>
      <c r="S272" t="inlineStr">
        <is>
          <t>2001,2002</t>
        </is>
      </c>
      <c r="T272" t="n">
        <v>10</v>
      </c>
      <c r="U272" t="n">
        <v>0.5</v>
      </c>
      <c r="V272" t="n">
        <v>1000</v>
      </c>
      <c r="W272" t="n">
        <v>3025</v>
      </c>
      <c r="X272" t="n">
        <v>1</v>
      </c>
      <c r="Y272" t="n">
        <v>2006</v>
      </c>
      <c r="Z272" t="n">
        <v>1</v>
      </c>
      <c r="AA272" t="n">
        <v>0.03</v>
      </c>
    </row>
    <row r="273">
      <c r="A273" t="n">
        <v>1271</v>
      </c>
      <c r="B273" t="inlineStr">
        <is>
          <t>40075,40045</t>
        </is>
      </c>
      <c r="C273" t="n">
        <v>136</v>
      </c>
      <c r="D2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3" t="n">
        <v>1</v>
      </c>
      <c r="F273" t="n">
        <v>0.093</v>
      </c>
      <c r="G273" t="n">
        <v>8001</v>
      </c>
      <c r="H273" t="n">
        <v>195</v>
      </c>
      <c r="I273" t="n">
        <v>1</v>
      </c>
      <c r="J273" t="n">
        <v>8000</v>
      </c>
      <c r="K273" t="n">
        <v>290</v>
      </c>
      <c r="L273" t="n">
        <v>1</v>
      </c>
      <c r="M273" t="n">
        <v>2007</v>
      </c>
      <c r="N273" t="n">
        <v>1</v>
      </c>
      <c r="O273" t="n">
        <v>0.05</v>
      </c>
      <c r="P273" t="n">
        <v>9000</v>
      </c>
      <c r="Q273" t="n">
        <v>70</v>
      </c>
      <c r="R273" t="n">
        <v>1</v>
      </c>
      <c r="S273" t="inlineStr">
        <is>
          <t>2001,2002</t>
        </is>
      </c>
      <c r="T273" t="n">
        <v>10</v>
      </c>
      <c r="U273" t="n">
        <v>0.5</v>
      </c>
      <c r="V273" t="n">
        <v>1000</v>
      </c>
      <c r="W273" t="n">
        <v>3035</v>
      </c>
      <c r="X273" t="n">
        <v>1</v>
      </c>
      <c r="Y273" t="n">
        <v>2006</v>
      </c>
      <c r="Z273" t="n">
        <v>1</v>
      </c>
      <c r="AA273" t="n">
        <v>0.03</v>
      </c>
    </row>
    <row r="274">
      <c r="A274" t="n">
        <v>1272</v>
      </c>
      <c r="B274" t="inlineStr">
        <is>
          <t>40075,40045</t>
        </is>
      </c>
      <c r="C274" t="n">
        <v>137</v>
      </c>
      <c r="D2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4" t="n">
        <v>1</v>
      </c>
      <c r="F274" t="n">
        <v>0.093</v>
      </c>
      <c r="G274" t="n">
        <v>8001</v>
      </c>
      <c r="H274" t="n">
        <v>195</v>
      </c>
      <c r="I274" t="n">
        <v>1</v>
      </c>
      <c r="J274" t="n">
        <v>8000</v>
      </c>
      <c r="K274" t="n">
        <v>295</v>
      </c>
      <c r="L274" t="n">
        <v>1</v>
      </c>
      <c r="M274" t="n">
        <v>2007</v>
      </c>
      <c r="N274" t="n">
        <v>1</v>
      </c>
      <c r="O274" t="n">
        <v>0.05</v>
      </c>
      <c r="P274" t="n">
        <v>9000</v>
      </c>
      <c r="Q274" t="n">
        <v>70</v>
      </c>
      <c r="R274" t="n">
        <v>1</v>
      </c>
      <c r="S274" t="inlineStr">
        <is>
          <t>2001,2002</t>
        </is>
      </c>
      <c r="T274" t="n">
        <v>10</v>
      </c>
      <c r="U274" t="n">
        <v>0.5</v>
      </c>
      <c r="V274" t="n">
        <v>1000</v>
      </c>
      <c r="W274" t="n">
        <v>3050</v>
      </c>
      <c r="X274" t="n">
        <v>1</v>
      </c>
      <c r="Y274" t="n">
        <v>2006</v>
      </c>
      <c r="Z274" t="n">
        <v>1</v>
      </c>
      <c r="AA274" t="n">
        <v>0.03</v>
      </c>
    </row>
    <row r="275">
      <c r="A275" t="n">
        <v>1273</v>
      </c>
      <c r="B275" t="inlineStr">
        <is>
          <t>40052</t>
        </is>
      </c>
      <c r="C275" t="n">
        <v>137</v>
      </c>
      <c r="D2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5" t="n">
        <v>1</v>
      </c>
      <c r="F275" t="n">
        <v>0.093</v>
      </c>
      <c r="G275" t="n">
        <v>8001</v>
      </c>
      <c r="H275" t="n">
        <v>195</v>
      </c>
      <c r="I275" t="n">
        <v>1</v>
      </c>
      <c r="J275" t="n">
        <v>8000</v>
      </c>
      <c r="K275" t="n">
        <v>295</v>
      </c>
      <c r="L275" t="n">
        <v>1</v>
      </c>
      <c r="M275" t="n">
        <v>2007</v>
      </c>
      <c r="N275" t="n">
        <v>1</v>
      </c>
      <c r="O275" t="n">
        <v>0.05</v>
      </c>
      <c r="P275" t="n">
        <v>9000</v>
      </c>
      <c r="Q275" t="n">
        <v>71</v>
      </c>
      <c r="R275" t="n">
        <v>1</v>
      </c>
      <c r="S275" t="inlineStr">
        <is>
          <t>2001,2002</t>
        </is>
      </c>
      <c r="T275" t="n">
        <v>10</v>
      </c>
      <c r="U275" t="n">
        <v>0.5</v>
      </c>
      <c r="V275" t="n">
        <v>1000</v>
      </c>
      <c r="W275" t="n">
        <v>3065</v>
      </c>
      <c r="X275" t="n">
        <v>1</v>
      </c>
      <c r="Y275" t="n">
        <v>2006</v>
      </c>
      <c r="Z275" t="n">
        <v>1</v>
      </c>
      <c r="AA275" t="n">
        <v>0.03</v>
      </c>
    </row>
    <row r="276">
      <c r="A276" t="n">
        <v>1274</v>
      </c>
      <c r="B276" t="inlineStr">
        <is>
          <t>40076,40075</t>
        </is>
      </c>
      <c r="C276" t="n">
        <v>138</v>
      </c>
      <c r="D2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6" t="n">
        <v>1</v>
      </c>
      <c r="F276" t="n">
        <v>0.094</v>
      </c>
      <c r="G276" t="n">
        <v>8001</v>
      </c>
      <c r="H276" t="n">
        <v>195</v>
      </c>
      <c r="I276" t="n">
        <v>1</v>
      </c>
      <c r="J276" t="n">
        <v>8000</v>
      </c>
      <c r="K276" t="n">
        <v>295</v>
      </c>
      <c r="L276" t="n">
        <v>1</v>
      </c>
      <c r="M276" t="n">
        <v>2007</v>
      </c>
      <c r="N276" t="n">
        <v>1</v>
      </c>
      <c r="O276" t="n">
        <v>0.05</v>
      </c>
      <c r="P276" t="n">
        <v>9000</v>
      </c>
      <c r="Q276" t="n">
        <v>71</v>
      </c>
      <c r="R276" t="n">
        <v>1</v>
      </c>
      <c r="S276" t="inlineStr">
        <is>
          <t>2001,2002</t>
        </is>
      </c>
      <c r="T276" t="n">
        <v>10</v>
      </c>
      <c r="U276" t="n">
        <v>0.5</v>
      </c>
      <c r="V276" t="n">
        <v>1000</v>
      </c>
      <c r="W276" t="n">
        <v>3080</v>
      </c>
      <c r="X276" t="n">
        <v>1</v>
      </c>
      <c r="Y276" t="n">
        <v>2006</v>
      </c>
      <c r="Z276" t="n">
        <v>1</v>
      </c>
      <c r="AA276" t="n">
        <v>0.03</v>
      </c>
    </row>
    <row r="277">
      <c r="A277" t="n">
        <v>1275</v>
      </c>
      <c r="B277" t="inlineStr">
        <is>
          <t>40075,40052</t>
        </is>
      </c>
      <c r="C277" t="n">
        <v>138</v>
      </c>
      <c r="D2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7" t="n">
        <v>1</v>
      </c>
      <c r="F277" t="n">
        <v>0.094</v>
      </c>
      <c r="G277" t="n">
        <v>8001</v>
      </c>
      <c r="H277" t="n">
        <v>200</v>
      </c>
      <c r="I277" t="n">
        <v>1</v>
      </c>
      <c r="J277" t="n">
        <v>8000</v>
      </c>
      <c r="K277" t="n">
        <v>295</v>
      </c>
      <c r="L277" t="n">
        <v>1</v>
      </c>
      <c r="M277" t="n">
        <v>2007</v>
      </c>
      <c r="N277" t="n">
        <v>1</v>
      </c>
      <c r="O277" t="n">
        <v>0.05</v>
      </c>
      <c r="P277" t="n">
        <v>9000</v>
      </c>
      <c r="Q277" t="n">
        <v>71</v>
      </c>
      <c r="R277" t="n">
        <v>1</v>
      </c>
      <c r="S277" t="inlineStr">
        <is>
          <t>2001,2002</t>
        </is>
      </c>
      <c r="T277" t="n">
        <v>10</v>
      </c>
      <c r="U277" t="n">
        <v>0.5</v>
      </c>
      <c r="V277" t="n">
        <v>1000</v>
      </c>
      <c r="W277" t="n">
        <v>3095</v>
      </c>
      <c r="X277" t="n">
        <v>1</v>
      </c>
      <c r="Y277" t="n">
        <v>2006</v>
      </c>
      <c r="Z277" t="n">
        <v>1</v>
      </c>
      <c r="AA277" t="n">
        <v>0.03</v>
      </c>
    </row>
    <row r="278">
      <c r="A278" t="n">
        <v>1276</v>
      </c>
      <c r="B278" t="inlineStr">
        <is>
          <t>40075,40052,40045</t>
        </is>
      </c>
      <c r="C278" t="n">
        <v>139</v>
      </c>
      <c r="D2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8" t="n">
        <v>1</v>
      </c>
      <c r="F278" t="n">
        <v>0.094</v>
      </c>
      <c r="G278" t="n">
        <v>8001</v>
      </c>
      <c r="H278" t="n">
        <v>200</v>
      </c>
      <c r="I278" t="n">
        <v>1</v>
      </c>
      <c r="J278" t="n">
        <v>8000</v>
      </c>
      <c r="K278" t="n">
        <v>300</v>
      </c>
      <c r="L278" t="n">
        <v>1</v>
      </c>
      <c r="M278" t="n">
        <v>2007</v>
      </c>
      <c r="N278" t="n">
        <v>1</v>
      </c>
      <c r="O278" t="n">
        <v>0.05</v>
      </c>
      <c r="P278" t="n">
        <v>9000</v>
      </c>
      <c r="Q278" t="n">
        <v>72</v>
      </c>
      <c r="R278" t="n">
        <v>1</v>
      </c>
      <c r="S278" t="inlineStr">
        <is>
          <t>2001,2002</t>
        </is>
      </c>
      <c r="T278" t="n">
        <v>10</v>
      </c>
      <c r="U278" t="n">
        <v>0.5</v>
      </c>
      <c r="V278" t="n">
        <v>1000</v>
      </c>
      <c r="W278" t="n">
        <v>3105</v>
      </c>
      <c r="X278" t="n">
        <v>1</v>
      </c>
      <c r="Y278" t="n">
        <v>2006</v>
      </c>
      <c r="Z278" t="n">
        <v>1</v>
      </c>
      <c r="AA278" t="n">
        <v>0.03</v>
      </c>
    </row>
    <row r="279">
      <c r="A279" t="n">
        <v>1277</v>
      </c>
      <c r="B279" t="inlineStr">
        <is>
          <t>40076,40045</t>
        </is>
      </c>
      <c r="C279" t="n">
        <v>139</v>
      </c>
      <c r="D2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9" t="n">
        <v>1</v>
      </c>
      <c r="F279" t="n">
        <v>0.094</v>
      </c>
      <c r="G279" t="n">
        <v>8001</v>
      </c>
      <c r="H279" t="n">
        <v>200</v>
      </c>
      <c r="I279" t="n">
        <v>1</v>
      </c>
      <c r="J279" t="n">
        <v>8000</v>
      </c>
      <c r="K279" t="n">
        <v>300</v>
      </c>
      <c r="L279" t="n">
        <v>1</v>
      </c>
      <c r="M279" t="n">
        <v>2007</v>
      </c>
      <c r="N279" t="n">
        <v>1</v>
      </c>
      <c r="O279" t="n">
        <v>0.05</v>
      </c>
      <c r="P279" t="n">
        <v>9000</v>
      </c>
      <c r="Q279" t="n">
        <v>72</v>
      </c>
      <c r="R279" t="n">
        <v>1</v>
      </c>
      <c r="S279" t="inlineStr">
        <is>
          <t>2001,2002</t>
        </is>
      </c>
      <c r="T279" t="n">
        <v>10</v>
      </c>
      <c r="U279" t="n">
        <v>0.5</v>
      </c>
      <c r="V279" t="n">
        <v>1000</v>
      </c>
      <c r="W279" t="n">
        <v>3120</v>
      </c>
      <c r="X279" t="n">
        <v>1</v>
      </c>
      <c r="Y279" t="n">
        <v>2006</v>
      </c>
      <c r="Z279" t="n">
        <v>1</v>
      </c>
      <c r="AA279" t="n">
        <v>0.03</v>
      </c>
    </row>
    <row r="280">
      <c r="A280" t="n">
        <v>1278</v>
      </c>
      <c r="B280" t="inlineStr">
        <is>
          <t>40052,40050</t>
        </is>
      </c>
      <c r="C280" t="n">
        <v>140</v>
      </c>
      <c r="D2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0" t="n">
        <v>1</v>
      </c>
      <c r="F280" t="n">
        <v>0.095</v>
      </c>
      <c r="G280" t="n">
        <v>8001</v>
      </c>
      <c r="H280" t="n">
        <v>200</v>
      </c>
      <c r="I280" t="n">
        <v>1</v>
      </c>
      <c r="J280" t="n">
        <v>8000</v>
      </c>
      <c r="K280" t="n">
        <v>300</v>
      </c>
      <c r="L280" t="n">
        <v>1</v>
      </c>
      <c r="M280" t="n">
        <v>2007</v>
      </c>
      <c r="N280" t="n">
        <v>1</v>
      </c>
      <c r="O280" t="n">
        <v>0.05</v>
      </c>
      <c r="P280" t="n">
        <v>9000</v>
      </c>
      <c r="Q280" t="n">
        <v>72</v>
      </c>
      <c r="R280" t="n">
        <v>1</v>
      </c>
      <c r="S280" t="inlineStr">
        <is>
          <t>2001,2002</t>
        </is>
      </c>
      <c r="T280" t="n">
        <v>10</v>
      </c>
      <c r="U280" t="n">
        <v>0.5</v>
      </c>
      <c r="V280" t="n">
        <v>1000</v>
      </c>
      <c r="W280" t="n">
        <v>3135</v>
      </c>
      <c r="X280" t="n">
        <v>1</v>
      </c>
      <c r="Y280" t="n">
        <v>2006</v>
      </c>
      <c r="Z280" t="n">
        <v>1</v>
      </c>
      <c r="AA280" t="n">
        <v>0.03</v>
      </c>
    </row>
    <row r="281">
      <c r="A281" t="n">
        <v>1279</v>
      </c>
      <c r="B281" t="inlineStr">
        <is>
          <t>40076,40050</t>
        </is>
      </c>
      <c r="C281" t="n">
        <v>140</v>
      </c>
      <c r="D2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1" t="n">
        <v>1</v>
      </c>
      <c r="F281" t="n">
        <v>0.095</v>
      </c>
      <c r="G281" t="n">
        <v>8001</v>
      </c>
      <c r="H281" t="n">
        <v>200</v>
      </c>
      <c r="I281" t="n">
        <v>1</v>
      </c>
      <c r="J281" t="n">
        <v>8000</v>
      </c>
      <c r="K281" t="n">
        <v>300</v>
      </c>
      <c r="L281" t="n">
        <v>1</v>
      </c>
      <c r="M281" t="n">
        <v>2007</v>
      </c>
      <c r="N281" t="n">
        <v>1</v>
      </c>
      <c r="O281" t="n">
        <v>0.05</v>
      </c>
      <c r="P281" t="n">
        <v>9000</v>
      </c>
      <c r="Q281" t="n">
        <v>73</v>
      </c>
      <c r="R281" t="n">
        <v>1</v>
      </c>
      <c r="S281" t="inlineStr">
        <is>
          <t>2001,2002</t>
        </is>
      </c>
      <c r="T281" t="n">
        <v>10</v>
      </c>
      <c r="U281" t="n">
        <v>0.5</v>
      </c>
      <c r="V281" t="n">
        <v>1000</v>
      </c>
      <c r="W281" t="n">
        <v>3150</v>
      </c>
      <c r="X281" t="n">
        <v>1</v>
      </c>
      <c r="Y281" t="n">
        <v>2006</v>
      </c>
      <c r="Z281" t="n">
        <v>1</v>
      </c>
      <c r="AA281" t="n">
        <v>0.03</v>
      </c>
    </row>
    <row r="282">
      <c r="A282" t="n">
        <v>1280</v>
      </c>
      <c r="B282" t="inlineStr">
        <is>
          <t>40052,40045</t>
        </is>
      </c>
      <c r="C282" t="n">
        <v>141</v>
      </c>
      <c r="D2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2" t="n">
        <v>1</v>
      </c>
      <c r="F282" t="n">
        <v>0.095</v>
      </c>
      <c r="G282" t="n">
        <v>8001</v>
      </c>
      <c r="H282" t="n">
        <v>200</v>
      </c>
      <c r="I282" t="n">
        <v>1</v>
      </c>
      <c r="J282" t="n">
        <v>8000</v>
      </c>
      <c r="K282" t="n">
        <v>305</v>
      </c>
      <c r="L282" t="n">
        <v>1</v>
      </c>
      <c r="M282" t="n">
        <v>2007</v>
      </c>
      <c r="N282" t="n">
        <v>1</v>
      </c>
      <c r="O282" t="n">
        <v>0.05</v>
      </c>
      <c r="P282" t="n">
        <v>9000</v>
      </c>
      <c r="Q282" t="n">
        <v>73</v>
      </c>
      <c r="R282" t="n">
        <v>1</v>
      </c>
      <c r="S282" t="inlineStr">
        <is>
          <t>2001,2002</t>
        </is>
      </c>
      <c r="T282" t="n">
        <v>10</v>
      </c>
      <c r="U282" t="n">
        <v>0.5</v>
      </c>
      <c r="V282" t="n">
        <v>1000</v>
      </c>
      <c r="W282" t="n">
        <v>3165</v>
      </c>
      <c r="X282" t="n">
        <v>1</v>
      </c>
      <c r="Y282" t="n">
        <v>2006</v>
      </c>
      <c r="Z282" t="n">
        <v>1</v>
      </c>
      <c r="AA282" t="n">
        <v>0.03</v>
      </c>
    </row>
    <row r="283">
      <c r="A283" t="n">
        <v>1281</v>
      </c>
      <c r="B283" t="inlineStr">
        <is>
          <t>40045,40050,40075</t>
        </is>
      </c>
      <c r="C283" t="n">
        <v>141</v>
      </c>
      <c r="D2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3" t="n">
        <v>1</v>
      </c>
      <c r="F283" t="n">
        <v>0.095</v>
      </c>
      <c r="G283" t="n">
        <v>8001</v>
      </c>
      <c r="H283" t="n">
        <v>205</v>
      </c>
      <c r="I283" t="n">
        <v>1</v>
      </c>
      <c r="J283" t="n">
        <v>8000</v>
      </c>
      <c r="K283" t="n">
        <v>305</v>
      </c>
      <c r="L283" t="n">
        <v>1</v>
      </c>
      <c r="M283" t="n">
        <v>2007</v>
      </c>
      <c r="N283" t="n">
        <v>1</v>
      </c>
      <c r="O283" t="n">
        <v>0.05</v>
      </c>
      <c r="P283" t="n">
        <v>9000</v>
      </c>
      <c r="Q283" t="n">
        <v>74</v>
      </c>
      <c r="R283" t="n">
        <v>1</v>
      </c>
      <c r="S283" t="inlineStr">
        <is>
          <t>2001,2002</t>
        </is>
      </c>
      <c r="T283" t="n">
        <v>10</v>
      </c>
      <c r="U283" t="n">
        <v>0.5</v>
      </c>
      <c r="V283" t="n">
        <v>1000</v>
      </c>
      <c r="W283" t="n">
        <v>3175</v>
      </c>
      <c r="X283" t="n">
        <v>1</v>
      </c>
      <c r="Y283" t="n">
        <v>2006</v>
      </c>
      <c r="Z283" t="n">
        <v>1</v>
      </c>
      <c r="AA283" t="n">
        <v>0.03</v>
      </c>
    </row>
    <row r="284">
      <c r="A284" t="n">
        <v>1282</v>
      </c>
      <c r="B284" t="inlineStr">
        <is>
          <t>40075,40052,40045</t>
        </is>
      </c>
      <c r="C284" t="n">
        <v>142</v>
      </c>
      <c r="D2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4" t="n">
        <v>1</v>
      </c>
      <c r="F284" t="n">
        <v>0.096</v>
      </c>
      <c r="G284" t="n">
        <v>8001</v>
      </c>
      <c r="H284" t="n">
        <v>205</v>
      </c>
      <c r="I284" t="n">
        <v>1</v>
      </c>
      <c r="J284" t="n">
        <v>8000</v>
      </c>
      <c r="K284" t="n">
        <v>305</v>
      </c>
      <c r="L284" t="n">
        <v>1</v>
      </c>
      <c r="M284" t="n">
        <v>2007</v>
      </c>
      <c r="N284" t="n">
        <v>1</v>
      </c>
      <c r="O284" t="n">
        <v>0.05</v>
      </c>
      <c r="P284" t="n">
        <v>9000</v>
      </c>
      <c r="Q284" t="n">
        <v>74</v>
      </c>
      <c r="R284" t="n">
        <v>1</v>
      </c>
      <c r="S284" t="inlineStr">
        <is>
          <t>2001,2002</t>
        </is>
      </c>
      <c r="T284" t="n">
        <v>10</v>
      </c>
      <c r="U284" t="n">
        <v>0.5</v>
      </c>
      <c r="V284" t="n">
        <v>1000</v>
      </c>
      <c r="W284" t="n">
        <v>3190</v>
      </c>
      <c r="X284" t="n">
        <v>1</v>
      </c>
      <c r="Y284" t="n">
        <v>2006</v>
      </c>
      <c r="Z284" t="n">
        <v>1</v>
      </c>
      <c r="AA284" t="n">
        <v>0.03</v>
      </c>
    </row>
    <row r="285">
      <c r="A285" t="n">
        <v>1283</v>
      </c>
      <c r="B285" t="inlineStr">
        <is>
          <t>40045,40076,40050</t>
        </is>
      </c>
      <c r="C285" t="n">
        <v>142</v>
      </c>
      <c r="D2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5" t="n">
        <v>1</v>
      </c>
      <c r="F285" t="n">
        <v>0.096</v>
      </c>
      <c r="G285" t="n">
        <v>8001</v>
      </c>
      <c r="H285" t="n">
        <v>205</v>
      </c>
      <c r="I285" t="n">
        <v>1</v>
      </c>
      <c r="J285" t="n">
        <v>8000</v>
      </c>
      <c r="K285" t="n">
        <v>310</v>
      </c>
      <c r="L285" t="n">
        <v>1</v>
      </c>
      <c r="M285" t="n">
        <v>2007</v>
      </c>
      <c r="N285" t="n">
        <v>1</v>
      </c>
      <c r="O285" t="n">
        <v>0.05</v>
      </c>
      <c r="P285" t="n">
        <v>9000</v>
      </c>
      <c r="Q285" t="n">
        <v>74</v>
      </c>
      <c r="R285" t="n">
        <v>1</v>
      </c>
      <c r="S285" t="inlineStr">
        <is>
          <t>2001,2002</t>
        </is>
      </c>
      <c r="T285" t="n">
        <v>10</v>
      </c>
      <c r="U285" t="n">
        <v>0.5</v>
      </c>
      <c r="V285" t="n">
        <v>1000</v>
      </c>
      <c r="W285" t="n">
        <v>3205</v>
      </c>
      <c r="X285" t="n">
        <v>1</v>
      </c>
      <c r="Y285" t="n">
        <v>2006</v>
      </c>
      <c r="Z285" t="n">
        <v>1</v>
      </c>
      <c r="AA285" t="n">
        <v>0.03</v>
      </c>
    </row>
    <row r="286">
      <c r="A286" t="n">
        <v>1284</v>
      </c>
      <c r="B286" t="inlineStr">
        <is>
          <t>40076,40075</t>
        </is>
      </c>
      <c r="C286" t="n">
        <v>143</v>
      </c>
      <c r="D2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6" t="n">
        <v>1</v>
      </c>
      <c r="F286" t="n">
        <v>0.096</v>
      </c>
      <c r="G286" t="n">
        <v>8001</v>
      </c>
      <c r="H286" t="n">
        <v>205</v>
      </c>
      <c r="I286" t="n">
        <v>1</v>
      </c>
      <c r="J286" t="n">
        <v>8000</v>
      </c>
      <c r="K286" t="n">
        <v>310</v>
      </c>
      <c r="L286" t="n">
        <v>1</v>
      </c>
      <c r="M286" t="n">
        <v>2007</v>
      </c>
      <c r="N286" t="n">
        <v>1</v>
      </c>
      <c r="O286" t="n">
        <v>0.05</v>
      </c>
      <c r="P286" t="n">
        <v>9000</v>
      </c>
      <c r="Q286" t="n">
        <v>75</v>
      </c>
      <c r="R286" t="n">
        <v>1</v>
      </c>
      <c r="S286" t="inlineStr">
        <is>
          <t>2001,2002</t>
        </is>
      </c>
      <c r="T286" t="n">
        <v>10</v>
      </c>
      <c r="U286" t="n">
        <v>0.5</v>
      </c>
      <c r="V286" t="n">
        <v>1000</v>
      </c>
      <c r="W286" t="n">
        <v>3220</v>
      </c>
      <c r="X286" t="n">
        <v>1</v>
      </c>
      <c r="Y286" t="n">
        <v>2006</v>
      </c>
      <c r="Z286" t="n">
        <v>1</v>
      </c>
      <c r="AA286" t="n">
        <v>0.03</v>
      </c>
    </row>
    <row r="287">
      <c r="A287" t="n">
        <v>1285</v>
      </c>
      <c r="B287" t="inlineStr">
        <is>
          <t>40045,40052,40075,40076</t>
        </is>
      </c>
      <c r="C287" t="n">
        <v>143</v>
      </c>
      <c r="D2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7" t="n">
        <v>1</v>
      </c>
      <c r="F287" t="n">
        <v>0.096</v>
      </c>
      <c r="G287" t="n">
        <v>8001</v>
      </c>
      <c r="H287" t="n">
        <v>205</v>
      </c>
      <c r="I287" t="n">
        <v>1</v>
      </c>
      <c r="J287" t="n">
        <v>8000</v>
      </c>
      <c r="K287" t="n">
        <v>310</v>
      </c>
      <c r="L287" t="n">
        <v>1</v>
      </c>
      <c r="M287" t="n">
        <v>2007</v>
      </c>
      <c r="N287" t="n">
        <v>1</v>
      </c>
      <c r="O287" t="n">
        <v>0.05</v>
      </c>
      <c r="P287" t="n">
        <v>9000</v>
      </c>
      <c r="Q287" t="n">
        <v>75</v>
      </c>
      <c r="R287" t="n">
        <v>1</v>
      </c>
      <c r="S287" t="inlineStr">
        <is>
          <t>2001,2002</t>
        </is>
      </c>
      <c r="T287" t="n">
        <v>10</v>
      </c>
      <c r="U287" t="n">
        <v>0.5</v>
      </c>
      <c r="V287" t="n">
        <v>1000</v>
      </c>
      <c r="W287" t="n">
        <v>3235</v>
      </c>
      <c r="X287" t="n">
        <v>1</v>
      </c>
      <c r="Y287" t="n">
        <v>2006</v>
      </c>
      <c r="Z287" t="n">
        <v>1</v>
      </c>
      <c r="AA287" t="n">
        <v>0.03</v>
      </c>
    </row>
    <row r="288">
      <c r="A288" t="n">
        <v>1286</v>
      </c>
      <c r="B288" t="inlineStr">
        <is>
          <t>40075,40076,40050,40052</t>
        </is>
      </c>
      <c r="C288" t="n">
        <v>144</v>
      </c>
      <c r="D2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8" t="n">
        <v>1</v>
      </c>
      <c r="F288" t="n">
        <v>0.097</v>
      </c>
      <c r="G288" t="n">
        <v>8001</v>
      </c>
      <c r="H288" t="n">
        <v>210</v>
      </c>
      <c r="I288" t="n">
        <v>1</v>
      </c>
      <c r="J288" t="n">
        <v>8000</v>
      </c>
      <c r="K288" t="n">
        <v>310</v>
      </c>
      <c r="L288" t="n">
        <v>1</v>
      </c>
      <c r="M288" t="n">
        <v>2007</v>
      </c>
      <c r="N288" t="n">
        <v>1</v>
      </c>
      <c r="O288" t="n">
        <v>0.05</v>
      </c>
      <c r="P288" t="n">
        <v>9000</v>
      </c>
      <c r="Q288" t="n">
        <v>75</v>
      </c>
      <c r="R288" t="n">
        <v>1</v>
      </c>
      <c r="S288" t="inlineStr">
        <is>
          <t>2001,2002</t>
        </is>
      </c>
      <c r="T288" t="n">
        <v>10</v>
      </c>
      <c r="U288" t="n">
        <v>0.5</v>
      </c>
      <c r="V288" t="n">
        <v>1000</v>
      </c>
      <c r="W288" t="n">
        <v>3245</v>
      </c>
      <c r="X288" t="n">
        <v>1</v>
      </c>
      <c r="Y288" t="n">
        <v>2006</v>
      </c>
      <c r="Z288" t="n">
        <v>1</v>
      </c>
      <c r="AA288" t="n">
        <v>0.03</v>
      </c>
    </row>
    <row r="289">
      <c r="A289" t="n">
        <v>1287</v>
      </c>
      <c r="B289" t="inlineStr">
        <is>
          <t>40075,40050,40076</t>
        </is>
      </c>
      <c r="C289" t="n">
        <v>144</v>
      </c>
      <c r="D2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9" t="n">
        <v>1</v>
      </c>
      <c r="F289" t="n">
        <v>0.097</v>
      </c>
      <c r="G289" t="n">
        <v>8001</v>
      </c>
      <c r="H289" t="n">
        <v>210</v>
      </c>
      <c r="I289" t="n">
        <v>1</v>
      </c>
      <c r="J289" t="n">
        <v>8000</v>
      </c>
      <c r="K289" t="n">
        <v>315</v>
      </c>
      <c r="L289" t="n">
        <v>1</v>
      </c>
      <c r="M289" t="n">
        <v>2007</v>
      </c>
      <c r="N289" t="n">
        <v>1</v>
      </c>
      <c r="O289" t="n">
        <v>0.05</v>
      </c>
      <c r="P289" t="n">
        <v>9000</v>
      </c>
      <c r="Q289" t="n">
        <v>76</v>
      </c>
      <c r="R289" t="n">
        <v>1</v>
      </c>
      <c r="S289" t="inlineStr">
        <is>
          <t>2001,2002</t>
        </is>
      </c>
      <c r="T289" t="n">
        <v>10</v>
      </c>
      <c r="U289" t="n">
        <v>0.5</v>
      </c>
      <c r="V289" t="n">
        <v>1000</v>
      </c>
      <c r="W289" t="n">
        <v>3260</v>
      </c>
      <c r="X289" t="n">
        <v>1</v>
      </c>
      <c r="Y289" t="n">
        <v>2006</v>
      </c>
      <c r="Z289" t="n">
        <v>1</v>
      </c>
      <c r="AA289" t="n">
        <v>0.03</v>
      </c>
    </row>
    <row r="290">
      <c r="A290" t="n">
        <v>1288</v>
      </c>
      <c r="B290" t="inlineStr">
        <is>
          <t>40052,40050,40076,40045</t>
        </is>
      </c>
      <c r="C290" t="n">
        <v>145</v>
      </c>
      <c r="D2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0" t="n">
        <v>1</v>
      </c>
      <c r="F290" t="n">
        <v>0.097</v>
      </c>
      <c r="G290" t="n">
        <v>8001</v>
      </c>
      <c r="H290" t="n">
        <v>210</v>
      </c>
      <c r="I290" t="n">
        <v>1</v>
      </c>
      <c r="J290" t="n">
        <v>8000</v>
      </c>
      <c r="K290" t="n">
        <v>315</v>
      </c>
      <c r="L290" t="n">
        <v>1</v>
      </c>
      <c r="M290" t="n">
        <v>2007</v>
      </c>
      <c r="N290" t="n">
        <v>1</v>
      </c>
      <c r="O290" t="n">
        <v>0.05</v>
      </c>
      <c r="P290" t="n">
        <v>9000</v>
      </c>
      <c r="Q290" t="n">
        <v>76</v>
      </c>
      <c r="R290" t="n">
        <v>1</v>
      </c>
      <c r="S290" t="inlineStr">
        <is>
          <t>2001,2002</t>
        </is>
      </c>
      <c r="T290" t="n">
        <v>10</v>
      </c>
      <c r="U290" t="n">
        <v>0.5</v>
      </c>
      <c r="V290" t="n">
        <v>1000</v>
      </c>
      <c r="W290" t="n">
        <v>3275</v>
      </c>
      <c r="X290" t="n">
        <v>1</v>
      </c>
      <c r="Y290" t="n">
        <v>2006</v>
      </c>
      <c r="Z290" t="n">
        <v>1</v>
      </c>
      <c r="AA290" t="n">
        <v>0.03</v>
      </c>
    </row>
    <row r="291">
      <c r="A291" t="n">
        <v>1289</v>
      </c>
      <c r="B291" t="inlineStr">
        <is>
          <t>40052,40075,40076,40045</t>
        </is>
      </c>
      <c r="C291" t="n">
        <v>145</v>
      </c>
      <c r="D2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1" t="n">
        <v>1</v>
      </c>
      <c r="F291" t="n">
        <v>0.097</v>
      </c>
      <c r="G291" t="n">
        <v>8001</v>
      </c>
      <c r="H291" t="n">
        <v>210</v>
      </c>
      <c r="I291" t="n">
        <v>1</v>
      </c>
      <c r="J291" t="n">
        <v>8000</v>
      </c>
      <c r="K291" t="n">
        <v>315</v>
      </c>
      <c r="L291" t="n">
        <v>1</v>
      </c>
      <c r="M291" t="n">
        <v>2007</v>
      </c>
      <c r="N291" t="n">
        <v>1</v>
      </c>
      <c r="O291" t="n">
        <v>0.05</v>
      </c>
      <c r="P291" t="n">
        <v>9000</v>
      </c>
      <c r="Q291" t="n">
        <v>76</v>
      </c>
      <c r="R291" t="n">
        <v>1</v>
      </c>
      <c r="S291" t="inlineStr">
        <is>
          <t>2001,2002</t>
        </is>
      </c>
      <c r="T291" t="n">
        <v>11</v>
      </c>
      <c r="U291" t="n">
        <v>0.5</v>
      </c>
      <c r="V291" t="n">
        <v>1000</v>
      </c>
      <c r="W291" t="n">
        <v>3290</v>
      </c>
      <c r="X291" t="n">
        <v>1</v>
      </c>
      <c r="Y291" t="n">
        <v>2006</v>
      </c>
      <c r="Z291" t="n">
        <v>1</v>
      </c>
      <c r="AA291" t="n">
        <v>0.03</v>
      </c>
    </row>
    <row r="292">
      <c r="A292" t="n">
        <v>1290</v>
      </c>
      <c r="B292" t="inlineStr">
        <is>
          <t>40045,40076,40075,40052</t>
        </is>
      </c>
      <c r="C292" t="n">
        <v>146</v>
      </c>
      <c r="D2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2" t="n">
        <v>1</v>
      </c>
      <c r="F292" t="n">
        <v>0.098</v>
      </c>
      <c r="G292" t="n">
        <v>8001</v>
      </c>
      <c r="H292" t="n">
        <v>210</v>
      </c>
      <c r="I292" t="n">
        <v>1</v>
      </c>
      <c r="J292" t="n">
        <v>8000</v>
      </c>
      <c r="K292" t="n">
        <v>315</v>
      </c>
      <c r="L292" t="n">
        <v>1</v>
      </c>
      <c r="M292" t="n">
        <v>2007</v>
      </c>
      <c r="N292" t="n">
        <v>1</v>
      </c>
      <c r="O292" t="n">
        <v>0.05</v>
      </c>
      <c r="P292" t="n">
        <v>9000</v>
      </c>
      <c r="Q292" t="n">
        <v>77</v>
      </c>
      <c r="R292" t="n">
        <v>1</v>
      </c>
      <c r="S292" t="inlineStr">
        <is>
          <t>2001,2002</t>
        </is>
      </c>
      <c r="T292" t="n">
        <v>11</v>
      </c>
      <c r="U292" t="n">
        <v>0.5</v>
      </c>
      <c r="V292" t="n">
        <v>1000</v>
      </c>
      <c r="W292" t="n">
        <v>3305</v>
      </c>
      <c r="X292" t="n">
        <v>1</v>
      </c>
      <c r="Y292" t="n">
        <v>2006</v>
      </c>
      <c r="Z292" t="n">
        <v>1</v>
      </c>
      <c r="AA292" t="n">
        <v>0.03</v>
      </c>
    </row>
    <row r="293">
      <c r="A293" t="n">
        <v>1291</v>
      </c>
      <c r="B293" t="inlineStr">
        <is>
          <t>40052,40076,40075</t>
        </is>
      </c>
      <c r="C293" t="n">
        <v>146</v>
      </c>
      <c r="D2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3" t="n">
        <v>1</v>
      </c>
      <c r="F293" t="n">
        <v>0.098</v>
      </c>
      <c r="G293" t="n">
        <v>8001</v>
      </c>
      <c r="H293" t="n">
        <v>210</v>
      </c>
      <c r="I293" t="n">
        <v>1</v>
      </c>
      <c r="J293" t="n">
        <v>8000</v>
      </c>
      <c r="K293" t="n">
        <v>320</v>
      </c>
      <c r="L293" t="n">
        <v>1</v>
      </c>
      <c r="M293" t="n">
        <v>2007</v>
      </c>
      <c r="N293" t="n">
        <v>1</v>
      </c>
      <c r="O293" t="n">
        <v>0.05</v>
      </c>
      <c r="P293" t="n">
        <v>9000</v>
      </c>
      <c r="Q293" t="n">
        <v>77</v>
      </c>
      <c r="R293" t="n">
        <v>1</v>
      </c>
      <c r="S293" t="inlineStr">
        <is>
          <t>2001,2002</t>
        </is>
      </c>
      <c r="T293" t="n">
        <v>11</v>
      </c>
      <c r="U293" t="n">
        <v>0.5</v>
      </c>
      <c r="V293" t="n">
        <v>1000</v>
      </c>
      <c r="W293" t="n">
        <v>3320</v>
      </c>
      <c r="X293" t="n">
        <v>1</v>
      </c>
      <c r="Y293" t="n">
        <v>2006</v>
      </c>
      <c r="Z293" t="n">
        <v>1</v>
      </c>
      <c r="AA293" t="n">
        <v>0.03</v>
      </c>
    </row>
    <row r="294">
      <c r="A294" t="n">
        <v>1292</v>
      </c>
      <c r="B294" t="inlineStr">
        <is>
          <t>40075,40076,40052,40045,40050</t>
        </is>
      </c>
      <c r="C294" t="n">
        <v>147</v>
      </c>
      <c r="D2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4" t="n">
        <v>1</v>
      </c>
      <c r="F294" t="n">
        <v>0.098</v>
      </c>
      <c r="G294" t="n">
        <v>8001</v>
      </c>
      <c r="H294" t="n">
        <v>215</v>
      </c>
      <c r="I294" t="n">
        <v>1</v>
      </c>
      <c r="J294" t="n">
        <v>8000</v>
      </c>
      <c r="K294" t="n">
        <v>320</v>
      </c>
      <c r="L294" t="n">
        <v>1</v>
      </c>
      <c r="M294" t="n">
        <v>2007</v>
      </c>
      <c r="N294" t="n">
        <v>1</v>
      </c>
      <c r="O294" t="n">
        <v>0.05</v>
      </c>
      <c r="P294" t="n">
        <v>9000</v>
      </c>
      <c r="Q294" t="n">
        <v>77</v>
      </c>
      <c r="R294" t="n">
        <v>1</v>
      </c>
      <c r="S294" t="inlineStr">
        <is>
          <t>2001,2002</t>
        </is>
      </c>
      <c r="T294" t="n">
        <v>11</v>
      </c>
      <c r="U294" t="n">
        <v>0.5</v>
      </c>
      <c r="V294" t="n">
        <v>1000</v>
      </c>
      <c r="W294" t="n">
        <v>3330</v>
      </c>
      <c r="X294" t="n">
        <v>1</v>
      </c>
      <c r="Y294" t="n">
        <v>2006</v>
      </c>
      <c r="Z294" t="n">
        <v>1</v>
      </c>
      <c r="AA294" t="n">
        <v>0.03</v>
      </c>
    </row>
    <row r="295">
      <c r="A295" t="n">
        <v>1293</v>
      </c>
      <c r="B295" t="inlineStr">
        <is>
          <t>40050,40052,40075</t>
        </is>
      </c>
      <c r="C295" t="n">
        <v>147</v>
      </c>
      <c r="D2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5" t="n">
        <v>1</v>
      </c>
      <c r="F295" t="n">
        <v>0.098</v>
      </c>
      <c r="G295" t="n">
        <v>8001</v>
      </c>
      <c r="H295" t="n">
        <v>215</v>
      </c>
      <c r="I295" t="n">
        <v>1</v>
      </c>
      <c r="J295" t="n">
        <v>8000</v>
      </c>
      <c r="K295" t="n">
        <v>320</v>
      </c>
      <c r="L295" t="n">
        <v>1</v>
      </c>
      <c r="M295" t="n">
        <v>2007</v>
      </c>
      <c r="N295" t="n">
        <v>1</v>
      </c>
      <c r="O295" t="n">
        <v>0.05</v>
      </c>
      <c r="P295" t="n">
        <v>9000</v>
      </c>
      <c r="Q295" t="n">
        <v>78</v>
      </c>
      <c r="R295" t="n">
        <v>1</v>
      </c>
      <c r="S295" t="inlineStr">
        <is>
          <t>2001,2002</t>
        </is>
      </c>
      <c r="T295" t="n">
        <v>11</v>
      </c>
      <c r="U295" t="n">
        <v>0.5</v>
      </c>
      <c r="V295" t="n">
        <v>1000</v>
      </c>
      <c r="W295" t="n">
        <v>3345</v>
      </c>
      <c r="X295" t="n">
        <v>1</v>
      </c>
      <c r="Y295" t="n">
        <v>2006</v>
      </c>
      <c r="Z295" t="n">
        <v>1</v>
      </c>
      <c r="AA295" t="n">
        <v>0.03</v>
      </c>
    </row>
    <row r="296">
      <c r="A296" t="n">
        <v>1294</v>
      </c>
      <c r="B296" t="inlineStr">
        <is>
          <t>40050,40075,40076,40045</t>
        </is>
      </c>
      <c r="C296" t="n">
        <v>148</v>
      </c>
      <c r="D2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6" t="n">
        <v>1</v>
      </c>
      <c r="F296" t="n">
        <v>0.099</v>
      </c>
      <c r="G296" t="n">
        <v>8001</v>
      </c>
      <c r="H296" t="n">
        <v>215</v>
      </c>
      <c r="I296" t="n">
        <v>1</v>
      </c>
      <c r="J296" t="n">
        <v>8000</v>
      </c>
      <c r="K296" t="n">
        <v>325</v>
      </c>
      <c r="L296" t="n">
        <v>1</v>
      </c>
      <c r="M296" t="n">
        <v>2007</v>
      </c>
      <c r="N296" t="n">
        <v>1</v>
      </c>
      <c r="O296" t="n">
        <v>0.05</v>
      </c>
      <c r="P296" t="n">
        <v>9000</v>
      </c>
      <c r="Q296" t="n">
        <v>78</v>
      </c>
      <c r="R296" t="n">
        <v>1</v>
      </c>
      <c r="S296" t="inlineStr">
        <is>
          <t>2001,2002</t>
        </is>
      </c>
      <c r="T296" t="n">
        <v>11</v>
      </c>
      <c r="U296" t="n">
        <v>0.5</v>
      </c>
      <c r="V296" t="n">
        <v>1000</v>
      </c>
      <c r="W296" t="n">
        <v>3360</v>
      </c>
      <c r="X296" t="n">
        <v>1</v>
      </c>
      <c r="Y296" t="n">
        <v>2006</v>
      </c>
      <c r="Z296" t="n">
        <v>1</v>
      </c>
      <c r="AA296" t="n">
        <v>0.03</v>
      </c>
    </row>
    <row r="297">
      <c r="A297" t="n">
        <v>1295</v>
      </c>
      <c r="B297" t="inlineStr">
        <is>
          <t>40052,40050,40076,40075</t>
        </is>
      </c>
      <c r="C297" t="n">
        <v>148</v>
      </c>
      <c r="D2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7" t="n">
        <v>1</v>
      </c>
      <c r="F297" t="n">
        <v>0.099</v>
      </c>
      <c r="G297" t="n">
        <v>8001</v>
      </c>
      <c r="H297" t="n">
        <v>215</v>
      </c>
      <c r="I297" t="n">
        <v>1</v>
      </c>
      <c r="J297" t="n">
        <v>8000</v>
      </c>
      <c r="K297" t="n">
        <v>325</v>
      </c>
      <c r="L297" t="n">
        <v>1</v>
      </c>
      <c r="M297" t="n">
        <v>2007</v>
      </c>
      <c r="N297" t="n">
        <v>1</v>
      </c>
      <c r="O297" t="n">
        <v>0.05</v>
      </c>
      <c r="P297" t="n">
        <v>9000</v>
      </c>
      <c r="Q297" t="n">
        <v>78</v>
      </c>
      <c r="R297" t="n">
        <v>1</v>
      </c>
      <c r="S297" t="inlineStr">
        <is>
          <t>2001,2002</t>
        </is>
      </c>
      <c r="T297" t="n">
        <v>11</v>
      </c>
      <c r="U297" t="n">
        <v>0.5</v>
      </c>
      <c r="V297" t="n">
        <v>1000</v>
      </c>
      <c r="W297" t="n">
        <v>3375</v>
      </c>
      <c r="X297" t="n">
        <v>1</v>
      </c>
      <c r="Y297" t="n">
        <v>2006</v>
      </c>
      <c r="Z297" t="n">
        <v>1</v>
      </c>
      <c r="AA297" t="n">
        <v>0.03</v>
      </c>
    </row>
    <row r="298">
      <c r="A298" t="n">
        <v>1296</v>
      </c>
      <c r="B298" t="inlineStr">
        <is>
          <t>40052,40050,40045</t>
        </is>
      </c>
      <c r="C298" t="n">
        <v>149</v>
      </c>
      <c r="D2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8" t="n">
        <v>1</v>
      </c>
      <c r="F298" t="n">
        <v>0.099</v>
      </c>
      <c r="G298" t="n">
        <v>8001</v>
      </c>
      <c r="H298" t="n">
        <v>215</v>
      </c>
      <c r="I298" t="n">
        <v>1</v>
      </c>
      <c r="J298" t="n">
        <v>8000</v>
      </c>
      <c r="K298" t="n">
        <v>325</v>
      </c>
      <c r="L298" t="n">
        <v>1</v>
      </c>
      <c r="M298" t="n">
        <v>2007</v>
      </c>
      <c r="N298" t="n">
        <v>1</v>
      </c>
      <c r="O298" t="n">
        <v>0.05</v>
      </c>
      <c r="P298" t="n">
        <v>9000</v>
      </c>
      <c r="Q298" t="n">
        <v>79</v>
      </c>
      <c r="R298" t="n">
        <v>1</v>
      </c>
      <c r="S298" t="inlineStr">
        <is>
          <t>2001,2002</t>
        </is>
      </c>
      <c r="T298" t="n">
        <v>11</v>
      </c>
      <c r="U298" t="n">
        <v>0.5</v>
      </c>
      <c r="V298" t="n">
        <v>1000</v>
      </c>
      <c r="W298" t="n">
        <v>3390</v>
      </c>
      <c r="X298" t="n">
        <v>1</v>
      </c>
      <c r="Y298" t="n">
        <v>2006</v>
      </c>
      <c r="Z298" t="n">
        <v>1</v>
      </c>
      <c r="AA298" t="n">
        <v>0.03</v>
      </c>
    </row>
    <row r="299">
      <c r="A299" t="n">
        <v>1297</v>
      </c>
      <c r="B299" t="inlineStr">
        <is>
          <t>40076,40045,40050</t>
        </is>
      </c>
      <c r="C299" t="n">
        <v>149</v>
      </c>
      <c r="D2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9" t="n">
        <v>1</v>
      </c>
      <c r="F299" t="n">
        <v>0.099</v>
      </c>
      <c r="G299" t="n">
        <v>8001</v>
      </c>
      <c r="H299" t="n">
        <v>220</v>
      </c>
      <c r="I299" t="n">
        <v>1</v>
      </c>
      <c r="J299" t="n">
        <v>8000</v>
      </c>
      <c r="K299" t="n">
        <v>325</v>
      </c>
      <c r="L299" t="n">
        <v>1</v>
      </c>
      <c r="M299" t="n">
        <v>2007</v>
      </c>
      <c r="N299" t="n">
        <v>1</v>
      </c>
      <c r="O299" t="n">
        <v>0.05</v>
      </c>
      <c r="P299" t="n">
        <v>9000</v>
      </c>
      <c r="Q299" t="n">
        <v>79</v>
      </c>
      <c r="R299" t="n">
        <v>1</v>
      </c>
      <c r="S299" t="inlineStr">
        <is>
          <t>2001,2002</t>
        </is>
      </c>
      <c r="T299" t="n">
        <v>11</v>
      </c>
      <c r="U299" t="n">
        <v>0.5</v>
      </c>
      <c r="V299" t="n">
        <v>1000</v>
      </c>
      <c r="W299" t="n">
        <v>3400</v>
      </c>
      <c r="X299" t="n">
        <v>1</v>
      </c>
      <c r="Y299" t="n">
        <v>2006</v>
      </c>
      <c r="Z299" t="n">
        <v>1</v>
      </c>
      <c r="AA299" t="n">
        <v>0.03</v>
      </c>
    </row>
    <row r="300">
      <c r="A300" t="n">
        <v>1298</v>
      </c>
      <c r="B300" t="inlineStr">
        <is>
          <t>40075,40045,40050,40052</t>
        </is>
      </c>
      <c r="C300" t="n">
        <v>150</v>
      </c>
      <c r="D3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0" t="n">
        <v>1</v>
      </c>
      <c r="F300" t="n">
        <v>0.1</v>
      </c>
      <c r="G300" t="n">
        <v>8001</v>
      </c>
      <c r="H300" t="n">
        <v>220</v>
      </c>
      <c r="I300" t="n">
        <v>1</v>
      </c>
      <c r="J300" t="n">
        <v>8000</v>
      </c>
      <c r="K300" t="n">
        <v>330</v>
      </c>
      <c r="L300" t="n">
        <v>1</v>
      </c>
      <c r="M300" t="n">
        <v>2007</v>
      </c>
      <c r="N300" t="n">
        <v>1</v>
      </c>
      <c r="O300" t="n">
        <v>0.05</v>
      </c>
      <c r="P300" t="n">
        <v>9000</v>
      </c>
      <c r="Q300" t="n">
        <v>79</v>
      </c>
      <c r="R300" t="n">
        <v>1</v>
      </c>
      <c r="S300" t="inlineStr">
        <is>
          <t>2001,2002</t>
        </is>
      </c>
      <c r="T300" t="n">
        <v>11</v>
      </c>
      <c r="U300" t="n">
        <v>0.5</v>
      </c>
      <c r="V300" t="n">
        <v>1000</v>
      </c>
      <c r="W300" t="n">
        <v>3415</v>
      </c>
      <c r="X300" t="n">
        <v>1</v>
      </c>
      <c r="Y300" t="n">
        <v>2006</v>
      </c>
      <c r="Z300" t="n">
        <v>1</v>
      </c>
      <c r="AA300" t="n">
        <v>0.03</v>
      </c>
    </row>
    <row r="301">
      <c r="A301" t="n">
        <v>1299</v>
      </c>
      <c r="B301" t="inlineStr">
        <is>
          <t>40052,40075,40045</t>
        </is>
      </c>
      <c r="C301" t="n">
        <v>150</v>
      </c>
      <c r="D3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1" t="n">
        <v>1</v>
      </c>
      <c r="F301" t="n">
        <v>0.1</v>
      </c>
      <c r="G301" t="n">
        <v>8001</v>
      </c>
      <c r="H301" t="n">
        <v>220</v>
      </c>
      <c r="I301" t="n">
        <v>1</v>
      </c>
      <c r="J301" t="n">
        <v>8000</v>
      </c>
      <c r="K301" t="n">
        <v>330</v>
      </c>
      <c r="L301" t="n">
        <v>1</v>
      </c>
      <c r="M301" t="n">
        <v>2007</v>
      </c>
      <c r="N301" t="n">
        <v>1</v>
      </c>
      <c r="O301" t="n">
        <v>0.05</v>
      </c>
      <c r="P301" t="n">
        <v>9000</v>
      </c>
      <c r="Q301" t="n">
        <v>80</v>
      </c>
      <c r="R301" t="n">
        <v>1</v>
      </c>
      <c r="S301" t="inlineStr">
        <is>
          <t>2001,2002</t>
        </is>
      </c>
      <c r="T301" t="n">
        <v>11</v>
      </c>
      <c r="U301" t="n">
        <v>0.5</v>
      </c>
      <c r="V301" t="n">
        <v>1000</v>
      </c>
      <c r="W301" t="n">
        <v>3430</v>
      </c>
      <c r="X301" t="n">
        <v>1</v>
      </c>
      <c r="Y301" t="n">
        <v>2006</v>
      </c>
      <c r="Z301" t="n">
        <v>1</v>
      </c>
      <c r="AA301" t="n">
        <v>0.03</v>
      </c>
    </row>
    <row r="302">
      <c r="A302" t="n">
        <v>1300</v>
      </c>
      <c r="B302" t="inlineStr">
        <is>
          <t>40076,40045</t>
        </is>
      </c>
      <c r="C302" t="n">
        <v>150</v>
      </c>
      <c r="D3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2" t="n">
        <v>1</v>
      </c>
      <c r="F302" t="n">
        <v>0.1</v>
      </c>
      <c r="G302" t="n">
        <v>8001</v>
      </c>
      <c r="H302" t="n">
        <v>220</v>
      </c>
      <c r="I302" t="n">
        <v>1</v>
      </c>
      <c r="J302" t="n">
        <v>8000</v>
      </c>
      <c r="K302" t="n">
        <v>330</v>
      </c>
      <c r="L302" t="n">
        <v>1</v>
      </c>
      <c r="M302" t="n">
        <v>2007</v>
      </c>
      <c r="N302" t="n">
        <v>1</v>
      </c>
      <c r="O302" t="n">
        <v>0.05</v>
      </c>
      <c r="P302" t="n">
        <v>9000</v>
      </c>
      <c r="Q302" t="n">
        <v>80</v>
      </c>
      <c r="R302" t="n">
        <v>1</v>
      </c>
      <c r="S302" t="inlineStr">
        <is>
          <t>2001,2002</t>
        </is>
      </c>
      <c r="T302" t="n">
        <v>11</v>
      </c>
      <c r="U302" t="n">
        <v>0.5</v>
      </c>
      <c r="V302" t="n">
        <v>1000</v>
      </c>
      <c r="W302" t="n">
        <v>3445</v>
      </c>
      <c r="X302" t="n">
        <v>1</v>
      </c>
      <c r="Y302" t="n">
        <v>2006</v>
      </c>
      <c r="Z302" t="n">
        <v>1</v>
      </c>
      <c r="AA302" t="n">
        <v>0.03</v>
      </c>
    </row>
    <row r="303">
      <c r="A303" t="n">
        <v>1301</v>
      </c>
      <c r="B303" t="inlineStr">
        <is>
          <t>40076,40052,40045,40050</t>
        </is>
      </c>
      <c r="C303" t="n">
        <v>150</v>
      </c>
      <c r="D3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3" t="n">
        <v>1</v>
      </c>
      <c r="F303" t="n">
        <v>0.1</v>
      </c>
      <c r="G303" t="n">
        <v>8001</v>
      </c>
      <c r="H303" t="n">
        <v>220</v>
      </c>
      <c r="I303" t="n">
        <v>1</v>
      </c>
      <c r="J303" t="n">
        <v>8000</v>
      </c>
      <c r="K303" t="n">
        <v>330</v>
      </c>
      <c r="L303" t="n">
        <v>1</v>
      </c>
      <c r="M303" t="n">
        <v>2007</v>
      </c>
      <c r="N303" t="n">
        <v>1</v>
      </c>
      <c r="O303" t="n">
        <v>0.05</v>
      </c>
      <c r="P303" t="n">
        <v>9000</v>
      </c>
      <c r="Q303" t="n">
        <v>81</v>
      </c>
      <c r="R303" t="n">
        <v>1</v>
      </c>
      <c r="S303" t="inlineStr">
        <is>
          <t>2001,2002</t>
        </is>
      </c>
      <c r="T303" t="n">
        <v>11</v>
      </c>
      <c r="U303" t="n">
        <v>0.5</v>
      </c>
      <c r="V303" t="n">
        <v>1000</v>
      </c>
      <c r="W303" t="n">
        <v>3460</v>
      </c>
      <c r="X303" t="n">
        <v>1</v>
      </c>
      <c r="Y303" t="n">
        <v>2006</v>
      </c>
      <c r="Z303" t="n">
        <v>1</v>
      </c>
      <c r="AA303" t="n">
        <v>0.03</v>
      </c>
    </row>
    <row r="304">
      <c r="A304" t="n">
        <v>1302</v>
      </c>
      <c r="B304" t="inlineStr">
        <is>
          <t>40076,40075,40052,40045</t>
        </is>
      </c>
      <c r="C304" t="n">
        <v>150</v>
      </c>
      <c r="D3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4" t="n">
        <v>1</v>
      </c>
      <c r="F304" t="n">
        <v>0.101</v>
      </c>
      <c r="G304" t="n">
        <v>8001</v>
      </c>
      <c r="H304" t="n">
        <v>220</v>
      </c>
      <c r="I304" t="n">
        <v>1</v>
      </c>
      <c r="J304" t="n">
        <v>8000</v>
      </c>
      <c r="K304" t="n">
        <v>335</v>
      </c>
      <c r="L304" t="n">
        <v>1</v>
      </c>
      <c r="M304" t="n">
        <v>2007</v>
      </c>
      <c r="N304" t="n">
        <v>1</v>
      </c>
      <c r="O304" t="n">
        <v>0.05</v>
      </c>
      <c r="P304" t="n">
        <v>9000</v>
      </c>
      <c r="Q304" t="n">
        <v>81</v>
      </c>
      <c r="R304" t="n">
        <v>1</v>
      </c>
      <c r="S304" t="inlineStr">
        <is>
          <t>2001,2002</t>
        </is>
      </c>
      <c r="T304" t="n">
        <v>11</v>
      </c>
      <c r="U304" t="n">
        <v>0.5</v>
      </c>
      <c r="V304" t="n">
        <v>1000</v>
      </c>
      <c r="W304" t="n">
        <v>3475</v>
      </c>
      <c r="X304" t="n">
        <v>1</v>
      </c>
      <c r="Y304" t="n">
        <v>2006</v>
      </c>
      <c r="Z304" t="n">
        <v>1</v>
      </c>
      <c r="AA304" t="n">
        <v>0.03</v>
      </c>
    </row>
    <row r="305">
      <c r="A305" t="n">
        <v>1303</v>
      </c>
      <c r="B305" t="inlineStr">
        <is>
          <t>40050,40052,40075,40076,40045</t>
        </is>
      </c>
      <c r="C305" t="n">
        <v>150</v>
      </c>
      <c r="D3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5" t="n">
        <v>1</v>
      </c>
      <c r="F305" t="n">
        <v>0.101</v>
      </c>
      <c r="G305" t="n">
        <v>8001</v>
      </c>
      <c r="H305" t="n">
        <v>225</v>
      </c>
      <c r="I305" t="n">
        <v>1</v>
      </c>
      <c r="J305" t="n">
        <v>8000</v>
      </c>
      <c r="K305" t="n">
        <v>335</v>
      </c>
      <c r="L305" t="n">
        <v>1</v>
      </c>
      <c r="M305" t="n">
        <v>2007</v>
      </c>
      <c r="N305" t="n">
        <v>1</v>
      </c>
      <c r="O305" t="n">
        <v>0.05</v>
      </c>
      <c r="P305" t="n">
        <v>9000</v>
      </c>
      <c r="Q305" t="n">
        <v>81</v>
      </c>
      <c r="R305" t="n">
        <v>1</v>
      </c>
      <c r="S305" t="inlineStr">
        <is>
          <t>2001,2002</t>
        </is>
      </c>
      <c r="T305" t="n">
        <v>11</v>
      </c>
      <c r="U305" t="n">
        <v>0.5</v>
      </c>
      <c r="V305" t="n">
        <v>1000</v>
      </c>
      <c r="W305" t="n">
        <v>3485</v>
      </c>
      <c r="X305" t="n">
        <v>1</v>
      </c>
      <c r="Y305" t="n">
        <v>2006</v>
      </c>
      <c r="Z305" t="n">
        <v>1</v>
      </c>
      <c r="AA305" t="n">
        <v>0.03</v>
      </c>
    </row>
    <row r="306">
      <c r="A306" t="n">
        <v>1304</v>
      </c>
      <c r="B306" t="inlineStr">
        <is>
          <t>40076,40045,40050,40075</t>
        </is>
      </c>
      <c r="C306" t="n">
        <v>150</v>
      </c>
      <c r="D3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6" t="n">
        <v>1</v>
      </c>
      <c r="F306" t="n">
        <v>0.101</v>
      </c>
      <c r="G306" t="n">
        <v>8001</v>
      </c>
      <c r="H306" t="n">
        <v>225</v>
      </c>
      <c r="I306" t="n">
        <v>1</v>
      </c>
      <c r="J306" t="n">
        <v>8000</v>
      </c>
      <c r="K306" t="n">
        <v>335</v>
      </c>
      <c r="L306" t="n">
        <v>1</v>
      </c>
      <c r="M306" t="n">
        <v>2007</v>
      </c>
      <c r="N306" t="n">
        <v>1</v>
      </c>
      <c r="O306" t="n">
        <v>0.05</v>
      </c>
      <c r="P306" t="n">
        <v>9000</v>
      </c>
      <c r="Q306" t="n">
        <v>82</v>
      </c>
      <c r="R306" t="n">
        <v>1</v>
      </c>
      <c r="S306" t="inlineStr">
        <is>
          <t>2001,2002</t>
        </is>
      </c>
      <c r="T306" t="n">
        <v>11</v>
      </c>
      <c r="U306" t="n">
        <v>0.5</v>
      </c>
      <c r="V306" t="n">
        <v>1000</v>
      </c>
      <c r="W306" t="n">
        <v>3500</v>
      </c>
      <c r="X306" t="n">
        <v>1</v>
      </c>
      <c r="Y306" t="n">
        <v>2006</v>
      </c>
      <c r="Z306" t="n">
        <v>1</v>
      </c>
      <c r="AA306" t="n">
        <v>0.03</v>
      </c>
    </row>
    <row r="307">
      <c r="A307" t="n">
        <v>1305</v>
      </c>
      <c r="B307" t="inlineStr">
        <is>
          <t>40075,40045,40050,40076</t>
        </is>
      </c>
      <c r="C307" t="n">
        <v>150</v>
      </c>
      <c r="D3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7" t="n">
        <v>1</v>
      </c>
      <c r="F307" t="n">
        <v>0.101</v>
      </c>
      <c r="G307" t="n">
        <v>8001</v>
      </c>
      <c r="H307" t="n">
        <v>225</v>
      </c>
      <c r="I307" t="n">
        <v>1</v>
      </c>
      <c r="J307" t="n">
        <v>8000</v>
      </c>
      <c r="K307" t="n">
        <v>335</v>
      </c>
      <c r="L307" t="n">
        <v>1</v>
      </c>
      <c r="M307" t="n">
        <v>2007</v>
      </c>
      <c r="N307" t="n">
        <v>1</v>
      </c>
      <c r="O307" t="n">
        <v>0.05</v>
      </c>
      <c r="P307" t="n">
        <v>9000</v>
      </c>
      <c r="Q307" t="n">
        <v>82</v>
      </c>
      <c r="R307" t="n">
        <v>1</v>
      </c>
      <c r="S307" t="inlineStr">
        <is>
          <t>2001,2002</t>
        </is>
      </c>
      <c r="T307" t="n">
        <v>11</v>
      </c>
      <c r="U307" t="n">
        <v>0.5</v>
      </c>
      <c r="V307" t="n">
        <v>1000</v>
      </c>
      <c r="W307" t="n">
        <v>3515</v>
      </c>
      <c r="X307" t="n">
        <v>1</v>
      </c>
      <c r="Y307" t="n">
        <v>2006</v>
      </c>
      <c r="Z307" t="n">
        <v>1</v>
      </c>
      <c r="AA307" t="n">
        <v>0.03</v>
      </c>
    </row>
    <row r="308">
      <c r="A308" t="n">
        <v>1306</v>
      </c>
      <c r="B308" t="inlineStr">
        <is>
          <t>40050,40045,40075,40052</t>
        </is>
      </c>
      <c r="C308" t="n">
        <v>150</v>
      </c>
      <c r="D3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8" t="n">
        <v>1</v>
      </c>
      <c r="F308" t="n">
        <v>0.102</v>
      </c>
      <c r="G308" t="n">
        <v>8001</v>
      </c>
      <c r="H308" t="n">
        <v>225</v>
      </c>
      <c r="I308" t="n">
        <v>1</v>
      </c>
      <c r="J308" t="n">
        <v>8000</v>
      </c>
      <c r="K308" t="n">
        <v>340</v>
      </c>
      <c r="L308" t="n">
        <v>1</v>
      </c>
      <c r="M308" t="n">
        <v>2007</v>
      </c>
      <c r="N308" t="n">
        <v>1</v>
      </c>
      <c r="O308" t="n">
        <v>0.05</v>
      </c>
      <c r="P308" t="n">
        <v>9000</v>
      </c>
      <c r="Q308" t="n">
        <v>82</v>
      </c>
      <c r="R308" t="n">
        <v>1</v>
      </c>
      <c r="S308" t="inlineStr">
        <is>
          <t>2001,2002</t>
        </is>
      </c>
      <c r="T308" t="n">
        <v>11</v>
      </c>
      <c r="U308" t="n">
        <v>0.5</v>
      </c>
      <c r="V308" t="n">
        <v>1000</v>
      </c>
      <c r="W308" t="n">
        <v>3530</v>
      </c>
      <c r="X308" t="n">
        <v>1</v>
      </c>
      <c r="Y308" t="n">
        <v>2006</v>
      </c>
      <c r="Z308" t="n">
        <v>1</v>
      </c>
      <c r="AA308" t="n">
        <v>0.03</v>
      </c>
    </row>
    <row r="309">
      <c r="A309" t="n">
        <v>1307</v>
      </c>
      <c r="B309" t="inlineStr">
        <is>
          <t>40045,40076,40052</t>
        </is>
      </c>
      <c r="C309" t="n">
        <v>150</v>
      </c>
      <c r="D3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9" t="n">
        <v>1</v>
      </c>
      <c r="F309" t="n">
        <v>0.102</v>
      </c>
      <c r="G309" t="n">
        <v>8001</v>
      </c>
      <c r="H309" t="n">
        <v>225</v>
      </c>
      <c r="I309" t="n">
        <v>1</v>
      </c>
      <c r="J309" t="n">
        <v>8000</v>
      </c>
      <c r="K309" t="n">
        <v>340</v>
      </c>
      <c r="L309" t="n">
        <v>1</v>
      </c>
      <c r="M309" t="n">
        <v>2007</v>
      </c>
      <c r="N309" t="n">
        <v>1</v>
      </c>
      <c r="O309" t="n">
        <v>0.05</v>
      </c>
      <c r="P309" t="n">
        <v>9000</v>
      </c>
      <c r="Q309" t="n">
        <v>83</v>
      </c>
      <c r="R309" t="n">
        <v>1</v>
      </c>
      <c r="S309" t="inlineStr">
        <is>
          <t>2001,2002</t>
        </is>
      </c>
      <c r="T309" t="n">
        <v>11</v>
      </c>
      <c r="U309" t="n">
        <v>0.5</v>
      </c>
      <c r="V309" t="n">
        <v>1000</v>
      </c>
      <c r="W309" t="n">
        <v>3545</v>
      </c>
      <c r="X309" t="n">
        <v>1</v>
      </c>
      <c r="Y309" t="n">
        <v>2006</v>
      </c>
      <c r="Z309" t="n">
        <v>1</v>
      </c>
      <c r="AA309" t="n">
        <v>0.03</v>
      </c>
    </row>
    <row r="310">
      <c r="A310" t="n">
        <v>1308</v>
      </c>
      <c r="B310" t="inlineStr">
        <is>
          <t>40045,40050,40075</t>
        </is>
      </c>
      <c r="C310" t="n">
        <v>150</v>
      </c>
      <c r="D3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0" t="n">
        <v>1</v>
      </c>
      <c r="F310" t="n">
        <v>0.102</v>
      </c>
      <c r="G310" t="n">
        <v>8001</v>
      </c>
      <c r="H310" t="n">
        <v>230</v>
      </c>
      <c r="I310" t="n">
        <v>1</v>
      </c>
      <c r="J310" t="n">
        <v>8000</v>
      </c>
      <c r="K310" t="n">
        <v>340</v>
      </c>
      <c r="L310" t="n">
        <v>1</v>
      </c>
      <c r="M310" t="n">
        <v>2007</v>
      </c>
      <c r="N310" t="n">
        <v>1</v>
      </c>
      <c r="O310" t="n">
        <v>0.05</v>
      </c>
      <c r="P310" t="n">
        <v>9000</v>
      </c>
      <c r="Q310" t="n">
        <v>83</v>
      </c>
      <c r="R310" t="n">
        <v>1</v>
      </c>
      <c r="S310" t="inlineStr">
        <is>
          <t>2001,2002</t>
        </is>
      </c>
      <c r="T310" t="n">
        <v>11</v>
      </c>
      <c r="U310" t="n">
        <v>0.5</v>
      </c>
      <c r="V310" t="n">
        <v>1000</v>
      </c>
      <c r="W310" t="n">
        <v>3555</v>
      </c>
      <c r="X310" t="n">
        <v>1</v>
      </c>
      <c r="Y310" t="n">
        <v>2006</v>
      </c>
      <c r="Z310" t="n">
        <v>1</v>
      </c>
      <c r="AA310" t="n">
        <v>0.03</v>
      </c>
    </row>
    <row r="311">
      <c r="A311" t="n">
        <v>1309</v>
      </c>
      <c r="B311" t="inlineStr">
        <is>
          <t>50010,40076,40052,40050,40075</t>
        </is>
      </c>
      <c r="C311" t="n">
        <v>150</v>
      </c>
      <c r="D3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1" t="n">
        <v>1</v>
      </c>
      <c r="F311" t="n">
        <v>0.102</v>
      </c>
      <c r="G311" t="n">
        <v>8001</v>
      </c>
      <c r="H311" t="n">
        <v>230</v>
      </c>
      <c r="I311" t="n">
        <v>1</v>
      </c>
      <c r="J311" t="n">
        <v>8000</v>
      </c>
      <c r="K311" t="n">
        <v>345</v>
      </c>
      <c r="L311" t="n">
        <v>1</v>
      </c>
      <c r="M311" t="n">
        <v>2007</v>
      </c>
      <c r="N311" t="n">
        <v>1</v>
      </c>
      <c r="O311" t="n">
        <v>0.05</v>
      </c>
      <c r="P311" t="n">
        <v>9000</v>
      </c>
      <c r="Q311" t="n">
        <v>83</v>
      </c>
      <c r="R311" t="n">
        <v>1</v>
      </c>
      <c r="S311" t="inlineStr">
        <is>
          <t>2001,2002</t>
        </is>
      </c>
      <c r="T311" t="n">
        <v>11</v>
      </c>
      <c r="U311" t="n">
        <v>0.5</v>
      </c>
      <c r="V311" t="n">
        <v>1000</v>
      </c>
      <c r="W311" t="n">
        <v>3570</v>
      </c>
      <c r="X311" t="n">
        <v>1</v>
      </c>
      <c r="Y311" t="n">
        <v>2006</v>
      </c>
      <c r="Z311" t="n">
        <v>1</v>
      </c>
      <c r="AA311" t="n">
        <v>0.03</v>
      </c>
    </row>
    <row r="312">
      <c r="A312" t="n">
        <v>1310</v>
      </c>
      <c r="B312" t="inlineStr">
        <is>
          <t>40078,40077</t>
        </is>
      </c>
      <c r="C312" t="n">
        <v>150</v>
      </c>
      <c r="D3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2" t="n">
        <v>1</v>
      </c>
      <c r="F312" t="n">
        <v>0.103</v>
      </c>
      <c r="G312" t="n">
        <v>8001</v>
      </c>
      <c r="H312" t="n">
        <v>230</v>
      </c>
      <c r="I312" t="n">
        <v>1</v>
      </c>
      <c r="J312" t="n">
        <v>8000</v>
      </c>
      <c r="K312" t="n">
        <v>345</v>
      </c>
      <c r="L312" t="n">
        <v>1</v>
      </c>
      <c r="M312" t="n">
        <v>2007</v>
      </c>
      <c r="N312" t="n">
        <v>1</v>
      </c>
      <c r="O312" t="n">
        <v>0.05</v>
      </c>
      <c r="P312" t="n">
        <v>9000</v>
      </c>
      <c r="Q312" t="n">
        <v>84</v>
      </c>
      <c r="R312" t="n">
        <v>1</v>
      </c>
      <c r="S312" t="inlineStr">
        <is>
          <t>2001,2002</t>
        </is>
      </c>
      <c r="T312" t="n">
        <v>11</v>
      </c>
      <c r="U312" t="n">
        <v>0.5</v>
      </c>
      <c r="V312" t="n">
        <v>1000</v>
      </c>
      <c r="W312" t="n">
        <v>3585</v>
      </c>
      <c r="X312" t="n">
        <v>1</v>
      </c>
      <c r="Y312" t="n">
        <v>2006</v>
      </c>
      <c r="Z312" t="n">
        <v>1</v>
      </c>
      <c r="AA312" t="n">
        <v>0.03</v>
      </c>
    </row>
    <row r="313">
      <c r="A313" t="n">
        <v>1311</v>
      </c>
      <c r="B313" t="inlineStr">
        <is>
          <t>40048,40078</t>
        </is>
      </c>
      <c r="C313" t="n">
        <v>150</v>
      </c>
      <c r="D3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3" t="n">
        <v>1</v>
      </c>
      <c r="F313" t="n">
        <v>0.103</v>
      </c>
      <c r="G313" t="n">
        <v>8001</v>
      </c>
      <c r="H313" t="n">
        <v>230</v>
      </c>
      <c r="I313" t="n">
        <v>1</v>
      </c>
      <c r="J313" t="n">
        <v>8000</v>
      </c>
      <c r="K313" t="n">
        <v>345</v>
      </c>
      <c r="L313" t="n">
        <v>1</v>
      </c>
      <c r="M313" t="n">
        <v>2007</v>
      </c>
      <c r="N313" t="n">
        <v>1</v>
      </c>
      <c r="O313" t="n">
        <v>0.05</v>
      </c>
      <c r="P313" t="n">
        <v>9000</v>
      </c>
      <c r="Q313" t="n">
        <v>84</v>
      </c>
      <c r="R313" t="n">
        <v>1</v>
      </c>
      <c r="S313" t="inlineStr">
        <is>
          <t>2001,2002</t>
        </is>
      </c>
      <c r="T313" t="n">
        <v>12</v>
      </c>
      <c r="U313" t="n">
        <v>0.5</v>
      </c>
      <c r="V313" t="n">
        <v>1000</v>
      </c>
      <c r="W313" t="n">
        <v>3600</v>
      </c>
      <c r="X313" t="n">
        <v>1</v>
      </c>
      <c r="Y313" t="n">
        <v>2006</v>
      </c>
      <c r="Z313" t="n">
        <v>1</v>
      </c>
      <c r="AA313" t="n">
        <v>0.03</v>
      </c>
    </row>
    <row r="314">
      <c r="A314" t="n">
        <v>1312</v>
      </c>
      <c r="B314" t="inlineStr">
        <is>
          <t>40078</t>
        </is>
      </c>
      <c r="C314" t="n">
        <v>150</v>
      </c>
      <c r="D3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4" t="n">
        <v>1</v>
      </c>
      <c r="F314" t="n">
        <v>0.103</v>
      </c>
      <c r="G314" t="n">
        <v>8001</v>
      </c>
      <c r="H314" t="n">
        <v>230</v>
      </c>
      <c r="I314" t="n">
        <v>1</v>
      </c>
      <c r="J314" t="n">
        <v>8000</v>
      </c>
      <c r="K314" t="n">
        <v>345</v>
      </c>
      <c r="L314" t="n">
        <v>1</v>
      </c>
      <c r="M314" t="n">
        <v>2007</v>
      </c>
      <c r="N314" t="n">
        <v>1</v>
      </c>
      <c r="O314" t="n">
        <v>0.05</v>
      </c>
      <c r="P314" t="n">
        <v>9000</v>
      </c>
      <c r="Q314" t="n">
        <v>84</v>
      </c>
      <c r="R314" t="n">
        <v>1</v>
      </c>
      <c r="S314" t="inlineStr">
        <is>
          <t>2001,2002</t>
        </is>
      </c>
      <c r="T314" t="n">
        <v>12</v>
      </c>
      <c r="U314" t="n">
        <v>0.5</v>
      </c>
      <c r="V314" t="n">
        <v>1000</v>
      </c>
      <c r="W314" t="n">
        <v>3615</v>
      </c>
      <c r="X314" t="n">
        <v>1</v>
      </c>
      <c r="Y314" t="n">
        <v>2006</v>
      </c>
      <c r="Z314" t="n">
        <v>1</v>
      </c>
      <c r="AA314" t="n">
        <v>0.03</v>
      </c>
    </row>
    <row r="315">
      <c r="A315" t="n">
        <v>1313</v>
      </c>
      <c r="B315" t="inlineStr">
        <is>
          <t>40048,40077</t>
        </is>
      </c>
      <c r="C315" t="n">
        <v>150</v>
      </c>
      <c r="D3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5" t="n">
        <v>1</v>
      </c>
      <c r="F315" t="n">
        <v>0.103</v>
      </c>
      <c r="G315" t="n">
        <v>8001</v>
      </c>
      <c r="H315" t="n">
        <v>230</v>
      </c>
      <c r="I315" t="n">
        <v>1</v>
      </c>
      <c r="J315" t="n">
        <v>8000</v>
      </c>
      <c r="K315" t="n">
        <v>350</v>
      </c>
      <c r="L315" t="n">
        <v>1</v>
      </c>
      <c r="M315" t="n">
        <v>2007</v>
      </c>
      <c r="N315" t="n">
        <v>1</v>
      </c>
      <c r="O315" t="n">
        <v>0.05</v>
      </c>
      <c r="P315" t="n">
        <v>9000</v>
      </c>
      <c r="Q315" t="n">
        <v>85</v>
      </c>
      <c r="R315" t="n">
        <v>1</v>
      </c>
      <c r="S315" t="inlineStr">
        <is>
          <t>2001,2002</t>
        </is>
      </c>
      <c r="T315" t="n">
        <v>12</v>
      </c>
      <c r="U315" t="n">
        <v>0.5</v>
      </c>
      <c r="V315" t="n">
        <v>1000</v>
      </c>
      <c r="W315" t="n">
        <v>3630</v>
      </c>
      <c r="X315" t="n">
        <v>1</v>
      </c>
      <c r="Y315" t="n">
        <v>2006</v>
      </c>
      <c r="Z315" t="n">
        <v>1</v>
      </c>
      <c r="AA315" t="n">
        <v>0.03</v>
      </c>
    </row>
    <row r="316">
      <c r="A316" t="n">
        <v>1314</v>
      </c>
      <c r="B316" t="inlineStr">
        <is>
          <t>40078,40048,40049</t>
        </is>
      </c>
      <c r="C316" t="n">
        <v>150</v>
      </c>
      <c r="D3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6" t="n">
        <v>1</v>
      </c>
      <c r="F316" t="n">
        <v>0.104</v>
      </c>
      <c r="G316" t="n">
        <v>8001</v>
      </c>
      <c r="H316" t="n">
        <v>235</v>
      </c>
      <c r="I316" t="n">
        <v>1</v>
      </c>
      <c r="J316" t="n">
        <v>8000</v>
      </c>
      <c r="K316" t="n">
        <v>350</v>
      </c>
      <c r="L316" t="n">
        <v>1</v>
      </c>
      <c r="M316" t="n">
        <v>2007</v>
      </c>
      <c r="N316" t="n">
        <v>1</v>
      </c>
      <c r="O316" t="n">
        <v>0.05</v>
      </c>
      <c r="P316" t="n">
        <v>9000</v>
      </c>
      <c r="Q316" t="n">
        <v>85</v>
      </c>
      <c r="R316" t="n">
        <v>1</v>
      </c>
      <c r="S316" t="inlineStr">
        <is>
          <t>2001,2002</t>
        </is>
      </c>
      <c r="T316" t="n">
        <v>12</v>
      </c>
      <c r="U316" t="n">
        <v>0.5</v>
      </c>
      <c r="V316" t="n">
        <v>1000</v>
      </c>
      <c r="W316" t="n">
        <v>3640</v>
      </c>
      <c r="X316" t="n">
        <v>1</v>
      </c>
      <c r="Y316" t="n">
        <v>2006</v>
      </c>
      <c r="Z316" t="n">
        <v>1</v>
      </c>
      <c r="AA316" t="n">
        <v>0.03</v>
      </c>
    </row>
    <row r="317">
      <c r="A317" t="n">
        <v>1315</v>
      </c>
      <c r="B317" t="inlineStr">
        <is>
          <t>40077,40049</t>
        </is>
      </c>
      <c r="C317" t="n">
        <v>150</v>
      </c>
      <c r="D3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7" t="n">
        <v>1</v>
      </c>
      <c r="F317" t="n">
        <v>0.104</v>
      </c>
      <c r="G317" t="n">
        <v>8001</v>
      </c>
      <c r="H317" t="n">
        <v>235</v>
      </c>
      <c r="I317" t="n">
        <v>1</v>
      </c>
      <c r="J317" t="n">
        <v>8000</v>
      </c>
      <c r="K317" t="n">
        <v>350</v>
      </c>
      <c r="L317" t="n">
        <v>1</v>
      </c>
      <c r="M317" t="n">
        <v>2007</v>
      </c>
      <c r="N317" t="n">
        <v>1</v>
      </c>
      <c r="O317" t="n">
        <v>0.05</v>
      </c>
      <c r="P317" t="n">
        <v>9000</v>
      </c>
      <c r="Q317" t="n">
        <v>85</v>
      </c>
      <c r="R317" t="n">
        <v>1</v>
      </c>
      <c r="S317" t="inlineStr">
        <is>
          <t>2001,2002</t>
        </is>
      </c>
      <c r="T317" t="n">
        <v>12</v>
      </c>
      <c r="U317" t="n">
        <v>0.5</v>
      </c>
      <c r="V317" t="n">
        <v>1000</v>
      </c>
      <c r="W317" t="n">
        <v>3655</v>
      </c>
      <c r="X317" t="n">
        <v>1</v>
      </c>
      <c r="Y317" t="n">
        <v>2006</v>
      </c>
      <c r="Z317" t="n">
        <v>1</v>
      </c>
      <c r="AA317" t="n">
        <v>0.03</v>
      </c>
    </row>
    <row r="318">
      <c r="A318" t="n">
        <v>1316</v>
      </c>
      <c r="B318" t="inlineStr">
        <is>
          <t>40078,40077,40054</t>
        </is>
      </c>
      <c r="C318" t="n">
        <v>150</v>
      </c>
      <c r="D3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8" t="n">
        <v>1</v>
      </c>
      <c r="F318" t="n">
        <v>0.104</v>
      </c>
      <c r="G318" t="n">
        <v>8001</v>
      </c>
      <c r="H318" t="n">
        <v>235</v>
      </c>
      <c r="I318" t="n">
        <v>1</v>
      </c>
      <c r="J318" t="n">
        <v>8000</v>
      </c>
      <c r="K318" t="n">
        <v>350</v>
      </c>
      <c r="L318" t="n">
        <v>1</v>
      </c>
      <c r="M318" t="n">
        <v>2007</v>
      </c>
      <c r="N318" t="n">
        <v>1</v>
      </c>
      <c r="O318" t="n">
        <v>0.05</v>
      </c>
      <c r="P318" t="n">
        <v>9000</v>
      </c>
      <c r="Q318" t="n">
        <v>86</v>
      </c>
      <c r="R318" t="n">
        <v>1</v>
      </c>
      <c r="S318" t="inlineStr">
        <is>
          <t>2001,2002</t>
        </is>
      </c>
      <c r="T318" t="n">
        <v>12</v>
      </c>
      <c r="U318" t="n">
        <v>0.5</v>
      </c>
      <c r="V318" t="n">
        <v>1000</v>
      </c>
      <c r="W318" t="n">
        <v>3670</v>
      </c>
      <c r="X318" t="n">
        <v>1</v>
      </c>
      <c r="Y318" t="n">
        <v>2006</v>
      </c>
      <c r="Z318" t="n">
        <v>1</v>
      </c>
      <c r="AA318" t="n">
        <v>0.03</v>
      </c>
    </row>
    <row r="319">
      <c r="A319" t="n">
        <v>1317</v>
      </c>
      <c r="B319" t="inlineStr">
        <is>
          <t>40077,40048</t>
        </is>
      </c>
      <c r="C319" t="n">
        <v>150</v>
      </c>
      <c r="D3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9" t="n">
        <v>1</v>
      </c>
      <c r="F319" t="n">
        <v>0.104</v>
      </c>
      <c r="G319" t="n">
        <v>8001</v>
      </c>
      <c r="H319" t="n">
        <v>235</v>
      </c>
      <c r="I319" t="n">
        <v>1</v>
      </c>
      <c r="J319" t="n">
        <v>8000</v>
      </c>
      <c r="K319" t="n">
        <v>355</v>
      </c>
      <c r="L319" t="n">
        <v>1</v>
      </c>
      <c r="M319" t="n">
        <v>2007</v>
      </c>
      <c r="N319" t="n">
        <v>1</v>
      </c>
      <c r="O319" t="n">
        <v>0.05</v>
      </c>
      <c r="P319" t="n">
        <v>9000</v>
      </c>
      <c r="Q319" t="n">
        <v>86</v>
      </c>
      <c r="R319" t="n">
        <v>1</v>
      </c>
      <c r="S319" t="inlineStr">
        <is>
          <t>2001,2002</t>
        </is>
      </c>
      <c r="T319" t="n">
        <v>12</v>
      </c>
      <c r="U319" t="n">
        <v>0.5</v>
      </c>
      <c r="V319" t="n">
        <v>1000</v>
      </c>
      <c r="W319" t="n">
        <v>3685</v>
      </c>
      <c r="X319" t="n">
        <v>1</v>
      </c>
      <c r="Y319" t="n">
        <v>2006</v>
      </c>
      <c r="Z319" t="n">
        <v>1</v>
      </c>
      <c r="AA319" t="n">
        <v>0.03</v>
      </c>
    </row>
    <row r="320">
      <c r="A320" t="n">
        <v>1318</v>
      </c>
      <c r="B320" t="inlineStr">
        <is>
          <t>40048,40078</t>
        </is>
      </c>
      <c r="C320" t="n">
        <v>150</v>
      </c>
      <c r="D3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0" t="n">
        <v>1</v>
      </c>
      <c r="F320" t="n">
        <v>0.105</v>
      </c>
      <c r="G320" t="n">
        <v>8001</v>
      </c>
      <c r="H320" t="n">
        <v>235</v>
      </c>
      <c r="I320" t="n">
        <v>1</v>
      </c>
      <c r="J320" t="n">
        <v>8000</v>
      </c>
      <c r="K320" t="n">
        <v>355</v>
      </c>
      <c r="L320" t="n">
        <v>1</v>
      </c>
      <c r="M320" t="n">
        <v>2007</v>
      </c>
      <c r="N320" t="n">
        <v>1</v>
      </c>
      <c r="O320" t="n">
        <v>0.05</v>
      </c>
      <c r="P320" t="n">
        <v>9000</v>
      </c>
      <c r="Q320" t="n">
        <v>86</v>
      </c>
      <c r="R320" t="n">
        <v>1</v>
      </c>
      <c r="S320" t="inlineStr">
        <is>
          <t>2001,2002</t>
        </is>
      </c>
      <c r="T320" t="n">
        <v>12</v>
      </c>
      <c r="U320" t="n">
        <v>0.5</v>
      </c>
      <c r="V320" t="n">
        <v>1000</v>
      </c>
      <c r="W320" t="n">
        <v>3700</v>
      </c>
      <c r="X320" t="n">
        <v>1</v>
      </c>
      <c r="Y320" t="n">
        <v>2006</v>
      </c>
      <c r="Z320" t="n">
        <v>1</v>
      </c>
      <c r="AA320" t="n">
        <v>0.03</v>
      </c>
    </row>
    <row r="321">
      <c r="A321" t="n">
        <v>1319</v>
      </c>
      <c r="B321" t="inlineStr">
        <is>
          <t>40054,40049,40078</t>
        </is>
      </c>
      <c r="C321" t="n">
        <v>150</v>
      </c>
      <c r="D3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1" t="n">
        <v>1</v>
      </c>
      <c r="F321" t="n">
        <v>0.105</v>
      </c>
      <c r="G321" t="n">
        <v>8001</v>
      </c>
      <c r="H321" t="n">
        <v>240</v>
      </c>
      <c r="I321" t="n">
        <v>1</v>
      </c>
      <c r="J321" t="n">
        <v>8000</v>
      </c>
      <c r="K321" t="n">
        <v>355</v>
      </c>
      <c r="L321" t="n">
        <v>1</v>
      </c>
      <c r="M321" t="n">
        <v>2007</v>
      </c>
      <c r="N321" t="n">
        <v>1</v>
      </c>
      <c r="O321" t="n">
        <v>0.05</v>
      </c>
      <c r="P321" t="n">
        <v>9000</v>
      </c>
      <c r="Q321" t="n">
        <v>87</v>
      </c>
      <c r="R321" t="n">
        <v>1</v>
      </c>
      <c r="S321" t="inlineStr">
        <is>
          <t>2001,2002</t>
        </is>
      </c>
      <c r="T321" t="n">
        <v>12</v>
      </c>
      <c r="U321" t="n">
        <v>0.5</v>
      </c>
      <c r="V321" t="n">
        <v>1000</v>
      </c>
      <c r="W321" t="n">
        <v>3710</v>
      </c>
      <c r="X321" t="n">
        <v>1</v>
      </c>
      <c r="Y321" t="n">
        <v>2006</v>
      </c>
      <c r="Z321" t="n">
        <v>1</v>
      </c>
      <c r="AA321" t="n">
        <v>0.03</v>
      </c>
    </row>
    <row r="322">
      <c r="A322" t="n">
        <v>1320</v>
      </c>
      <c r="B322" t="inlineStr">
        <is>
          <t>40077,40054</t>
        </is>
      </c>
      <c r="C322" t="n">
        <v>150</v>
      </c>
      <c r="D3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2" t="n">
        <v>1</v>
      </c>
      <c r="F322" t="n">
        <v>0.105</v>
      </c>
      <c r="G322" t="n">
        <v>8001</v>
      </c>
      <c r="H322" t="n">
        <v>240</v>
      </c>
      <c r="I322" t="n">
        <v>1</v>
      </c>
      <c r="J322" t="n">
        <v>8000</v>
      </c>
      <c r="K322" t="n">
        <v>360</v>
      </c>
      <c r="L322" t="n">
        <v>1</v>
      </c>
      <c r="M322" t="n">
        <v>2007</v>
      </c>
      <c r="N322" t="n">
        <v>1</v>
      </c>
      <c r="O322" t="n">
        <v>0.05</v>
      </c>
      <c r="P322" t="n">
        <v>9000</v>
      </c>
      <c r="Q322" t="n">
        <v>87</v>
      </c>
      <c r="R322" t="n">
        <v>1</v>
      </c>
      <c r="S322" t="inlineStr">
        <is>
          <t>2001,2002</t>
        </is>
      </c>
      <c r="T322" t="n">
        <v>12</v>
      </c>
      <c r="U322" t="n">
        <v>0.5</v>
      </c>
      <c r="V322" t="n">
        <v>1000</v>
      </c>
      <c r="W322" t="n">
        <v>3725</v>
      </c>
      <c r="X322" t="n">
        <v>1</v>
      </c>
      <c r="Y322" t="n">
        <v>2006</v>
      </c>
      <c r="Z322" t="n">
        <v>1</v>
      </c>
      <c r="AA322" t="n">
        <v>0.03</v>
      </c>
    </row>
    <row r="323">
      <c r="A323" t="n">
        <v>1321</v>
      </c>
      <c r="B323" t="inlineStr">
        <is>
          <t>40077,40078,40054</t>
        </is>
      </c>
      <c r="C323" t="n">
        <v>150</v>
      </c>
      <c r="D3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3" t="n">
        <v>1</v>
      </c>
      <c r="F323" t="n">
        <v>0.105</v>
      </c>
      <c r="G323" t="n">
        <v>8001</v>
      </c>
      <c r="H323" t="n">
        <v>240</v>
      </c>
      <c r="I323" t="n">
        <v>1</v>
      </c>
      <c r="J323" t="n">
        <v>8000</v>
      </c>
      <c r="K323" t="n">
        <v>360</v>
      </c>
      <c r="L323" t="n">
        <v>1</v>
      </c>
      <c r="M323" t="n">
        <v>2007</v>
      </c>
      <c r="N323" t="n">
        <v>1</v>
      </c>
      <c r="O323" t="n">
        <v>0.05</v>
      </c>
      <c r="P323" t="n">
        <v>9000</v>
      </c>
      <c r="Q323" t="n">
        <v>88</v>
      </c>
      <c r="R323" t="n">
        <v>1</v>
      </c>
      <c r="S323" t="inlineStr">
        <is>
          <t>2001,2002</t>
        </is>
      </c>
      <c r="T323" t="n">
        <v>12</v>
      </c>
      <c r="U323" t="n">
        <v>0.5</v>
      </c>
      <c r="V323" t="n">
        <v>1000</v>
      </c>
      <c r="W323" t="n">
        <v>3740</v>
      </c>
      <c r="X323" t="n">
        <v>1</v>
      </c>
      <c r="Y323" t="n">
        <v>2006</v>
      </c>
      <c r="Z323" t="n">
        <v>1</v>
      </c>
      <c r="AA323" t="n">
        <v>0.03</v>
      </c>
    </row>
    <row r="324">
      <c r="A324" t="n">
        <v>1322</v>
      </c>
      <c r="B324" t="inlineStr">
        <is>
          <t>40054,40048,40049</t>
        </is>
      </c>
      <c r="C324" t="n">
        <v>150</v>
      </c>
      <c r="D3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4" t="n">
        <v>1</v>
      </c>
      <c r="F324" t="n">
        <v>0.106</v>
      </c>
      <c r="G324" t="n">
        <v>8001</v>
      </c>
      <c r="H324" t="n">
        <v>240</v>
      </c>
      <c r="I324" t="n">
        <v>1</v>
      </c>
      <c r="J324" t="n">
        <v>8000</v>
      </c>
      <c r="K324" t="n">
        <v>360</v>
      </c>
      <c r="L324" t="n">
        <v>1</v>
      </c>
      <c r="M324" t="n">
        <v>2007</v>
      </c>
      <c r="N324" t="n">
        <v>1</v>
      </c>
      <c r="O324" t="n">
        <v>0.05</v>
      </c>
      <c r="P324" t="n">
        <v>9000</v>
      </c>
      <c r="Q324" t="n">
        <v>88</v>
      </c>
      <c r="R324" t="n">
        <v>1</v>
      </c>
      <c r="S324" t="inlineStr">
        <is>
          <t>2001,2002</t>
        </is>
      </c>
      <c r="T324" t="n">
        <v>12</v>
      </c>
      <c r="U324" t="n">
        <v>0.5</v>
      </c>
      <c r="V324" t="n">
        <v>1000</v>
      </c>
      <c r="W324" t="n">
        <v>3755</v>
      </c>
      <c r="X324" t="n">
        <v>1</v>
      </c>
      <c r="Y324" t="n">
        <v>2006</v>
      </c>
      <c r="Z324" t="n">
        <v>1</v>
      </c>
      <c r="AA324" t="n">
        <v>0.03</v>
      </c>
    </row>
    <row r="325">
      <c r="A325" t="n">
        <v>1323</v>
      </c>
      <c r="B325" t="inlineStr">
        <is>
          <t>40054,40048</t>
        </is>
      </c>
      <c r="C325" t="n">
        <v>150</v>
      </c>
      <c r="D3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5" t="n">
        <v>1</v>
      </c>
      <c r="F325" t="n">
        <v>0.106</v>
      </c>
      <c r="G325" t="n">
        <v>8001</v>
      </c>
      <c r="H325" t="n">
        <v>240</v>
      </c>
      <c r="I325" t="n">
        <v>1</v>
      </c>
      <c r="J325" t="n">
        <v>8000</v>
      </c>
      <c r="K325" t="n">
        <v>360</v>
      </c>
      <c r="L325" t="n">
        <v>1</v>
      </c>
      <c r="M325" t="n">
        <v>2007</v>
      </c>
      <c r="N325" t="n">
        <v>1</v>
      </c>
      <c r="O325" t="n">
        <v>0.05</v>
      </c>
      <c r="P325" t="n">
        <v>9000</v>
      </c>
      <c r="Q325" t="n">
        <v>88</v>
      </c>
      <c r="R325" t="n">
        <v>1</v>
      </c>
      <c r="S325" t="inlineStr">
        <is>
          <t>2001,2002</t>
        </is>
      </c>
      <c r="T325" t="n">
        <v>12</v>
      </c>
      <c r="U325" t="n">
        <v>0.5</v>
      </c>
      <c r="V325" t="n">
        <v>1000</v>
      </c>
      <c r="W325" t="n">
        <v>3770</v>
      </c>
      <c r="X325" t="n">
        <v>1</v>
      </c>
      <c r="Y325" t="n">
        <v>2006</v>
      </c>
      <c r="Z325" t="n">
        <v>1</v>
      </c>
      <c r="AA325" t="n">
        <v>0.03</v>
      </c>
    </row>
    <row r="326">
      <c r="A326" t="n">
        <v>1324</v>
      </c>
      <c r="B326" t="inlineStr">
        <is>
          <t>40054,40077,40078</t>
        </is>
      </c>
      <c r="C326" t="n">
        <v>150</v>
      </c>
      <c r="D3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6" t="n">
        <v>1</v>
      </c>
      <c r="F326" t="n">
        <v>0.106</v>
      </c>
      <c r="G326" t="n">
        <v>8001</v>
      </c>
      <c r="H326" t="n">
        <v>240</v>
      </c>
      <c r="I326" t="n">
        <v>1</v>
      </c>
      <c r="J326" t="n">
        <v>8000</v>
      </c>
      <c r="K326" t="n">
        <v>365</v>
      </c>
      <c r="L326" t="n">
        <v>1</v>
      </c>
      <c r="M326" t="n">
        <v>2007</v>
      </c>
      <c r="N326" t="n">
        <v>1</v>
      </c>
      <c r="O326" t="n">
        <v>0.05</v>
      </c>
      <c r="P326" t="n">
        <v>9000</v>
      </c>
      <c r="Q326" t="n">
        <v>89</v>
      </c>
      <c r="R326" t="n">
        <v>1</v>
      </c>
      <c r="S326" t="inlineStr">
        <is>
          <t>2001,2002</t>
        </is>
      </c>
      <c r="T326" t="n">
        <v>12</v>
      </c>
      <c r="U326" t="n">
        <v>0.5</v>
      </c>
      <c r="V326" t="n">
        <v>1000</v>
      </c>
      <c r="W326" t="n">
        <v>3780</v>
      </c>
      <c r="X326" t="n">
        <v>1</v>
      </c>
      <c r="Y326" t="n">
        <v>2006</v>
      </c>
      <c r="Z326" t="n">
        <v>1</v>
      </c>
      <c r="AA326" t="n">
        <v>0.03</v>
      </c>
    </row>
    <row r="327">
      <c r="A327" t="n">
        <v>1325</v>
      </c>
      <c r="B327" t="inlineStr">
        <is>
          <t>40054,40078,40049</t>
        </is>
      </c>
      <c r="C327" t="n">
        <v>150</v>
      </c>
      <c r="D3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7" t="n">
        <v>1</v>
      </c>
      <c r="F327" t="n">
        <v>0.106</v>
      </c>
      <c r="G327" t="n">
        <v>8001</v>
      </c>
      <c r="H327" t="n">
        <v>245</v>
      </c>
      <c r="I327" t="n">
        <v>1</v>
      </c>
      <c r="J327" t="n">
        <v>8000</v>
      </c>
      <c r="K327" t="n">
        <v>365</v>
      </c>
      <c r="L327" t="n">
        <v>1</v>
      </c>
      <c r="M327" t="n">
        <v>2007</v>
      </c>
      <c r="N327" t="n">
        <v>1</v>
      </c>
      <c r="O327" t="n">
        <v>0.05</v>
      </c>
      <c r="P327" t="n">
        <v>9000</v>
      </c>
      <c r="Q327" t="n">
        <v>89</v>
      </c>
      <c r="R327" t="n">
        <v>1</v>
      </c>
      <c r="S327" t="inlineStr">
        <is>
          <t>2001,2002</t>
        </is>
      </c>
      <c r="T327" t="n">
        <v>12</v>
      </c>
      <c r="U327" t="n">
        <v>0.5</v>
      </c>
      <c r="V327" t="n">
        <v>1000</v>
      </c>
      <c r="W327" t="n">
        <v>3795</v>
      </c>
      <c r="X327" t="n">
        <v>1</v>
      </c>
      <c r="Y327" t="n">
        <v>2006</v>
      </c>
      <c r="Z327" t="n">
        <v>1</v>
      </c>
      <c r="AA327" t="n">
        <v>0.03</v>
      </c>
    </row>
    <row r="328">
      <c r="A328" t="n">
        <v>1326</v>
      </c>
      <c r="B328" t="inlineStr">
        <is>
          <t>40049,40054,40077,40078</t>
        </is>
      </c>
      <c r="C328" t="n">
        <v>150</v>
      </c>
      <c r="D3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8" t="n">
        <v>1</v>
      </c>
      <c r="F328" t="n">
        <v>0.107</v>
      </c>
      <c r="G328" t="n">
        <v>8001</v>
      </c>
      <c r="H328" t="n">
        <v>245</v>
      </c>
      <c r="I328" t="n">
        <v>1</v>
      </c>
      <c r="J328" t="n">
        <v>8000</v>
      </c>
      <c r="K328" t="n">
        <v>365</v>
      </c>
      <c r="L328" t="n">
        <v>1</v>
      </c>
      <c r="M328" t="n">
        <v>2007</v>
      </c>
      <c r="N328" t="n">
        <v>1</v>
      </c>
      <c r="O328" t="n">
        <v>0.05</v>
      </c>
      <c r="P328" t="n">
        <v>9000</v>
      </c>
      <c r="Q328" t="n">
        <v>89</v>
      </c>
      <c r="R328" t="n">
        <v>1</v>
      </c>
      <c r="S328" t="inlineStr">
        <is>
          <t>2001,2002</t>
        </is>
      </c>
      <c r="T328" t="n">
        <v>12</v>
      </c>
      <c r="U328" t="n">
        <v>0.5</v>
      </c>
      <c r="V328" t="n">
        <v>1000</v>
      </c>
      <c r="W328" t="n">
        <v>3810</v>
      </c>
      <c r="X328" t="n">
        <v>1</v>
      </c>
      <c r="Y328" t="n">
        <v>2006</v>
      </c>
      <c r="Z328" t="n">
        <v>1</v>
      </c>
      <c r="AA328" t="n">
        <v>0.03</v>
      </c>
    </row>
    <row r="329">
      <c r="A329" t="n">
        <v>1327</v>
      </c>
      <c r="B329" t="inlineStr">
        <is>
          <t>40077,40054,40049,40078</t>
        </is>
      </c>
      <c r="C329" t="n">
        <v>150</v>
      </c>
      <c r="D3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9" t="n">
        <v>1</v>
      </c>
      <c r="F329" t="n">
        <v>0.107</v>
      </c>
      <c r="G329" t="n">
        <v>8001</v>
      </c>
      <c r="H329" t="n">
        <v>245</v>
      </c>
      <c r="I329" t="n">
        <v>1</v>
      </c>
      <c r="J329" t="n">
        <v>8000</v>
      </c>
      <c r="K329" t="n">
        <v>365</v>
      </c>
      <c r="L329" t="n">
        <v>1</v>
      </c>
      <c r="M329" t="n">
        <v>2007</v>
      </c>
      <c r="N329" t="n">
        <v>1</v>
      </c>
      <c r="O329" t="n">
        <v>0.05</v>
      </c>
      <c r="P329" t="n">
        <v>9000</v>
      </c>
      <c r="Q329" t="n">
        <v>90</v>
      </c>
      <c r="R329" t="n">
        <v>1</v>
      </c>
      <c r="S329" t="inlineStr">
        <is>
          <t>2001,2002</t>
        </is>
      </c>
      <c r="T329" t="n">
        <v>12</v>
      </c>
      <c r="U329" t="n">
        <v>0.5</v>
      </c>
      <c r="V329" t="n">
        <v>1000</v>
      </c>
      <c r="W329" t="n">
        <v>3825</v>
      </c>
      <c r="X329" t="n">
        <v>1</v>
      </c>
      <c r="Y329" t="n">
        <v>2006</v>
      </c>
      <c r="Z329" t="n">
        <v>1</v>
      </c>
      <c r="AA329" t="n">
        <v>0.03</v>
      </c>
    </row>
    <row r="330">
      <c r="A330" t="n">
        <v>1328</v>
      </c>
      <c r="B330" t="inlineStr">
        <is>
          <t>40077,40048,40078,40054</t>
        </is>
      </c>
      <c r="C330" t="n">
        <v>150</v>
      </c>
      <c r="D3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0" t="n">
        <v>1</v>
      </c>
      <c r="F330" t="n">
        <v>0.107</v>
      </c>
      <c r="G330" t="n">
        <v>8001</v>
      </c>
      <c r="H330" t="n">
        <v>245</v>
      </c>
      <c r="I330" t="n">
        <v>1</v>
      </c>
      <c r="J330" t="n">
        <v>8000</v>
      </c>
      <c r="K330" t="n">
        <v>370</v>
      </c>
      <c r="L330" t="n">
        <v>1</v>
      </c>
      <c r="M330" t="n">
        <v>2007</v>
      </c>
      <c r="N330" t="n">
        <v>1</v>
      </c>
      <c r="O330" t="n">
        <v>0.05</v>
      </c>
      <c r="P330" t="n">
        <v>9000</v>
      </c>
      <c r="Q330" t="n">
        <v>90</v>
      </c>
      <c r="R330" t="n">
        <v>1</v>
      </c>
      <c r="S330" t="inlineStr">
        <is>
          <t>2001,2002</t>
        </is>
      </c>
      <c r="T330" t="n">
        <v>12</v>
      </c>
      <c r="U330" t="n">
        <v>0.5</v>
      </c>
      <c r="V330" t="n">
        <v>1000</v>
      </c>
      <c r="W330" t="n">
        <v>3840</v>
      </c>
      <c r="X330" t="n">
        <v>1</v>
      </c>
      <c r="Y330" t="n">
        <v>2006</v>
      </c>
      <c r="Z330" t="n">
        <v>1</v>
      </c>
      <c r="AA330" t="n">
        <v>0.03</v>
      </c>
    </row>
    <row r="331">
      <c r="A331" t="n">
        <v>1329</v>
      </c>
      <c r="B331" t="inlineStr">
        <is>
          <t>40077,40078,40049,40054</t>
        </is>
      </c>
      <c r="C331" t="n">
        <v>150</v>
      </c>
      <c r="D3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1" t="n">
        <v>1</v>
      </c>
      <c r="F331" t="n">
        <v>0.107</v>
      </c>
      <c r="G331" t="n">
        <v>8001</v>
      </c>
      <c r="H331" t="n">
        <v>245</v>
      </c>
      <c r="I331" t="n">
        <v>1</v>
      </c>
      <c r="J331" t="n">
        <v>8000</v>
      </c>
      <c r="K331" t="n">
        <v>370</v>
      </c>
      <c r="L331" t="n">
        <v>1</v>
      </c>
      <c r="M331" t="n">
        <v>2007</v>
      </c>
      <c r="N331" t="n">
        <v>1</v>
      </c>
      <c r="O331" t="n">
        <v>0.05</v>
      </c>
      <c r="P331" t="n">
        <v>9000</v>
      </c>
      <c r="Q331" t="n">
        <v>90</v>
      </c>
      <c r="R331" t="n">
        <v>1</v>
      </c>
      <c r="S331" t="inlineStr">
        <is>
          <t>2001,2002</t>
        </is>
      </c>
      <c r="T331" t="n">
        <v>12</v>
      </c>
      <c r="U331" t="n">
        <v>0.5</v>
      </c>
      <c r="V331" t="n">
        <v>1000</v>
      </c>
      <c r="W331" t="n">
        <v>3850</v>
      </c>
      <c r="X331" t="n">
        <v>1</v>
      </c>
      <c r="Y331" t="n">
        <v>2006</v>
      </c>
      <c r="Z331" t="n">
        <v>1</v>
      </c>
      <c r="AA331" t="n">
        <v>0.03</v>
      </c>
    </row>
    <row r="332">
      <c r="A332" t="n">
        <v>1330</v>
      </c>
      <c r="B332" t="inlineStr">
        <is>
          <t>40077,40078</t>
        </is>
      </c>
      <c r="C332" t="n">
        <v>150</v>
      </c>
      <c r="D3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2" t="n">
        <v>1</v>
      </c>
      <c r="F332" t="n">
        <v>0.108</v>
      </c>
      <c r="G332" t="n">
        <v>8001</v>
      </c>
      <c r="H332" t="n">
        <v>245</v>
      </c>
      <c r="I332" t="n">
        <v>1</v>
      </c>
      <c r="J332" t="n">
        <v>8000</v>
      </c>
      <c r="K332" t="n">
        <v>370</v>
      </c>
      <c r="L332" t="n">
        <v>1</v>
      </c>
      <c r="M332" t="n">
        <v>2007</v>
      </c>
      <c r="N332" t="n">
        <v>1</v>
      </c>
      <c r="O332" t="n">
        <v>0.05</v>
      </c>
      <c r="P332" t="n">
        <v>9000</v>
      </c>
      <c r="Q332" t="n">
        <v>91</v>
      </c>
      <c r="R332" t="n">
        <v>1</v>
      </c>
      <c r="S332" t="inlineStr">
        <is>
          <t>2001,2002</t>
        </is>
      </c>
      <c r="T332" t="n">
        <v>12</v>
      </c>
      <c r="U332" t="n">
        <v>0.5</v>
      </c>
      <c r="V332" t="n">
        <v>1000</v>
      </c>
      <c r="W332" t="n">
        <v>3865</v>
      </c>
      <c r="X332" t="n">
        <v>1</v>
      </c>
      <c r="Y332" t="n">
        <v>2006</v>
      </c>
      <c r="Z332" t="n">
        <v>1</v>
      </c>
      <c r="AA332" t="n">
        <v>0.03</v>
      </c>
    </row>
    <row r="333">
      <c r="A333" t="n">
        <v>1331</v>
      </c>
      <c r="B333" t="inlineStr">
        <is>
          <t>40078,40049</t>
        </is>
      </c>
      <c r="C333" t="n">
        <v>150</v>
      </c>
      <c r="D3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3" t="n">
        <v>1</v>
      </c>
      <c r="F333" t="n">
        <v>0.108</v>
      </c>
      <c r="G333" t="n">
        <v>8001</v>
      </c>
      <c r="H333" t="n">
        <v>250</v>
      </c>
      <c r="I333" t="n">
        <v>1</v>
      </c>
      <c r="J333" t="n">
        <v>8000</v>
      </c>
      <c r="K333" t="n">
        <v>370</v>
      </c>
      <c r="L333" t="n">
        <v>1</v>
      </c>
      <c r="M333" t="n">
        <v>2007</v>
      </c>
      <c r="N333" t="n">
        <v>1</v>
      </c>
      <c r="O333" t="n">
        <v>0.05</v>
      </c>
      <c r="P333" t="n">
        <v>9000</v>
      </c>
      <c r="Q333" t="n">
        <v>91</v>
      </c>
      <c r="R333" t="n">
        <v>1</v>
      </c>
      <c r="S333" t="inlineStr">
        <is>
          <t>2001,2002</t>
        </is>
      </c>
      <c r="T333" t="n">
        <v>12</v>
      </c>
      <c r="U333" t="n">
        <v>0.5</v>
      </c>
      <c r="V333" t="n">
        <v>1000</v>
      </c>
      <c r="W333" t="n">
        <v>3880</v>
      </c>
      <c r="X333" t="n">
        <v>1</v>
      </c>
      <c r="Y333" t="n">
        <v>2006</v>
      </c>
      <c r="Z333" t="n">
        <v>1</v>
      </c>
      <c r="AA333" t="n">
        <v>0.03</v>
      </c>
    </row>
    <row r="334">
      <c r="A334" t="n">
        <v>1332</v>
      </c>
      <c r="B334" t="inlineStr">
        <is>
          <t>40049,40078,40054</t>
        </is>
      </c>
      <c r="C334" t="n">
        <v>150</v>
      </c>
      <c r="D3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4" t="n">
        <v>1</v>
      </c>
      <c r="F334" t="n">
        <v>0.108</v>
      </c>
      <c r="G334" t="n">
        <v>8001</v>
      </c>
      <c r="H334" t="n">
        <v>250</v>
      </c>
      <c r="I334" t="n">
        <v>1</v>
      </c>
      <c r="J334" t="n">
        <v>8000</v>
      </c>
      <c r="K334" t="n">
        <v>375</v>
      </c>
      <c r="L334" t="n">
        <v>1</v>
      </c>
      <c r="M334" t="n">
        <v>2007</v>
      </c>
      <c r="N334" t="n">
        <v>1</v>
      </c>
      <c r="O334" t="n">
        <v>0.05</v>
      </c>
      <c r="P334" t="n">
        <v>9000</v>
      </c>
      <c r="Q334" t="n">
        <v>91</v>
      </c>
      <c r="R334" t="n">
        <v>1</v>
      </c>
      <c r="S334" t="inlineStr">
        <is>
          <t>2001,2002</t>
        </is>
      </c>
      <c r="T334" t="n">
        <v>12</v>
      </c>
      <c r="U334" t="n">
        <v>0.5</v>
      </c>
      <c r="V334" t="n">
        <v>1000</v>
      </c>
      <c r="W334" t="n">
        <v>3895</v>
      </c>
      <c r="X334" t="n">
        <v>1</v>
      </c>
      <c r="Y334" t="n">
        <v>2006</v>
      </c>
      <c r="Z334" t="n">
        <v>1</v>
      </c>
      <c r="AA334" t="n">
        <v>0.03</v>
      </c>
    </row>
    <row r="335">
      <c r="A335" t="n">
        <v>1333</v>
      </c>
      <c r="B335" t="inlineStr">
        <is>
          <t>40049,40048,40054</t>
        </is>
      </c>
      <c r="C335" t="n">
        <v>150</v>
      </c>
      <c r="D3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5" t="n">
        <v>1</v>
      </c>
      <c r="F335" t="n">
        <v>0.108</v>
      </c>
      <c r="G335" t="n">
        <v>8001</v>
      </c>
      <c r="H335" t="n">
        <v>250</v>
      </c>
      <c r="I335" t="n">
        <v>1</v>
      </c>
      <c r="J335" t="n">
        <v>8000</v>
      </c>
      <c r="K335" t="n">
        <v>375</v>
      </c>
      <c r="L335" t="n">
        <v>1</v>
      </c>
      <c r="M335" t="n">
        <v>2007</v>
      </c>
      <c r="N335" t="n">
        <v>1</v>
      </c>
      <c r="O335" t="n">
        <v>0.05</v>
      </c>
      <c r="P335" t="n">
        <v>9000</v>
      </c>
      <c r="Q335" t="n">
        <v>92</v>
      </c>
      <c r="R335" t="n">
        <v>1</v>
      </c>
      <c r="S335" t="inlineStr">
        <is>
          <t>2001,2002</t>
        </is>
      </c>
      <c r="T335" t="n">
        <v>13</v>
      </c>
      <c r="U335" t="n">
        <v>0.5</v>
      </c>
      <c r="V335" t="n">
        <v>1000</v>
      </c>
      <c r="W335" t="n">
        <v>3905</v>
      </c>
      <c r="X335" t="n">
        <v>1</v>
      </c>
      <c r="Y335" t="n">
        <v>2006</v>
      </c>
      <c r="Z335" t="n">
        <v>1</v>
      </c>
      <c r="AA335" t="n">
        <v>0.03</v>
      </c>
    </row>
    <row r="336">
      <c r="A336" t="n">
        <v>1334</v>
      </c>
      <c r="B336" t="inlineStr">
        <is>
          <t>40049,40078,40048</t>
        </is>
      </c>
      <c r="C336" t="n">
        <v>150</v>
      </c>
      <c r="D3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6" t="n">
        <v>1</v>
      </c>
      <c r="F336" t="n">
        <v>0.109</v>
      </c>
      <c r="G336" t="n">
        <v>8001</v>
      </c>
      <c r="H336" t="n">
        <v>250</v>
      </c>
      <c r="I336" t="n">
        <v>1</v>
      </c>
      <c r="J336" t="n">
        <v>8000</v>
      </c>
      <c r="K336" t="n">
        <v>375</v>
      </c>
      <c r="L336" t="n">
        <v>1</v>
      </c>
      <c r="M336" t="n">
        <v>2007</v>
      </c>
      <c r="N336" t="n">
        <v>1</v>
      </c>
      <c r="O336" t="n">
        <v>0.05</v>
      </c>
      <c r="P336" t="n">
        <v>9000</v>
      </c>
      <c r="Q336" t="n">
        <v>92</v>
      </c>
      <c r="R336" t="n">
        <v>1</v>
      </c>
      <c r="S336" t="inlineStr">
        <is>
          <t>2001,2002</t>
        </is>
      </c>
      <c r="T336" t="n">
        <v>13</v>
      </c>
      <c r="U336" t="n">
        <v>0.5</v>
      </c>
      <c r="V336" t="n">
        <v>1000</v>
      </c>
      <c r="W336" t="n">
        <v>3920</v>
      </c>
      <c r="X336" t="n">
        <v>1</v>
      </c>
      <c r="Y336" t="n">
        <v>2006</v>
      </c>
      <c r="Z336" t="n">
        <v>1</v>
      </c>
      <c r="AA336" t="n">
        <v>0.03</v>
      </c>
    </row>
    <row r="337">
      <c r="A337" t="n">
        <v>1335</v>
      </c>
      <c r="B337" t="inlineStr">
        <is>
          <t>40048,40054,40049</t>
        </is>
      </c>
      <c r="C337" t="n">
        <v>150</v>
      </c>
      <c r="D3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7" t="n">
        <v>1</v>
      </c>
      <c r="F337" t="n">
        <v>0.109</v>
      </c>
      <c r="G337" t="n">
        <v>8001</v>
      </c>
      <c r="H337" t="n">
        <v>250</v>
      </c>
      <c r="I337" t="n">
        <v>1</v>
      </c>
      <c r="J337" t="n">
        <v>8000</v>
      </c>
      <c r="K337" t="n">
        <v>380</v>
      </c>
      <c r="L337" t="n">
        <v>1</v>
      </c>
      <c r="M337" t="n">
        <v>2007</v>
      </c>
      <c r="N337" t="n">
        <v>1</v>
      </c>
      <c r="O337" t="n">
        <v>0.05</v>
      </c>
      <c r="P337" t="n">
        <v>9000</v>
      </c>
      <c r="Q337" t="n">
        <v>92</v>
      </c>
      <c r="R337" t="n">
        <v>1</v>
      </c>
      <c r="S337" t="inlineStr">
        <is>
          <t>2001,2002</t>
        </is>
      </c>
      <c r="T337" t="n">
        <v>13</v>
      </c>
      <c r="U337" t="n">
        <v>0.5</v>
      </c>
      <c r="V337" t="n">
        <v>1000</v>
      </c>
      <c r="W337" t="n">
        <v>3935</v>
      </c>
      <c r="X337" t="n">
        <v>1</v>
      </c>
      <c r="Y337" t="n">
        <v>2006</v>
      </c>
      <c r="Z337" t="n">
        <v>1</v>
      </c>
      <c r="AA337" t="n">
        <v>0.03</v>
      </c>
    </row>
    <row r="338">
      <c r="A338" t="n">
        <v>1336</v>
      </c>
      <c r="B338" t="inlineStr">
        <is>
          <t>40048,40054,40078</t>
        </is>
      </c>
      <c r="C338" t="n">
        <v>150</v>
      </c>
      <c r="D3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8" t="n">
        <v>1</v>
      </c>
      <c r="F338" t="n">
        <v>0.109</v>
      </c>
      <c r="G338" t="n">
        <v>8001</v>
      </c>
      <c r="H338" t="n">
        <v>255</v>
      </c>
      <c r="I338" t="n">
        <v>1</v>
      </c>
      <c r="J338" t="n">
        <v>8000</v>
      </c>
      <c r="K338" t="n">
        <v>380</v>
      </c>
      <c r="L338" t="n">
        <v>1</v>
      </c>
      <c r="M338" t="n">
        <v>2007</v>
      </c>
      <c r="N338" t="n">
        <v>1</v>
      </c>
      <c r="O338" t="n">
        <v>0.05</v>
      </c>
      <c r="P338" t="n">
        <v>9000</v>
      </c>
      <c r="Q338" t="n">
        <v>93</v>
      </c>
      <c r="R338" t="n">
        <v>1</v>
      </c>
      <c r="S338" t="inlineStr">
        <is>
          <t>2001,2002</t>
        </is>
      </c>
      <c r="T338" t="n">
        <v>13</v>
      </c>
      <c r="U338" t="n">
        <v>0.5</v>
      </c>
      <c r="V338" t="n">
        <v>1000</v>
      </c>
      <c r="W338" t="n">
        <v>3950</v>
      </c>
      <c r="X338" t="n">
        <v>1</v>
      </c>
      <c r="Y338" t="n">
        <v>2006</v>
      </c>
      <c r="Z338" t="n">
        <v>1</v>
      </c>
      <c r="AA338" t="n">
        <v>0.03</v>
      </c>
    </row>
    <row r="339">
      <c r="A339" t="n">
        <v>1337</v>
      </c>
      <c r="B339" t="inlineStr">
        <is>
          <t>40078,40048</t>
        </is>
      </c>
      <c r="C339" t="n">
        <v>150</v>
      </c>
      <c r="D3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9" t="n">
        <v>1</v>
      </c>
      <c r="F339" t="n">
        <v>0.109</v>
      </c>
      <c r="G339" t="n">
        <v>8001</v>
      </c>
      <c r="H339" t="n">
        <v>255</v>
      </c>
      <c r="I339" t="n">
        <v>1</v>
      </c>
      <c r="J339" t="n">
        <v>8000</v>
      </c>
      <c r="K339" t="n">
        <v>380</v>
      </c>
      <c r="L339" t="n">
        <v>1</v>
      </c>
      <c r="M339" t="n">
        <v>2007</v>
      </c>
      <c r="N339" t="n">
        <v>1</v>
      </c>
      <c r="O339" t="n">
        <v>0.05</v>
      </c>
      <c r="P339" t="n">
        <v>9000</v>
      </c>
      <c r="Q339" t="n">
        <v>93</v>
      </c>
      <c r="R339" t="n">
        <v>1</v>
      </c>
      <c r="S339" t="inlineStr">
        <is>
          <t>2001,2002</t>
        </is>
      </c>
      <c r="T339" t="n">
        <v>13</v>
      </c>
      <c r="U339" t="n">
        <v>0.5</v>
      </c>
      <c r="V339" t="n">
        <v>1000</v>
      </c>
      <c r="W339" t="n">
        <v>3965</v>
      </c>
      <c r="X339" t="n">
        <v>1</v>
      </c>
      <c r="Y339" t="n">
        <v>2006</v>
      </c>
      <c r="Z339" t="n">
        <v>1</v>
      </c>
      <c r="AA339" t="n">
        <v>0.03</v>
      </c>
    </row>
    <row r="340">
      <c r="A340" t="n">
        <v>1338</v>
      </c>
      <c r="B340" t="inlineStr">
        <is>
          <t>40077,40078,40048</t>
        </is>
      </c>
      <c r="C340" t="n">
        <v>150</v>
      </c>
      <c r="D3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0" t="n">
        <v>1</v>
      </c>
      <c r="F340" t="n">
        <v>0.11</v>
      </c>
      <c r="G340" t="n">
        <v>8001</v>
      </c>
      <c r="H340" t="n">
        <v>255</v>
      </c>
      <c r="I340" t="n">
        <v>1</v>
      </c>
      <c r="J340" t="n">
        <v>8000</v>
      </c>
      <c r="K340" t="n">
        <v>380</v>
      </c>
      <c r="L340" t="n">
        <v>1</v>
      </c>
      <c r="M340" t="n">
        <v>2007</v>
      </c>
      <c r="N340" t="n">
        <v>1</v>
      </c>
      <c r="O340" t="n">
        <v>0.05</v>
      </c>
      <c r="P340" t="n">
        <v>9000</v>
      </c>
      <c r="Q340" t="n">
        <v>93</v>
      </c>
      <c r="R340" t="n">
        <v>1</v>
      </c>
      <c r="S340" t="inlineStr">
        <is>
          <t>2001,2002</t>
        </is>
      </c>
      <c r="T340" t="n">
        <v>13</v>
      </c>
      <c r="U340" t="n">
        <v>0.5</v>
      </c>
      <c r="V340" t="n">
        <v>1000</v>
      </c>
      <c r="W340" t="n">
        <v>3975</v>
      </c>
      <c r="X340" t="n">
        <v>1</v>
      </c>
      <c r="Y340" t="n">
        <v>2006</v>
      </c>
      <c r="Z340" t="n">
        <v>1</v>
      </c>
      <c r="AA340" t="n">
        <v>0.03</v>
      </c>
    </row>
    <row r="341">
      <c r="A341" t="n">
        <v>1339</v>
      </c>
      <c r="B341" t="inlineStr">
        <is>
          <t>40077,40049,40054</t>
        </is>
      </c>
      <c r="C341" t="n">
        <v>150</v>
      </c>
      <c r="D3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1" t="n">
        <v>1</v>
      </c>
      <c r="F341" t="n">
        <v>0.11</v>
      </c>
      <c r="G341" t="n">
        <v>8001</v>
      </c>
      <c r="H341" t="n">
        <v>255</v>
      </c>
      <c r="I341" t="n">
        <v>1</v>
      </c>
      <c r="J341" t="n">
        <v>8000</v>
      </c>
      <c r="K341" t="n">
        <v>385</v>
      </c>
      <c r="L341" t="n">
        <v>1</v>
      </c>
      <c r="M341" t="n">
        <v>2007</v>
      </c>
      <c r="N341" t="n">
        <v>1</v>
      </c>
      <c r="O341" t="n">
        <v>0.05</v>
      </c>
      <c r="P341" t="n">
        <v>9000</v>
      </c>
      <c r="Q341" t="n">
        <v>94</v>
      </c>
      <c r="R341" t="n">
        <v>1</v>
      </c>
      <c r="S341" t="inlineStr">
        <is>
          <t>2001,2002</t>
        </is>
      </c>
      <c r="T341" t="n">
        <v>13</v>
      </c>
      <c r="U341" t="n">
        <v>0.5</v>
      </c>
      <c r="V341" t="n">
        <v>1000</v>
      </c>
      <c r="W341" t="n">
        <v>3990</v>
      </c>
      <c r="X341" t="n">
        <v>1</v>
      </c>
      <c r="Y341" t="n">
        <v>2006</v>
      </c>
      <c r="Z341" t="n">
        <v>1</v>
      </c>
      <c r="AA341" t="n">
        <v>0.03</v>
      </c>
    </row>
    <row r="342">
      <c r="A342" t="n">
        <v>1340</v>
      </c>
      <c r="B342" t="inlineStr">
        <is>
          <t>40077,40054,40078,40049</t>
        </is>
      </c>
      <c r="C342" t="n">
        <v>150</v>
      </c>
      <c r="D3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2" t="n">
        <v>1</v>
      </c>
      <c r="F342" t="n">
        <v>0.11</v>
      </c>
      <c r="G342" t="n">
        <v>8001</v>
      </c>
      <c r="H342" t="n">
        <v>255</v>
      </c>
      <c r="I342" t="n">
        <v>1</v>
      </c>
      <c r="J342" t="n">
        <v>8000</v>
      </c>
      <c r="K342" t="n">
        <v>385</v>
      </c>
      <c r="L342" t="n">
        <v>1</v>
      </c>
      <c r="M342" t="n">
        <v>2007</v>
      </c>
      <c r="N342" t="n">
        <v>1</v>
      </c>
      <c r="O342" t="n">
        <v>0.05</v>
      </c>
      <c r="P342" t="n">
        <v>9000</v>
      </c>
      <c r="Q342" t="n">
        <v>94</v>
      </c>
      <c r="R342" t="n">
        <v>1</v>
      </c>
      <c r="S342" t="inlineStr">
        <is>
          <t>2001,2002</t>
        </is>
      </c>
      <c r="T342" t="n">
        <v>13</v>
      </c>
      <c r="U342" t="n">
        <v>0.5</v>
      </c>
      <c r="V342" t="n">
        <v>1000</v>
      </c>
      <c r="W342" t="n">
        <v>4005</v>
      </c>
      <c r="X342" t="n">
        <v>1</v>
      </c>
      <c r="Y342" t="n">
        <v>2006</v>
      </c>
      <c r="Z342" t="n">
        <v>1</v>
      </c>
      <c r="AA342" t="n">
        <v>0.03</v>
      </c>
    </row>
    <row r="343">
      <c r="A343" t="n">
        <v>1341</v>
      </c>
      <c r="B343" t="inlineStr">
        <is>
          <t>40077,40049,40078</t>
        </is>
      </c>
      <c r="C343" t="n">
        <v>150</v>
      </c>
      <c r="D3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3" t="n">
        <v>1</v>
      </c>
      <c r="F343" t="n">
        <v>0.11</v>
      </c>
      <c r="G343" t="n">
        <v>8001</v>
      </c>
      <c r="H343" t="n">
        <v>255</v>
      </c>
      <c r="I343" t="n">
        <v>1</v>
      </c>
      <c r="J343" t="n">
        <v>8000</v>
      </c>
      <c r="K343" t="n">
        <v>385</v>
      </c>
      <c r="L343" t="n">
        <v>1</v>
      </c>
      <c r="M343" t="n">
        <v>2007</v>
      </c>
      <c r="N343" t="n">
        <v>1</v>
      </c>
      <c r="O343" t="n">
        <v>0.05</v>
      </c>
      <c r="P343" t="n">
        <v>9000</v>
      </c>
      <c r="Q343" t="n">
        <v>94</v>
      </c>
      <c r="R343" t="n">
        <v>1</v>
      </c>
      <c r="S343" t="inlineStr">
        <is>
          <t>2001,2002</t>
        </is>
      </c>
      <c r="T343" t="n">
        <v>13</v>
      </c>
      <c r="U343" t="n">
        <v>0.5</v>
      </c>
      <c r="V343" t="n">
        <v>1000</v>
      </c>
      <c r="W343" t="n">
        <v>4020</v>
      </c>
      <c r="X343" t="n">
        <v>1</v>
      </c>
      <c r="Y343" t="n">
        <v>2006</v>
      </c>
      <c r="Z343" t="n">
        <v>1</v>
      </c>
      <c r="AA343" t="n">
        <v>0.03</v>
      </c>
    </row>
    <row r="344">
      <c r="A344" t="n">
        <v>1342</v>
      </c>
      <c r="B344" t="inlineStr">
        <is>
          <t>40077,40049,40048</t>
        </is>
      </c>
      <c r="C344" t="n">
        <v>150</v>
      </c>
      <c r="D3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4" t="n">
        <v>1</v>
      </c>
      <c r="F344" t="n">
        <v>0.111</v>
      </c>
      <c r="G344" t="n">
        <v>8001</v>
      </c>
      <c r="H344" t="n">
        <v>260</v>
      </c>
      <c r="I344" t="n">
        <v>1</v>
      </c>
      <c r="J344" t="n">
        <v>8000</v>
      </c>
      <c r="K344" t="n">
        <v>385</v>
      </c>
      <c r="L344" t="n">
        <v>1</v>
      </c>
      <c r="M344" t="n">
        <v>2007</v>
      </c>
      <c r="N344" t="n">
        <v>1</v>
      </c>
      <c r="O344" t="n">
        <v>0.05</v>
      </c>
      <c r="P344" t="n">
        <v>9000</v>
      </c>
      <c r="Q344" t="n">
        <v>95</v>
      </c>
      <c r="R344" t="n">
        <v>1</v>
      </c>
      <c r="S344" t="inlineStr">
        <is>
          <t>2001,2002</t>
        </is>
      </c>
      <c r="T344" t="n">
        <v>13</v>
      </c>
      <c r="U344" t="n">
        <v>0.5</v>
      </c>
      <c r="V344" t="n">
        <v>1000</v>
      </c>
      <c r="W344" t="n">
        <v>4030</v>
      </c>
      <c r="X344" t="n">
        <v>1</v>
      </c>
      <c r="Y344" t="n">
        <v>2006</v>
      </c>
      <c r="Z344" t="n">
        <v>1</v>
      </c>
      <c r="AA344" t="n">
        <v>0.03</v>
      </c>
    </row>
    <row r="345">
      <c r="A345" t="n">
        <v>1343</v>
      </c>
      <c r="B345" t="inlineStr">
        <is>
          <t>40077,40049,40048,40078</t>
        </is>
      </c>
      <c r="C345" t="n">
        <v>150</v>
      </c>
      <c r="D3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5" t="n">
        <v>1</v>
      </c>
      <c r="F345" t="n">
        <v>0.111</v>
      </c>
      <c r="G345" t="n">
        <v>8001</v>
      </c>
      <c r="H345" t="n">
        <v>260</v>
      </c>
      <c r="I345" t="n">
        <v>1</v>
      </c>
      <c r="J345" t="n">
        <v>8000</v>
      </c>
      <c r="K345" t="n">
        <v>390</v>
      </c>
      <c r="L345" t="n">
        <v>1</v>
      </c>
      <c r="M345" t="n">
        <v>2007</v>
      </c>
      <c r="N345" t="n">
        <v>1</v>
      </c>
      <c r="O345" t="n">
        <v>0.05</v>
      </c>
      <c r="P345" t="n">
        <v>9000</v>
      </c>
      <c r="Q345" t="n">
        <v>95</v>
      </c>
      <c r="R345" t="n">
        <v>1</v>
      </c>
      <c r="S345" t="inlineStr">
        <is>
          <t>2001,2002</t>
        </is>
      </c>
      <c r="T345" t="n">
        <v>13</v>
      </c>
      <c r="U345" t="n">
        <v>0.5</v>
      </c>
      <c r="V345" t="n">
        <v>1000</v>
      </c>
      <c r="W345" t="n">
        <v>4045</v>
      </c>
      <c r="X345" t="n">
        <v>1</v>
      </c>
      <c r="Y345" t="n">
        <v>2006</v>
      </c>
      <c r="Z345" t="n">
        <v>1</v>
      </c>
      <c r="AA345" t="n">
        <v>0.03</v>
      </c>
    </row>
    <row r="346">
      <c r="A346" t="n">
        <v>1344</v>
      </c>
      <c r="B346" t="inlineStr">
        <is>
          <t>40077,40049,40078,40048</t>
        </is>
      </c>
      <c r="C346" t="n">
        <v>150</v>
      </c>
      <c r="D3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6" t="n">
        <v>1</v>
      </c>
      <c r="F346" t="n">
        <v>0.111</v>
      </c>
      <c r="G346" t="n">
        <v>8001</v>
      </c>
      <c r="H346" t="n">
        <v>260</v>
      </c>
      <c r="I346" t="n">
        <v>1</v>
      </c>
      <c r="J346" t="n">
        <v>8000</v>
      </c>
      <c r="K346" t="n">
        <v>390</v>
      </c>
      <c r="L346" t="n">
        <v>1</v>
      </c>
      <c r="M346" t="n">
        <v>2007</v>
      </c>
      <c r="N346" t="n">
        <v>1</v>
      </c>
      <c r="O346" t="n">
        <v>0.05</v>
      </c>
      <c r="P346" t="n">
        <v>9000</v>
      </c>
      <c r="Q346" t="n">
        <v>95</v>
      </c>
      <c r="R346" t="n">
        <v>1</v>
      </c>
      <c r="S346" t="inlineStr">
        <is>
          <t>2001,2002</t>
        </is>
      </c>
      <c r="T346" t="n">
        <v>13</v>
      </c>
      <c r="U346" t="n">
        <v>0.5</v>
      </c>
      <c r="V346" t="n">
        <v>1000</v>
      </c>
      <c r="W346" t="n">
        <v>4060</v>
      </c>
      <c r="X346" t="n">
        <v>1</v>
      </c>
      <c r="Y346" t="n">
        <v>2006</v>
      </c>
      <c r="Z346" t="n">
        <v>1</v>
      </c>
      <c r="AA346" t="n">
        <v>0.03</v>
      </c>
    </row>
    <row r="347">
      <c r="A347" t="n">
        <v>1345</v>
      </c>
      <c r="B347" t="inlineStr">
        <is>
          <t>40078,40048,40077</t>
        </is>
      </c>
      <c r="C347" t="n">
        <v>150</v>
      </c>
      <c r="D3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7" t="n">
        <v>1</v>
      </c>
      <c r="F347" t="n">
        <v>0.111</v>
      </c>
      <c r="G347" t="n">
        <v>8001</v>
      </c>
      <c r="H347" t="n">
        <v>260</v>
      </c>
      <c r="I347" t="n">
        <v>1</v>
      </c>
      <c r="J347" t="n">
        <v>8000</v>
      </c>
      <c r="K347" t="n">
        <v>390</v>
      </c>
      <c r="L347" t="n">
        <v>1</v>
      </c>
      <c r="M347" t="n">
        <v>2007</v>
      </c>
      <c r="N347" t="n">
        <v>1</v>
      </c>
      <c r="O347" t="n">
        <v>0.05</v>
      </c>
      <c r="P347" t="n">
        <v>9000</v>
      </c>
      <c r="Q347" t="n">
        <v>96</v>
      </c>
      <c r="R347" t="n">
        <v>1</v>
      </c>
      <c r="S347" t="inlineStr">
        <is>
          <t>2001,2002</t>
        </is>
      </c>
      <c r="T347" t="n">
        <v>13</v>
      </c>
      <c r="U347" t="n">
        <v>0.5</v>
      </c>
      <c r="V347" t="n">
        <v>1000</v>
      </c>
      <c r="W347" t="n">
        <v>4075</v>
      </c>
      <c r="X347" t="n">
        <v>1</v>
      </c>
      <c r="Y347" t="n">
        <v>2006</v>
      </c>
      <c r="Z347" t="n">
        <v>1</v>
      </c>
      <c r="AA347" t="n">
        <v>0.03</v>
      </c>
    </row>
    <row r="348">
      <c r="A348" t="n">
        <v>1346</v>
      </c>
      <c r="B348" t="inlineStr">
        <is>
          <t>40054,40049,40078</t>
        </is>
      </c>
      <c r="C348" t="n">
        <v>150</v>
      </c>
      <c r="D3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8" t="n">
        <v>1</v>
      </c>
      <c r="F348" t="n">
        <v>0.112</v>
      </c>
      <c r="G348" t="n">
        <v>8001</v>
      </c>
      <c r="H348" t="n">
        <v>260</v>
      </c>
      <c r="I348" t="n">
        <v>1</v>
      </c>
      <c r="J348" t="n">
        <v>8000</v>
      </c>
      <c r="K348" t="n">
        <v>390</v>
      </c>
      <c r="L348" t="n">
        <v>1</v>
      </c>
      <c r="M348" t="n">
        <v>2007</v>
      </c>
      <c r="N348" t="n">
        <v>1</v>
      </c>
      <c r="O348" t="n">
        <v>0.05</v>
      </c>
      <c r="P348" t="n">
        <v>9000</v>
      </c>
      <c r="Q348" t="n">
        <v>96</v>
      </c>
      <c r="R348" t="n">
        <v>1</v>
      </c>
      <c r="S348" t="inlineStr">
        <is>
          <t>2001,2002</t>
        </is>
      </c>
      <c r="T348" t="n">
        <v>13</v>
      </c>
      <c r="U348" t="n">
        <v>0.5</v>
      </c>
      <c r="V348" t="n">
        <v>1000</v>
      </c>
      <c r="W348" t="n">
        <v>4085</v>
      </c>
      <c r="X348" t="n">
        <v>1</v>
      </c>
      <c r="Y348" t="n">
        <v>2006</v>
      </c>
      <c r="Z348" t="n">
        <v>1</v>
      </c>
      <c r="AA348" t="n">
        <v>0.03</v>
      </c>
    </row>
    <row r="349">
      <c r="A349" t="n">
        <v>1347</v>
      </c>
      <c r="B349" t="inlineStr">
        <is>
          <t>40048,40054,40077,40049</t>
        </is>
      </c>
      <c r="C349" t="n">
        <v>150</v>
      </c>
      <c r="D3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9" t="n">
        <v>1</v>
      </c>
      <c r="F349" t="n">
        <v>0.112</v>
      </c>
      <c r="G349" t="n">
        <v>8001</v>
      </c>
      <c r="H349" t="n">
        <v>260</v>
      </c>
      <c r="I349" t="n">
        <v>1</v>
      </c>
      <c r="J349" t="n">
        <v>8000</v>
      </c>
      <c r="K349" t="n">
        <v>395</v>
      </c>
      <c r="L349" t="n">
        <v>1</v>
      </c>
      <c r="M349" t="n">
        <v>2007</v>
      </c>
      <c r="N349" t="n">
        <v>1</v>
      </c>
      <c r="O349" t="n">
        <v>0.05</v>
      </c>
      <c r="P349" t="n">
        <v>9000</v>
      </c>
      <c r="Q349" t="n">
        <v>97</v>
      </c>
      <c r="R349" t="n">
        <v>1</v>
      </c>
      <c r="S349" t="inlineStr">
        <is>
          <t>2001,2002</t>
        </is>
      </c>
      <c r="T349" t="n">
        <v>13</v>
      </c>
      <c r="U349" t="n">
        <v>0.5</v>
      </c>
      <c r="V349" t="n">
        <v>1000</v>
      </c>
      <c r="W349" t="n">
        <v>4100</v>
      </c>
      <c r="X349" t="n">
        <v>1</v>
      </c>
      <c r="Y349" t="n">
        <v>2006</v>
      </c>
      <c r="Z349" t="n">
        <v>1</v>
      </c>
      <c r="AA349" t="n">
        <v>0.03</v>
      </c>
    </row>
    <row r="350">
      <c r="A350" t="n">
        <v>1348</v>
      </c>
      <c r="B350" t="inlineStr">
        <is>
          <t>40048,40077,40054</t>
        </is>
      </c>
      <c r="C350" t="n">
        <v>150</v>
      </c>
      <c r="D3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0" t="n">
        <v>1</v>
      </c>
      <c r="F350" t="n">
        <v>0.112</v>
      </c>
      <c r="G350" t="n">
        <v>8001</v>
      </c>
      <c r="H350" t="n">
        <v>265</v>
      </c>
      <c r="I350" t="n">
        <v>1</v>
      </c>
      <c r="J350" t="n">
        <v>8000</v>
      </c>
      <c r="K350" t="n">
        <v>395</v>
      </c>
      <c r="L350" t="n">
        <v>1</v>
      </c>
      <c r="M350" t="n">
        <v>2007</v>
      </c>
      <c r="N350" t="n">
        <v>1</v>
      </c>
      <c r="O350" t="n">
        <v>0.05</v>
      </c>
      <c r="P350" t="n">
        <v>9000</v>
      </c>
      <c r="Q350" t="n">
        <v>97</v>
      </c>
      <c r="R350" t="n">
        <v>1</v>
      </c>
      <c r="S350" t="inlineStr">
        <is>
          <t>2001,2002</t>
        </is>
      </c>
      <c r="T350" t="n">
        <v>13</v>
      </c>
      <c r="U350" t="n">
        <v>0.5</v>
      </c>
      <c r="V350" t="n">
        <v>1000</v>
      </c>
      <c r="W350" t="n">
        <v>4115</v>
      </c>
      <c r="X350" t="n">
        <v>1</v>
      </c>
      <c r="Y350" t="n">
        <v>2006</v>
      </c>
      <c r="Z350" t="n">
        <v>1</v>
      </c>
      <c r="AA350" t="n">
        <v>0.03</v>
      </c>
    </row>
    <row r="351">
      <c r="A351" t="n">
        <v>1349</v>
      </c>
      <c r="B351" t="inlineStr">
        <is>
          <t>50011,40048,40054,40077,40078</t>
        </is>
      </c>
      <c r="C351" t="n">
        <v>150</v>
      </c>
      <c r="D3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1" t="n">
        <v>1</v>
      </c>
      <c r="F351" t="n">
        <v>0.112</v>
      </c>
      <c r="G351" t="n">
        <v>8001</v>
      </c>
      <c r="H351" t="n">
        <v>265</v>
      </c>
      <c r="I351" t="n">
        <v>1</v>
      </c>
      <c r="J351" t="n">
        <v>8000</v>
      </c>
      <c r="K351" t="n">
        <v>395</v>
      </c>
      <c r="L351" t="n">
        <v>1</v>
      </c>
      <c r="M351" t="n">
        <v>2007</v>
      </c>
      <c r="N351" t="n">
        <v>1</v>
      </c>
      <c r="O351" t="n">
        <v>0.05</v>
      </c>
      <c r="P351" t="n">
        <v>9000</v>
      </c>
      <c r="Q351" t="n">
        <v>97</v>
      </c>
      <c r="R351" t="n">
        <v>1</v>
      </c>
      <c r="S351" t="inlineStr">
        <is>
          <t>2001,2002</t>
        </is>
      </c>
      <c r="T351" t="n">
        <v>13</v>
      </c>
      <c r="U351" t="n">
        <v>0.5</v>
      </c>
      <c r="V351" t="n">
        <v>1000</v>
      </c>
      <c r="W351" t="n">
        <v>4130</v>
      </c>
      <c r="X351" t="n">
        <v>1</v>
      </c>
      <c r="Y351" t="n">
        <v>2006</v>
      </c>
      <c r="Z351" t="n">
        <v>1</v>
      </c>
      <c r="AA351" t="n">
        <v>0.03</v>
      </c>
    </row>
    <row r="352">
      <c r="A352" t="n">
        <v>1350</v>
      </c>
      <c r="B352" t="inlineStr">
        <is>
          <t>40080</t>
        </is>
      </c>
      <c r="C352" t="n">
        <v>150</v>
      </c>
      <c r="D3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2" t="n">
        <v>1</v>
      </c>
      <c r="F352" t="n">
        <v>0.113</v>
      </c>
      <c r="G352" t="n">
        <v>8001</v>
      </c>
      <c r="H352" t="n">
        <v>265</v>
      </c>
      <c r="I352" t="n">
        <v>1</v>
      </c>
      <c r="J352" t="n">
        <v>8000</v>
      </c>
      <c r="K352" t="n">
        <v>400</v>
      </c>
      <c r="L352" t="n">
        <v>1</v>
      </c>
      <c r="M352" t="n">
        <v>2007</v>
      </c>
      <c r="N352" t="n">
        <v>1</v>
      </c>
      <c r="O352" t="n">
        <v>0.05</v>
      </c>
      <c r="P352" t="n">
        <v>9000</v>
      </c>
      <c r="Q352" t="n">
        <v>98</v>
      </c>
      <c r="R352" t="n">
        <v>1</v>
      </c>
      <c r="S352" t="inlineStr">
        <is>
          <t>2001,2002</t>
        </is>
      </c>
      <c r="T352" t="n">
        <v>13</v>
      </c>
      <c r="U352" t="n">
        <v>0.5</v>
      </c>
      <c r="V352" t="n">
        <v>1000</v>
      </c>
      <c r="W352" t="n">
        <v>4140</v>
      </c>
      <c r="X352" t="n">
        <v>1</v>
      </c>
      <c r="Y352" t="n">
        <v>2006</v>
      </c>
      <c r="Z352" t="n">
        <v>1</v>
      </c>
      <c r="AA352" t="n">
        <v>0.03</v>
      </c>
    </row>
    <row r="353">
      <c r="A353" t="n">
        <v>1351</v>
      </c>
      <c r="B353" t="inlineStr">
        <is>
          <t>40079,40065</t>
        </is>
      </c>
      <c r="C353" t="n">
        <v>150</v>
      </c>
      <c r="D3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3" t="n">
        <v>1</v>
      </c>
      <c r="F353" t="n">
        <v>0.113</v>
      </c>
      <c r="G353" t="n">
        <v>8001</v>
      </c>
      <c r="H353" t="n">
        <v>265</v>
      </c>
      <c r="I353" t="n">
        <v>1</v>
      </c>
      <c r="J353" t="n">
        <v>8000</v>
      </c>
      <c r="K353" t="n">
        <v>400</v>
      </c>
      <c r="L353" t="n">
        <v>1</v>
      </c>
      <c r="M353" t="n">
        <v>2007</v>
      </c>
      <c r="N353" t="n">
        <v>1</v>
      </c>
      <c r="O353" t="n">
        <v>0.05</v>
      </c>
      <c r="P353" t="n">
        <v>9000</v>
      </c>
      <c r="Q353" t="n">
        <v>98</v>
      </c>
      <c r="R353" t="n">
        <v>1</v>
      </c>
      <c r="S353" t="inlineStr">
        <is>
          <t>2001,2002</t>
        </is>
      </c>
      <c r="T353" t="n">
        <v>13</v>
      </c>
      <c r="U353" t="n">
        <v>0.5</v>
      </c>
      <c r="V353" t="n">
        <v>1000</v>
      </c>
      <c r="W353" t="n">
        <v>4155</v>
      </c>
      <c r="X353" t="n">
        <v>1</v>
      </c>
      <c r="Y353" t="n">
        <v>2006</v>
      </c>
      <c r="Z353" t="n">
        <v>1</v>
      </c>
      <c r="AA353" t="n">
        <v>0.03</v>
      </c>
    </row>
    <row r="354">
      <c r="A354" t="n">
        <v>1352</v>
      </c>
      <c r="B354" t="inlineStr">
        <is>
          <t>40081,40080</t>
        </is>
      </c>
      <c r="C354" t="n">
        <v>150</v>
      </c>
      <c r="D3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4" t="n">
        <v>1</v>
      </c>
      <c r="F354" t="n">
        <v>0.113</v>
      </c>
      <c r="G354" t="n">
        <v>8001</v>
      </c>
      <c r="H354" t="n">
        <v>265</v>
      </c>
      <c r="I354" t="n">
        <v>1</v>
      </c>
      <c r="J354" t="n">
        <v>8000</v>
      </c>
      <c r="K354" t="n">
        <v>400</v>
      </c>
      <c r="L354" t="n">
        <v>1</v>
      </c>
      <c r="M354" t="n">
        <v>2007</v>
      </c>
      <c r="N354" t="n">
        <v>1</v>
      </c>
      <c r="O354" t="n">
        <v>0.05</v>
      </c>
      <c r="P354" t="n">
        <v>9000</v>
      </c>
      <c r="Q354" t="n">
        <v>98</v>
      </c>
      <c r="R354" t="n">
        <v>1</v>
      </c>
      <c r="S354" t="inlineStr">
        <is>
          <t>2001,2002</t>
        </is>
      </c>
      <c r="T354" t="n">
        <v>13</v>
      </c>
      <c r="U354" t="n">
        <v>0.5</v>
      </c>
      <c r="V354" t="n">
        <v>1000</v>
      </c>
      <c r="W354" t="n">
        <v>4170</v>
      </c>
      <c r="X354" t="n">
        <v>1</v>
      </c>
      <c r="Y354" t="n">
        <v>2006</v>
      </c>
      <c r="Z354" t="n">
        <v>1</v>
      </c>
      <c r="AA354" t="n">
        <v>0.03</v>
      </c>
    </row>
    <row r="355">
      <c r="A355" t="n">
        <v>1353</v>
      </c>
      <c r="B355" t="inlineStr">
        <is>
          <t>40065,40080</t>
        </is>
      </c>
      <c r="C355" t="n">
        <v>150</v>
      </c>
      <c r="D3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5" t="n">
        <v>1</v>
      </c>
      <c r="F355" t="n">
        <v>0.113</v>
      </c>
      <c r="G355" t="n">
        <v>8001</v>
      </c>
      <c r="H355" t="n">
        <v>270</v>
      </c>
      <c r="I355" t="n">
        <v>1</v>
      </c>
      <c r="J355" t="n">
        <v>8000</v>
      </c>
      <c r="K355" t="n">
        <v>400</v>
      </c>
      <c r="L355" t="n">
        <v>1</v>
      </c>
      <c r="M355" t="n">
        <v>2007</v>
      </c>
      <c r="N355" t="n">
        <v>1</v>
      </c>
      <c r="O355" t="n">
        <v>0.05</v>
      </c>
      <c r="P355" t="n">
        <v>9000</v>
      </c>
      <c r="Q355" t="n">
        <v>99</v>
      </c>
      <c r="R355" t="n">
        <v>1</v>
      </c>
      <c r="S355" t="inlineStr">
        <is>
          <t>2001,2002</t>
        </is>
      </c>
      <c r="T355" t="n">
        <v>13</v>
      </c>
      <c r="U355" t="n">
        <v>0.5</v>
      </c>
      <c r="V355" t="n">
        <v>1000</v>
      </c>
      <c r="W355" t="n">
        <v>4185</v>
      </c>
      <c r="X355" t="n">
        <v>1</v>
      </c>
      <c r="Y355" t="n">
        <v>2006</v>
      </c>
      <c r="Z355" t="n">
        <v>1</v>
      </c>
      <c r="AA355" t="n">
        <v>0.03</v>
      </c>
    </row>
    <row r="356">
      <c r="A356" t="n">
        <v>1354</v>
      </c>
      <c r="B356" t="inlineStr">
        <is>
          <t>40080</t>
        </is>
      </c>
      <c r="C356" t="n">
        <v>150</v>
      </c>
      <c r="D3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6" t="n">
        <v>1</v>
      </c>
      <c r="F356" t="n">
        <v>0.113</v>
      </c>
      <c r="G356" t="n">
        <v>8001</v>
      </c>
      <c r="H356" t="n">
        <v>270</v>
      </c>
      <c r="I356" t="n">
        <v>1</v>
      </c>
      <c r="J356" t="n">
        <v>8000</v>
      </c>
      <c r="K356" t="n">
        <v>405</v>
      </c>
      <c r="L356" t="n">
        <v>1</v>
      </c>
      <c r="M356" t="n">
        <v>2007</v>
      </c>
      <c r="N356" t="n">
        <v>1</v>
      </c>
      <c r="O356" t="n">
        <v>0.05</v>
      </c>
      <c r="P356" t="n">
        <v>9000</v>
      </c>
      <c r="Q356" t="n">
        <v>99</v>
      </c>
      <c r="R356" t="n">
        <v>1</v>
      </c>
      <c r="S356" t="inlineStr">
        <is>
          <t>2001,2002</t>
        </is>
      </c>
      <c r="T356" t="n">
        <v>13</v>
      </c>
      <c r="U356" t="n">
        <v>0.5</v>
      </c>
      <c r="V356" t="n">
        <v>1000</v>
      </c>
      <c r="W356" t="n">
        <v>4195</v>
      </c>
      <c r="X356" t="n">
        <v>1</v>
      </c>
      <c r="Y356" t="n">
        <v>2006</v>
      </c>
      <c r="Z356" t="n">
        <v>1</v>
      </c>
      <c r="AA356" t="n">
        <v>0.03</v>
      </c>
    </row>
    <row r="357">
      <c r="A357" t="n">
        <v>1355</v>
      </c>
      <c r="B357" t="inlineStr">
        <is>
          <t>40079,40080</t>
        </is>
      </c>
      <c r="C357" t="n">
        <v>150</v>
      </c>
      <c r="D3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7" t="n">
        <v>1</v>
      </c>
      <c r="F357" t="n">
        <v>0.114</v>
      </c>
      <c r="G357" t="n">
        <v>8001</v>
      </c>
      <c r="H357" t="n">
        <v>270</v>
      </c>
      <c r="I357" t="n">
        <v>1</v>
      </c>
      <c r="J357" t="n">
        <v>8000</v>
      </c>
      <c r="K357" t="n">
        <v>405</v>
      </c>
      <c r="L357" t="n">
        <v>1</v>
      </c>
      <c r="M357" t="n">
        <v>2007</v>
      </c>
      <c r="N357" t="n">
        <v>1</v>
      </c>
      <c r="O357" t="n">
        <v>0.05</v>
      </c>
      <c r="P357" t="n">
        <v>9000</v>
      </c>
      <c r="Q357" t="n">
        <v>99</v>
      </c>
      <c r="R357" t="n">
        <v>1</v>
      </c>
      <c r="S357" t="inlineStr">
        <is>
          <t>2001,2002</t>
        </is>
      </c>
      <c r="T357" t="n">
        <v>13</v>
      </c>
      <c r="U357" t="n">
        <v>0.5</v>
      </c>
      <c r="V357" t="n">
        <v>1000</v>
      </c>
      <c r="W357" t="n">
        <v>4210</v>
      </c>
      <c r="X357" t="n">
        <v>1</v>
      </c>
      <c r="Y357" t="n">
        <v>2006</v>
      </c>
      <c r="Z357" t="n">
        <v>1</v>
      </c>
      <c r="AA357" t="n">
        <v>0.03</v>
      </c>
    </row>
    <row r="358">
      <c r="A358" t="n">
        <v>1356</v>
      </c>
      <c r="B358" t="inlineStr">
        <is>
          <t>40079,40080</t>
        </is>
      </c>
      <c r="C358" t="n">
        <v>150</v>
      </c>
      <c r="D3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8" t="n">
        <v>1</v>
      </c>
      <c r="F358" t="n">
        <v>0.114</v>
      </c>
      <c r="G358" t="n">
        <v>8001</v>
      </c>
      <c r="H358" t="n">
        <v>270</v>
      </c>
      <c r="I358" t="n">
        <v>1</v>
      </c>
      <c r="J358" t="n">
        <v>8000</v>
      </c>
      <c r="K358" t="n">
        <v>405</v>
      </c>
      <c r="L358" t="n">
        <v>1</v>
      </c>
      <c r="M358" t="n">
        <v>2007</v>
      </c>
      <c r="N358" t="n">
        <v>1</v>
      </c>
      <c r="O358" t="n">
        <v>0.05</v>
      </c>
      <c r="P358" t="n">
        <v>9000</v>
      </c>
      <c r="Q358" t="n">
        <v>100</v>
      </c>
      <c r="R358" t="n">
        <v>1</v>
      </c>
      <c r="S358" t="inlineStr">
        <is>
          <t>2001,2002</t>
        </is>
      </c>
      <c r="T358" t="n">
        <v>14</v>
      </c>
      <c r="U358" t="n">
        <v>0.5</v>
      </c>
      <c r="V358" t="n">
        <v>1000</v>
      </c>
      <c r="W358" t="n">
        <v>4225</v>
      </c>
      <c r="X358" t="n">
        <v>1</v>
      </c>
      <c r="Y358" t="n">
        <v>2006</v>
      </c>
      <c r="Z358" t="n">
        <v>1</v>
      </c>
      <c r="AA358" t="n">
        <v>0.03</v>
      </c>
    </row>
    <row r="359">
      <c r="A359" t="n">
        <v>1357</v>
      </c>
      <c r="B359" t="inlineStr">
        <is>
          <t>40055,40065</t>
        </is>
      </c>
      <c r="C359" t="n">
        <v>150</v>
      </c>
      <c r="D3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9" t="n">
        <v>1</v>
      </c>
      <c r="F359" t="n">
        <v>0.114</v>
      </c>
      <c r="G359" t="n">
        <v>8001</v>
      </c>
      <c r="H359" t="n">
        <v>270</v>
      </c>
      <c r="I359" t="n">
        <v>1</v>
      </c>
      <c r="J359" t="n">
        <v>8000</v>
      </c>
      <c r="K359" t="n">
        <v>405</v>
      </c>
      <c r="L359" t="n">
        <v>1</v>
      </c>
      <c r="M359" t="n">
        <v>2007</v>
      </c>
      <c r="N359" t="n">
        <v>1</v>
      </c>
      <c r="O359" t="n">
        <v>0.05</v>
      </c>
      <c r="P359" t="n">
        <v>9000</v>
      </c>
      <c r="Q359" t="n">
        <v>100</v>
      </c>
      <c r="R359" t="n">
        <v>1</v>
      </c>
      <c r="S359" t="inlineStr">
        <is>
          <t>2001,2002</t>
        </is>
      </c>
      <c r="T359" t="n">
        <v>14</v>
      </c>
      <c r="U359" t="n">
        <v>0.5</v>
      </c>
      <c r="V359" t="n">
        <v>1000</v>
      </c>
      <c r="W359" t="n">
        <v>4235</v>
      </c>
      <c r="X359" t="n">
        <v>1</v>
      </c>
      <c r="Y359" t="n">
        <v>2006</v>
      </c>
      <c r="Z359" t="n">
        <v>1</v>
      </c>
      <c r="AA359" t="n">
        <v>0.03</v>
      </c>
    </row>
    <row r="360">
      <c r="A360" t="n">
        <v>1358</v>
      </c>
      <c r="B360" t="inlineStr">
        <is>
          <t>40065,40081</t>
        </is>
      </c>
      <c r="C360" t="n">
        <v>150</v>
      </c>
      <c r="D3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0" t="n">
        <v>1</v>
      </c>
      <c r="F360" t="n">
        <v>0.114</v>
      </c>
      <c r="G360" t="n">
        <v>8001</v>
      </c>
      <c r="H360" t="n">
        <v>270</v>
      </c>
      <c r="I360" t="n">
        <v>1</v>
      </c>
      <c r="J360" t="n">
        <v>8000</v>
      </c>
      <c r="K360" t="n">
        <v>410</v>
      </c>
      <c r="L360" t="n">
        <v>1</v>
      </c>
      <c r="M360" t="n">
        <v>2007</v>
      </c>
      <c r="N360" t="n">
        <v>1</v>
      </c>
      <c r="O360" t="n">
        <v>0.05</v>
      </c>
      <c r="P360" t="n">
        <v>9000</v>
      </c>
      <c r="Q360" t="n">
        <v>100</v>
      </c>
      <c r="R360" t="n">
        <v>1</v>
      </c>
      <c r="S360" t="inlineStr">
        <is>
          <t>2001,2002</t>
        </is>
      </c>
      <c r="T360" t="n">
        <v>14</v>
      </c>
      <c r="U360" t="n">
        <v>0.5</v>
      </c>
      <c r="V360" t="n">
        <v>1000</v>
      </c>
      <c r="W360" t="n">
        <v>4250</v>
      </c>
      <c r="X360" t="n">
        <v>1</v>
      </c>
      <c r="Y360" t="n">
        <v>2006</v>
      </c>
      <c r="Z360" t="n">
        <v>1</v>
      </c>
      <c r="AA360" t="n">
        <v>0.03</v>
      </c>
    </row>
    <row r="361">
      <c r="A361" t="n">
        <v>1359</v>
      </c>
      <c r="B361" t="inlineStr">
        <is>
          <t>40079,40055,40081</t>
        </is>
      </c>
      <c r="C361" t="n">
        <v>150</v>
      </c>
      <c r="D3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1" t="n">
        <v>1</v>
      </c>
      <c r="F361" t="n">
        <v>0.115</v>
      </c>
      <c r="G361" t="n">
        <v>8001</v>
      </c>
      <c r="H361" t="n">
        <v>275</v>
      </c>
      <c r="I361" t="n">
        <v>1</v>
      </c>
      <c r="J361" t="n">
        <v>8000</v>
      </c>
      <c r="K361" t="n">
        <v>410</v>
      </c>
      <c r="L361" t="n">
        <v>1</v>
      </c>
      <c r="M361" t="n">
        <v>2007</v>
      </c>
      <c r="N361" t="n">
        <v>1</v>
      </c>
      <c r="O361" t="n">
        <v>0.05</v>
      </c>
      <c r="P361" t="n">
        <v>9000</v>
      </c>
      <c r="Q361" t="n">
        <v>101</v>
      </c>
      <c r="R361" t="n">
        <v>1</v>
      </c>
      <c r="S361" t="inlineStr">
        <is>
          <t>2001,2002</t>
        </is>
      </c>
      <c r="T361" t="n">
        <v>14</v>
      </c>
      <c r="U361" t="n">
        <v>0.5</v>
      </c>
      <c r="V361" t="n">
        <v>1000</v>
      </c>
      <c r="W361" t="n">
        <v>4265</v>
      </c>
      <c r="X361" t="n">
        <v>1</v>
      </c>
      <c r="Y361" t="n">
        <v>2006</v>
      </c>
      <c r="Z361" t="n">
        <v>1</v>
      </c>
      <c r="AA361" t="n">
        <v>0.03</v>
      </c>
    </row>
    <row r="362">
      <c r="A362" t="n">
        <v>1360</v>
      </c>
      <c r="B362" t="inlineStr">
        <is>
          <t>40079,40055</t>
        </is>
      </c>
      <c r="C362" t="n">
        <v>150</v>
      </c>
      <c r="D3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2" t="n">
        <v>1</v>
      </c>
      <c r="F362" t="n">
        <v>0.115</v>
      </c>
      <c r="G362" t="n">
        <v>8001</v>
      </c>
      <c r="H362" t="n">
        <v>275</v>
      </c>
      <c r="I362" t="n">
        <v>1</v>
      </c>
      <c r="J362" t="n">
        <v>8000</v>
      </c>
      <c r="K362" t="n">
        <v>410</v>
      </c>
      <c r="L362" t="n">
        <v>1</v>
      </c>
      <c r="M362" t="n">
        <v>2007</v>
      </c>
      <c r="N362" t="n">
        <v>1</v>
      </c>
      <c r="O362" t="n">
        <v>0.05</v>
      </c>
      <c r="P362" t="n">
        <v>9000</v>
      </c>
      <c r="Q362" t="n">
        <v>101</v>
      </c>
      <c r="R362" t="n">
        <v>1</v>
      </c>
      <c r="S362" t="inlineStr">
        <is>
          <t>2001,2002</t>
        </is>
      </c>
      <c r="T362" t="n">
        <v>14</v>
      </c>
      <c r="U362" t="n">
        <v>0.5</v>
      </c>
      <c r="V362" t="n">
        <v>1000</v>
      </c>
      <c r="W362" t="n">
        <v>4280</v>
      </c>
      <c r="X362" t="n">
        <v>1</v>
      </c>
      <c r="Y362" t="n">
        <v>2006</v>
      </c>
      <c r="Z362" t="n">
        <v>1</v>
      </c>
      <c r="AA362" t="n">
        <v>0.03</v>
      </c>
    </row>
    <row r="363">
      <c r="A363" t="n">
        <v>1361</v>
      </c>
      <c r="B363" t="inlineStr">
        <is>
          <t>40081,40080,40065</t>
        </is>
      </c>
      <c r="C363" t="n">
        <v>150</v>
      </c>
      <c r="D3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3" t="n">
        <v>1</v>
      </c>
      <c r="F363" t="n">
        <v>0.115</v>
      </c>
      <c r="G363" t="n">
        <v>8001</v>
      </c>
      <c r="H363" t="n">
        <v>275</v>
      </c>
      <c r="I363" t="n">
        <v>1</v>
      </c>
      <c r="J363" t="n">
        <v>8000</v>
      </c>
      <c r="K363" t="n">
        <v>410</v>
      </c>
      <c r="L363" t="n">
        <v>1</v>
      </c>
      <c r="M363" t="n">
        <v>2007</v>
      </c>
      <c r="N363" t="n">
        <v>1</v>
      </c>
      <c r="O363" t="n">
        <v>0.05</v>
      </c>
      <c r="P363" t="n">
        <v>9000</v>
      </c>
      <c r="Q363" t="n">
        <v>101</v>
      </c>
      <c r="R363" t="n">
        <v>1</v>
      </c>
      <c r="S363" t="inlineStr">
        <is>
          <t>2001,2002</t>
        </is>
      </c>
      <c r="T363" t="n">
        <v>14</v>
      </c>
      <c r="U363" t="n">
        <v>0.5</v>
      </c>
      <c r="V363" t="n">
        <v>1000</v>
      </c>
      <c r="W363" t="n">
        <v>4290</v>
      </c>
      <c r="X363" t="n">
        <v>1</v>
      </c>
      <c r="Y363" t="n">
        <v>2006</v>
      </c>
      <c r="Z363" t="n">
        <v>1</v>
      </c>
      <c r="AA363" t="n">
        <v>0.03</v>
      </c>
    </row>
    <row r="364">
      <c r="A364" t="n">
        <v>1362</v>
      </c>
      <c r="B364" t="inlineStr">
        <is>
          <t>40081,40065</t>
        </is>
      </c>
      <c r="C364" t="n">
        <v>150</v>
      </c>
      <c r="D3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4" t="n">
        <v>1</v>
      </c>
      <c r="F364" t="n">
        <v>0.115</v>
      </c>
      <c r="G364" t="n">
        <v>8001</v>
      </c>
      <c r="H364" t="n">
        <v>275</v>
      </c>
      <c r="I364" t="n">
        <v>1</v>
      </c>
      <c r="J364" t="n">
        <v>8000</v>
      </c>
      <c r="K364" t="n">
        <v>415</v>
      </c>
      <c r="L364" t="n">
        <v>1</v>
      </c>
      <c r="M364" t="n">
        <v>2007</v>
      </c>
      <c r="N364" t="n">
        <v>1</v>
      </c>
      <c r="O364" t="n">
        <v>0.05</v>
      </c>
      <c r="P364" t="n">
        <v>9000</v>
      </c>
      <c r="Q364" t="n">
        <v>102</v>
      </c>
      <c r="R364" t="n">
        <v>1</v>
      </c>
      <c r="S364" t="inlineStr">
        <is>
          <t>2001,2002</t>
        </is>
      </c>
      <c r="T364" t="n">
        <v>14</v>
      </c>
      <c r="U364" t="n">
        <v>0.5</v>
      </c>
      <c r="V364" t="n">
        <v>1000</v>
      </c>
      <c r="W364" t="n">
        <v>4305</v>
      </c>
      <c r="X364" t="n">
        <v>1</v>
      </c>
      <c r="Y364" t="n">
        <v>2006</v>
      </c>
      <c r="Z364" t="n">
        <v>1</v>
      </c>
      <c r="AA364" t="n">
        <v>0.03</v>
      </c>
    </row>
    <row r="365">
      <c r="A365" t="n">
        <v>1363</v>
      </c>
      <c r="B365" t="inlineStr">
        <is>
          <t>40079,40081</t>
        </is>
      </c>
      <c r="C365" t="n">
        <v>150</v>
      </c>
      <c r="D3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5" t="n">
        <v>1</v>
      </c>
      <c r="F365" t="n">
        <v>0.116</v>
      </c>
      <c r="G365" t="n">
        <v>8001</v>
      </c>
      <c r="H365" t="n">
        <v>275</v>
      </c>
      <c r="I365" t="n">
        <v>1</v>
      </c>
      <c r="J365" t="n">
        <v>8000</v>
      </c>
      <c r="K365" t="n">
        <v>415</v>
      </c>
      <c r="L365" t="n">
        <v>1</v>
      </c>
      <c r="M365" t="n">
        <v>2007</v>
      </c>
      <c r="N365" t="n">
        <v>1</v>
      </c>
      <c r="O365" t="n">
        <v>0.05</v>
      </c>
      <c r="P365" t="n">
        <v>9000</v>
      </c>
      <c r="Q365" t="n">
        <v>102</v>
      </c>
      <c r="R365" t="n">
        <v>1</v>
      </c>
      <c r="S365" t="inlineStr">
        <is>
          <t>2001,2002</t>
        </is>
      </c>
      <c r="T365" t="n">
        <v>14</v>
      </c>
      <c r="U365" t="n">
        <v>0.5</v>
      </c>
      <c r="V365" t="n">
        <v>1000</v>
      </c>
      <c r="W365" t="n">
        <v>4320</v>
      </c>
      <c r="X365" t="n">
        <v>1</v>
      </c>
      <c r="Y365" t="n">
        <v>2006</v>
      </c>
      <c r="Z365" t="n">
        <v>1</v>
      </c>
      <c r="AA365" t="n">
        <v>0.03</v>
      </c>
    </row>
    <row r="366">
      <c r="A366" t="n">
        <v>1364</v>
      </c>
      <c r="B366" t="inlineStr">
        <is>
          <t>40055,40080</t>
        </is>
      </c>
      <c r="C366" t="n">
        <v>150</v>
      </c>
      <c r="D3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6" t="n">
        <v>1</v>
      </c>
      <c r="F366" t="n">
        <v>0.116</v>
      </c>
      <c r="G366" t="n">
        <v>8001</v>
      </c>
      <c r="H366" t="n">
        <v>275</v>
      </c>
      <c r="I366" t="n">
        <v>1</v>
      </c>
      <c r="J366" t="n">
        <v>8000</v>
      </c>
      <c r="K366" t="n">
        <v>415</v>
      </c>
      <c r="L366" t="n">
        <v>1</v>
      </c>
      <c r="M366" t="n">
        <v>2007</v>
      </c>
      <c r="N366" t="n">
        <v>1</v>
      </c>
      <c r="O366" t="n">
        <v>0.05</v>
      </c>
      <c r="P366" t="n">
        <v>9000</v>
      </c>
      <c r="Q366" t="n">
        <v>102</v>
      </c>
      <c r="R366" t="n">
        <v>1</v>
      </c>
      <c r="S366" t="inlineStr">
        <is>
          <t>2001,2002</t>
        </is>
      </c>
      <c r="T366" t="n">
        <v>14</v>
      </c>
      <c r="U366" t="n">
        <v>0.5</v>
      </c>
      <c r="V366" t="n">
        <v>1000</v>
      </c>
      <c r="W366" t="n">
        <v>4330</v>
      </c>
      <c r="X366" t="n">
        <v>1</v>
      </c>
      <c r="Y366" t="n">
        <v>2006</v>
      </c>
      <c r="Z366" t="n">
        <v>1</v>
      </c>
      <c r="AA366" t="n">
        <v>0.03</v>
      </c>
    </row>
    <row r="367">
      <c r="A367" t="n">
        <v>1365</v>
      </c>
      <c r="B367" t="inlineStr">
        <is>
          <t>40055,40080</t>
        </is>
      </c>
      <c r="C367" t="n">
        <v>150</v>
      </c>
      <c r="D3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7" t="n">
        <v>1</v>
      </c>
      <c r="F367" t="n">
        <v>0.116</v>
      </c>
      <c r="G367" t="n">
        <v>8001</v>
      </c>
      <c r="H367" t="n">
        <v>280</v>
      </c>
      <c r="I367" t="n">
        <v>1</v>
      </c>
      <c r="J367" t="n">
        <v>8000</v>
      </c>
      <c r="K367" t="n">
        <v>415</v>
      </c>
      <c r="L367" t="n">
        <v>1</v>
      </c>
      <c r="M367" t="n">
        <v>2007</v>
      </c>
      <c r="N367" t="n">
        <v>1</v>
      </c>
      <c r="O367" t="n">
        <v>0.05</v>
      </c>
      <c r="P367" t="n">
        <v>9000</v>
      </c>
      <c r="Q367" t="n">
        <v>103</v>
      </c>
      <c r="R367" t="n">
        <v>1</v>
      </c>
      <c r="S367" t="inlineStr">
        <is>
          <t>2001,2002</t>
        </is>
      </c>
      <c r="T367" t="n">
        <v>14</v>
      </c>
      <c r="U367" t="n">
        <v>0.5</v>
      </c>
      <c r="V367" t="n">
        <v>1000</v>
      </c>
      <c r="W367" t="n">
        <v>4345</v>
      </c>
      <c r="X367" t="n">
        <v>1</v>
      </c>
      <c r="Y367" t="n">
        <v>2006</v>
      </c>
      <c r="Z367" t="n">
        <v>1</v>
      </c>
      <c r="AA367" t="n">
        <v>0.03</v>
      </c>
    </row>
    <row r="368">
      <c r="A368" t="n">
        <v>1366</v>
      </c>
      <c r="B368" t="inlineStr">
        <is>
          <t>40080,40079,40065</t>
        </is>
      </c>
      <c r="C368" t="n">
        <v>150</v>
      </c>
      <c r="D3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8" t="n">
        <v>1</v>
      </c>
      <c r="F368" t="n">
        <v>0.116</v>
      </c>
      <c r="G368" t="n">
        <v>8001</v>
      </c>
      <c r="H368" t="n">
        <v>280</v>
      </c>
      <c r="I368" t="n">
        <v>1</v>
      </c>
      <c r="J368" t="n">
        <v>8000</v>
      </c>
      <c r="K368" t="n">
        <v>420</v>
      </c>
      <c r="L368" t="n">
        <v>1</v>
      </c>
      <c r="M368" t="n">
        <v>2007</v>
      </c>
      <c r="N368" t="n">
        <v>1</v>
      </c>
      <c r="O368" t="n">
        <v>0.05</v>
      </c>
      <c r="P368" t="n">
        <v>9000</v>
      </c>
      <c r="Q368" t="n">
        <v>103</v>
      </c>
      <c r="R368" t="n">
        <v>1</v>
      </c>
      <c r="S368" t="inlineStr">
        <is>
          <t>2001,2002</t>
        </is>
      </c>
      <c r="T368" t="n">
        <v>14</v>
      </c>
      <c r="U368" t="n">
        <v>0.5</v>
      </c>
      <c r="V368" t="n">
        <v>1000</v>
      </c>
      <c r="W368" t="n">
        <v>4360</v>
      </c>
      <c r="X368" t="n">
        <v>1</v>
      </c>
      <c r="Y368" t="n">
        <v>2006</v>
      </c>
      <c r="Z368" t="n">
        <v>1</v>
      </c>
      <c r="AA368" t="n">
        <v>0.03</v>
      </c>
    </row>
    <row r="369">
      <c r="A369" t="n">
        <v>1367</v>
      </c>
      <c r="B369" t="inlineStr">
        <is>
          <t>40080,40055,40065</t>
        </is>
      </c>
      <c r="C369" t="n">
        <v>150</v>
      </c>
      <c r="D3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9" t="n">
        <v>1</v>
      </c>
      <c r="F369" t="n">
        <v>0.117</v>
      </c>
      <c r="G369" t="n">
        <v>8001</v>
      </c>
      <c r="H369" t="n">
        <v>280</v>
      </c>
      <c r="I369" t="n">
        <v>1</v>
      </c>
      <c r="J369" t="n">
        <v>8000</v>
      </c>
      <c r="K369" t="n">
        <v>420</v>
      </c>
      <c r="L369" t="n">
        <v>1</v>
      </c>
      <c r="M369" t="n">
        <v>2007</v>
      </c>
      <c r="N369" t="n">
        <v>1</v>
      </c>
      <c r="O369" t="n">
        <v>0.05</v>
      </c>
      <c r="P369" t="n">
        <v>9000</v>
      </c>
      <c r="Q369" t="n">
        <v>103</v>
      </c>
      <c r="R369" t="n">
        <v>1</v>
      </c>
      <c r="S369" t="inlineStr">
        <is>
          <t>2001,2002</t>
        </is>
      </c>
      <c r="T369" t="n">
        <v>14</v>
      </c>
      <c r="U369" t="n">
        <v>0.5</v>
      </c>
      <c r="V369" t="n">
        <v>1000</v>
      </c>
      <c r="W369" t="n">
        <v>4370</v>
      </c>
      <c r="X369" t="n">
        <v>1</v>
      </c>
      <c r="Y369" t="n">
        <v>2006</v>
      </c>
      <c r="Z369" t="n">
        <v>1</v>
      </c>
      <c r="AA369" t="n">
        <v>0.03</v>
      </c>
    </row>
    <row r="370">
      <c r="A370" t="n">
        <v>1368</v>
      </c>
      <c r="B370" t="inlineStr">
        <is>
          <t>40079,40065,40055</t>
        </is>
      </c>
      <c r="C370" t="n">
        <v>150</v>
      </c>
      <c r="D3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0" t="n">
        <v>1</v>
      </c>
      <c r="F370" t="n">
        <v>0.117</v>
      </c>
      <c r="G370" t="n">
        <v>8001</v>
      </c>
      <c r="H370" t="n">
        <v>280</v>
      </c>
      <c r="I370" t="n">
        <v>1</v>
      </c>
      <c r="J370" t="n">
        <v>8000</v>
      </c>
      <c r="K370" t="n">
        <v>420</v>
      </c>
      <c r="L370" t="n">
        <v>1</v>
      </c>
      <c r="M370" t="n">
        <v>2007</v>
      </c>
      <c r="N370" t="n">
        <v>1</v>
      </c>
      <c r="O370" t="n">
        <v>0.05</v>
      </c>
      <c r="P370" t="n">
        <v>9000</v>
      </c>
      <c r="Q370" t="n">
        <v>104</v>
      </c>
      <c r="R370" t="n">
        <v>1</v>
      </c>
      <c r="S370" t="inlineStr">
        <is>
          <t>2001,2002</t>
        </is>
      </c>
      <c r="T370" t="n">
        <v>14</v>
      </c>
      <c r="U370" t="n">
        <v>0.5</v>
      </c>
      <c r="V370" t="n">
        <v>1000</v>
      </c>
      <c r="W370" t="n">
        <v>4385</v>
      </c>
      <c r="X370" t="n">
        <v>1</v>
      </c>
      <c r="Y370" t="n">
        <v>2006</v>
      </c>
      <c r="Z370" t="n">
        <v>1</v>
      </c>
      <c r="AA370" t="n">
        <v>0.03</v>
      </c>
    </row>
    <row r="371">
      <c r="A371" t="n">
        <v>1369</v>
      </c>
      <c r="B371" t="inlineStr">
        <is>
          <t>40065,40080,40079</t>
        </is>
      </c>
      <c r="C371" t="n">
        <v>150</v>
      </c>
      <c r="D3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1" t="n">
        <v>1</v>
      </c>
      <c r="F371" t="n">
        <v>0.117</v>
      </c>
      <c r="G371" t="n">
        <v>8001</v>
      </c>
      <c r="H371" t="n">
        <v>280</v>
      </c>
      <c r="I371" t="n">
        <v>1</v>
      </c>
      <c r="J371" t="n">
        <v>8000</v>
      </c>
      <c r="K371" t="n">
        <v>420</v>
      </c>
      <c r="L371" t="n">
        <v>1</v>
      </c>
      <c r="M371" t="n">
        <v>2007</v>
      </c>
      <c r="N371" t="n">
        <v>1</v>
      </c>
      <c r="O371" t="n">
        <v>0.05</v>
      </c>
      <c r="P371" t="n">
        <v>9000</v>
      </c>
      <c r="Q371" t="n">
        <v>104</v>
      </c>
      <c r="R371" t="n">
        <v>1</v>
      </c>
      <c r="S371" t="inlineStr">
        <is>
          <t>2001,2002</t>
        </is>
      </c>
      <c r="T371" t="n">
        <v>14</v>
      </c>
      <c r="U371" t="n">
        <v>0.5</v>
      </c>
      <c r="V371" t="n">
        <v>1000</v>
      </c>
      <c r="W371" t="n">
        <v>4400</v>
      </c>
      <c r="X371" t="n">
        <v>1</v>
      </c>
      <c r="Y371" t="n">
        <v>2006</v>
      </c>
      <c r="Z371" t="n">
        <v>1</v>
      </c>
      <c r="AA371" t="n">
        <v>0.03</v>
      </c>
    </row>
    <row r="372">
      <c r="A372" t="n">
        <v>1370</v>
      </c>
      <c r="B372" t="inlineStr">
        <is>
          <t>40081,40079,40080</t>
        </is>
      </c>
      <c r="C372" t="n">
        <v>150</v>
      </c>
      <c r="D3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2" t="n">
        <v>1</v>
      </c>
      <c r="F372" t="n">
        <v>0.117</v>
      </c>
      <c r="G372" t="n">
        <v>8001</v>
      </c>
      <c r="H372" t="n">
        <v>280</v>
      </c>
      <c r="I372" t="n">
        <v>1</v>
      </c>
      <c r="J372" t="n">
        <v>8000</v>
      </c>
      <c r="K372" t="n">
        <v>425</v>
      </c>
      <c r="L372" t="n">
        <v>1</v>
      </c>
      <c r="M372" t="n">
        <v>2007</v>
      </c>
      <c r="N372" t="n">
        <v>1</v>
      </c>
      <c r="O372" t="n">
        <v>0.05</v>
      </c>
      <c r="P372" t="n">
        <v>9000</v>
      </c>
      <c r="Q372" t="n">
        <v>104</v>
      </c>
      <c r="R372" t="n">
        <v>1</v>
      </c>
      <c r="S372" t="inlineStr">
        <is>
          <t>2001,2002</t>
        </is>
      </c>
      <c r="T372" t="n">
        <v>14</v>
      </c>
      <c r="U372" t="n">
        <v>0.5</v>
      </c>
      <c r="V372" t="n">
        <v>1000</v>
      </c>
      <c r="W372" t="n">
        <v>4410</v>
      </c>
      <c r="X372" t="n">
        <v>1</v>
      </c>
      <c r="Y372" t="n">
        <v>2006</v>
      </c>
      <c r="Z372" t="n">
        <v>1</v>
      </c>
      <c r="AA372" t="n">
        <v>0.03</v>
      </c>
    </row>
    <row r="373">
      <c r="A373" t="n">
        <v>1371</v>
      </c>
      <c r="B373" t="inlineStr">
        <is>
          <t>40065,40079,40055,40080</t>
        </is>
      </c>
      <c r="C373" t="n">
        <v>150</v>
      </c>
      <c r="D3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3" t="n">
        <v>1</v>
      </c>
      <c r="F373" t="n">
        <v>0.118</v>
      </c>
      <c r="G373" t="n">
        <v>8001</v>
      </c>
      <c r="H373" t="n">
        <v>285</v>
      </c>
      <c r="I373" t="n">
        <v>1</v>
      </c>
      <c r="J373" t="n">
        <v>8000</v>
      </c>
      <c r="K373" t="n">
        <v>425</v>
      </c>
      <c r="L373" t="n">
        <v>1</v>
      </c>
      <c r="M373" t="n">
        <v>2007</v>
      </c>
      <c r="N373" t="n">
        <v>1</v>
      </c>
      <c r="O373" t="n">
        <v>0.05</v>
      </c>
      <c r="P373" t="n">
        <v>9000</v>
      </c>
      <c r="Q373" t="n">
        <v>105</v>
      </c>
      <c r="R373" t="n">
        <v>1</v>
      </c>
      <c r="S373" t="inlineStr">
        <is>
          <t>2001,2002</t>
        </is>
      </c>
      <c r="T373" t="n">
        <v>14</v>
      </c>
      <c r="U373" t="n">
        <v>0.5</v>
      </c>
      <c r="V373" t="n">
        <v>1000</v>
      </c>
      <c r="W373" t="n">
        <v>4425</v>
      </c>
      <c r="X373" t="n">
        <v>1</v>
      </c>
      <c r="Y373" t="n">
        <v>2006</v>
      </c>
      <c r="Z373" t="n">
        <v>1</v>
      </c>
      <c r="AA373" t="n">
        <v>0.03</v>
      </c>
    </row>
    <row r="374">
      <c r="A374" t="n">
        <v>1372</v>
      </c>
      <c r="B374" t="inlineStr">
        <is>
          <t>40079,40081,40055</t>
        </is>
      </c>
      <c r="C374" t="n">
        <v>150</v>
      </c>
      <c r="D3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4" t="n">
        <v>1</v>
      </c>
      <c r="F374" t="n">
        <v>0.118</v>
      </c>
      <c r="G374" t="n">
        <v>8001</v>
      </c>
      <c r="H374" t="n">
        <v>285</v>
      </c>
      <c r="I374" t="n">
        <v>1</v>
      </c>
      <c r="J374" t="n">
        <v>8000</v>
      </c>
      <c r="K374" t="n">
        <v>425</v>
      </c>
      <c r="L374" t="n">
        <v>1</v>
      </c>
      <c r="M374" t="n">
        <v>2007</v>
      </c>
      <c r="N374" t="n">
        <v>1</v>
      </c>
      <c r="O374" t="n">
        <v>0.05</v>
      </c>
      <c r="P374" t="n">
        <v>9000</v>
      </c>
      <c r="Q374" t="n">
        <v>105</v>
      </c>
      <c r="R374" t="n">
        <v>1</v>
      </c>
      <c r="S374" t="inlineStr">
        <is>
          <t>2001,2002</t>
        </is>
      </c>
      <c r="T374" t="n">
        <v>14</v>
      </c>
      <c r="U374" t="n">
        <v>0.5</v>
      </c>
      <c r="V374" t="n">
        <v>1000</v>
      </c>
      <c r="W374" t="n">
        <v>4440</v>
      </c>
      <c r="X374" t="n">
        <v>1</v>
      </c>
      <c r="Y374" t="n">
        <v>2006</v>
      </c>
      <c r="Z374" t="n">
        <v>1</v>
      </c>
      <c r="AA374" t="n">
        <v>0.03</v>
      </c>
    </row>
    <row r="375">
      <c r="A375" t="n">
        <v>1373</v>
      </c>
      <c r="B375" t="inlineStr">
        <is>
          <t>40055,40065,40081,40079</t>
        </is>
      </c>
      <c r="C375" t="n">
        <v>150</v>
      </c>
      <c r="D3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5" t="n">
        <v>1</v>
      </c>
      <c r="F375" t="n">
        <v>0.118</v>
      </c>
      <c r="G375" t="n">
        <v>8001</v>
      </c>
      <c r="H375" t="n">
        <v>285</v>
      </c>
      <c r="I375" t="n">
        <v>1</v>
      </c>
      <c r="J375" t="n">
        <v>8000</v>
      </c>
      <c r="K375" t="n">
        <v>425</v>
      </c>
      <c r="L375" t="n">
        <v>1</v>
      </c>
      <c r="M375" t="n">
        <v>2007</v>
      </c>
      <c r="N375" t="n">
        <v>1</v>
      </c>
      <c r="O375" t="n">
        <v>0.05</v>
      </c>
      <c r="P375" t="n">
        <v>9000</v>
      </c>
      <c r="Q375" t="n">
        <v>105</v>
      </c>
      <c r="R375" t="n">
        <v>1</v>
      </c>
      <c r="S375" t="inlineStr">
        <is>
          <t>2001,2002</t>
        </is>
      </c>
      <c r="T375" t="n">
        <v>14</v>
      </c>
      <c r="U375" t="n">
        <v>0.5</v>
      </c>
      <c r="V375" t="n">
        <v>1000</v>
      </c>
      <c r="W375" t="n">
        <v>4450</v>
      </c>
      <c r="X375" t="n">
        <v>1</v>
      </c>
      <c r="Y375" t="n">
        <v>2006</v>
      </c>
      <c r="Z375" t="n">
        <v>1</v>
      </c>
      <c r="AA375" t="n">
        <v>0.03</v>
      </c>
    </row>
    <row r="376">
      <c r="A376" t="n">
        <v>1374</v>
      </c>
      <c r="B376" t="inlineStr">
        <is>
          <t>40080,40079</t>
        </is>
      </c>
      <c r="C376" t="n">
        <v>150</v>
      </c>
      <c r="D3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6" t="n">
        <v>1</v>
      </c>
      <c r="F376" t="n">
        <v>0.118</v>
      </c>
      <c r="G376" t="n">
        <v>8001</v>
      </c>
      <c r="H376" t="n">
        <v>285</v>
      </c>
      <c r="I376" t="n">
        <v>1</v>
      </c>
      <c r="J376" t="n">
        <v>8000</v>
      </c>
      <c r="K376" t="n">
        <v>430</v>
      </c>
      <c r="L376" t="n">
        <v>1</v>
      </c>
      <c r="M376" t="n">
        <v>2007</v>
      </c>
      <c r="N376" t="n">
        <v>1</v>
      </c>
      <c r="O376" t="n">
        <v>0.05</v>
      </c>
      <c r="P376" t="n">
        <v>9000</v>
      </c>
      <c r="Q376" t="n">
        <v>106</v>
      </c>
      <c r="R376" t="n">
        <v>1</v>
      </c>
      <c r="S376" t="inlineStr">
        <is>
          <t>2001,2002</t>
        </is>
      </c>
      <c r="T376" t="n">
        <v>14</v>
      </c>
      <c r="U376" t="n">
        <v>0.5</v>
      </c>
      <c r="V376" t="n">
        <v>1000</v>
      </c>
      <c r="W376" t="n">
        <v>4465</v>
      </c>
      <c r="X376" t="n">
        <v>1</v>
      </c>
      <c r="Y376" t="n">
        <v>2006</v>
      </c>
      <c r="Z376" t="n">
        <v>1</v>
      </c>
      <c r="AA376" t="n">
        <v>0.03</v>
      </c>
    </row>
    <row r="377">
      <c r="A377" t="n">
        <v>1375</v>
      </c>
      <c r="B377" t="inlineStr">
        <is>
          <t>40080,40055,40079,40081</t>
        </is>
      </c>
      <c r="C377" t="n">
        <v>150</v>
      </c>
      <c r="D3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7" t="n">
        <v>1</v>
      </c>
      <c r="F377" t="n">
        <v>0.119</v>
      </c>
      <c r="G377" t="n">
        <v>8001</v>
      </c>
      <c r="H377" t="n">
        <v>285</v>
      </c>
      <c r="I377" t="n">
        <v>1</v>
      </c>
      <c r="J377" t="n">
        <v>8000</v>
      </c>
      <c r="K377" t="n">
        <v>430</v>
      </c>
      <c r="L377" t="n">
        <v>1</v>
      </c>
      <c r="M377" t="n">
        <v>2007</v>
      </c>
      <c r="N377" t="n">
        <v>1</v>
      </c>
      <c r="O377" t="n">
        <v>0.05</v>
      </c>
      <c r="P377" t="n">
        <v>9000</v>
      </c>
      <c r="Q377" t="n">
        <v>106</v>
      </c>
      <c r="R377" t="n">
        <v>1</v>
      </c>
      <c r="S377" t="inlineStr">
        <is>
          <t>2001,2002</t>
        </is>
      </c>
      <c r="T377" t="n">
        <v>14</v>
      </c>
      <c r="U377" t="n">
        <v>0.5</v>
      </c>
      <c r="V377" t="n">
        <v>1000</v>
      </c>
      <c r="W377" t="n">
        <v>4480</v>
      </c>
      <c r="X377" t="n">
        <v>1</v>
      </c>
      <c r="Y377" t="n">
        <v>2006</v>
      </c>
      <c r="Z377" t="n">
        <v>1</v>
      </c>
      <c r="AA377" t="n">
        <v>0.03</v>
      </c>
    </row>
    <row r="378">
      <c r="A378" t="n">
        <v>1376</v>
      </c>
      <c r="B378" t="inlineStr">
        <is>
          <t>40081,40065,40080</t>
        </is>
      </c>
      <c r="C378" t="n">
        <v>150</v>
      </c>
      <c r="D3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8" t="n">
        <v>1</v>
      </c>
      <c r="F378" t="n">
        <v>0.119</v>
      </c>
      <c r="G378" t="n">
        <v>8001</v>
      </c>
      <c r="H378" t="n">
        <v>285</v>
      </c>
      <c r="I378" t="n">
        <v>1</v>
      </c>
      <c r="J378" t="n">
        <v>8000</v>
      </c>
      <c r="K378" t="n">
        <v>430</v>
      </c>
      <c r="L378" t="n">
        <v>1</v>
      </c>
      <c r="M378" t="n">
        <v>2007</v>
      </c>
      <c r="N378" t="n">
        <v>1</v>
      </c>
      <c r="O378" t="n">
        <v>0.05</v>
      </c>
      <c r="P378" t="n">
        <v>9000</v>
      </c>
      <c r="Q378" t="n">
        <v>106</v>
      </c>
      <c r="R378" t="n">
        <v>1</v>
      </c>
      <c r="S378" t="inlineStr">
        <is>
          <t>2001,2002</t>
        </is>
      </c>
      <c r="T378" t="n">
        <v>14</v>
      </c>
      <c r="U378" t="n">
        <v>0.5</v>
      </c>
      <c r="V378" t="n">
        <v>1000</v>
      </c>
      <c r="W378" t="n">
        <v>4490</v>
      </c>
      <c r="X378" t="n">
        <v>1</v>
      </c>
      <c r="Y378" t="n">
        <v>2006</v>
      </c>
      <c r="Z378" t="n">
        <v>1</v>
      </c>
      <c r="AA378" t="n">
        <v>0.03</v>
      </c>
    </row>
    <row r="379">
      <c r="A379" t="n">
        <v>1377</v>
      </c>
      <c r="B379" t="inlineStr">
        <is>
          <t>40065,40055,40080</t>
        </is>
      </c>
      <c r="C379" t="n">
        <v>150</v>
      </c>
      <c r="D3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9" t="n">
        <v>1</v>
      </c>
      <c r="F379" t="n">
        <v>0.119</v>
      </c>
      <c r="G379" t="n">
        <v>8001</v>
      </c>
      <c r="H379" t="n">
        <v>290</v>
      </c>
      <c r="I379" t="n">
        <v>1</v>
      </c>
      <c r="J379" t="n">
        <v>8000</v>
      </c>
      <c r="K379" t="n">
        <v>430</v>
      </c>
      <c r="L379" t="n">
        <v>1</v>
      </c>
      <c r="M379" t="n">
        <v>2007</v>
      </c>
      <c r="N379" t="n">
        <v>1</v>
      </c>
      <c r="O379" t="n">
        <v>0.05</v>
      </c>
      <c r="P379" t="n">
        <v>9000</v>
      </c>
      <c r="Q379" t="n">
        <v>107</v>
      </c>
      <c r="R379" t="n">
        <v>1</v>
      </c>
      <c r="S379" t="inlineStr">
        <is>
          <t>2001,2002</t>
        </is>
      </c>
      <c r="T379" t="n">
        <v>14</v>
      </c>
      <c r="U379" t="n">
        <v>0.5</v>
      </c>
      <c r="V379" t="n">
        <v>1000</v>
      </c>
      <c r="W379" t="n">
        <v>4505</v>
      </c>
      <c r="X379" t="n">
        <v>1</v>
      </c>
      <c r="Y379" t="n">
        <v>2006</v>
      </c>
      <c r="Z379" t="n">
        <v>1</v>
      </c>
      <c r="AA379" t="n">
        <v>0.03</v>
      </c>
    </row>
    <row r="380">
      <c r="A380" t="n">
        <v>1378</v>
      </c>
      <c r="B380" t="inlineStr">
        <is>
          <t>40055,40065,40079</t>
        </is>
      </c>
      <c r="C380" t="n">
        <v>150</v>
      </c>
      <c r="D3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0" t="n">
        <v>1</v>
      </c>
      <c r="F380" t="n">
        <v>0.119</v>
      </c>
      <c r="G380" t="n">
        <v>8001</v>
      </c>
      <c r="H380" t="n">
        <v>290</v>
      </c>
      <c r="I380" t="n">
        <v>1</v>
      </c>
      <c r="J380" t="n">
        <v>8000</v>
      </c>
      <c r="K380" t="n">
        <v>435</v>
      </c>
      <c r="L380" t="n">
        <v>1</v>
      </c>
      <c r="M380" t="n">
        <v>2007</v>
      </c>
      <c r="N380" t="n">
        <v>1</v>
      </c>
      <c r="O380" t="n">
        <v>0.05</v>
      </c>
      <c r="P380" t="n">
        <v>9000</v>
      </c>
      <c r="Q380" t="n">
        <v>107</v>
      </c>
      <c r="R380" t="n">
        <v>1</v>
      </c>
      <c r="S380" t="inlineStr">
        <is>
          <t>2001,2002</t>
        </is>
      </c>
      <c r="T380" t="n">
        <v>14</v>
      </c>
      <c r="U380" t="n">
        <v>0.5</v>
      </c>
      <c r="V380" t="n">
        <v>1000</v>
      </c>
      <c r="W380" t="n">
        <v>4520</v>
      </c>
      <c r="X380" t="n">
        <v>1</v>
      </c>
      <c r="Y380" t="n">
        <v>2006</v>
      </c>
      <c r="Z380" t="n">
        <v>1</v>
      </c>
      <c r="AA380" t="n">
        <v>0.03</v>
      </c>
    </row>
    <row r="381">
      <c r="A381" t="n">
        <v>1379</v>
      </c>
      <c r="B381" t="inlineStr">
        <is>
          <t>40081,40065,40080,40055</t>
        </is>
      </c>
      <c r="C381" t="n">
        <v>150</v>
      </c>
      <c r="D3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1" t="n">
        <v>1</v>
      </c>
      <c r="F381" t="n">
        <v>0.119</v>
      </c>
      <c r="G381" t="n">
        <v>8001</v>
      </c>
      <c r="H381" t="n">
        <v>290</v>
      </c>
      <c r="I381" t="n">
        <v>1</v>
      </c>
      <c r="J381" t="n">
        <v>8000</v>
      </c>
      <c r="K381" t="n">
        <v>435</v>
      </c>
      <c r="L381" t="n">
        <v>1</v>
      </c>
      <c r="M381" t="n">
        <v>2007</v>
      </c>
      <c r="N381" t="n">
        <v>1</v>
      </c>
      <c r="O381" t="n">
        <v>0.05</v>
      </c>
      <c r="P381" t="n">
        <v>9000</v>
      </c>
      <c r="Q381" t="n">
        <v>107</v>
      </c>
      <c r="R381" t="n">
        <v>1</v>
      </c>
      <c r="S381" t="inlineStr">
        <is>
          <t>2001,2002</t>
        </is>
      </c>
      <c r="T381" t="n">
        <v>14</v>
      </c>
      <c r="U381" t="n">
        <v>0.5</v>
      </c>
      <c r="V381" t="n">
        <v>1000</v>
      </c>
      <c r="W381" t="n">
        <v>4530</v>
      </c>
      <c r="X381" t="n">
        <v>1</v>
      </c>
      <c r="Y381" t="n">
        <v>2006</v>
      </c>
      <c r="Z381" t="n">
        <v>1</v>
      </c>
      <c r="AA381" t="n">
        <v>0.03</v>
      </c>
    </row>
    <row r="382">
      <c r="A382" t="n">
        <v>1380</v>
      </c>
      <c r="B382" t="inlineStr">
        <is>
          <t>40065,40055,40081,40080</t>
        </is>
      </c>
      <c r="C382" t="n">
        <v>150</v>
      </c>
      <c r="D3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2" t="n">
        <v>1</v>
      </c>
      <c r="F382" t="n">
        <v>0.12</v>
      </c>
      <c r="G382" t="n">
        <v>8001</v>
      </c>
      <c r="H382" t="n">
        <v>290</v>
      </c>
      <c r="I382" t="n">
        <v>1</v>
      </c>
      <c r="J382" t="n">
        <v>8000</v>
      </c>
      <c r="K382" t="n">
        <v>435</v>
      </c>
      <c r="L382" t="n">
        <v>1</v>
      </c>
      <c r="M382" t="n">
        <v>2007</v>
      </c>
      <c r="N382" t="n">
        <v>1</v>
      </c>
      <c r="O382" t="n">
        <v>0.05</v>
      </c>
      <c r="P382" t="n">
        <v>9000</v>
      </c>
      <c r="Q382" t="n">
        <v>108</v>
      </c>
      <c r="R382" t="n">
        <v>1</v>
      </c>
      <c r="S382" t="inlineStr">
        <is>
          <t>2001,2002</t>
        </is>
      </c>
      <c r="T382" t="n">
        <v>15</v>
      </c>
      <c r="U382" t="n">
        <v>0.5</v>
      </c>
      <c r="V382" t="n">
        <v>1000</v>
      </c>
      <c r="W382" t="n">
        <v>4545</v>
      </c>
      <c r="X382" t="n">
        <v>1</v>
      </c>
      <c r="Y382" t="n">
        <v>2006</v>
      </c>
      <c r="Z382" t="n">
        <v>1</v>
      </c>
      <c r="AA382" t="n">
        <v>0.03</v>
      </c>
    </row>
    <row r="383">
      <c r="A383" t="n">
        <v>1381</v>
      </c>
      <c r="B383" t="inlineStr">
        <is>
          <t>40055,40065,40080</t>
        </is>
      </c>
      <c r="C383" t="n">
        <v>150</v>
      </c>
      <c r="D3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3" t="n">
        <v>1</v>
      </c>
      <c r="F383" t="n">
        <v>0.12</v>
      </c>
      <c r="G383" t="n">
        <v>8001</v>
      </c>
      <c r="H383" t="n">
        <v>290</v>
      </c>
      <c r="I383" t="n">
        <v>1</v>
      </c>
      <c r="J383" t="n">
        <v>8000</v>
      </c>
      <c r="K383" t="n">
        <v>435</v>
      </c>
      <c r="L383" t="n">
        <v>1</v>
      </c>
      <c r="M383" t="n">
        <v>2007</v>
      </c>
      <c r="N383" t="n">
        <v>1</v>
      </c>
      <c r="O383" t="n">
        <v>0.05</v>
      </c>
      <c r="P383" t="n">
        <v>9000</v>
      </c>
      <c r="Q383" t="n">
        <v>108</v>
      </c>
      <c r="R383" t="n">
        <v>1</v>
      </c>
      <c r="S383" t="inlineStr">
        <is>
          <t>2001,2002</t>
        </is>
      </c>
      <c r="T383" t="n">
        <v>15</v>
      </c>
      <c r="U383" t="n">
        <v>0.5</v>
      </c>
      <c r="V383" t="n">
        <v>1000</v>
      </c>
      <c r="W383" t="n">
        <v>4555</v>
      </c>
      <c r="X383" t="n">
        <v>1</v>
      </c>
      <c r="Y383" t="n">
        <v>2006</v>
      </c>
      <c r="Z383" t="n">
        <v>1</v>
      </c>
      <c r="AA383" t="n">
        <v>0.03</v>
      </c>
    </row>
    <row r="384">
      <c r="A384" t="n">
        <v>1382</v>
      </c>
      <c r="B384" t="inlineStr">
        <is>
          <t>40081,40079,40080,40055</t>
        </is>
      </c>
      <c r="C384" t="n">
        <v>150</v>
      </c>
      <c r="D3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4" t="n">
        <v>1</v>
      </c>
      <c r="F384" t="n">
        <v>0.12</v>
      </c>
      <c r="G384" t="n">
        <v>8001</v>
      </c>
      <c r="H384" t="n">
        <v>290</v>
      </c>
      <c r="I384" t="n">
        <v>1</v>
      </c>
      <c r="J384" t="n">
        <v>8000</v>
      </c>
      <c r="K384" t="n">
        <v>440</v>
      </c>
      <c r="L384" t="n">
        <v>1</v>
      </c>
      <c r="M384" t="n">
        <v>2007</v>
      </c>
      <c r="N384" t="n">
        <v>1</v>
      </c>
      <c r="O384" t="n">
        <v>0.05</v>
      </c>
      <c r="P384" t="n">
        <v>9000</v>
      </c>
      <c r="Q384" t="n">
        <v>108</v>
      </c>
      <c r="R384" t="n">
        <v>1</v>
      </c>
      <c r="S384" t="inlineStr">
        <is>
          <t>2001,2002</t>
        </is>
      </c>
      <c r="T384" t="n">
        <v>15</v>
      </c>
      <c r="U384" t="n">
        <v>0.5</v>
      </c>
      <c r="V384" t="n">
        <v>1000</v>
      </c>
      <c r="W384" t="n">
        <v>4570</v>
      </c>
      <c r="X384" t="n">
        <v>1</v>
      </c>
      <c r="Y384" t="n">
        <v>2006</v>
      </c>
      <c r="Z384" t="n">
        <v>1</v>
      </c>
      <c r="AA384" t="n">
        <v>0.03</v>
      </c>
    </row>
    <row r="385">
      <c r="A385" t="n">
        <v>1383</v>
      </c>
      <c r="B385" t="inlineStr">
        <is>
          <t>40079,40055,40080</t>
        </is>
      </c>
      <c r="C385" t="n">
        <v>150</v>
      </c>
      <c r="D3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5" t="n">
        <v>1</v>
      </c>
      <c r="F385" t="n">
        <v>0.12</v>
      </c>
      <c r="G385" t="n">
        <v>8001</v>
      </c>
      <c r="H385" t="n">
        <v>295</v>
      </c>
      <c r="I385" t="n">
        <v>1</v>
      </c>
      <c r="J385" t="n">
        <v>8000</v>
      </c>
      <c r="K385" t="n">
        <v>440</v>
      </c>
      <c r="L385" t="n">
        <v>1</v>
      </c>
      <c r="M385" t="n">
        <v>2007</v>
      </c>
      <c r="N385" t="n">
        <v>1</v>
      </c>
      <c r="O385" t="n">
        <v>0.05</v>
      </c>
      <c r="P385" t="n">
        <v>9000</v>
      </c>
      <c r="Q385" t="n">
        <v>109</v>
      </c>
      <c r="R385" t="n">
        <v>1</v>
      </c>
      <c r="S385" t="inlineStr">
        <is>
          <t>2001,2002</t>
        </is>
      </c>
      <c r="T385" t="n">
        <v>15</v>
      </c>
      <c r="U385" t="n">
        <v>0.5</v>
      </c>
      <c r="V385" t="n">
        <v>1000</v>
      </c>
      <c r="W385" t="n">
        <v>4585</v>
      </c>
      <c r="X385" t="n">
        <v>1</v>
      </c>
      <c r="Y385" t="n">
        <v>2006</v>
      </c>
      <c r="Z385" t="n">
        <v>1</v>
      </c>
      <c r="AA385" t="n">
        <v>0.03</v>
      </c>
    </row>
    <row r="386">
      <c r="A386" t="n">
        <v>1384</v>
      </c>
      <c r="B386" t="inlineStr">
        <is>
          <t>40079,40055,40065</t>
        </is>
      </c>
      <c r="C386" t="n">
        <v>150</v>
      </c>
      <c r="D3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6" t="n">
        <v>1</v>
      </c>
      <c r="F386" t="n">
        <v>0.121</v>
      </c>
      <c r="G386" t="n">
        <v>8001</v>
      </c>
      <c r="H386" t="n">
        <v>295</v>
      </c>
      <c r="I386" t="n">
        <v>1</v>
      </c>
      <c r="J386" t="n">
        <v>8000</v>
      </c>
      <c r="K386" t="n">
        <v>440</v>
      </c>
      <c r="L386" t="n">
        <v>1</v>
      </c>
      <c r="M386" t="n">
        <v>2007</v>
      </c>
      <c r="N386" t="n">
        <v>1</v>
      </c>
      <c r="O386" t="n">
        <v>0.05</v>
      </c>
      <c r="P386" t="n">
        <v>9000</v>
      </c>
      <c r="Q386" t="n">
        <v>109</v>
      </c>
      <c r="R386" t="n">
        <v>1</v>
      </c>
      <c r="S386" t="inlineStr">
        <is>
          <t>2001,2002</t>
        </is>
      </c>
      <c r="T386" t="n">
        <v>15</v>
      </c>
      <c r="U386" t="n">
        <v>0.5</v>
      </c>
      <c r="V386" t="n">
        <v>1000</v>
      </c>
      <c r="W386" t="n">
        <v>4595</v>
      </c>
      <c r="X386" t="n">
        <v>1</v>
      </c>
      <c r="Y386" t="n">
        <v>2006</v>
      </c>
      <c r="Z386" t="n">
        <v>1</v>
      </c>
      <c r="AA386" t="n">
        <v>0.03</v>
      </c>
    </row>
    <row r="387">
      <c r="A387" t="n">
        <v>1385</v>
      </c>
      <c r="B387" t="inlineStr">
        <is>
          <t>40079,40081,40080</t>
        </is>
      </c>
      <c r="C387" t="n">
        <v>150</v>
      </c>
      <c r="D3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7" t="n">
        <v>1</v>
      </c>
      <c r="F387" t="n">
        <v>0.121</v>
      </c>
      <c r="G387" t="n">
        <v>8001</v>
      </c>
      <c r="H387" t="n">
        <v>295</v>
      </c>
      <c r="I387" t="n">
        <v>1</v>
      </c>
      <c r="J387" t="n">
        <v>8000</v>
      </c>
      <c r="K387" t="n">
        <v>440</v>
      </c>
      <c r="L387" t="n">
        <v>1</v>
      </c>
      <c r="M387" t="n">
        <v>2007</v>
      </c>
      <c r="N387" t="n">
        <v>1</v>
      </c>
      <c r="O387" t="n">
        <v>0.05</v>
      </c>
      <c r="P387" t="n">
        <v>9000</v>
      </c>
      <c r="Q387" t="n">
        <v>109</v>
      </c>
      <c r="R387" t="n">
        <v>1</v>
      </c>
      <c r="S387" t="inlineStr">
        <is>
          <t>2001,2002</t>
        </is>
      </c>
      <c r="T387" t="n">
        <v>15</v>
      </c>
      <c r="U387" t="n">
        <v>0.5</v>
      </c>
      <c r="V387" t="n">
        <v>1000</v>
      </c>
      <c r="W387" t="n">
        <v>4610</v>
      </c>
      <c r="X387" t="n">
        <v>1</v>
      </c>
      <c r="Y387" t="n">
        <v>2006</v>
      </c>
      <c r="Z387" t="n">
        <v>1</v>
      </c>
      <c r="AA387" t="n">
        <v>0.03</v>
      </c>
    </row>
    <row r="388">
      <c r="A388" t="n">
        <v>1386</v>
      </c>
      <c r="B388" t="inlineStr">
        <is>
          <t>40081,40065,40055,40079</t>
        </is>
      </c>
      <c r="C388" t="n">
        <v>150</v>
      </c>
      <c r="D3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8" t="n">
        <v>1</v>
      </c>
      <c r="F388" t="n">
        <v>0.121</v>
      </c>
      <c r="G388" t="n">
        <v>8001</v>
      </c>
      <c r="H388" t="n">
        <v>295</v>
      </c>
      <c r="I388" t="n">
        <v>1</v>
      </c>
      <c r="J388" t="n">
        <v>8000</v>
      </c>
      <c r="K388" t="n">
        <v>445</v>
      </c>
      <c r="L388" t="n">
        <v>1</v>
      </c>
      <c r="M388" t="n">
        <v>2007</v>
      </c>
      <c r="N388" t="n">
        <v>1</v>
      </c>
      <c r="O388" t="n">
        <v>0.05</v>
      </c>
      <c r="P388" t="n">
        <v>9000</v>
      </c>
      <c r="Q388" t="n">
        <v>109</v>
      </c>
      <c r="R388" t="n">
        <v>1</v>
      </c>
      <c r="S388" t="inlineStr">
        <is>
          <t>2001,2002</t>
        </is>
      </c>
      <c r="T388" t="n">
        <v>15</v>
      </c>
      <c r="U388" t="n">
        <v>0.5</v>
      </c>
      <c r="V388" t="n">
        <v>1000</v>
      </c>
      <c r="W388" t="n">
        <v>4620</v>
      </c>
      <c r="X388" t="n">
        <v>1</v>
      </c>
      <c r="Y388" t="n">
        <v>2006</v>
      </c>
      <c r="Z388" t="n">
        <v>1</v>
      </c>
      <c r="AA388" t="n">
        <v>0.03</v>
      </c>
    </row>
    <row r="389">
      <c r="A389" t="n">
        <v>1387</v>
      </c>
      <c r="B389" t="inlineStr">
        <is>
          <t>40055,40081,40080,40079</t>
        </is>
      </c>
      <c r="C389" t="n">
        <v>150</v>
      </c>
      <c r="D3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9" t="n">
        <v>1</v>
      </c>
      <c r="F389" t="n">
        <v>0.121</v>
      </c>
      <c r="G389" t="n">
        <v>8001</v>
      </c>
      <c r="H389" t="n">
        <v>295</v>
      </c>
      <c r="I389" t="n">
        <v>1</v>
      </c>
      <c r="J389" t="n">
        <v>8000</v>
      </c>
      <c r="K389" t="n">
        <v>445</v>
      </c>
      <c r="L389" t="n">
        <v>1</v>
      </c>
      <c r="M389" t="n">
        <v>2007</v>
      </c>
      <c r="N389" t="n">
        <v>1</v>
      </c>
      <c r="O389" t="n">
        <v>0.05</v>
      </c>
      <c r="P389" t="n">
        <v>9000</v>
      </c>
      <c r="Q389" t="n">
        <v>110</v>
      </c>
      <c r="R389" t="n">
        <v>1</v>
      </c>
      <c r="S389" t="inlineStr">
        <is>
          <t>2001,2002</t>
        </is>
      </c>
      <c r="T389" t="n">
        <v>15</v>
      </c>
      <c r="U389" t="n">
        <v>0.5</v>
      </c>
      <c r="V389" t="n">
        <v>1000</v>
      </c>
      <c r="W389" t="n">
        <v>4635</v>
      </c>
      <c r="X389" t="n">
        <v>1</v>
      </c>
      <c r="Y389" t="n">
        <v>2006</v>
      </c>
      <c r="Z389" t="n">
        <v>1</v>
      </c>
      <c r="AA389" t="n">
        <v>0.03</v>
      </c>
    </row>
    <row r="390">
      <c r="A390" t="n">
        <v>1388</v>
      </c>
      <c r="B390" t="inlineStr">
        <is>
          <t>40065,40079,40080,40081</t>
        </is>
      </c>
      <c r="C390" t="n">
        <v>150</v>
      </c>
      <c r="D3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0" t="n">
        <v>1</v>
      </c>
      <c r="F390" t="n">
        <v>0.122</v>
      </c>
      <c r="G390" t="n">
        <v>8001</v>
      </c>
      <c r="H390" t="n">
        <v>295</v>
      </c>
      <c r="I390" t="n">
        <v>1</v>
      </c>
      <c r="J390" t="n">
        <v>8000</v>
      </c>
      <c r="K390" t="n">
        <v>445</v>
      </c>
      <c r="L390" t="n">
        <v>1</v>
      </c>
      <c r="M390" t="n">
        <v>2007</v>
      </c>
      <c r="N390" t="n">
        <v>1</v>
      </c>
      <c r="O390" t="n">
        <v>0.05</v>
      </c>
      <c r="P390" t="n">
        <v>9000</v>
      </c>
      <c r="Q390" t="n">
        <v>110</v>
      </c>
      <c r="R390" t="n">
        <v>1</v>
      </c>
      <c r="S390" t="inlineStr">
        <is>
          <t>2001,2002</t>
        </is>
      </c>
      <c r="T390" t="n">
        <v>15</v>
      </c>
      <c r="U390" t="n">
        <v>0.5</v>
      </c>
      <c r="V390" t="n">
        <v>1000</v>
      </c>
      <c r="W390" t="n">
        <v>4650</v>
      </c>
      <c r="X390" t="n">
        <v>1</v>
      </c>
      <c r="Y390" t="n">
        <v>2006</v>
      </c>
      <c r="Z390" t="n">
        <v>1</v>
      </c>
      <c r="AA390" t="n">
        <v>0.03</v>
      </c>
    </row>
    <row r="391">
      <c r="A391" t="n">
        <v>1389</v>
      </c>
      <c r="B391" t="inlineStr">
        <is>
          <t>40079,40080,40081,40065</t>
        </is>
      </c>
      <c r="C391" t="n">
        <v>150</v>
      </c>
      <c r="D3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1" t="n">
        <v>1</v>
      </c>
      <c r="F391" t="n">
        <v>0.122</v>
      </c>
      <c r="G391" t="n">
        <v>8001</v>
      </c>
      <c r="H391" t="n">
        <v>300</v>
      </c>
      <c r="I391" t="n">
        <v>1</v>
      </c>
      <c r="J391" t="n">
        <v>8000</v>
      </c>
      <c r="K391" t="n">
        <v>445</v>
      </c>
      <c r="L391" t="n">
        <v>1</v>
      </c>
      <c r="M391" t="n">
        <v>2007</v>
      </c>
      <c r="N391" t="n">
        <v>1</v>
      </c>
      <c r="O391" t="n">
        <v>0.05</v>
      </c>
      <c r="P391" t="n">
        <v>9000</v>
      </c>
      <c r="Q391" t="n">
        <v>110</v>
      </c>
      <c r="R391" t="n">
        <v>1</v>
      </c>
      <c r="S391" t="inlineStr">
        <is>
          <t>2001,2002</t>
        </is>
      </c>
      <c r="T391" t="n">
        <v>15</v>
      </c>
      <c r="U391" t="n">
        <v>0.5</v>
      </c>
      <c r="V391" t="n">
        <v>1000</v>
      </c>
      <c r="W391" t="n">
        <v>4660</v>
      </c>
      <c r="X391" t="n">
        <v>1</v>
      </c>
      <c r="Y391" t="n">
        <v>2006</v>
      </c>
      <c r="Z391" t="n">
        <v>1</v>
      </c>
      <c r="AA391" t="n">
        <v>0.03</v>
      </c>
    </row>
    <row r="392">
      <c r="A392" t="n">
        <v>1390</v>
      </c>
      <c r="B392" t="inlineStr">
        <is>
          <t>40079,40055,40080,40065</t>
        </is>
      </c>
      <c r="C392" t="n">
        <v>150</v>
      </c>
      <c r="D3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2" t="n">
        <v>1</v>
      </c>
      <c r="F392" t="n">
        <v>0.122</v>
      </c>
      <c r="G392" t="n">
        <v>8001</v>
      </c>
      <c r="H392" t="n">
        <v>300</v>
      </c>
      <c r="I392" t="n">
        <v>1</v>
      </c>
      <c r="J392" t="n">
        <v>8000</v>
      </c>
      <c r="K392" t="n">
        <v>450</v>
      </c>
      <c r="L392" t="n">
        <v>1</v>
      </c>
      <c r="M392" t="n">
        <v>2007</v>
      </c>
      <c r="N392" t="n">
        <v>1</v>
      </c>
      <c r="O392" t="n">
        <v>0.05</v>
      </c>
      <c r="P392" t="n">
        <v>9000</v>
      </c>
      <c r="Q392" t="n">
        <v>111</v>
      </c>
      <c r="R392" t="n">
        <v>1</v>
      </c>
      <c r="S392" t="inlineStr">
        <is>
          <t>2001,2002</t>
        </is>
      </c>
      <c r="T392" t="n">
        <v>15</v>
      </c>
      <c r="U392" t="n">
        <v>0.5</v>
      </c>
      <c r="V392" t="n">
        <v>1000</v>
      </c>
      <c r="W392" t="n">
        <v>4675</v>
      </c>
      <c r="X392" t="n">
        <v>1</v>
      </c>
      <c r="Y392" t="n">
        <v>2006</v>
      </c>
      <c r="Z392" t="n">
        <v>1</v>
      </c>
      <c r="AA392" t="n">
        <v>0.03</v>
      </c>
    </row>
    <row r="393">
      <c r="A393" t="n">
        <v>1391</v>
      </c>
      <c r="B393" t="inlineStr">
        <is>
          <t>40079,40081,40080,40055</t>
        </is>
      </c>
      <c r="C393" t="n">
        <v>150</v>
      </c>
      <c r="D3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3" t="n">
        <v>1</v>
      </c>
      <c r="F393" t="n">
        <v>0.122</v>
      </c>
      <c r="G393" t="n">
        <v>8001</v>
      </c>
      <c r="H393" t="n">
        <v>300</v>
      </c>
      <c r="I393" t="n">
        <v>1</v>
      </c>
      <c r="J393" t="n">
        <v>8000</v>
      </c>
      <c r="K393" t="n">
        <v>450</v>
      </c>
      <c r="L393" t="n">
        <v>1</v>
      </c>
      <c r="M393" t="n">
        <v>2007</v>
      </c>
      <c r="N393" t="n">
        <v>1</v>
      </c>
      <c r="O393" t="n">
        <v>0.05</v>
      </c>
      <c r="P393" t="n">
        <v>9000</v>
      </c>
      <c r="Q393" t="n">
        <v>111</v>
      </c>
      <c r="R393" t="n">
        <v>1</v>
      </c>
      <c r="S393" t="inlineStr">
        <is>
          <t>2001,2002</t>
        </is>
      </c>
      <c r="T393" t="n">
        <v>15</v>
      </c>
      <c r="U393" t="n">
        <v>0.5</v>
      </c>
      <c r="V393" t="n">
        <v>1000</v>
      </c>
      <c r="W393" t="n">
        <v>4685</v>
      </c>
      <c r="X393" t="n">
        <v>1</v>
      </c>
      <c r="Y393" t="n">
        <v>2006</v>
      </c>
      <c r="Z393" t="n">
        <v>1</v>
      </c>
      <c r="AA393" t="n">
        <v>0.03</v>
      </c>
    </row>
    <row r="394">
      <c r="A394" t="n">
        <v>1392</v>
      </c>
      <c r="B394" t="inlineStr">
        <is>
          <t>40081,40065,40079</t>
        </is>
      </c>
      <c r="C394" t="n">
        <v>150</v>
      </c>
      <c r="D3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4" t="n">
        <v>1</v>
      </c>
      <c r="F394" t="n">
        <v>0.122</v>
      </c>
      <c r="G394" t="n">
        <v>8001</v>
      </c>
      <c r="H394" t="n">
        <v>300</v>
      </c>
      <c r="I394" t="n">
        <v>1</v>
      </c>
      <c r="J394" t="n">
        <v>8000</v>
      </c>
      <c r="K394" t="n">
        <v>450</v>
      </c>
      <c r="L394" t="n">
        <v>1</v>
      </c>
      <c r="M394" t="n">
        <v>2007</v>
      </c>
      <c r="N394" t="n">
        <v>1</v>
      </c>
      <c r="O394" t="n">
        <v>0.05</v>
      </c>
      <c r="P394" t="n">
        <v>9000</v>
      </c>
      <c r="Q394" t="n">
        <v>111</v>
      </c>
      <c r="R394" t="n">
        <v>1</v>
      </c>
      <c r="S394" t="inlineStr">
        <is>
          <t>2001,2002</t>
        </is>
      </c>
      <c r="T394" t="n">
        <v>15</v>
      </c>
      <c r="U394" t="n">
        <v>0.5</v>
      </c>
      <c r="V394" t="n">
        <v>1000</v>
      </c>
      <c r="W394" t="n">
        <v>4700</v>
      </c>
      <c r="X394" t="n">
        <v>1</v>
      </c>
      <c r="Y394" t="n">
        <v>2006</v>
      </c>
      <c r="Z394" t="n">
        <v>1</v>
      </c>
      <c r="AA394" t="n">
        <v>0.03</v>
      </c>
    </row>
    <row r="395">
      <c r="A395" t="n">
        <v>1393</v>
      </c>
      <c r="B395" t="inlineStr">
        <is>
          <t>40081,40055,40080</t>
        </is>
      </c>
      <c r="C395" t="n">
        <v>150</v>
      </c>
      <c r="D3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5" t="n">
        <v>1</v>
      </c>
      <c r="F395" t="n">
        <v>0.123</v>
      </c>
      <c r="G395" t="n">
        <v>8001</v>
      </c>
      <c r="H395" t="n">
        <v>300</v>
      </c>
      <c r="I395" t="n">
        <v>1</v>
      </c>
      <c r="J395" t="n">
        <v>8000</v>
      </c>
      <c r="K395" t="n">
        <v>450</v>
      </c>
      <c r="L395" t="n">
        <v>1</v>
      </c>
      <c r="M395" t="n">
        <v>2007</v>
      </c>
      <c r="N395" t="n">
        <v>1</v>
      </c>
      <c r="O395" t="n">
        <v>0.05</v>
      </c>
      <c r="P395" t="n">
        <v>9000</v>
      </c>
      <c r="Q395" t="n">
        <v>112</v>
      </c>
      <c r="R395" t="n">
        <v>1</v>
      </c>
      <c r="S395" t="inlineStr">
        <is>
          <t>2001,2002</t>
        </is>
      </c>
      <c r="T395" t="n">
        <v>15</v>
      </c>
      <c r="U395" t="n">
        <v>0.5</v>
      </c>
      <c r="V395" t="n">
        <v>1000</v>
      </c>
      <c r="W395" t="n">
        <v>4710</v>
      </c>
      <c r="X395" t="n">
        <v>1</v>
      </c>
      <c r="Y395" t="n">
        <v>2006</v>
      </c>
      <c r="Z395" t="n">
        <v>1</v>
      </c>
      <c r="AA395" t="n">
        <v>0.03</v>
      </c>
    </row>
    <row r="396">
      <c r="A396" t="n">
        <v>1394</v>
      </c>
      <c r="B396" t="inlineStr">
        <is>
          <t>40065,40081,40055,40079</t>
        </is>
      </c>
      <c r="C396" t="n">
        <v>150</v>
      </c>
      <c r="D3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6" t="n">
        <v>1</v>
      </c>
      <c r="F396" t="n">
        <v>0.123</v>
      </c>
      <c r="G396" t="n">
        <v>8001</v>
      </c>
      <c r="H396" t="n">
        <v>300</v>
      </c>
      <c r="I396" t="n">
        <v>1</v>
      </c>
      <c r="J396" t="n">
        <v>8000</v>
      </c>
      <c r="K396" t="n">
        <v>455</v>
      </c>
      <c r="L396" t="n">
        <v>1</v>
      </c>
      <c r="M396" t="n">
        <v>2007</v>
      </c>
      <c r="N396" t="n">
        <v>1</v>
      </c>
      <c r="O396" t="n">
        <v>0.05</v>
      </c>
      <c r="P396" t="n">
        <v>9000</v>
      </c>
      <c r="Q396" t="n">
        <v>112</v>
      </c>
      <c r="R396" t="n">
        <v>1</v>
      </c>
      <c r="S396" t="inlineStr">
        <is>
          <t>2001,2002</t>
        </is>
      </c>
      <c r="T396" t="n">
        <v>15</v>
      </c>
      <c r="U396" t="n">
        <v>0.5</v>
      </c>
      <c r="V396" t="n">
        <v>1000</v>
      </c>
      <c r="W396" t="n">
        <v>4725</v>
      </c>
      <c r="X396" t="n">
        <v>1</v>
      </c>
      <c r="Y396" t="n">
        <v>2006</v>
      </c>
      <c r="Z396" t="n">
        <v>1</v>
      </c>
      <c r="AA396" t="n">
        <v>0.03</v>
      </c>
    </row>
    <row r="397">
      <c r="A397" t="n">
        <v>1395</v>
      </c>
      <c r="B397" t="inlineStr">
        <is>
          <t>40080,40055,40079</t>
        </is>
      </c>
      <c r="C397" t="n">
        <v>150</v>
      </c>
      <c r="D3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7" t="n">
        <v>1</v>
      </c>
      <c r="F397" t="n">
        <v>0.123</v>
      </c>
      <c r="G397" t="n">
        <v>8001</v>
      </c>
      <c r="H397" t="n">
        <v>305</v>
      </c>
      <c r="I397" t="n">
        <v>1</v>
      </c>
      <c r="J397" t="n">
        <v>8000</v>
      </c>
      <c r="K397" t="n">
        <v>455</v>
      </c>
      <c r="L397" t="n">
        <v>1</v>
      </c>
      <c r="M397" t="n">
        <v>2007</v>
      </c>
      <c r="N397" t="n">
        <v>1</v>
      </c>
      <c r="O397" t="n">
        <v>0.05</v>
      </c>
      <c r="P397" t="n">
        <v>9000</v>
      </c>
      <c r="Q397" t="n">
        <v>112</v>
      </c>
      <c r="R397" t="n">
        <v>1</v>
      </c>
      <c r="S397" t="inlineStr">
        <is>
          <t>2001,2002</t>
        </is>
      </c>
      <c r="T397" t="n">
        <v>15</v>
      </c>
      <c r="U397" t="n">
        <v>0.5</v>
      </c>
      <c r="V397" t="n">
        <v>1000</v>
      </c>
      <c r="W397" t="n">
        <v>4735</v>
      </c>
      <c r="X397" t="n">
        <v>1</v>
      </c>
      <c r="Y397" t="n">
        <v>2006</v>
      </c>
      <c r="Z397" t="n">
        <v>1</v>
      </c>
      <c r="AA397" t="n">
        <v>0.03</v>
      </c>
    </row>
    <row r="398">
      <c r="A398" t="n">
        <v>1396</v>
      </c>
      <c r="B398" t="inlineStr">
        <is>
          <t>40081,40055,40065</t>
        </is>
      </c>
      <c r="C398" t="n">
        <v>150</v>
      </c>
      <c r="D3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8" t="n">
        <v>1</v>
      </c>
      <c r="F398" t="n">
        <v>0.123</v>
      </c>
      <c r="G398" t="n">
        <v>8001</v>
      </c>
      <c r="H398" t="n">
        <v>305</v>
      </c>
      <c r="I398" t="n">
        <v>1</v>
      </c>
      <c r="J398" t="n">
        <v>8000</v>
      </c>
      <c r="K398" t="n">
        <v>455</v>
      </c>
      <c r="L398" t="n">
        <v>1</v>
      </c>
      <c r="M398" t="n">
        <v>2007</v>
      </c>
      <c r="N398" t="n">
        <v>1</v>
      </c>
      <c r="O398" t="n">
        <v>0.05</v>
      </c>
      <c r="P398" t="n">
        <v>9000</v>
      </c>
      <c r="Q398" t="n">
        <v>113</v>
      </c>
      <c r="R398" t="n">
        <v>1</v>
      </c>
      <c r="S398" t="inlineStr">
        <is>
          <t>2001,2002</t>
        </is>
      </c>
      <c r="T398" t="n">
        <v>15</v>
      </c>
      <c r="U398" t="n">
        <v>0.5</v>
      </c>
      <c r="V398" t="n">
        <v>1000</v>
      </c>
      <c r="W398" t="n">
        <v>4750</v>
      </c>
      <c r="X398" t="n">
        <v>1</v>
      </c>
      <c r="Y398" t="n">
        <v>2006</v>
      </c>
      <c r="Z398" t="n">
        <v>1</v>
      </c>
      <c r="AA398" t="n">
        <v>0.03</v>
      </c>
    </row>
    <row r="399">
      <c r="A399" t="n">
        <v>1397</v>
      </c>
      <c r="B399" t="inlineStr">
        <is>
          <t>40055,40081,40080,40065</t>
        </is>
      </c>
      <c r="C399" t="n">
        <v>150</v>
      </c>
      <c r="D3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9" t="n">
        <v>1</v>
      </c>
      <c r="F399" t="n">
        <v>0.124</v>
      </c>
      <c r="G399" t="n">
        <v>8001</v>
      </c>
      <c r="H399" t="n">
        <v>305</v>
      </c>
      <c r="I399" t="n">
        <v>1</v>
      </c>
      <c r="J399" t="n">
        <v>8000</v>
      </c>
      <c r="K399" t="n">
        <v>455</v>
      </c>
      <c r="L399" t="n">
        <v>1</v>
      </c>
      <c r="M399" t="n">
        <v>2007</v>
      </c>
      <c r="N399" t="n">
        <v>1</v>
      </c>
      <c r="O399" t="n">
        <v>0.05</v>
      </c>
      <c r="P399" t="n">
        <v>9000</v>
      </c>
      <c r="Q399" t="n">
        <v>113</v>
      </c>
      <c r="R399" t="n">
        <v>1</v>
      </c>
      <c r="S399" t="inlineStr">
        <is>
          <t>2001,2002</t>
        </is>
      </c>
      <c r="T399" t="n">
        <v>15</v>
      </c>
      <c r="U399" t="n">
        <v>0.5</v>
      </c>
      <c r="V399" t="n">
        <v>1000</v>
      </c>
      <c r="W399" t="n">
        <v>4760</v>
      </c>
      <c r="X399" t="n">
        <v>1</v>
      </c>
      <c r="Y399" t="n">
        <v>2006</v>
      </c>
      <c r="Z399" t="n">
        <v>1</v>
      </c>
      <c r="AA399" t="n">
        <v>0.03</v>
      </c>
    </row>
    <row r="400">
      <c r="A400" t="n">
        <v>1398</v>
      </c>
      <c r="B400" t="inlineStr">
        <is>
          <t>40079,40081,40065</t>
        </is>
      </c>
      <c r="C400" t="n">
        <v>150</v>
      </c>
      <c r="D4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0" t="n">
        <v>1</v>
      </c>
      <c r="F400" t="n">
        <v>0.124</v>
      </c>
      <c r="G400" t="n">
        <v>8001</v>
      </c>
      <c r="H400" t="n">
        <v>305</v>
      </c>
      <c r="I400" t="n">
        <v>1</v>
      </c>
      <c r="J400" t="n">
        <v>8000</v>
      </c>
      <c r="K400" t="n">
        <v>460</v>
      </c>
      <c r="L400" t="n">
        <v>1</v>
      </c>
      <c r="M400" t="n">
        <v>2007</v>
      </c>
      <c r="N400" t="n">
        <v>1</v>
      </c>
      <c r="O400" t="n">
        <v>0.05</v>
      </c>
      <c r="P400" t="n">
        <v>9000</v>
      </c>
      <c r="Q400" t="n">
        <v>113</v>
      </c>
      <c r="R400" t="n">
        <v>1</v>
      </c>
      <c r="S400" t="inlineStr">
        <is>
          <t>2001,2002</t>
        </is>
      </c>
      <c r="T400" t="n">
        <v>15</v>
      </c>
      <c r="U400" t="n">
        <v>0.5</v>
      </c>
      <c r="V400" t="n">
        <v>1000</v>
      </c>
      <c r="W400" t="n">
        <v>4775</v>
      </c>
      <c r="X400" t="n">
        <v>1</v>
      </c>
      <c r="Y400" t="n">
        <v>2006</v>
      </c>
      <c r="Z400" t="n">
        <v>1</v>
      </c>
      <c r="AA400" t="n">
        <v>0.03</v>
      </c>
    </row>
    <row r="401">
      <c r="A401" t="n">
        <v>1399</v>
      </c>
      <c r="B401" t="inlineStr">
        <is>
          <t>50012,40055,40081,40079,40080</t>
        </is>
      </c>
      <c r="C401" t="n">
        <v>150</v>
      </c>
      <c r="D4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1" t="n">
        <v>1</v>
      </c>
      <c r="F401" t="n">
        <v>0.124</v>
      </c>
      <c r="G401" t="n">
        <v>8001</v>
      </c>
      <c r="H401" t="n">
        <v>305</v>
      </c>
      <c r="I401" t="n">
        <v>1</v>
      </c>
      <c r="J401" t="n">
        <v>8000</v>
      </c>
      <c r="K401" t="n">
        <v>460</v>
      </c>
      <c r="L401" t="n">
        <v>1</v>
      </c>
      <c r="M401" t="n">
        <v>2007</v>
      </c>
      <c r="N401" t="n">
        <v>1</v>
      </c>
      <c r="O401" t="n">
        <v>0.05</v>
      </c>
      <c r="P401" t="n">
        <v>9000</v>
      </c>
      <c r="Q401" t="n">
        <v>114</v>
      </c>
      <c r="R401" t="n">
        <v>1</v>
      </c>
      <c r="S401" t="inlineStr">
        <is>
          <t>2001,2002</t>
        </is>
      </c>
      <c r="T401" t="n">
        <v>15</v>
      </c>
      <c r="U401" t="n">
        <v>0.5</v>
      </c>
      <c r="V401" t="n">
        <v>1000</v>
      </c>
      <c r="W401" t="n">
        <v>4785</v>
      </c>
      <c r="X401" t="n">
        <v>1</v>
      </c>
      <c r="Y401" t="n">
        <v>2006</v>
      </c>
      <c r="Z401" t="n">
        <v>1</v>
      </c>
      <c r="AA401" t="n">
        <v>0.03</v>
      </c>
    </row>
    <row r="402">
      <c r="A402" t="n">
        <v>1400</v>
      </c>
      <c r="B402" t="inlineStr">
        <is>
          <t>40059,40083</t>
        </is>
      </c>
      <c r="C402" t="n">
        <v>150</v>
      </c>
      <c r="D4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2" t="n">
        <v>1</v>
      </c>
      <c r="F402" t="n">
        <v>0.124</v>
      </c>
      <c r="G402" t="n">
        <v>8001</v>
      </c>
      <c r="H402" t="n">
        <v>305</v>
      </c>
      <c r="I402" t="n">
        <v>1</v>
      </c>
      <c r="J402" t="n">
        <v>8000</v>
      </c>
      <c r="K402" t="n">
        <v>460</v>
      </c>
      <c r="L402" t="n">
        <v>1</v>
      </c>
      <c r="M402" t="n">
        <v>2007</v>
      </c>
      <c r="N402" t="n">
        <v>1</v>
      </c>
      <c r="O402" t="n">
        <v>0.05</v>
      </c>
      <c r="P402" t="n">
        <v>9000</v>
      </c>
      <c r="Q402" t="n">
        <v>114</v>
      </c>
      <c r="R402" t="n">
        <v>1</v>
      </c>
      <c r="S402" t="inlineStr">
        <is>
          <t>2001,2002</t>
        </is>
      </c>
      <c r="T402" t="n">
        <v>15</v>
      </c>
      <c r="U402" t="n">
        <v>0.5</v>
      </c>
      <c r="V402" t="n">
        <v>1000</v>
      </c>
      <c r="W402" t="n">
        <v>4800</v>
      </c>
      <c r="X402" t="n">
        <v>1</v>
      </c>
      <c r="Y402" t="n">
        <v>2006</v>
      </c>
      <c r="Z402" t="n">
        <v>1</v>
      </c>
      <c r="AA402" t="n">
        <v>0.03</v>
      </c>
    </row>
    <row r="403">
      <c r="A403" t="n">
        <v>1401</v>
      </c>
      <c r="B403" t="inlineStr">
        <is>
          <t>40053</t>
        </is>
      </c>
      <c r="C403" t="n">
        <v>150</v>
      </c>
      <c r="D4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3" t="n">
        <v>1</v>
      </c>
      <c r="F403" t="n">
        <v>0.124</v>
      </c>
      <c r="G403" t="n">
        <v>8001</v>
      </c>
      <c r="H403" t="n">
        <v>310</v>
      </c>
      <c r="I403" t="n">
        <v>1</v>
      </c>
      <c r="J403" t="n">
        <v>8000</v>
      </c>
      <c r="K403" t="n">
        <v>460</v>
      </c>
      <c r="L403" t="n">
        <v>1</v>
      </c>
      <c r="M403" t="n">
        <v>2007</v>
      </c>
      <c r="N403" t="n">
        <v>1</v>
      </c>
      <c r="O403" t="n">
        <v>0.05</v>
      </c>
      <c r="P403" t="n">
        <v>9000</v>
      </c>
      <c r="Q403" t="n">
        <v>114</v>
      </c>
      <c r="R403" t="n">
        <v>1</v>
      </c>
      <c r="S403" t="inlineStr">
        <is>
          <t>2001,2002</t>
        </is>
      </c>
      <c r="T403" t="n">
        <v>15</v>
      </c>
      <c r="U403" t="n">
        <v>0.5</v>
      </c>
      <c r="V403" t="n">
        <v>1000</v>
      </c>
      <c r="W403" t="n">
        <v>4810</v>
      </c>
      <c r="X403" t="n">
        <v>1</v>
      </c>
      <c r="Y403" t="n">
        <v>2006</v>
      </c>
      <c r="Z403" t="n">
        <v>1</v>
      </c>
      <c r="AA403" t="n">
        <v>0.03</v>
      </c>
    </row>
    <row r="404">
      <c r="A404" t="n">
        <v>1402</v>
      </c>
      <c r="B404" t="inlineStr">
        <is>
          <t>40053,40083</t>
        </is>
      </c>
      <c r="C404" t="n">
        <v>150</v>
      </c>
      <c r="D4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4" t="n">
        <v>1</v>
      </c>
      <c r="F404" t="n">
        <v>0.125</v>
      </c>
      <c r="G404" t="n">
        <v>8001</v>
      </c>
      <c r="H404" t="n">
        <v>310</v>
      </c>
      <c r="I404" t="n">
        <v>1</v>
      </c>
      <c r="J404" t="n">
        <v>8000</v>
      </c>
      <c r="K404" t="n">
        <v>465</v>
      </c>
      <c r="L404" t="n">
        <v>1</v>
      </c>
      <c r="M404" t="n">
        <v>2007</v>
      </c>
      <c r="N404" t="n">
        <v>1</v>
      </c>
      <c r="O404" t="n">
        <v>0.05</v>
      </c>
      <c r="P404" t="n">
        <v>9000</v>
      </c>
      <c r="Q404" t="n">
        <v>115</v>
      </c>
      <c r="R404" t="n">
        <v>1</v>
      </c>
      <c r="S404" t="inlineStr">
        <is>
          <t>2001,2002</t>
        </is>
      </c>
      <c r="T404" t="n">
        <v>15</v>
      </c>
      <c r="U404" t="n">
        <v>0.5</v>
      </c>
      <c r="V404" t="n">
        <v>1000</v>
      </c>
      <c r="W404" t="n">
        <v>4825</v>
      </c>
      <c r="X404" t="n">
        <v>1</v>
      </c>
      <c r="Y404" t="n">
        <v>2006</v>
      </c>
      <c r="Z404" t="n">
        <v>1</v>
      </c>
      <c r="AA404" t="n">
        <v>0.03</v>
      </c>
    </row>
    <row r="405">
      <c r="A405" t="n">
        <v>1403</v>
      </c>
      <c r="B405" t="inlineStr">
        <is>
          <t>40059,40083</t>
        </is>
      </c>
      <c r="C405" t="n">
        <v>150</v>
      </c>
      <c r="D4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5" t="n">
        <v>1</v>
      </c>
      <c r="F405" t="n">
        <v>0.125</v>
      </c>
      <c r="G405" t="n">
        <v>8001</v>
      </c>
      <c r="H405" t="n">
        <v>310</v>
      </c>
      <c r="I405" t="n">
        <v>1</v>
      </c>
      <c r="J405" t="n">
        <v>8000</v>
      </c>
      <c r="K405" t="n">
        <v>465</v>
      </c>
      <c r="L405" t="n">
        <v>1</v>
      </c>
      <c r="M405" t="n">
        <v>2007</v>
      </c>
      <c r="N405" t="n">
        <v>1</v>
      </c>
      <c r="O405" t="n">
        <v>0.05</v>
      </c>
      <c r="P405" t="n">
        <v>9000</v>
      </c>
      <c r="Q405" t="n">
        <v>115</v>
      </c>
      <c r="R405" t="n">
        <v>1</v>
      </c>
      <c r="S405" t="inlineStr">
        <is>
          <t>2001,2002</t>
        </is>
      </c>
      <c r="T405" t="n">
        <v>15</v>
      </c>
      <c r="U405" t="n">
        <v>0.5</v>
      </c>
      <c r="V405" t="n">
        <v>1000</v>
      </c>
      <c r="W405" t="n">
        <v>4835</v>
      </c>
      <c r="X405" t="n">
        <v>1</v>
      </c>
      <c r="Y405" t="n">
        <v>2006</v>
      </c>
      <c r="Z405" t="n">
        <v>1</v>
      </c>
      <c r="AA405" t="n">
        <v>0.03</v>
      </c>
    </row>
    <row r="406">
      <c r="A406" t="n">
        <v>1404</v>
      </c>
      <c r="B406" t="inlineStr">
        <is>
          <t>40053,40083</t>
        </is>
      </c>
      <c r="C406" t="n">
        <v>150</v>
      </c>
      <c r="D4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6" t="n">
        <v>1</v>
      </c>
      <c r="F406" t="n">
        <v>0.125</v>
      </c>
      <c r="G406" t="n">
        <v>8001</v>
      </c>
      <c r="H406" t="n">
        <v>310</v>
      </c>
      <c r="I406" t="n">
        <v>1</v>
      </c>
      <c r="J406" t="n">
        <v>8000</v>
      </c>
      <c r="K406" t="n">
        <v>465</v>
      </c>
      <c r="L406" t="n">
        <v>1</v>
      </c>
      <c r="M406" t="n">
        <v>2007</v>
      </c>
      <c r="N406" t="n">
        <v>1</v>
      </c>
      <c r="O406" t="n">
        <v>0.05</v>
      </c>
      <c r="P406" t="n">
        <v>9000</v>
      </c>
      <c r="Q406" t="n">
        <v>115</v>
      </c>
      <c r="R406" t="n">
        <v>1</v>
      </c>
      <c r="S406" t="inlineStr">
        <is>
          <t>2001,2002</t>
        </is>
      </c>
      <c r="T406" t="n">
        <v>16</v>
      </c>
      <c r="U406" t="n">
        <v>0.5</v>
      </c>
      <c r="V406" t="n">
        <v>1000</v>
      </c>
      <c r="W406" t="n">
        <v>4850</v>
      </c>
      <c r="X406" t="n">
        <v>1</v>
      </c>
      <c r="Y406" t="n">
        <v>2006</v>
      </c>
      <c r="Z406" t="n">
        <v>1</v>
      </c>
      <c r="AA406" t="n">
        <v>0.03</v>
      </c>
    </row>
    <row r="407">
      <c r="A407" t="n">
        <v>1405</v>
      </c>
      <c r="B407" t="inlineStr">
        <is>
          <t>40053,40083</t>
        </is>
      </c>
      <c r="C407" t="n">
        <v>150</v>
      </c>
      <c r="D4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7" t="n">
        <v>1</v>
      </c>
      <c r="F407" t="n">
        <v>0.125</v>
      </c>
      <c r="G407" t="n">
        <v>8001</v>
      </c>
      <c r="H407" t="n">
        <v>310</v>
      </c>
      <c r="I407" t="n">
        <v>1</v>
      </c>
      <c r="J407" t="n">
        <v>8000</v>
      </c>
      <c r="K407" t="n">
        <v>465</v>
      </c>
      <c r="L407" t="n">
        <v>1</v>
      </c>
      <c r="M407" t="n">
        <v>2007</v>
      </c>
      <c r="N407" t="n">
        <v>1</v>
      </c>
      <c r="O407" t="n">
        <v>0.05</v>
      </c>
      <c r="P407" t="n">
        <v>9000</v>
      </c>
      <c r="Q407" t="n">
        <v>115</v>
      </c>
      <c r="R407" t="n">
        <v>1</v>
      </c>
      <c r="S407" t="inlineStr">
        <is>
          <t>2001,2002</t>
        </is>
      </c>
      <c r="T407" t="n">
        <v>16</v>
      </c>
      <c r="U407" t="n">
        <v>0.5</v>
      </c>
      <c r="V407" t="n">
        <v>1000</v>
      </c>
      <c r="W407" t="n">
        <v>4860</v>
      </c>
      <c r="X407" t="n">
        <v>1</v>
      </c>
      <c r="Y407" t="n">
        <v>2006</v>
      </c>
      <c r="Z407" t="n">
        <v>1</v>
      </c>
      <c r="AA407" t="n">
        <v>0.03</v>
      </c>
    </row>
    <row r="408">
      <c r="A408" t="n">
        <v>1406</v>
      </c>
      <c r="B408" t="inlineStr">
        <is>
          <t>40083,40059,40082</t>
        </is>
      </c>
      <c r="C408" t="n">
        <v>150</v>
      </c>
      <c r="D4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8" t="n">
        <v>1</v>
      </c>
      <c r="F408" t="n">
        <v>0.126</v>
      </c>
      <c r="G408" t="n">
        <v>8001</v>
      </c>
      <c r="H408" t="n">
        <v>310</v>
      </c>
      <c r="I408" t="n">
        <v>1</v>
      </c>
      <c r="J408" t="n">
        <v>8000</v>
      </c>
      <c r="K408" t="n">
        <v>470</v>
      </c>
      <c r="L408" t="n">
        <v>1</v>
      </c>
      <c r="M408" t="n">
        <v>2007</v>
      </c>
      <c r="N408" t="n">
        <v>1</v>
      </c>
      <c r="O408" t="n">
        <v>0.05</v>
      </c>
      <c r="P408" t="n">
        <v>9000</v>
      </c>
      <c r="Q408" t="n">
        <v>116</v>
      </c>
      <c r="R408" t="n">
        <v>1</v>
      </c>
      <c r="S408" t="inlineStr">
        <is>
          <t>2001,2002</t>
        </is>
      </c>
      <c r="T408" t="n">
        <v>16</v>
      </c>
      <c r="U408" t="n">
        <v>0.5</v>
      </c>
      <c r="V408" t="n">
        <v>1000</v>
      </c>
      <c r="W408" t="n">
        <v>4875</v>
      </c>
      <c r="X408" t="n">
        <v>1</v>
      </c>
      <c r="Y408" t="n">
        <v>2006</v>
      </c>
      <c r="Z408" t="n">
        <v>1</v>
      </c>
      <c r="AA408" t="n">
        <v>0.03</v>
      </c>
    </row>
    <row r="409">
      <c r="A409" t="n">
        <v>1407</v>
      </c>
      <c r="B409" t="inlineStr">
        <is>
          <t>40082,40059</t>
        </is>
      </c>
      <c r="C409" t="n">
        <v>150</v>
      </c>
      <c r="D4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9" t="n">
        <v>1</v>
      </c>
      <c r="F409" t="n">
        <v>0.126</v>
      </c>
      <c r="G409" t="n">
        <v>8001</v>
      </c>
      <c r="H409" t="n">
        <v>315</v>
      </c>
      <c r="I409" t="n">
        <v>1</v>
      </c>
      <c r="J409" t="n">
        <v>8000</v>
      </c>
      <c r="K409" t="n">
        <v>470</v>
      </c>
      <c r="L409" t="n">
        <v>1</v>
      </c>
      <c r="M409" t="n">
        <v>2007</v>
      </c>
      <c r="N409" t="n">
        <v>1</v>
      </c>
      <c r="O409" t="n">
        <v>0.05</v>
      </c>
      <c r="P409" t="n">
        <v>9000</v>
      </c>
      <c r="Q409" t="n">
        <v>116</v>
      </c>
      <c r="R409" t="n">
        <v>1</v>
      </c>
      <c r="S409" t="inlineStr">
        <is>
          <t>2001,2002</t>
        </is>
      </c>
      <c r="T409" t="n">
        <v>16</v>
      </c>
      <c r="U409" t="n">
        <v>0.5</v>
      </c>
      <c r="V409" t="n">
        <v>1000</v>
      </c>
      <c r="W409" t="n">
        <v>4885</v>
      </c>
      <c r="X409" t="n">
        <v>1</v>
      </c>
      <c r="Y409" t="n">
        <v>2006</v>
      </c>
      <c r="Z409" t="n">
        <v>1</v>
      </c>
      <c r="AA409" t="n">
        <v>0.03</v>
      </c>
    </row>
    <row r="410">
      <c r="A410" t="n">
        <v>1408</v>
      </c>
      <c r="B410" t="inlineStr">
        <is>
          <t>40059,40058</t>
        </is>
      </c>
      <c r="C410" t="n">
        <v>150</v>
      </c>
      <c r="D4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0" t="n">
        <v>1</v>
      </c>
      <c r="F410" t="n">
        <v>0.126</v>
      </c>
      <c r="G410" t="n">
        <v>8001</v>
      </c>
      <c r="H410" t="n">
        <v>315</v>
      </c>
      <c r="I410" t="n">
        <v>1</v>
      </c>
      <c r="J410" t="n">
        <v>8000</v>
      </c>
      <c r="K410" t="n">
        <v>470</v>
      </c>
      <c r="L410" t="n">
        <v>1</v>
      </c>
      <c r="M410" t="n">
        <v>2007</v>
      </c>
      <c r="N410" t="n">
        <v>1</v>
      </c>
      <c r="O410" t="n">
        <v>0.05</v>
      </c>
      <c r="P410" t="n">
        <v>9000</v>
      </c>
      <c r="Q410" t="n">
        <v>116</v>
      </c>
      <c r="R410" t="n">
        <v>1</v>
      </c>
      <c r="S410" t="inlineStr">
        <is>
          <t>2001,2002</t>
        </is>
      </c>
      <c r="T410" t="n">
        <v>16</v>
      </c>
      <c r="U410" t="n">
        <v>0.5</v>
      </c>
      <c r="V410" t="n">
        <v>1000</v>
      </c>
      <c r="W410" t="n">
        <v>4900</v>
      </c>
      <c r="X410" t="n">
        <v>1</v>
      </c>
      <c r="Y410" t="n">
        <v>2006</v>
      </c>
      <c r="Z410" t="n">
        <v>1</v>
      </c>
      <c r="AA410" t="n">
        <v>0.03</v>
      </c>
    </row>
    <row r="411">
      <c r="A411" t="n">
        <v>1409</v>
      </c>
      <c r="B411" t="inlineStr">
        <is>
          <t>40059,40058,40083</t>
        </is>
      </c>
      <c r="C411" t="n">
        <v>150</v>
      </c>
      <c r="D4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1" t="n">
        <v>1</v>
      </c>
      <c r="F411" t="n">
        <v>0.126</v>
      </c>
      <c r="G411" t="n">
        <v>8001</v>
      </c>
      <c r="H411" t="n">
        <v>315</v>
      </c>
      <c r="I411" t="n">
        <v>1</v>
      </c>
      <c r="J411" t="n">
        <v>8000</v>
      </c>
      <c r="K411" t="n">
        <v>470</v>
      </c>
      <c r="L411" t="n">
        <v>1</v>
      </c>
      <c r="M411" t="n">
        <v>2007</v>
      </c>
      <c r="N411" t="n">
        <v>1</v>
      </c>
      <c r="O411" t="n">
        <v>0.05</v>
      </c>
      <c r="P411" t="n">
        <v>9000</v>
      </c>
      <c r="Q411" t="n">
        <v>117</v>
      </c>
      <c r="R411" t="n">
        <v>1</v>
      </c>
      <c r="S411" t="inlineStr">
        <is>
          <t>2001,2002</t>
        </is>
      </c>
      <c r="T411" t="n">
        <v>16</v>
      </c>
      <c r="U411" t="n">
        <v>0.5</v>
      </c>
      <c r="V411" t="n">
        <v>1000</v>
      </c>
      <c r="W411" t="n">
        <v>4910</v>
      </c>
      <c r="X411" t="n">
        <v>1</v>
      </c>
      <c r="Y411" t="n">
        <v>2006</v>
      </c>
      <c r="Z411" t="n">
        <v>1</v>
      </c>
      <c r="AA411" t="n">
        <v>0.03</v>
      </c>
    </row>
    <row r="412">
      <c r="A412" t="n">
        <v>1410</v>
      </c>
      <c r="B412" t="inlineStr">
        <is>
          <t>40058,40083</t>
        </is>
      </c>
      <c r="C412" t="n">
        <v>150</v>
      </c>
      <c r="D4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2" t="n">
        <v>1</v>
      </c>
      <c r="F412" t="n">
        <v>0.126</v>
      </c>
      <c r="G412" t="n">
        <v>8001</v>
      </c>
      <c r="H412" t="n">
        <v>315</v>
      </c>
      <c r="I412" t="n">
        <v>1</v>
      </c>
      <c r="J412" t="n">
        <v>8000</v>
      </c>
      <c r="K412" t="n">
        <v>475</v>
      </c>
      <c r="L412" t="n">
        <v>1</v>
      </c>
      <c r="M412" t="n">
        <v>2007</v>
      </c>
      <c r="N412" t="n">
        <v>1</v>
      </c>
      <c r="O412" t="n">
        <v>0.05</v>
      </c>
      <c r="P412" t="n">
        <v>9000</v>
      </c>
      <c r="Q412" t="n">
        <v>117</v>
      </c>
      <c r="R412" t="n">
        <v>1</v>
      </c>
      <c r="S412" t="inlineStr">
        <is>
          <t>2001,2002</t>
        </is>
      </c>
      <c r="T412" t="n">
        <v>16</v>
      </c>
      <c r="U412" t="n">
        <v>0.5</v>
      </c>
      <c r="V412" t="n">
        <v>1000</v>
      </c>
      <c r="W412" t="n">
        <v>4925</v>
      </c>
      <c r="X412" t="n">
        <v>1</v>
      </c>
      <c r="Y412" t="n">
        <v>2006</v>
      </c>
      <c r="Z412" t="n">
        <v>1</v>
      </c>
      <c r="AA412" t="n">
        <v>0.03</v>
      </c>
    </row>
    <row r="413">
      <c r="A413" t="n">
        <v>1411</v>
      </c>
      <c r="B413" t="inlineStr">
        <is>
          <t>40083,40059,40082</t>
        </is>
      </c>
      <c r="C413" t="n">
        <v>150</v>
      </c>
      <c r="D4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3" t="n">
        <v>1</v>
      </c>
      <c r="F413" t="n">
        <v>0.127</v>
      </c>
      <c r="G413" t="n">
        <v>8001</v>
      </c>
      <c r="H413" t="n">
        <v>315</v>
      </c>
      <c r="I413" t="n">
        <v>1</v>
      </c>
      <c r="J413" t="n">
        <v>8000</v>
      </c>
      <c r="K413" t="n">
        <v>475</v>
      </c>
      <c r="L413" t="n">
        <v>1</v>
      </c>
      <c r="M413" t="n">
        <v>2007</v>
      </c>
      <c r="N413" t="n">
        <v>1</v>
      </c>
      <c r="O413" t="n">
        <v>0.05</v>
      </c>
      <c r="P413" t="n">
        <v>9000</v>
      </c>
      <c r="Q413" t="n">
        <v>117</v>
      </c>
      <c r="R413" t="n">
        <v>1</v>
      </c>
      <c r="S413" t="inlineStr">
        <is>
          <t>2001,2002</t>
        </is>
      </c>
      <c r="T413" t="n">
        <v>16</v>
      </c>
      <c r="U413" t="n">
        <v>0.5</v>
      </c>
      <c r="V413" t="n">
        <v>1000</v>
      </c>
      <c r="W413" t="n">
        <v>4935</v>
      </c>
      <c r="X413" t="n">
        <v>1</v>
      </c>
      <c r="Y413" t="n">
        <v>2006</v>
      </c>
      <c r="Z413" t="n">
        <v>1</v>
      </c>
      <c r="AA413" t="n">
        <v>0.03</v>
      </c>
    </row>
    <row r="414">
      <c r="A414" t="n">
        <v>1412</v>
      </c>
      <c r="B414" t="inlineStr">
        <is>
          <t>40059,40082</t>
        </is>
      </c>
      <c r="C414" t="n">
        <v>150</v>
      </c>
      <c r="D4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4" t="n">
        <v>1</v>
      </c>
      <c r="F414" t="n">
        <v>0.127</v>
      </c>
      <c r="G414" t="n">
        <v>8001</v>
      </c>
      <c r="H414" t="n">
        <v>315</v>
      </c>
      <c r="I414" t="n">
        <v>1</v>
      </c>
      <c r="J414" t="n">
        <v>8000</v>
      </c>
      <c r="K414" t="n">
        <v>475</v>
      </c>
      <c r="L414" t="n">
        <v>1</v>
      </c>
      <c r="M414" t="n">
        <v>2007</v>
      </c>
      <c r="N414" t="n">
        <v>1</v>
      </c>
      <c r="O414" t="n">
        <v>0.05</v>
      </c>
      <c r="P414" t="n">
        <v>9000</v>
      </c>
      <c r="Q414" t="n">
        <v>118</v>
      </c>
      <c r="R414" t="n">
        <v>1</v>
      </c>
      <c r="S414" t="inlineStr">
        <is>
          <t>2001,2002</t>
        </is>
      </c>
      <c r="T414" t="n">
        <v>16</v>
      </c>
      <c r="U414" t="n">
        <v>0.5</v>
      </c>
      <c r="V414" t="n">
        <v>1000</v>
      </c>
      <c r="W414" t="n">
        <v>4950</v>
      </c>
      <c r="X414" t="n">
        <v>1</v>
      </c>
      <c r="Y414" t="n">
        <v>2006</v>
      </c>
      <c r="Z414" t="n">
        <v>1</v>
      </c>
      <c r="AA414" t="n">
        <v>0.03</v>
      </c>
    </row>
    <row r="415">
      <c r="A415" t="n">
        <v>1413</v>
      </c>
      <c r="B415" t="inlineStr">
        <is>
          <t>40053,40059</t>
        </is>
      </c>
      <c r="C415" t="n">
        <v>150</v>
      </c>
      <c r="D4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5" t="n">
        <v>1</v>
      </c>
      <c r="F415" t="n">
        <v>0.127</v>
      </c>
      <c r="G415" t="n">
        <v>8001</v>
      </c>
      <c r="H415" t="n">
        <v>315</v>
      </c>
      <c r="I415" t="n">
        <v>1</v>
      </c>
      <c r="J415" t="n">
        <v>8000</v>
      </c>
      <c r="K415" t="n">
        <v>475</v>
      </c>
      <c r="L415" t="n">
        <v>1</v>
      </c>
      <c r="M415" t="n">
        <v>2007</v>
      </c>
      <c r="N415" t="n">
        <v>1</v>
      </c>
      <c r="O415" t="n">
        <v>0.05</v>
      </c>
      <c r="P415" t="n">
        <v>9000</v>
      </c>
      <c r="Q415" t="n">
        <v>118</v>
      </c>
      <c r="R415" t="n">
        <v>1</v>
      </c>
      <c r="S415" t="inlineStr">
        <is>
          <t>2001,2002</t>
        </is>
      </c>
      <c r="T415" t="n">
        <v>16</v>
      </c>
      <c r="U415" t="n">
        <v>0.5</v>
      </c>
      <c r="V415" t="n">
        <v>1000</v>
      </c>
      <c r="W415" t="n">
        <v>4960</v>
      </c>
      <c r="X415" t="n">
        <v>1</v>
      </c>
      <c r="Y415" t="n">
        <v>2006</v>
      </c>
      <c r="Z415" t="n">
        <v>1</v>
      </c>
      <c r="AA415" t="n">
        <v>0.03</v>
      </c>
    </row>
    <row r="416">
      <c r="A416" t="n">
        <v>1414</v>
      </c>
      <c r="B416" t="inlineStr">
        <is>
          <t>40059,40083,40058</t>
        </is>
      </c>
      <c r="C416" t="n">
        <v>150</v>
      </c>
      <c r="D4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6" t="n">
        <v>1</v>
      </c>
      <c r="F416" t="n">
        <v>0.127</v>
      </c>
      <c r="G416" t="n">
        <v>8001</v>
      </c>
      <c r="H416" t="n">
        <v>320</v>
      </c>
      <c r="I416" t="n">
        <v>1</v>
      </c>
      <c r="J416" t="n">
        <v>8000</v>
      </c>
      <c r="K416" t="n">
        <v>475</v>
      </c>
      <c r="L416" t="n">
        <v>1</v>
      </c>
      <c r="M416" t="n">
        <v>2007</v>
      </c>
      <c r="N416" t="n">
        <v>1</v>
      </c>
      <c r="O416" t="n">
        <v>0.05</v>
      </c>
      <c r="P416" t="n">
        <v>9000</v>
      </c>
      <c r="Q416" t="n">
        <v>118</v>
      </c>
      <c r="R416" t="n">
        <v>1</v>
      </c>
      <c r="S416" t="inlineStr">
        <is>
          <t>2001,2002</t>
        </is>
      </c>
      <c r="T416" t="n">
        <v>16</v>
      </c>
      <c r="U416" t="n">
        <v>0.5</v>
      </c>
      <c r="V416" t="n">
        <v>1000</v>
      </c>
      <c r="W416" t="n">
        <v>4970</v>
      </c>
      <c r="X416" t="n">
        <v>1</v>
      </c>
      <c r="Y416" t="n">
        <v>2006</v>
      </c>
      <c r="Z416" t="n">
        <v>1</v>
      </c>
      <c r="AA416" t="n">
        <v>0.03</v>
      </c>
    </row>
    <row r="417">
      <c r="A417" t="n">
        <v>1415</v>
      </c>
      <c r="B417" t="inlineStr">
        <is>
          <t>40082,40053,40059</t>
        </is>
      </c>
      <c r="C417" t="n">
        <v>150</v>
      </c>
      <c r="D4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7" t="n">
        <v>1</v>
      </c>
      <c r="F417" t="n">
        <v>0.127</v>
      </c>
      <c r="G417" t="n">
        <v>8001</v>
      </c>
      <c r="H417" t="n">
        <v>320</v>
      </c>
      <c r="I417" t="n">
        <v>1</v>
      </c>
      <c r="J417" t="n">
        <v>8000</v>
      </c>
      <c r="K417" t="n">
        <v>480</v>
      </c>
      <c r="L417" t="n">
        <v>1</v>
      </c>
      <c r="M417" t="n">
        <v>2007</v>
      </c>
      <c r="N417" t="n">
        <v>1</v>
      </c>
      <c r="O417" t="n">
        <v>0.05</v>
      </c>
      <c r="P417" t="n">
        <v>9000</v>
      </c>
      <c r="Q417" t="n">
        <v>118</v>
      </c>
      <c r="R417" t="n">
        <v>1</v>
      </c>
      <c r="S417" t="inlineStr">
        <is>
          <t>2001,2002</t>
        </is>
      </c>
      <c r="T417" t="n">
        <v>16</v>
      </c>
      <c r="U417" t="n">
        <v>0.5</v>
      </c>
      <c r="V417" t="n">
        <v>1000</v>
      </c>
      <c r="W417" t="n">
        <v>4985</v>
      </c>
      <c r="X417" t="n">
        <v>1</v>
      </c>
      <c r="Y417" t="n">
        <v>2006</v>
      </c>
      <c r="Z417" t="n">
        <v>1</v>
      </c>
      <c r="AA417" t="n">
        <v>0.03</v>
      </c>
    </row>
    <row r="418">
      <c r="A418" t="n">
        <v>1416</v>
      </c>
      <c r="B418" t="inlineStr">
        <is>
          <t>40082,40058,40053</t>
        </is>
      </c>
      <c r="C418" t="n">
        <v>150</v>
      </c>
      <c r="D4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8" t="n">
        <v>1</v>
      </c>
      <c r="F418" t="n">
        <v>0.128</v>
      </c>
      <c r="G418" t="n">
        <v>8001</v>
      </c>
      <c r="H418" t="n">
        <v>320</v>
      </c>
      <c r="I418" t="n">
        <v>1</v>
      </c>
      <c r="J418" t="n">
        <v>8000</v>
      </c>
      <c r="K418" t="n">
        <v>480</v>
      </c>
      <c r="L418" t="n">
        <v>1</v>
      </c>
      <c r="M418" t="n">
        <v>2007</v>
      </c>
      <c r="N418" t="n">
        <v>1</v>
      </c>
      <c r="O418" t="n">
        <v>0.05</v>
      </c>
      <c r="P418" t="n">
        <v>9000</v>
      </c>
      <c r="Q418" t="n">
        <v>119</v>
      </c>
      <c r="R418" t="n">
        <v>1</v>
      </c>
      <c r="S418" t="inlineStr">
        <is>
          <t>2001,2002</t>
        </is>
      </c>
      <c r="T418" t="n">
        <v>16</v>
      </c>
      <c r="U418" t="n">
        <v>0.5</v>
      </c>
      <c r="V418" t="n">
        <v>1000</v>
      </c>
      <c r="W418" t="n">
        <v>4995</v>
      </c>
      <c r="X418" t="n">
        <v>1</v>
      </c>
      <c r="Y418" t="n">
        <v>2006</v>
      </c>
      <c r="Z418" t="n">
        <v>1</v>
      </c>
      <c r="AA418" t="n">
        <v>0.03</v>
      </c>
    </row>
    <row r="419">
      <c r="A419" t="n">
        <v>1417</v>
      </c>
      <c r="B419" t="inlineStr">
        <is>
          <t>40053,40058</t>
        </is>
      </c>
      <c r="C419" t="n">
        <v>150</v>
      </c>
      <c r="D4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9" t="n">
        <v>1</v>
      </c>
      <c r="F419" t="n">
        <v>0.128</v>
      </c>
      <c r="G419" t="n">
        <v>8001</v>
      </c>
      <c r="H419" t="n">
        <v>320</v>
      </c>
      <c r="I419" t="n">
        <v>1</v>
      </c>
      <c r="J419" t="n">
        <v>8000</v>
      </c>
      <c r="K419" t="n">
        <v>480</v>
      </c>
      <c r="L419" t="n">
        <v>1</v>
      </c>
      <c r="M419" t="n">
        <v>2007</v>
      </c>
      <c r="N419" t="n">
        <v>1</v>
      </c>
      <c r="O419" t="n">
        <v>0.05</v>
      </c>
      <c r="P419" t="n">
        <v>9000</v>
      </c>
      <c r="Q419" t="n">
        <v>119</v>
      </c>
      <c r="R419" t="n">
        <v>1</v>
      </c>
      <c r="S419" t="inlineStr">
        <is>
          <t>2001,2002</t>
        </is>
      </c>
      <c r="T419" t="n">
        <v>16</v>
      </c>
      <c r="U419" t="n">
        <v>0.5</v>
      </c>
      <c r="V419" t="n">
        <v>1000</v>
      </c>
      <c r="W419" t="n">
        <v>5010</v>
      </c>
      <c r="X419" t="n">
        <v>1</v>
      </c>
      <c r="Y419" t="n">
        <v>2006</v>
      </c>
      <c r="Z419" t="n">
        <v>1</v>
      </c>
      <c r="AA419" t="n">
        <v>0.03</v>
      </c>
    </row>
    <row r="420">
      <c r="A420" t="n">
        <v>1418</v>
      </c>
      <c r="B420" t="inlineStr">
        <is>
          <t>40053,40059,40083</t>
        </is>
      </c>
      <c r="C420" t="n">
        <v>150</v>
      </c>
      <c r="D4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0" t="n">
        <v>1</v>
      </c>
      <c r="F420" t="n">
        <v>0.128</v>
      </c>
      <c r="G420" t="n">
        <v>8001</v>
      </c>
      <c r="H420" t="n">
        <v>320</v>
      </c>
      <c r="I420" t="n">
        <v>1</v>
      </c>
      <c r="J420" t="n">
        <v>8000</v>
      </c>
      <c r="K420" t="n">
        <v>480</v>
      </c>
      <c r="L420" t="n">
        <v>1</v>
      </c>
      <c r="M420" t="n">
        <v>2007</v>
      </c>
      <c r="N420" t="n">
        <v>1</v>
      </c>
      <c r="O420" t="n">
        <v>0.05</v>
      </c>
      <c r="P420" t="n">
        <v>9000</v>
      </c>
      <c r="Q420" t="n">
        <v>119</v>
      </c>
      <c r="R420" t="n">
        <v>1</v>
      </c>
      <c r="S420" t="inlineStr">
        <is>
          <t>2001,2002</t>
        </is>
      </c>
      <c r="T420" t="n">
        <v>16</v>
      </c>
      <c r="U420" t="n">
        <v>0.5</v>
      </c>
      <c r="V420" t="n">
        <v>1000</v>
      </c>
      <c r="W420" t="n">
        <v>5020</v>
      </c>
      <c r="X420" t="n">
        <v>1</v>
      </c>
      <c r="Y420" t="n">
        <v>2006</v>
      </c>
      <c r="Z420" t="n">
        <v>1</v>
      </c>
      <c r="AA420" t="n">
        <v>0.03</v>
      </c>
    </row>
    <row r="421">
      <c r="A421" t="n">
        <v>1419</v>
      </c>
      <c r="B421" t="inlineStr">
        <is>
          <t>40059,40053,40083</t>
        </is>
      </c>
      <c r="C421" t="n">
        <v>150</v>
      </c>
      <c r="D4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1" t="n">
        <v>1</v>
      </c>
      <c r="F421" t="n">
        <v>0.128</v>
      </c>
      <c r="G421" t="n">
        <v>8001</v>
      </c>
      <c r="H421" t="n">
        <v>320</v>
      </c>
      <c r="I421" t="n">
        <v>1</v>
      </c>
      <c r="J421" t="n">
        <v>8000</v>
      </c>
      <c r="K421" t="n">
        <v>485</v>
      </c>
      <c r="L421" t="n">
        <v>1</v>
      </c>
      <c r="M421" t="n">
        <v>2007</v>
      </c>
      <c r="N421" t="n">
        <v>1</v>
      </c>
      <c r="O421" t="n">
        <v>0.05</v>
      </c>
      <c r="P421" t="n">
        <v>9000</v>
      </c>
      <c r="Q421" t="n">
        <v>120</v>
      </c>
      <c r="R421" t="n">
        <v>1</v>
      </c>
      <c r="S421" t="inlineStr">
        <is>
          <t>2001,2002</t>
        </is>
      </c>
      <c r="T421" t="n">
        <v>16</v>
      </c>
      <c r="U421" t="n">
        <v>0.5</v>
      </c>
      <c r="V421" t="n">
        <v>1000</v>
      </c>
      <c r="W421" t="n">
        <v>5030</v>
      </c>
      <c r="X421" t="n">
        <v>1</v>
      </c>
      <c r="Y421" t="n">
        <v>2006</v>
      </c>
      <c r="Z421" t="n">
        <v>1</v>
      </c>
      <c r="AA421" t="n">
        <v>0.03</v>
      </c>
    </row>
    <row r="422">
      <c r="A422" t="n">
        <v>1420</v>
      </c>
      <c r="B422" t="inlineStr">
        <is>
          <t>40058,40082,40059</t>
        </is>
      </c>
      <c r="C422" t="n">
        <v>150</v>
      </c>
      <c r="D4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2" t="n">
        <v>1</v>
      </c>
      <c r="F422" t="n">
        <v>0.129</v>
      </c>
      <c r="G422" t="n">
        <v>8001</v>
      </c>
      <c r="H422" t="n">
        <v>325</v>
      </c>
      <c r="I422" t="n">
        <v>1</v>
      </c>
      <c r="J422" t="n">
        <v>8000</v>
      </c>
      <c r="K422" t="n">
        <v>485</v>
      </c>
      <c r="L422" t="n">
        <v>1</v>
      </c>
      <c r="M422" t="n">
        <v>2007</v>
      </c>
      <c r="N422" t="n">
        <v>1</v>
      </c>
      <c r="O422" t="n">
        <v>0.05</v>
      </c>
      <c r="P422" t="n">
        <v>9000</v>
      </c>
      <c r="Q422" t="n">
        <v>120</v>
      </c>
      <c r="R422" t="n">
        <v>1</v>
      </c>
      <c r="S422" t="inlineStr">
        <is>
          <t>2001,2002</t>
        </is>
      </c>
      <c r="T422" t="n">
        <v>16</v>
      </c>
      <c r="U422" t="n">
        <v>0.5</v>
      </c>
      <c r="V422" t="n">
        <v>1000</v>
      </c>
      <c r="W422" t="n">
        <v>5045</v>
      </c>
      <c r="X422" t="n">
        <v>1</v>
      </c>
      <c r="Y422" t="n">
        <v>2006</v>
      </c>
      <c r="Z422" t="n">
        <v>1</v>
      </c>
      <c r="AA422" t="n">
        <v>0.03</v>
      </c>
    </row>
    <row r="423">
      <c r="A423" t="n">
        <v>1421</v>
      </c>
      <c r="B423" t="inlineStr">
        <is>
          <t>40053,40059,40082</t>
        </is>
      </c>
      <c r="C423" t="n">
        <v>150</v>
      </c>
      <c r="D4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3" t="n">
        <v>1</v>
      </c>
      <c r="F423" t="n">
        <v>0.129</v>
      </c>
      <c r="G423" t="n">
        <v>8001</v>
      </c>
      <c r="H423" t="n">
        <v>325</v>
      </c>
      <c r="I423" t="n">
        <v>1</v>
      </c>
      <c r="J423" t="n">
        <v>8000</v>
      </c>
      <c r="K423" t="n">
        <v>485</v>
      </c>
      <c r="L423" t="n">
        <v>1</v>
      </c>
      <c r="M423" t="n">
        <v>2007</v>
      </c>
      <c r="N423" t="n">
        <v>1</v>
      </c>
      <c r="O423" t="n">
        <v>0.05</v>
      </c>
      <c r="P423" t="n">
        <v>9000</v>
      </c>
      <c r="Q423" t="n">
        <v>120</v>
      </c>
      <c r="R423" t="n">
        <v>1</v>
      </c>
      <c r="S423" t="inlineStr">
        <is>
          <t>2001,2002</t>
        </is>
      </c>
      <c r="T423" t="n">
        <v>16</v>
      </c>
      <c r="U423" t="n">
        <v>0.5</v>
      </c>
      <c r="V423" t="n">
        <v>1000</v>
      </c>
      <c r="W423" t="n">
        <v>5055</v>
      </c>
      <c r="X423" t="n">
        <v>1</v>
      </c>
      <c r="Y423" t="n">
        <v>2006</v>
      </c>
      <c r="Z423" t="n">
        <v>1</v>
      </c>
      <c r="AA423" t="n">
        <v>0.03</v>
      </c>
    </row>
    <row r="424">
      <c r="A424" t="n">
        <v>1422</v>
      </c>
      <c r="B424" t="inlineStr">
        <is>
          <t>40082,40053,40083</t>
        </is>
      </c>
      <c r="C424" t="n">
        <v>150</v>
      </c>
      <c r="D4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4" t="n">
        <v>1</v>
      </c>
      <c r="F424" t="n">
        <v>0.129</v>
      </c>
      <c r="G424" t="n">
        <v>8001</v>
      </c>
      <c r="H424" t="n">
        <v>325</v>
      </c>
      <c r="I424" t="n">
        <v>1</v>
      </c>
      <c r="J424" t="n">
        <v>8000</v>
      </c>
      <c r="K424" t="n">
        <v>485</v>
      </c>
      <c r="L424" t="n">
        <v>1</v>
      </c>
      <c r="M424" t="n">
        <v>2007</v>
      </c>
      <c r="N424" t="n">
        <v>1</v>
      </c>
      <c r="O424" t="n">
        <v>0.05</v>
      </c>
      <c r="P424" t="n">
        <v>9000</v>
      </c>
      <c r="Q424" t="n">
        <v>121</v>
      </c>
      <c r="R424" t="n">
        <v>1</v>
      </c>
      <c r="S424" t="inlineStr">
        <is>
          <t>2001,2002</t>
        </is>
      </c>
      <c r="T424" t="n">
        <v>16</v>
      </c>
      <c r="U424" t="n">
        <v>0.5</v>
      </c>
      <c r="V424" t="n">
        <v>1000</v>
      </c>
      <c r="W424" t="n">
        <v>5065</v>
      </c>
      <c r="X424" t="n">
        <v>1</v>
      </c>
      <c r="Y424" t="n">
        <v>2006</v>
      </c>
      <c r="Z424" t="n">
        <v>1</v>
      </c>
      <c r="AA424" t="n">
        <v>0.03</v>
      </c>
    </row>
    <row r="425">
      <c r="A425" t="n">
        <v>1423</v>
      </c>
      <c r="B425" t="inlineStr">
        <is>
          <t>40083,40082</t>
        </is>
      </c>
      <c r="C425" t="n">
        <v>150</v>
      </c>
      <c r="D4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5" t="n">
        <v>1</v>
      </c>
      <c r="F425" t="n">
        <v>0.129</v>
      </c>
      <c r="G425" t="n">
        <v>8001</v>
      </c>
      <c r="H425" t="n">
        <v>325</v>
      </c>
      <c r="I425" t="n">
        <v>1</v>
      </c>
      <c r="J425" t="n">
        <v>8000</v>
      </c>
      <c r="K425" t="n">
        <v>490</v>
      </c>
      <c r="L425" t="n">
        <v>1</v>
      </c>
      <c r="M425" t="n">
        <v>2007</v>
      </c>
      <c r="N425" t="n">
        <v>1</v>
      </c>
      <c r="O425" t="n">
        <v>0.05</v>
      </c>
      <c r="P425" t="n">
        <v>9000</v>
      </c>
      <c r="Q425" t="n">
        <v>121</v>
      </c>
      <c r="R425" t="n">
        <v>1</v>
      </c>
      <c r="S425" t="inlineStr">
        <is>
          <t>2001,2002</t>
        </is>
      </c>
      <c r="T425" t="n">
        <v>16</v>
      </c>
      <c r="U425" t="n">
        <v>0.5</v>
      </c>
      <c r="V425" t="n">
        <v>1000</v>
      </c>
      <c r="W425" t="n">
        <v>5080</v>
      </c>
      <c r="X425" t="n">
        <v>1</v>
      </c>
      <c r="Y425" t="n">
        <v>2006</v>
      </c>
      <c r="Z425" t="n">
        <v>1</v>
      </c>
      <c r="AA425" t="n">
        <v>0.03</v>
      </c>
    </row>
    <row r="426">
      <c r="A426" t="n">
        <v>1424</v>
      </c>
      <c r="B426" t="inlineStr">
        <is>
          <t>40059,40083,40058</t>
        </is>
      </c>
      <c r="C426" t="n">
        <v>150</v>
      </c>
      <c r="D4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6" t="n">
        <v>1</v>
      </c>
      <c r="F426" t="n">
        <v>0.129</v>
      </c>
      <c r="G426" t="n">
        <v>8001</v>
      </c>
      <c r="H426" t="n">
        <v>325</v>
      </c>
      <c r="I426" t="n">
        <v>1</v>
      </c>
      <c r="J426" t="n">
        <v>8000</v>
      </c>
      <c r="K426" t="n">
        <v>490</v>
      </c>
      <c r="L426" t="n">
        <v>1</v>
      </c>
      <c r="M426" t="n">
        <v>2007</v>
      </c>
      <c r="N426" t="n">
        <v>1</v>
      </c>
      <c r="O426" t="n">
        <v>0.05</v>
      </c>
      <c r="P426" t="n">
        <v>9000</v>
      </c>
      <c r="Q426" t="n">
        <v>121</v>
      </c>
      <c r="R426" t="n">
        <v>1</v>
      </c>
      <c r="S426" t="inlineStr">
        <is>
          <t>2001,2002</t>
        </is>
      </c>
      <c r="T426" t="n">
        <v>16</v>
      </c>
      <c r="U426" t="n">
        <v>0.5</v>
      </c>
      <c r="V426" t="n">
        <v>1000</v>
      </c>
      <c r="W426" t="n">
        <v>5090</v>
      </c>
      <c r="X426" t="n">
        <v>1</v>
      </c>
      <c r="Y426" t="n">
        <v>2006</v>
      </c>
      <c r="Z426" t="n">
        <v>1</v>
      </c>
      <c r="AA426" t="n">
        <v>0.03</v>
      </c>
    </row>
    <row r="427">
      <c r="A427" t="n">
        <v>1425</v>
      </c>
      <c r="B427" t="inlineStr">
        <is>
          <t>40053,40059,40083</t>
        </is>
      </c>
      <c r="C427" t="n">
        <v>150</v>
      </c>
      <c r="D4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7" t="n">
        <v>1</v>
      </c>
      <c r="F427" t="n">
        <v>0.13</v>
      </c>
      <c r="G427" t="n">
        <v>8001</v>
      </c>
      <c r="H427" t="n">
        <v>325</v>
      </c>
      <c r="I427" t="n">
        <v>1</v>
      </c>
      <c r="J427" t="n">
        <v>8000</v>
      </c>
      <c r="K427" t="n">
        <v>490</v>
      </c>
      <c r="L427" t="n">
        <v>1</v>
      </c>
      <c r="M427" t="n">
        <v>2007</v>
      </c>
      <c r="N427" t="n">
        <v>1</v>
      </c>
      <c r="O427" t="n">
        <v>0.05</v>
      </c>
      <c r="P427" t="n">
        <v>9000</v>
      </c>
      <c r="Q427" t="n">
        <v>121</v>
      </c>
      <c r="R427" t="n">
        <v>1</v>
      </c>
      <c r="S427" t="inlineStr">
        <is>
          <t>2001,2002</t>
        </is>
      </c>
      <c r="T427" t="n">
        <v>16</v>
      </c>
      <c r="U427" t="n">
        <v>0.5</v>
      </c>
      <c r="V427" t="n">
        <v>1000</v>
      </c>
      <c r="W427" t="n">
        <v>5100</v>
      </c>
      <c r="X427" t="n">
        <v>1</v>
      </c>
      <c r="Y427" t="n">
        <v>2006</v>
      </c>
      <c r="Z427" t="n">
        <v>1</v>
      </c>
      <c r="AA427" t="n">
        <v>0.03</v>
      </c>
    </row>
    <row r="428">
      <c r="A428" t="n">
        <v>1426</v>
      </c>
      <c r="B428" t="inlineStr">
        <is>
          <t>40059,40058,40083,40053</t>
        </is>
      </c>
      <c r="C428" t="n">
        <v>150</v>
      </c>
      <c r="D4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8" t="n">
        <v>1</v>
      </c>
      <c r="F428" t="n">
        <v>0.13</v>
      </c>
      <c r="G428" t="n">
        <v>8001</v>
      </c>
      <c r="H428" t="n">
        <v>325</v>
      </c>
      <c r="I428" t="n">
        <v>1</v>
      </c>
      <c r="J428" t="n">
        <v>8000</v>
      </c>
      <c r="K428" t="n">
        <v>490</v>
      </c>
      <c r="L428" t="n">
        <v>1</v>
      </c>
      <c r="M428" t="n">
        <v>2007</v>
      </c>
      <c r="N428" t="n">
        <v>1</v>
      </c>
      <c r="O428" t="n">
        <v>0.05</v>
      </c>
      <c r="P428" t="n">
        <v>9000</v>
      </c>
      <c r="Q428" t="n">
        <v>122</v>
      </c>
      <c r="R428" t="n">
        <v>1</v>
      </c>
      <c r="S428" t="inlineStr">
        <is>
          <t>2001,2002</t>
        </is>
      </c>
      <c r="T428" t="n">
        <v>16</v>
      </c>
      <c r="U428" t="n">
        <v>0.5</v>
      </c>
      <c r="V428" t="n">
        <v>1000</v>
      </c>
      <c r="W428" t="n">
        <v>5115</v>
      </c>
      <c r="X428" t="n">
        <v>1</v>
      </c>
      <c r="Y428" t="n">
        <v>2006</v>
      </c>
      <c r="Z428" t="n">
        <v>1</v>
      </c>
      <c r="AA428" t="n">
        <v>0.03</v>
      </c>
    </row>
    <row r="429">
      <c r="A429" t="n">
        <v>1427</v>
      </c>
      <c r="B429" t="inlineStr">
        <is>
          <t>40082,40083,40059,40058</t>
        </is>
      </c>
      <c r="C429" t="n">
        <v>150</v>
      </c>
      <c r="D4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9" t="n">
        <v>1</v>
      </c>
      <c r="F429" t="n">
        <v>0.13</v>
      </c>
      <c r="G429" t="n">
        <v>8001</v>
      </c>
      <c r="H429" t="n">
        <v>330</v>
      </c>
      <c r="I429" t="n">
        <v>1</v>
      </c>
      <c r="J429" t="n">
        <v>8000</v>
      </c>
      <c r="K429" t="n">
        <v>490</v>
      </c>
      <c r="L429" t="n">
        <v>1</v>
      </c>
      <c r="M429" t="n">
        <v>2007</v>
      </c>
      <c r="N429" t="n">
        <v>1</v>
      </c>
      <c r="O429" t="n">
        <v>0.05</v>
      </c>
      <c r="P429" t="n">
        <v>9000</v>
      </c>
      <c r="Q429" t="n">
        <v>122</v>
      </c>
      <c r="R429" t="n">
        <v>1</v>
      </c>
      <c r="S429" t="inlineStr">
        <is>
          <t>2001,2002</t>
        </is>
      </c>
      <c r="T429" t="n">
        <v>16</v>
      </c>
      <c r="U429" t="n">
        <v>0.5</v>
      </c>
      <c r="V429" t="n">
        <v>1000</v>
      </c>
      <c r="W429" t="n">
        <v>5125</v>
      </c>
      <c r="X429" t="n">
        <v>1</v>
      </c>
      <c r="Y429" t="n">
        <v>2006</v>
      </c>
      <c r="Z429" t="n">
        <v>1</v>
      </c>
      <c r="AA429" t="n">
        <v>0.03</v>
      </c>
    </row>
    <row r="430">
      <c r="A430" t="n">
        <v>1428</v>
      </c>
      <c r="B430" t="inlineStr">
        <is>
          <t>40059,40053,40083,40058</t>
        </is>
      </c>
      <c r="C430" t="n">
        <v>150</v>
      </c>
      <c r="D4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0" t="n">
        <v>1</v>
      </c>
      <c r="F430" t="n">
        <v>0.13</v>
      </c>
      <c r="G430" t="n">
        <v>8001</v>
      </c>
      <c r="H430" t="n">
        <v>330</v>
      </c>
      <c r="I430" t="n">
        <v>1</v>
      </c>
      <c r="J430" t="n">
        <v>8000</v>
      </c>
      <c r="K430" t="n">
        <v>495</v>
      </c>
      <c r="L430" t="n">
        <v>1</v>
      </c>
      <c r="M430" t="n">
        <v>2007</v>
      </c>
      <c r="N430" t="n">
        <v>1</v>
      </c>
      <c r="O430" t="n">
        <v>0.05</v>
      </c>
      <c r="P430" t="n">
        <v>9000</v>
      </c>
      <c r="Q430" t="n">
        <v>122</v>
      </c>
      <c r="R430" t="n">
        <v>1</v>
      </c>
      <c r="S430" t="inlineStr">
        <is>
          <t>2001,2002</t>
        </is>
      </c>
      <c r="T430" t="n">
        <v>16</v>
      </c>
      <c r="U430" t="n">
        <v>0.5</v>
      </c>
      <c r="V430" t="n">
        <v>1000</v>
      </c>
      <c r="W430" t="n">
        <v>5135</v>
      </c>
      <c r="X430" t="n">
        <v>1</v>
      </c>
      <c r="Y430" t="n">
        <v>2006</v>
      </c>
      <c r="Z430" t="n">
        <v>1</v>
      </c>
      <c r="AA430" t="n">
        <v>0.03</v>
      </c>
    </row>
    <row r="431">
      <c r="A431" t="n">
        <v>1429</v>
      </c>
      <c r="B431" t="inlineStr">
        <is>
          <t>40053,40083,40082</t>
        </is>
      </c>
      <c r="C431" t="n">
        <v>150</v>
      </c>
      <c r="D4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1" t="n">
        <v>1</v>
      </c>
      <c r="F431" t="n">
        <v>0.13</v>
      </c>
      <c r="G431" t="n">
        <v>8001</v>
      </c>
      <c r="H431" t="n">
        <v>330</v>
      </c>
      <c r="I431" t="n">
        <v>1</v>
      </c>
      <c r="J431" t="n">
        <v>8000</v>
      </c>
      <c r="K431" t="n">
        <v>495</v>
      </c>
      <c r="L431" t="n">
        <v>1</v>
      </c>
      <c r="M431" t="n">
        <v>2007</v>
      </c>
      <c r="N431" t="n">
        <v>1</v>
      </c>
      <c r="O431" t="n">
        <v>0.05</v>
      </c>
      <c r="P431" t="n">
        <v>9000</v>
      </c>
      <c r="Q431" t="n">
        <v>123</v>
      </c>
      <c r="R431" t="n">
        <v>1</v>
      </c>
      <c r="S431" t="inlineStr">
        <is>
          <t>2001,2002</t>
        </is>
      </c>
      <c r="T431" t="n">
        <v>16</v>
      </c>
      <c r="U431" t="n">
        <v>0.5</v>
      </c>
      <c r="V431" t="n">
        <v>1000</v>
      </c>
      <c r="W431" t="n">
        <v>5150</v>
      </c>
      <c r="X431" t="n">
        <v>1</v>
      </c>
      <c r="Y431" t="n">
        <v>2006</v>
      </c>
      <c r="Z431" t="n">
        <v>1</v>
      </c>
      <c r="AA431" t="n">
        <v>0.03</v>
      </c>
    </row>
    <row r="432">
      <c r="A432" t="n">
        <v>1430</v>
      </c>
      <c r="B432" t="inlineStr">
        <is>
          <t>40053,40059,40058,40082</t>
        </is>
      </c>
      <c r="C432" t="n">
        <v>150</v>
      </c>
      <c r="D4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2" t="n">
        <v>1</v>
      </c>
      <c r="F432" t="n">
        <v>0.131</v>
      </c>
      <c r="G432" t="n">
        <v>8001</v>
      </c>
      <c r="H432" t="n">
        <v>330</v>
      </c>
      <c r="I432" t="n">
        <v>1</v>
      </c>
      <c r="J432" t="n">
        <v>8000</v>
      </c>
      <c r="K432" t="n">
        <v>495</v>
      </c>
      <c r="L432" t="n">
        <v>1</v>
      </c>
      <c r="M432" t="n">
        <v>2007</v>
      </c>
      <c r="N432" t="n">
        <v>1</v>
      </c>
      <c r="O432" t="n">
        <v>0.05</v>
      </c>
      <c r="P432" t="n">
        <v>9000</v>
      </c>
      <c r="Q432" t="n">
        <v>123</v>
      </c>
      <c r="R432" t="n">
        <v>1</v>
      </c>
      <c r="S432" t="inlineStr">
        <is>
          <t>2001,2002</t>
        </is>
      </c>
      <c r="T432" t="n">
        <v>17</v>
      </c>
      <c r="U432" t="n">
        <v>0.5</v>
      </c>
      <c r="V432" t="n">
        <v>1000</v>
      </c>
      <c r="W432" t="n">
        <v>5160</v>
      </c>
      <c r="X432" t="n">
        <v>1</v>
      </c>
      <c r="Y432" t="n">
        <v>2006</v>
      </c>
      <c r="Z432" t="n">
        <v>1</v>
      </c>
      <c r="AA432" t="n">
        <v>0.03</v>
      </c>
    </row>
    <row r="433">
      <c r="A433" t="n">
        <v>1431</v>
      </c>
      <c r="B433" t="inlineStr">
        <is>
          <t>40059,40083,40053</t>
        </is>
      </c>
      <c r="C433" t="n">
        <v>150</v>
      </c>
      <c r="D4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3" t="n">
        <v>1</v>
      </c>
      <c r="F433" t="n">
        <v>0.131</v>
      </c>
      <c r="G433" t="n">
        <v>8001</v>
      </c>
      <c r="H433" t="n">
        <v>330</v>
      </c>
      <c r="I433" t="n">
        <v>1</v>
      </c>
      <c r="J433" t="n">
        <v>8000</v>
      </c>
      <c r="K433" t="n">
        <v>495</v>
      </c>
      <c r="L433" t="n">
        <v>1</v>
      </c>
      <c r="M433" t="n">
        <v>2007</v>
      </c>
      <c r="N433" t="n">
        <v>1</v>
      </c>
      <c r="O433" t="n">
        <v>0.05</v>
      </c>
      <c r="P433" t="n">
        <v>9000</v>
      </c>
      <c r="Q433" t="n">
        <v>123</v>
      </c>
      <c r="R433" t="n">
        <v>1</v>
      </c>
      <c r="S433" t="inlineStr">
        <is>
          <t>2001,2002</t>
        </is>
      </c>
      <c r="T433" t="n">
        <v>17</v>
      </c>
      <c r="U433" t="n">
        <v>0.5</v>
      </c>
      <c r="V433" t="n">
        <v>1000</v>
      </c>
      <c r="W433" t="n">
        <v>5170</v>
      </c>
      <c r="X433" t="n">
        <v>1</v>
      </c>
      <c r="Y433" t="n">
        <v>2006</v>
      </c>
      <c r="Z433" t="n">
        <v>1</v>
      </c>
      <c r="AA433" t="n">
        <v>0.03</v>
      </c>
    </row>
    <row r="434">
      <c r="A434" t="n">
        <v>1432</v>
      </c>
      <c r="B434" t="inlineStr">
        <is>
          <t>40083,40082,40059,40053</t>
        </is>
      </c>
      <c r="C434" t="n">
        <v>150</v>
      </c>
      <c r="D4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4" t="n">
        <v>1</v>
      </c>
      <c r="F434" t="n">
        <v>0.131</v>
      </c>
      <c r="G434" t="n">
        <v>8001</v>
      </c>
      <c r="H434" t="n">
        <v>330</v>
      </c>
      <c r="I434" t="n">
        <v>1</v>
      </c>
      <c r="J434" t="n">
        <v>8000</v>
      </c>
      <c r="K434" t="n">
        <v>495</v>
      </c>
      <c r="L434" t="n">
        <v>1</v>
      </c>
      <c r="M434" t="n">
        <v>2007</v>
      </c>
      <c r="N434" t="n">
        <v>1</v>
      </c>
      <c r="O434" t="n">
        <v>0.05</v>
      </c>
      <c r="P434" t="n">
        <v>9000</v>
      </c>
      <c r="Q434" t="n">
        <v>123</v>
      </c>
      <c r="R434" t="n">
        <v>1</v>
      </c>
      <c r="S434" t="inlineStr">
        <is>
          <t>2001,2002</t>
        </is>
      </c>
      <c r="T434" t="n">
        <v>17</v>
      </c>
      <c r="U434" t="n">
        <v>0.5</v>
      </c>
      <c r="V434" t="n">
        <v>1000</v>
      </c>
      <c r="W434" t="n">
        <v>5180</v>
      </c>
      <c r="X434" t="n">
        <v>1</v>
      </c>
      <c r="Y434" t="n">
        <v>2006</v>
      </c>
      <c r="Z434" t="n">
        <v>1</v>
      </c>
      <c r="AA434" t="n">
        <v>0.03</v>
      </c>
    </row>
    <row r="435">
      <c r="A435" t="n">
        <v>1433</v>
      </c>
      <c r="B435" t="inlineStr">
        <is>
          <t>40059,40083</t>
        </is>
      </c>
      <c r="C435" t="n">
        <v>150</v>
      </c>
      <c r="D4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5" t="n">
        <v>1</v>
      </c>
      <c r="F435" t="n">
        <v>0.131</v>
      </c>
      <c r="G435" t="n">
        <v>8001</v>
      </c>
      <c r="H435" t="n">
        <v>330</v>
      </c>
      <c r="I435" t="n">
        <v>1</v>
      </c>
      <c r="J435" t="n">
        <v>8000</v>
      </c>
      <c r="K435" t="n">
        <v>500</v>
      </c>
      <c r="L435" t="n">
        <v>1</v>
      </c>
      <c r="M435" t="n">
        <v>2007</v>
      </c>
      <c r="N435" t="n">
        <v>1</v>
      </c>
      <c r="O435" t="n">
        <v>0.05</v>
      </c>
      <c r="P435" t="n">
        <v>9000</v>
      </c>
      <c r="Q435" t="n">
        <v>124</v>
      </c>
      <c r="R435" t="n">
        <v>1</v>
      </c>
      <c r="S435" t="inlineStr">
        <is>
          <t>2001,2002</t>
        </is>
      </c>
      <c r="T435" t="n">
        <v>17</v>
      </c>
      <c r="U435" t="n">
        <v>0.5</v>
      </c>
      <c r="V435" t="n">
        <v>1000</v>
      </c>
      <c r="W435" t="n">
        <v>5195</v>
      </c>
      <c r="X435" t="n">
        <v>1</v>
      </c>
      <c r="Y435" t="n">
        <v>2006</v>
      </c>
      <c r="Z435" t="n">
        <v>1</v>
      </c>
      <c r="AA435" t="n">
        <v>0.03</v>
      </c>
    </row>
    <row r="436">
      <c r="A436" t="n">
        <v>1434</v>
      </c>
      <c r="B436" t="inlineStr">
        <is>
          <t>40059,40058</t>
        </is>
      </c>
      <c r="C436" t="n">
        <v>150</v>
      </c>
      <c r="D4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6" t="n">
        <v>1</v>
      </c>
      <c r="F436" t="n">
        <v>0.131</v>
      </c>
      <c r="G436" t="n">
        <v>8001</v>
      </c>
      <c r="H436" t="n">
        <v>335</v>
      </c>
      <c r="I436" t="n">
        <v>1</v>
      </c>
      <c r="J436" t="n">
        <v>8000</v>
      </c>
      <c r="K436" t="n">
        <v>500</v>
      </c>
      <c r="L436" t="n">
        <v>1</v>
      </c>
      <c r="M436" t="n">
        <v>2007</v>
      </c>
      <c r="N436" t="n">
        <v>1</v>
      </c>
      <c r="O436" t="n">
        <v>0.05</v>
      </c>
      <c r="P436" t="n">
        <v>9000</v>
      </c>
      <c r="Q436" t="n">
        <v>124</v>
      </c>
      <c r="R436" t="n">
        <v>1</v>
      </c>
      <c r="S436" t="inlineStr">
        <is>
          <t>2001,2002</t>
        </is>
      </c>
      <c r="T436" t="n">
        <v>17</v>
      </c>
      <c r="U436" t="n">
        <v>0.5</v>
      </c>
      <c r="V436" t="n">
        <v>1000</v>
      </c>
      <c r="W436" t="n">
        <v>5205</v>
      </c>
      <c r="X436" t="n">
        <v>1</v>
      </c>
      <c r="Y436" t="n">
        <v>2006</v>
      </c>
      <c r="Z436" t="n">
        <v>1</v>
      </c>
      <c r="AA436" t="n">
        <v>0.03</v>
      </c>
    </row>
    <row r="437">
      <c r="A437" t="n">
        <v>1435</v>
      </c>
      <c r="B437" t="inlineStr">
        <is>
          <t>40083,40053,40059</t>
        </is>
      </c>
      <c r="C437" t="n">
        <v>150</v>
      </c>
      <c r="D4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7" t="n">
        <v>1</v>
      </c>
      <c r="F437" t="n">
        <v>0.132</v>
      </c>
      <c r="G437" t="n">
        <v>8001</v>
      </c>
      <c r="H437" t="n">
        <v>335</v>
      </c>
      <c r="I437" t="n">
        <v>1</v>
      </c>
      <c r="J437" t="n">
        <v>8000</v>
      </c>
      <c r="K437" t="n">
        <v>500</v>
      </c>
      <c r="L437" t="n">
        <v>1</v>
      </c>
      <c r="M437" t="n">
        <v>2007</v>
      </c>
      <c r="N437" t="n">
        <v>1</v>
      </c>
      <c r="O437" t="n">
        <v>0.05</v>
      </c>
      <c r="P437" t="n">
        <v>9000</v>
      </c>
      <c r="Q437" t="n">
        <v>124</v>
      </c>
      <c r="R437" t="n">
        <v>1</v>
      </c>
      <c r="S437" t="inlineStr">
        <is>
          <t>2001,2002</t>
        </is>
      </c>
      <c r="T437" t="n">
        <v>17</v>
      </c>
      <c r="U437" t="n">
        <v>0.5</v>
      </c>
      <c r="V437" t="n">
        <v>1000</v>
      </c>
      <c r="W437" t="n">
        <v>5215</v>
      </c>
      <c r="X437" t="n">
        <v>1</v>
      </c>
      <c r="Y437" t="n">
        <v>2006</v>
      </c>
      <c r="Z437" t="n">
        <v>1</v>
      </c>
      <c r="AA437" t="n">
        <v>0.03</v>
      </c>
    </row>
    <row r="438">
      <c r="A438" t="n">
        <v>1436</v>
      </c>
      <c r="B438" t="inlineStr">
        <is>
          <t>40082,40058,40083,40059</t>
        </is>
      </c>
      <c r="C438" t="n">
        <v>150</v>
      </c>
      <c r="D4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8" t="n">
        <v>1</v>
      </c>
      <c r="F438" t="n">
        <v>0.132</v>
      </c>
      <c r="G438" t="n">
        <v>8001</v>
      </c>
      <c r="H438" t="n">
        <v>335</v>
      </c>
      <c r="I438" t="n">
        <v>1</v>
      </c>
      <c r="J438" t="n">
        <v>8000</v>
      </c>
      <c r="K438" t="n">
        <v>500</v>
      </c>
      <c r="L438" t="n">
        <v>1</v>
      </c>
      <c r="M438" t="n">
        <v>2007</v>
      </c>
      <c r="N438" t="n">
        <v>1</v>
      </c>
      <c r="O438" t="n">
        <v>0.05</v>
      </c>
      <c r="P438" t="n">
        <v>9000</v>
      </c>
      <c r="Q438" t="n">
        <v>125</v>
      </c>
      <c r="R438" t="n">
        <v>1</v>
      </c>
      <c r="S438" t="inlineStr">
        <is>
          <t>2001,2002</t>
        </is>
      </c>
      <c r="T438" t="n">
        <v>17</v>
      </c>
      <c r="U438" t="n">
        <v>0.5</v>
      </c>
      <c r="V438" t="n">
        <v>1000</v>
      </c>
      <c r="W438" t="n">
        <v>5225</v>
      </c>
      <c r="X438" t="n">
        <v>1</v>
      </c>
      <c r="Y438" t="n">
        <v>2006</v>
      </c>
      <c r="Z438" t="n">
        <v>1</v>
      </c>
      <c r="AA438" t="n">
        <v>0.03</v>
      </c>
    </row>
    <row r="439">
      <c r="A439" t="n">
        <v>1437</v>
      </c>
      <c r="B439" t="inlineStr">
        <is>
          <t>40058,40059,40082</t>
        </is>
      </c>
      <c r="C439" t="n">
        <v>150</v>
      </c>
      <c r="D4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9" t="n">
        <v>1</v>
      </c>
      <c r="F439" t="n">
        <v>0.132</v>
      </c>
      <c r="G439" t="n">
        <v>8001</v>
      </c>
      <c r="H439" t="n">
        <v>335</v>
      </c>
      <c r="I439" t="n">
        <v>1</v>
      </c>
      <c r="J439" t="n">
        <v>8000</v>
      </c>
      <c r="K439" t="n">
        <v>505</v>
      </c>
      <c r="L439" t="n">
        <v>1</v>
      </c>
      <c r="M439" t="n">
        <v>2007</v>
      </c>
      <c r="N439" t="n">
        <v>1</v>
      </c>
      <c r="O439" t="n">
        <v>0.05</v>
      </c>
      <c r="P439" t="n">
        <v>9000</v>
      </c>
      <c r="Q439" t="n">
        <v>125</v>
      </c>
      <c r="R439" t="n">
        <v>1</v>
      </c>
      <c r="S439" t="inlineStr">
        <is>
          <t>2001,2002</t>
        </is>
      </c>
      <c r="T439" t="n">
        <v>17</v>
      </c>
      <c r="U439" t="n">
        <v>0.5</v>
      </c>
      <c r="V439" t="n">
        <v>1000</v>
      </c>
      <c r="W439" t="n">
        <v>5240</v>
      </c>
      <c r="X439" t="n">
        <v>1</v>
      </c>
      <c r="Y439" t="n">
        <v>2006</v>
      </c>
      <c r="Z439" t="n">
        <v>1</v>
      </c>
      <c r="AA439" t="n">
        <v>0.03</v>
      </c>
    </row>
    <row r="440">
      <c r="A440" t="n">
        <v>1438</v>
      </c>
      <c r="B440" t="inlineStr">
        <is>
          <t>40083,40082,40058,40059</t>
        </is>
      </c>
      <c r="C440" t="n">
        <v>150</v>
      </c>
      <c r="D4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0" t="n">
        <v>1</v>
      </c>
      <c r="F440" t="n">
        <v>0.132</v>
      </c>
      <c r="G440" t="n">
        <v>8001</v>
      </c>
      <c r="H440" t="n">
        <v>335</v>
      </c>
      <c r="I440" t="n">
        <v>1</v>
      </c>
      <c r="J440" t="n">
        <v>8000</v>
      </c>
      <c r="K440" t="n">
        <v>505</v>
      </c>
      <c r="L440" t="n">
        <v>1</v>
      </c>
      <c r="M440" t="n">
        <v>2007</v>
      </c>
      <c r="N440" t="n">
        <v>1</v>
      </c>
      <c r="O440" t="n">
        <v>0.05</v>
      </c>
      <c r="P440" t="n">
        <v>9000</v>
      </c>
      <c r="Q440" t="n">
        <v>125</v>
      </c>
      <c r="R440" t="n">
        <v>1</v>
      </c>
      <c r="S440" t="inlineStr">
        <is>
          <t>2001,2002</t>
        </is>
      </c>
      <c r="T440" t="n">
        <v>17</v>
      </c>
      <c r="U440" t="n">
        <v>0.5</v>
      </c>
      <c r="V440" t="n">
        <v>1000</v>
      </c>
      <c r="W440" t="n">
        <v>5250</v>
      </c>
      <c r="X440" t="n">
        <v>1</v>
      </c>
      <c r="Y440" t="n">
        <v>2006</v>
      </c>
      <c r="Z440" t="n">
        <v>1</v>
      </c>
      <c r="AA440" t="n">
        <v>0.03</v>
      </c>
    </row>
    <row r="441">
      <c r="A441" t="n">
        <v>1439</v>
      </c>
      <c r="B441" t="inlineStr">
        <is>
          <t>40082,40083,40053,40058</t>
        </is>
      </c>
      <c r="C441" t="n">
        <v>150</v>
      </c>
      <c r="D4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1" t="n">
        <v>1</v>
      </c>
      <c r="F441" t="n">
        <v>0.132</v>
      </c>
      <c r="G441" t="n">
        <v>8001</v>
      </c>
      <c r="H441" t="n">
        <v>335</v>
      </c>
      <c r="I441" t="n">
        <v>1</v>
      </c>
      <c r="J441" t="n">
        <v>8000</v>
      </c>
      <c r="K441" t="n">
        <v>505</v>
      </c>
      <c r="L441" t="n">
        <v>1</v>
      </c>
      <c r="M441" t="n">
        <v>2007</v>
      </c>
      <c r="N441" t="n">
        <v>1</v>
      </c>
      <c r="O441" t="n">
        <v>0.05</v>
      </c>
      <c r="P441" t="n">
        <v>9000</v>
      </c>
      <c r="Q441" t="n">
        <v>125</v>
      </c>
      <c r="R441" t="n">
        <v>1</v>
      </c>
      <c r="S441" t="inlineStr">
        <is>
          <t>2001,2002</t>
        </is>
      </c>
      <c r="T441" t="n">
        <v>17</v>
      </c>
      <c r="U441" t="n">
        <v>0.5</v>
      </c>
      <c r="V441" t="n">
        <v>1000</v>
      </c>
      <c r="W441" t="n">
        <v>5260</v>
      </c>
      <c r="X441" t="n">
        <v>1</v>
      </c>
      <c r="Y441" t="n">
        <v>2006</v>
      </c>
      <c r="Z441" t="n">
        <v>1</v>
      </c>
      <c r="AA441" t="n">
        <v>0.03</v>
      </c>
    </row>
    <row r="442">
      <c r="A442" t="n">
        <v>1440</v>
      </c>
      <c r="B442" t="inlineStr">
        <is>
          <t>40082,40053,40083</t>
        </is>
      </c>
      <c r="C442" t="n">
        <v>150</v>
      </c>
      <c r="D4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2" t="n">
        <v>1</v>
      </c>
      <c r="F442" t="n">
        <v>0.133</v>
      </c>
      <c r="G442" t="n">
        <v>8001</v>
      </c>
      <c r="H442" t="n">
        <v>335</v>
      </c>
      <c r="I442" t="n">
        <v>1</v>
      </c>
      <c r="J442" t="n">
        <v>8000</v>
      </c>
      <c r="K442" t="n">
        <v>505</v>
      </c>
      <c r="L442" t="n">
        <v>1</v>
      </c>
      <c r="M442" t="n">
        <v>2007</v>
      </c>
      <c r="N442" t="n">
        <v>1</v>
      </c>
      <c r="O442" t="n">
        <v>0.05</v>
      </c>
      <c r="P442" t="n">
        <v>9000</v>
      </c>
      <c r="Q442" t="n">
        <v>126</v>
      </c>
      <c r="R442" t="n">
        <v>1</v>
      </c>
      <c r="S442" t="inlineStr">
        <is>
          <t>2001,2002</t>
        </is>
      </c>
      <c r="T442" t="n">
        <v>17</v>
      </c>
      <c r="U442" t="n">
        <v>0.5</v>
      </c>
      <c r="V442" t="n">
        <v>1000</v>
      </c>
      <c r="W442" t="n">
        <v>5270</v>
      </c>
      <c r="X442" t="n">
        <v>1</v>
      </c>
      <c r="Y442" t="n">
        <v>2006</v>
      </c>
      <c r="Z442" t="n">
        <v>1</v>
      </c>
      <c r="AA442" t="n">
        <v>0.03</v>
      </c>
    </row>
    <row r="443">
      <c r="A443" t="n">
        <v>1441</v>
      </c>
      <c r="B443" t="inlineStr">
        <is>
          <t>40058,40083,40059</t>
        </is>
      </c>
      <c r="C443" t="n">
        <v>150</v>
      </c>
      <c r="D4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3" t="n">
        <v>1</v>
      </c>
      <c r="F443" t="n">
        <v>0.133</v>
      </c>
      <c r="G443" t="n">
        <v>8001</v>
      </c>
      <c r="H443" t="n">
        <v>340</v>
      </c>
      <c r="I443" t="n">
        <v>1</v>
      </c>
      <c r="J443" t="n">
        <v>8000</v>
      </c>
      <c r="K443" t="n">
        <v>505</v>
      </c>
      <c r="L443" t="n">
        <v>1</v>
      </c>
      <c r="M443" t="n">
        <v>2007</v>
      </c>
      <c r="N443" t="n">
        <v>1</v>
      </c>
      <c r="O443" t="n">
        <v>0.05</v>
      </c>
      <c r="P443" t="n">
        <v>9000</v>
      </c>
      <c r="Q443" t="n">
        <v>126</v>
      </c>
      <c r="R443" t="n">
        <v>1</v>
      </c>
      <c r="S443" t="inlineStr">
        <is>
          <t>2001,2002</t>
        </is>
      </c>
      <c r="T443" t="n">
        <v>17</v>
      </c>
      <c r="U443" t="n">
        <v>0.5</v>
      </c>
      <c r="V443" t="n">
        <v>1000</v>
      </c>
      <c r="W443" t="n">
        <v>5280</v>
      </c>
      <c r="X443" t="n">
        <v>1</v>
      </c>
      <c r="Y443" t="n">
        <v>2006</v>
      </c>
      <c r="Z443" t="n">
        <v>1</v>
      </c>
      <c r="AA443" t="n">
        <v>0.03</v>
      </c>
    </row>
    <row r="444">
      <c r="A444" t="n">
        <v>1442</v>
      </c>
      <c r="B444" t="inlineStr">
        <is>
          <t>40058,40053,40083,40059</t>
        </is>
      </c>
      <c r="C444" t="n">
        <v>150</v>
      </c>
      <c r="D4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4" t="n">
        <v>1</v>
      </c>
      <c r="F444" t="n">
        <v>0.133</v>
      </c>
      <c r="G444" t="n">
        <v>8001</v>
      </c>
      <c r="H444" t="n">
        <v>340</v>
      </c>
      <c r="I444" t="n">
        <v>1</v>
      </c>
      <c r="J444" t="n">
        <v>8000</v>
      </c>
      <c r="K444" t="n">
        <v>510</v>
      </c>
      <c r="L444" t="n">
        <v>1</v>
      </c>
      <c r="M444" t="n">
        <v>2007</v>
      </c>
      <c r="N444" t="n">
        <v>1</v>
      </c>
      <c r="O444" t="n">
        <v>0.05</v>
      </c>
      <c r="P444" t="n">
        <v>9000</v>
      </c>
      <c r="Q444" t="n">
        <v>126</v>
      </c>
      <c r="R444" t="n">
        <v>1</v>
      </c>
      <c r="S444" t="inlineStr">
        <is>
          <t>2001,2002</t>
        </is>
      </c>
      <c r="T444" t="n">
        <v>17</v>
      </c>
      <c r="U444" t="n">
        <v>0.5</v>
      </c>
      <c r="V444" t="n">
        <v>1000</v>
      </c>
      <c r="W444" t="n">
        <v>5295</v>
      </c>
      <c r="X444" t="n">
        <v>1</v>
      </c>
      <c r="Y444" t="n">
        <v>2006</v>
      </c>
      <c r="Z444" t="n">
        <v>1</v>
      </c>
      <c r="AA444" t="n">
        <v>0.03</v>
      </c>
    </row>
    <row r="445">
      <c r="A445" t="n">
        <v>1443</v>
      </c>
      <c r="B445" t="inlineStr">
        <is>
          <t>40083,40059</t>
        </is>
      </c>
      <c r="C445" t="n">
        <v>150</v>
      </c>
      <c r="D4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5" t="n">
        <v>1</v>
      </c>
      <c r="F445" t="n">
        <v>0.133</v>
      </c>
      <c r="G445" t="n">
        <v>8001</v>
      </c>
      <c r="H445" t="n">
        <v>340</v>
      </c>
      <c r="I445" t="n">
        <v>1</v>
      </c>
      <c r="J445" t="n">
        <v>8000</v>
      </c>
      <c r="K445" t="n">
        <v>510</v>
      </c>
      <c r="L445" t="n">
        <v>1</v>
      </c>
      <c r="M445" t="n">
        <v>2007</v>
      </c>
      <c r="N445" t="n">
        <v>1</v>
      </c>
      <c r="O445" t="n">
        <v>0.05</v>
      </c>
      <c r="P445" t="n">
        <v>9000</v>
      </c>
      <c r="Q445" t="n">
        <v>126</v>
      </c>
      <c r="R445" t="n">
        <v>1</v>
      </c>
      <c r="S445" t="inlineStr">
        <is>
          <t>2001,2002</t>
        </is>
      </c>
      <c r="T445" t="n">
        <v>17</v>
      </c>
      <c r="U445" t="n">
        <v>0.5</v>
      </c>
      <c r="V445" t="n">
        <v>1000</v>
      </c>
      <c r="W445" t="n">
        <v>5305</v>
      </c>
      <c r="X445" t="n">
        <v>1</v>
      </c>
      <c r="Y445" t="n">
        <v>2006</v>
      </c>
      <c r="Z445" t="n">
        <v>1</v>
      </c>
      <c r="AA445" t="n">
        <v>0.03</v>
      </c>
    </row>
    <row r="446">
      <c r="A446" t="n">
        <v>1444</v>
      </c>
      <c r="B446" t="inlineStr">
        <is>
          <t>40053,40083,40058</t>
        </is>
      </c>
      <c r="C446" t="n">
        <v>150</v>
      </c>
      <c r="D4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6" t="n">
        <v>1</v>
      </c>
      <c r="F446" t="n">
        <v>0.133</v>
      </c>
      <c r="G446" t="n">
        <v>8001</v>
      </c>
      <c r="H446" t="n">
        <v>340</v>
      </c>
      <c r="I446" t="n">
        <v>1</v>
      </c>
      <c r="J446" t="n">
        <v>8000</v>
      </c>
      <c r="K446" t="n">
        <v>510</v>
      </c>
      <c r="L446" t="n">
        <v>1</v>
      </c>
      <c r="M446" t="n">
        <v>2007</v>
      </c>
      <c r="N446" t="n">
        <v>1</v>
      </c>
      <c r="O446" t="n">
        <v>0.05</v>
      </c>
      <c r="P446" t="n">
        <v>9000</v>
      </c>
      <c r="Q446" t="n">
        <v>127</v>
      </c>
      <c r="R446" t="n">
        <v>1</v>
      </c>
      <c r="S446" t="inlineStr">
        <is>
          <t>2001,2002</t>
        </is>
      </c>
      <c r="T446" t="n">
        <v>17</v>
      </c>
      <c r="U446" t="n">
        <v>0.5</v>
      </c>
      <c r="V446" t="n">
        <v>1000</v>
      </c>
      <c r="W446" t="n">
        <v>5315</v>
      </c>
      <c r="X446" t="n">
        <v>1</v>
      </c>
      <c r="Y446" t="n">
        <v>2006</v>
      </c>
      <c r="Z446" t="n">
        <v>1</v>
      </c>
      <c r="AA446" t="n">
        <v>0.03</v>
      </c>
    </row>
    <row r="447">
      <c r="A447" t="n">
        <v>1445</v>
      </c>
      <c r="B447" t="inlineStr">
        <is>
          <t>40082,40059,40058,40053</t>
        </is>
      </c>
      <c r="C447" t="n">
        <v>150</v>
      </c>
      <c r="D4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7" t="n">
        <v>1</v>
      </c>
      <c r="F447" t="n">
        <v>0.134</v>
      </c>
      <c r="G447" t="n">
        <v>8001</v>
      </c>
      <c r="H447" t="n">
        <v>340</v>
      </c>
      <c r="I447" t="n">
        <v>1</v>
      </c>
      <c r="J447" t="n">
        <v>8000</v>
      </c>
      <c r="K447" t="n">
        <v>510</v>
      </c>
      <c r="L447" t="n">
        <v>1</v>
      </c>
      <c r="M447" t="n">
        <v>2007</v>
      </c>
      <c r="N447" t="n">
        <v>1</v>
      </c>
      <c r="O447" t="n">
        <v>0.05</v>
      </c>
      <c r="P447" t="n">
        <v>9000</v>
      </c>
      <c r="Q447" t="n">
        <v>127</v>
      </c>
      <c r="R447" t="n">
        <v>1</v>
      </c>
      <c r="S447" t="inlineStr">
        <is>
          <t>2001,2002</t>
        </is>
      </c>
      <c r="T447" t="n">
        <v>17</v>
      </c>
      <c r="U447" t="n">
        <v>0.5</v>
      </c>
      <c r="V447" t="n">
        <v>1000</v>
      </c>
      <c r="W447" t="n">
        <v>5325</v>
      </c>
      <c r="X447" t="n">
        <v>1</v>
      </c>
      <c r="Y447" t="n">
        <v>2006</v>
      </c>
      <c r="Z447" t="n">
        <v>1</v>
      </c>
      <c r="AA447" t="n">
        <v>0.03</v>
      </c>
    </row>
    <row r="448">
      <c r="A448" t="n">
        <v>1446</v>
      </c>
      <c r="B448" t="inlineStr">
        <is>
          <t>40058,40053,40059</t>
        </is>
      </c>
      <c r="C448" t="n">
        <v>150</v>
      </c>
      <c r="D4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8" t="n">
        <v>1</v>
      </c>
      <c r="F448" t="n">
        <v>0.134</v>
      </c>
      <c r="G448" t="n">
        <v>8001</v>
      </c>
      <c r="H448" t="n">
        <v>340</v>
      </c>
      <c r="I448" t="n">
        <v>1</v>
      </c>
      <c r="J448" t="n">
        <v>8000</v>
      </c>
      <c r="K448" t="n">
        <v>510</v>
      </c>
      <c r="L448" t="n">
        <v>1</v>
      </c>
      <c r="M448" t="n">
        <v>2007</v>
      </c>
      <c r="N448" t="n">
        <v>1</v>
      </c>
      <c r="O448" t="n">
        <v>0.05</v>
      </c>
      <c r="P448" t="n">
        <v>9000</v>
      </c>
      <c r="Q448" t="n">
        <v>127</v>
      </c>
      <c r="R448" t="n">
        <v>1</v>
      </c>
      <c r="S448" t="inlineStr">
        <is>
          <t>2001,2002</t>
        </is>
      </c>
      <c r="T448" t="n">
        <v>17</v>
      </c>
      <c r="U448" t="n">
        <v>0.5</v>
      </c>
      <c r="V448" t="n">
        <v>1000</v>
      </c>
      <c r="W448" t="n">
        <v>5335</v>
      </c>
      <c r="X448" t="n">
        <v>1</v>
      </c>
      <c r="Y448" t="n">
        <v>2006</v>
      </c>
      <c r="Z448" t="n">
        <v>1</v>
      </c>
      <c r="AA448" t="n">
        <v>0.03</v>
      </c>
    </row>
    <row r="449">
      <c r="A449" t="n">
        <v>1447</v>
      </c>
      <c r="B449" t="inlineStr">
        <is>
          <t>40082,40083,40053,40059</t>
        </is>
      </c>
      <c r="C449" t="n">
        <v>150</v>
      </c>
      <c r="D4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9" t="n">
        <v>1</v>
      </c>
      <c r="F449" t="n">
        <v>0.134</v>
      </c>
      <c r="G449" t="n">
        <v>8001</v>
      </c>
      <c r="H449" t="n">
        <v>340</v>
      </c>
      <c r="I449" t="n">
        <v>1</v>
      </c>
      <c r="J449" t="n">
        <v>8000</v>
      </c>
      <c r="K449" t="n">
        <v>515</v>
      </c>
      <c r="L449" t="n">
        <v>1</v>
      </c>
      <c r="M449" t="n">
        <v>2007</v>
      </c>
      <c r="N449" t="n">
        <v>1</v>
      </c>
      <c r="O449" t="n">
        <v>0.05</v>
      </c>
      <c r="P449" t="n">
        <v>9000</v>
      </c>
      <c r="Q449" t="n">
        <v>128</v>
      </c>
      <c r="R449" t="n">
        <v>1</v>
      </c>
      <c r="S449" t="inlineStr">
        <is>
          <t>2001,2002</t>
        </is>
      </c>
      <c r="T449" t="n">
        <v>17</v>
      </c>
      <c r="U449" t="n">
        <v>0.5</v>
      </c>
      <c r="V449" t="n">
        <v>1000</v>
      </c>
      <c r="W449" t="n">
        <v>5345</v>
      </c>
      <c r="X449" t="n">
        <v>1</v>
      </c>
      <c r="Y449" t="n">
        <v>2006</v>
      </c>
      <c r="Z449" t="n">
        <v>1</v>
      </c>
      <c r="AA449" t="n">
        <v>0.03</v>
      </c>
    </row>
    <row r="450">
      <c r="A450" t="n">
        <v>1448</v>
      </c>
      <c r="B450" t="inlineStr">
        <is>
          <t>40053,40082,40058</t>
        </is>
      </c>
      <c r="C450" t="n">
        <v>150</v>
      </c>
      <c r="D4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0" t="n">
        <v>1</v>
      </c>
      <c r="F450" t="n">
        <v>0.134</v>
      </c>
      <c r="G450" t="n">
        <v>8001</v>
      </c>
      <c r="H450" t="n">
        <v>345</v>
      </c>
      <c r="I450" t="n">
        <v>1</v>
      </c>
      <c r="J450" t="n">
        <v>8000</v>
      </c>
      <c r="K450" t="n">
        <v>515</v>
      </c>
      <c r="L450" t="n">
        <v>1</v>
      </c>
      <c r="M450" t="n">
        <v>2007</v>
      </c>
      <c r="N450" t="n">
        <v>1</v>
      </c>
      <c r="O450" t="n">
        <v>0.05</v>
      </c>
      <c r="P450" t="n">
        <v>9000</v>
      </c>
      <c r="Q450" t="n">
        <v>128</v>
      </c>
      <c r="R450" t="n">
        <v>1</v>
      </c>
      <c r="S450" t="inlineStr">
        <is>
          <t>2001,2002</t>
        </is>
      </c>
      <c r="T450" t="n">
        <v>17</v>
      </c>
      <c r="U450" t="n">
        <v>0.5</v>
      </c>
      <c r="V450" t="n">
        <v>1000</v>
      </c>
      <c r="W450" t="n">
        <v>5360</v>
      </c>
      <c r="X450" t="n">
        <v>1</v>
      </c>
      <c r="Y450" t="n">
        <v>2006</v>
      </c>
      <c r="Z450" t="n">
        <v>1</v>
      </c>
      <c r="AA450" t="n">
        <v>0.03</v>
      </c>
    </row>
    <row r="451">
      <c r="A451" t="n">
        <v>1449</v>
      </c>
      <c r="B451" t="inlineStr">
        <is>
          <t>50013,40083,40059,40082,40058</t>
        </is>
      </c>
      <c r="C451" t="n">
        <v>150</v>
      </c>
      <c r="D4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1" t="n">
        <v>1</v>
      </c>
      <c r="F451" t="n">
        <v>0.134</v>
      </c>
      <c r="G451" t="n">
        <v>8001</v>
      </c>
      <c r="H451" t="n">
        <v>345</v>
      </c>
      <c r="I451" t="n">
        <v>1</v>
      </c>
      <c r="J451" t="n">
        <v>8000</v>
      </c>
      <c r="K451" t="n">
        <v>515</v>
      </c>
      <c r="L451" t="n">
        <v>1</v>
      </c>
      <c r="M451" t="n">
        <v>2007</v>
      </c>
      <c r="N451" t="n">
        <v>1</v>
      </c>
      <c r="O451" t="n">
        <v>0.05</v>
      </c>
      <c r="P451" t="n">
        <v>9000</v>
      </c>
      <c r="Q451" t="n">
        <v>128</v>
      </c>
      <c r="R451" t="n">
        <v>1</v>
      </c>
      <c r="S451" t="inlineStr">
        <is>
          <t>2001,2002</t>
        </is>
      </c>
      <c r="T451" t="n">
        <v>17</v>
      </c>
      <c r="U451" t="n">
        <v>0.5</v>
      </c>
      <c r="V451" t="n">
        <v>1000</v>
      </c>
      <c r="W451" t="n">
        <v>5370</v>
      </c>
      <c r="X451" t="n">
        <v>1</v>
      </c>
      <c r="Y451" t="n">
        <v>2006</v>
      </c>
      <c r="Z451" t="n">
        <v>1</v>
      </c>
      <c r="AA451" t="n">
        <v>0.03</v>
      </c>
    </row>
    <row r="452">
      <c r="A452" t="n">
        <v>1450</v>
      </c>
      <c r="B452" t="inlineStr">
        <is>
          <t>40064,40062</t>
        </is>
      </c>
      <c r="C452" t="n">
        <v>150</v>
      </c>
      <c r="D4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2" t="n">
        <v>1</v>
      </c>
      <c r="F452" t="n">
        <v>0.135</v>
      </c>
      <c r="G452" t="n">
        <v>8001</v>
      </c>
      <c r="H452" t="n">
        <v>345</v>
      </c>
      <c r="I452" t="n">
        <v>1</v>
      </c>
      <c r="J452" t="n">
        <v>8000</v>
      </c>
      <c r="K452" t="n">
        <v>515</v>
      </c>
      <c r="L452" t="n">
        <v>1</v>
      </c>
      <c r="M452" t="n">
        <v>2007</v>
      </c>
      <c r="N452" t="n">
        <v>1</v>
      </c>
      <c r="O452" t="n">
        <v>0.05</v>
      </c>
      <c r="P452" t="n">
        <v>9000</v>
      </c>
      <c r="Q452" t="n">
        <v>128</v>
      </c>
      <c r="R452" t="n">
        <v>1</v>
      </c>
      <c r="S452" t="inlineStr">
        <is>
          <t>2001,2002</t>
        </is>
      </c>
      <c r="T452" t="n">
        <v>17</v>
      </c>
      <c r="U452" t="n">
        <v>0.5</v>
      </c>
      <c r="V452" t="n">
        <v>1000</v>
      </c>
      <c r="W452" t="n">
        <v>5380</v>
      </c>
      <c r="X452" t="n">
        <v>1</v>
      </c>
      <c r="Y452" t="n">
        <v>2006</v>
      </c>
      <c r="Z452" t="n">
        <v>1</v>
      </c>
      <c r="AA452" t="n">
        <v>0.03</v>
      </c>
    </row>
    <row r="453">
      <c r="A453" t="n">
        <v>1451</v>
      </c>
      <c r="B453" t="inlineStr">
        <is>
          <t>40084,40064</t>
        </is>
      </c>
      <c r="C453" t="n">
        <v>150</v>
      </c>
      <c r="D4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3" t="n">
        <v>1</v>
      </c>
      <c r="F453" t="n">
        <v>0.135</v>
      </c>
      <c r="G453" t="n">
        <v>8001</v>
      </c>
      <c r="H453" t="n">
        <v>345</v>
      </c>
      <c r="I453" t="n">
        <v>1</v>
      </c>
      <c r="J453" t="n">
        <v>8000</v>
      </c>
      <c r="K453" t="n">
        <v>515</v>
      </c>
      <c r="L453" t="n">
        <v>1</v>
      </c>
      <c r="M453" t="n">
        <v>2007</v>
      </c>
      <c r="N453" t="n">
        <v>1</v>
      </c>
      <c r="O453" t="n">
        <v>0.05</v>
      </c>
      <c r="P453" t="n">
        <v>9000</v>
      </c>
      <c r="Q453" t="n">
        <v>129</v>
      </c>
      <c r="R453" t="n">
        <v>1</v>
      </c>
      <c r="S453" t="inlineStr">
        <is>
          <t>2001,2002</t>
        </is>
      </c>
      <c r="T453" t="n">
        <v>17</v>
      </c>
      <c r="U453" t="n">
        <v>0.5</v>
      </c>
      <c r="V453" t="n">
        <v>1000</v>
      </c>
      <c r="W453" t="n">
        <v>5390</v>
      </c>
      <c r="X453" t="n">
        <v>1</v>
      </c>
      <c r="Y453" t="n">
        <v>2006</v>
      </c>
      <c r="Z453" t="n">
        <v>1</v>
      </c>
      <c r="AA453" t="n">
        <v>0.03</v>
      </c>
    </row>
    <row r="454">
      <c r="A454" t="n">
        <v>1452</v>
      </c>
      <c r="B454" t="inlineStr">
        <is>
          <t>40062,40061</t>
        </is>
      </c>
      <c r="C454" t="n">
        <v>150</v>
      </c>
      <c r="D4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4" t="n">
        <v>1</v>
      </c>
      <c r="F454" t="n">
        <v>0.135</v>
      </c>
      <c r="G454" t="n">
        <v>8001</v>
      </c>
      <c r="H454" t="n">
        <v>345</v>
      </c>
      <c r="I454" t="n">
        <v>1</v>
      </c>
      <c r="J454" t="n">
        <v>8000</v>
      </c>
      <c r="K454" t="n">
        <v>520</v>
      </c>
      <c r="L454" t="n">
        <v>1</v>
      </c>
      <c r="M454" t="n">
        <v>2007</v>
      </c>
      <c r="N454" t="n">
        <v>1</v>
      </c>
      <c r="O454" t="n">
        <v>0.05</v>
      </c>
      <c r="P454" t="n">
        <v>9000</v>
      </c>
      <c r="Q454" t="n">
        <v>129</v>
      </c>
      <c r="R454" t="n">
        <v>1</v>
      </c>
      <c r="S454" t="inlineStr">
        <is>
          <t>2001,2002</t>
        </is>
      </c>
      <c r="T454" t="n">
        <v>17</v>
      </c>
      <c r="U454" t="n">
        <v>0.5</v>
      </c>
      <c r="V454" t="n">
        <v>1000</v>
      </c>
      <c r="W454" t="n">
        <v>5400</v>
      </c>
      <c r="X454" t="n">
        <v>1</v>
      </c>
      <c r="Y454" t="n">
        <v>2006</v>
      </c>
      <c r="Z454" t="n">
        <v>1</v>
      </c>
      <c r="AA454" t="n">
        <v>0.03</v>
      </c>
    </row>
    <row r="455">
      <c r="A455" t="n">
        <v>1453</v>
      </c>
      <c r="B455" t="inlineStr">
        <is>
          <t>40084,40061</t>
        </is>
      </c>
      <c r="C455" t="n">
        <v>150</v>
      </c>
      <c r="D4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5" t="n">
        <v>1</v>
      </c>
      <c r="F455" t="n">
        <v>0.135</v>
      </c>
      <c r="G455" t="n">
        <v>8001</v>
      </c>
      <c r="H455" t="n">
        <v>345</v>
      </c>
      <c r="I455" t="n">
        <v>1</v>
      </c>
      <c r="J455" t="n">
        <v>8000</v>
      </c>
      <c r="K455" t="n">
        <v>520</v>
      </c>
      <c r="L455" t="n">
        <v>1</v>
      </c>
      <c r="M455" t="n">
        <v>2007</v>
      </c>
      <c r="N455" t="n">
        <v>1</v>
      </c>
      <c r="O455" t="n">
        <v>0.05</v>
      </c>
      <c r="P455" t="n">
        <v>9000</v>
      </c>
      <c r="Q455" t="n">
        <v>129</v>
      </c>
      <c r="R455" t="n">
        <v>1</v>
      </c>
      <c r="S455" t="inlineStr">
        <is>
          <t>2001,2002</t>
        </is>
      </c>
      <c r="T455" t="n">
        <v>17</v>
      </c>
      <c r="U455" t="n">
        <v>0.5</v>
      </c>
      <c r="V455" t="n">
        <v>1000</v>
      </c>
      <c r="W455" t="n">
        <v>5410</v>
      </c>
      <c r="X455" t="n">
        <v>1</v>
      </c>
      <c r="Y455" t="n">
        <v>2006</v>
      </c>
      <c r="Z455" t="n">
        <v>1</v>
      </c>
      <c r="AA455" t="n">
        <v>0.03</v>
      </c>
    </row>
    <row r="456">
      <c r="A456" t="n">
        <v>1454</v>
      </c>
      <c r="B456" t="inlineStr">
        <is>
          <t>40084</t>
        </is>
      </c>
      <c r="C456" t="n">
        <v>150</v>
      </c>
      <c r="D4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6" t="n">
        <v>1</v>
      </c>
      <c r="F456" t="n">
        <v>0.135</v>
      </c>
      <c r="G456" t="n">
        <v>8001</v>
      </c>
      <c r="H456" t="n">
        <v>345</v>
      </c>
      <c r="I456" t="n">
        <v>1</v>
      </c>
      <c r="J456" t="n">
        <v>8000</v>
      </c>
      <c r="K456" t="n">
        <v>520</v>
      </c>
      <c r="L456" t="n">
        <v>1</v>
      </c>
      <c r="M456" t="n">
        <v>2007</v>
      </c>
      <c r="N456" t="n">
        <v>1</v>
      </c>
      <c r="O456" t="n">
        <v>0.05</v>
      </c>
      <c r="P456" t="n">
        <v>9000</v>
      </c>
      <c r="Q456" t="n">
        <v>129</v>
      </c>
      <c r="R456" t="n">
        <v>1</v>
      </c>
      <c r="S456" t="inlineStr">
        <is>
          <t>2001,2002</t>
        </is>
      </c>
      <c r="T456" t="n">
        <v>17</v>
      </c>
      <c r="U456" t="n">
        <v>0.5</v>
      </c>
      <c r="V456" t="n">
        <v>1000</v>
      </c>
      <c r="W456" t="n">
        <v>5420</v>
      </c>
      <c r="X456" t="n">
        <v>1</v>
      </c>
      <c r="Y456" t="n">
        <v>2006</v>
      </c>
      <c r="Z456" t="n">
        <v>1</v>
      </c>
      <c r="AA456" t="n">
        <v>0.03</v>
      </c>
    </row>
    <row r="457">
      <c r="A457" t="n">
        <v>1455</v>
      </c>
      <c r="B457" t="inlineStr">
        <is>
          <t>40064,40051,40062</t>
        </is>
      </c>
      <c r="C457" t="n">
        <v>150</v>
      </c>
      <c r="D4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7" t="n">
        <v>1</v>
      </c>
      <c r="F457" t="n">
        <v>0.135</v>
      </c>
      <c r="G457" t="n">
        <v>8001</v>
      </c>
      <c r="H457" t="n">
        <v>350</v>
      </c>
      <c r="I457" t="n">
        <v>1</v>
      </c>
      <c r="J457" t="n">
        <v>8000</v>
      </c>
      <c r="K457" t="n">
        <v>520</v>
      </c>
      <c r="L457" t="n">
        <v>1</v>
      </c>
      <c r="M457" t="n">
        <v>2007</v>
      </c>
      <c r="N457" t="n">
        <v>1</v>
      </c>
      <c r="O457" t="n">
        <v>0.05</v>
      </c>
      <c r="P457" t="n">
        <v>9000</v>
      </c>
      <c r="Q457" t="n">
        <v>130</v>
      </c>
      <c r="R457" t="n">
        <v>1</v>
      </c>
      <c r="S457" t="inlineStr">
        <is>
          <t>2001,2002</t>
        </is>
      </c>
      <c r="T457" t="n">
        <v>17</v>
      </c>
      <c r="U457" t="n">
        <v>0.5</v>
      </c>
      <c r="V457" t="n">
        <v>1000</v>
      </c>
      <c r="W457" t="n">
        <v>5430</v>
      </c>
      <c r="X457" t="n">
        <v>1</v>
      </c>
      <c r="Y457" t="n">
        <v>2006</v>
      </c>
      <c r="Z457" t="n">
        <v>1</v>
      </c>
      <c r="AA457" t="n">
        <v>0.03</v>
      </c>
    </row>
    <row r="458">
      <c r="A458" t="n">
        <v>1456</v>
      </c>
      <c r="B458" t="inlineStr">
        <is>
          <t>40064,40084,40051</t>
        </is>
      </c>
      <c r="C458" t="n">
        <v>150</v>
      </c>
      <c r="D4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8" t="n">
        <v>1</v>
      </c>
      <c r="F458" t="n">
        <v>0.136</v>
      </c>
      <c r="G458" t="n">
        <v>8001</v>
      </c>
      <c r="H458" t="n">
        <v>350</v>
      </c>
      <c r="I458" t="n">
        <v>1</v>
      </c>
      <c r="J458" t="n">
        <v>8000</v>
      </c>
      <c r="K458" t="n">
        <v>520</v>
      </c>
      <c r="L458" t="n">
        <v>1</v>
      </c>
      <c r="M458" t="n">
        <v>2007</v>
      </c>
      <c r="N458" t="n">
        <v>1</v>
      </c>
      <c r="O458" t="n">
        <v>0.05</v>
      </c>
      <c r="P458" t="n">
        <v>9000</v>
      </c>
      <c r="Q458" t="n">
        <v>130</v>
      </c>
      <c r="R458" t="n">
        <v>1</v>
      </c>
      <c r="S458" t="inlineStr">
        <is>
          <t>2001,2002</t>
        </is>
      </c>
      <c r="T458" t="n">
        <v>17</v>
      </c>
      <c r="U458" t="n">
        <v>0.5</v>
      </c>
      <c r="V458" t="n">
        <v>1000</v>
      </c>
      <c r="W458" t="n">
        <v>5440</v>
      </c>
      <c r="X458" t="n">
        <v>1</v>
      </c>
      <c r="Y458" t="n">
        <v>2006</v>
      </c>
      <c r="Z458" t="n">
        <v>1</v>
      </c>
      <c r="AA458" t="n">
        <v>0.03</v>
      </c>
    </row>
    <row r="459">
      <c r="A459" t="n">
        <v>1457</v>
      </c>
      <c r="B459" t="inlineStr">
        <is>
          <t>40062,40051,40084</t>
        </is>
      </c>
      <c r="C459" t="n">
        <v>150</v>
      </c>
      <c r="D4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9" t="n">
        <v>1</v>
      </c>
      <c r="F459" t="n">
        <v>0.136</v>
      </c>
      <c r="G459" t="n">
        <v>8001</v>
      </c>
      <c r="H459" t="n">
        <v>350</v>
      </c>
      <c r="I459" t="n">
        <v>1</v>
      </c>
      <c r="J459" t="n">
        <v>8000</v>
      </c>
      <c r="K459" t="n">
        <v>525</v>
      </c>
      <c r="L459" t="n">
        <v>1</v>
      </c>
      <c r="M459" t="n">
        <v>2007</v>
      </c>
      <c r="N459" t="n">
        <v>1</v>
      </c>
      <c r="O459" t="n">
        <v>0.05</v>
      </c>
      <c r="P459" t="n">
        <v>9000</v>
      </c>
      <c r="Q459" t="n">
        <v>130</v>
      </c>
      <c r="R459" t="n">
        <v>1</v>
      </c>
      <c r="S459" t="inlineStr">
        <is>
          <t>2001,2002</t>
        </is>
      </c>
      <c r="T459" t="n">
        <v>17</v>
      </c>
      <c r="U459" t="n">
        <v>0.5</v>
      </c>
      <c r="V459" t="n">
        <v>1000</v>
      </c>
      <c r="W459" t="n">
        <v>5450</v>
      </c>
      <c r="X459" t="n">
        <v>1</v>
      </c>
      <c r="Y459" t="n">
        <v>2006</v>
      </c>
      <c r="Z459" t="n">
        <v>1</v>
      </c>
      <c r="AA459" t="n">
        <v>0.03</v>
      </c>
    </row>
    <row r="460">
      <c r="A460" t="n">
        <v>1458</v>
      </c>
      <c r="B460" t="inlineStr">
        <is>
          <t>40064,40084,40051</t>
        </is>
      </c>
      <c r="C460" t="n">
        <v>150</v>
      </c>
      <c r="D4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0" t="n">
        <v>1</v>
      </c>
      <c r="F460" t="n">
        <v>0.136</v>
      </c>
      <c r="G460" t="n">
        <v>8001</v>
      </c>
      <c r="H460" t="n">
        <v>350</v>
      </c>
      <c r="I460" t="n">
        <v>1</v>
      </c>
      <c r="J460" t="n">
        <v>8000</v>
      </c>
      <c r="K460" t="n">
        <v>525</v>
      </c>
      <c r="L460" t="n">
        <v>1</v>
      </c>
      <c r="M460" t="n">
        <v>2007</v>
      </c>
      <c r="N460" t="n">
        <v>1</v>
      </c>
      <c r="O460" t="n">
        <v>0.05</v>
      </c>
      <c r="P460" t="n">
        <v>9000</v>
      </c>
      <c r="Q460" t="n">
        <v>130</v>
      </c>
      <c r="R460" t="n">
        <v>1</v>
      </c>
      <c r="S460" t="inlineStr">
        <is>
          <t>2001,2002</t>
        </is>
      </c>
      <c r="T460" t="n">
        <v>17</v>
      </c>
      <c r="U460" t="n">
        <v>0.5</v>
      </c>
      <c r="V460" t="n">
        <v>1000</v>
      </c>
      <c r="W460" t="n">
        <v>5460</v>
      </c>
      <c r="X460" t="n">
        <v>1</v>
      </c>
      <c r="Y460" t="n">
        <v>2006</v>
      </c>
      <c r="Z460" t="n">
        <v>1</v>
      </c>
      <c r="AA460" t="n">
        <v>0.03</v>
      </c>
    </row>
    <row r="461">
      <c r="A461" t="n">
        <v>1459</v>
      </c>
      <c r="B461" t="inlineStr">
        <is>
          <t>40084,40061,40051</t>
        </is>
      </c>
      <c r="C461" t="n">
        <v>150</v>
      </c>
      <c r="D4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1" t="n">
        <v>1</v>
      </c>
      <c r="F461" t="n">
        <v>0.136</v>
      </c>
      <c r="G461" t="n">
        <v>8001</v>
      </c>
      <c r="H461" t="n">
        <v>350</v>
      </c>
      <c r="I461" t="n">
        <v>1</v>
      </c>
      <c r="J461" t="n">
        <v>8000</v>
      </c>
      <c r="K461" t="n">
        <v>525</v>
      </c>
      <c r="L461" t="n">
        <v>1</v>
      </c>
      <c r="M461" t="n">
        <v>2007</v>
      </c>
      <c r="N461" t="n">
        <v>1</v>
      </c>
      <c r="O461" t="n">
        <v>0.05</v>
      </c>
      <c r="P461" t="n">
        <v>9000</v>
      </c>
      <c r="Q461" t="n">
        <v>131</v>
      </c>
      <c r="R461" t="n">
        <v>1</v>
      </c>
      <c r="S461" t="inlineStr">
        <is>
          <t>2001,2002</t>
        </is>
      </c>
      <c r="T461" t="n">
        <v>18</v>
      </c>
      <c r="U461" t="n">
        <v>0.5</v>
      </c>
      <c r="V461" t="n">
        <v>1000</v>
      </c>
      <c r="W461" t="n">
        <v>5470</v>
      </c>
      <c r="X461" t="n">
        <v>1</v>
      </c>
      <c r="Y461" t="n">
        <v>2006</v>
      </c>
      <c r="Z461" t="n">
        <v>1</v>
      </c>
      <c r="AA461" t="n">
        <v>0.03</v>
      </c>
    </row>
    <row r="462">
      <c r="A462" t="n">
        <v>1460</v>
      </c>
      <c r="B462" t="inlineStr">
        <is>
          <t>40051,40084,40062</t>
        </is>
      </c>
      <c r="C462" t="n">
        <v>150</v>
      </c>
      <c r="D4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2" t="n">
        <v>1</v>
      </c>
      <c r="F462" t="n">
        <v>0.136</v>
      </c>
      <c r="G462" t="n">
        <v>8001</v>
      </c>
      <c r="H462" t="n">
        <v>350</v>
      </c>
      <c r="I462" t="n">
        <v>1</v>
      </c>
      <c r="J462" t="n">
        <v>8000</v>
      </c>
      <c r="K462" t="n">
        <v>525</v>
      </c>
      <c r="L462" t="n">
        <v>1</v>
      </c>
      <c r="M462" t="n">
        <v>2007</v>
      </c>
      <c r="N462" t="n">
        <v>1</v>
      </c>
      <c r="O462" t="n">
        <v>0.05</v>
      </c>
      <c r="P462" t="n">
        <v>9000</v>
      </c>
      <c r="Q462" t="n">
        <v>131</v>
      </c>
      <c r="R462" t="n">
        <v>1</v>
      </c>
      <c r="S462" t="inlineStr">
        <is>
          <t>2001,2002</t>
        </is>
      </c>
      <c r="T462" t="n">
        <v>18</v>
      </c>
      <c r="U462" t="n">
        <v>0.5</v>
      </c>
      <c r="V462" t="n">
        <v>1000</v>
      </c>
      <c r="W462" t="n">
        <v>5480</v>
      </c>
      <c r="X462" t="n">
        <v>1</v>
      </c>
      <c r="Y462" t="n">
        <v>2006</v>
      </c>
      <c r="Z462" t="n">
        <v>1</v>
      </c>
      <c r="AA462" t="n">
        <v>0.03</v>
      </c>
    </row>
    <row r="463">
      <c r="A463" t="n">
        <v>1461</v>
      </c>
      <c r="B463" t="inlineStr">
        <is>
          <t>40062,40061,40051</t>
        </is>
      </c>
      <c r="C463" t="n">
        <v>150</v>
      </c>
      <c r="D4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3" t="n">
        <v>1</v>
      </c>
      <c r="F463" t="n">
        <v>0.137</v>
      </c>
      <c r="G463" t="n">
        <v>8001</v>
      </c>
      <c r="H463" t="n">
        <v>350</v>
      </c>
      <c r="I463" t="n">
        <v>1</v>
      </c>
      <c r="J463" t="n">
        <v>8000</v>
      </c>
      <c r="K463" t="n">
        <v>525</v>
      </c>
      <c r="L463" t="n">
        <v>1</v>
      </c>
      <c r="M463" t="n">
        <v>2007</v>
      </c>
      <c r="N463" t="n">
        <v>1</v>
      </c>
      <c r="O463" t="n">
        <v>0.05</v>
      </c>
      <c r="P463" t="n">
        <v>9000</v>
      </c>
      <c r="Q463" t="n">
        <v>131</v>
      </c>
      <c r="R463" t="n">
        <v>1</v>
      </c>
      <c r="S463" t="inlineStr">
        <is>
          <t>2001,2002</t>
        </is>
      </c>
      <c r="T463" t="n">
        <v>18</v>
      </c>
      <c r="U463" t="n">
        <v>0.5</v>
      </c>
      <c r="V463" t="n">
        <v>1000</v>
      </c>
      <c r="W463" t="n">
        <v>5490</v>
      </c>
      <c r="X463" t="n">
        <v>1</v>
      </c>
      <c r="Y463" t="n">
        <v>2006</v>
      </c>
      <c r="Z463" t="n">
        <v>1</v>
      </c>
      <c r="AA463" t="n">
        <v>0.03</v>
      </c>
    </row>
    <row r="464">
      <c r="A464" t="n">
        <v>1462</v>
      </c>
      <c r="B464" t="inlineStr">
        <is>
          <t>40084,40051</t>
        </is>
      </c>
      <c r="C464" t="n">
        <v>150</v>
      </c>
      <c r="D4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4" t="n">
        <v>1</v>
      </c>
      <c r="F464" t="n">
        <v>0.137</v>
      </c>
      <c r="G464" t="n">
        <v>8001</v>
      </c>
      <c r="H464" t="n">
        <v>350</v>
      </c>
      <c r="I464" t="n">
        <v>1</v>
      </c>
      <c r="J464" t="n">
        <v>8000</v>
      </c>
      <c r="K464" t="n">
        <v>530</v>
      </c>
      <c r="L464" t="n">
        <v>1</v>
      </c>
      <c r="M464" t="n">
        <v>2007</v>
      </c>
      <c r="N464" t="n">
        <v>1</v>
      </c>
      <c r="O464" t="n">
        <v>0.05</v>
      </c>
      <c r="P464" t="n">
        <v>9000</v>
      </c>
      <c r="Q464" t="n">
        <v>131</v>
      </c>
      <c r="R464" t="n">
        <v>1</v>
      </c>
      <c r="S464" t="inlineStr">
        <is>
          <t>2001,2002</t>
        </is>
      </c>
      <c r="T464" t="n">
        <v>18</v>
      </c>
      <c r="U464" t="n">
        <v>0.5</v>
      </c>
      <c r="V464" t="n">
        <v>1000</v>
      </c>
      <c r="W464" t="n">
        <v>5500</v>
      </c>
      <c r="X464" t="n">
        <v>1</v>
      </c>
      <c r="Y464" t="n">
        <v>2006</v>
      </c>
      <c r="Z464" t="n">
        <v>1</v>
      </c>
      <c r="AA464" t="n">
        <v>0.03</v>
      </c>
    </row>
    <row r="465">
      <c r="A465" t="n">
        <v>1463</v>
      </c>
      <c r="B465" t="inlineStr">
        <is>
          <t>40062,40084</t>
        </is>
      </c>
      <c r="C465" t="n">
        <v>150</v>
      </c>
      <c r="D4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5" t="n">
        <v>1</v>
      </c>
      <c r="F465" t="n">
        <v>0.137</v>
      </c>
      <c r="G465" t="n">
        <v>8001</v>
      </c>
      <c r="H465" t="n">
        <v>355</v>
      </c>
      <c r="I465" t="n">
        <v>1</v>
      </c>
      <c r="J465" t="n">
        <v>8000</v>
      </c>
      <c r="K465" t="n">
        <v>530</v>
      </c>
      <c r="L465" t="n">
        <v>1</v>
      </c>
      <c r="M465" t="n">
        <v>2007</v>
      </c>
      <c r="N465" t="n">
        <v>1</v>
      </c>
      <c r="O465" t="n">
        <v>0.05</v>
      </c>
      <c r="P465" t="n">
        <v>9000</v>
      </c>
      <c r="Q465" t="n">
        <v>132</v>
      </c>
      <c r="R465" t="n">
        <v>1</v>
      </c>
      <c r="S465" t="inlineStr">
        <is>
          <t>2001,2002</t>
        </is>
      </c>
      <c r="T465" t="n">
        <v>18</v>
      </c>
      <c r="U465" t="n">
        <v>0.5</v>
      </c>
      <c r="V465" t="n">
        <v>1000</v>
      </c>
      <c r="W465" t="n">
        <v>5510</v>
      </c>
      <c r="X465" t="n">
        <v>1</v>
      </c>
      <c r="Y465" t="n">
        <v>2006</v>
      </c>
      <c r="Z465" t="n">
        <v>1</v>
      </c>
      <c r="AA465" t="n">
        <v>0.03</v>
      </c>
    </row>
    <row r="466">
      <c r="A466" t="n">
        <v>1464</v>
      </c>
      <c r="B466" t="inlineStr">
        <is>
          <t>40084,40061,40064</t>
        </is>
      </c>
      <c r="C466" t="n">
        <v>150</v>
      </c>
      <c r="D4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6" t="n">
        <v>1</v>
      </c>
      <c r="F466" t="n">
        <v>0.137</v>
      </c>
      <c r="G466" t="n">
        <v>8001</v>
      </c>
      <c r="H466" t="n">
        <v>355</v>
      </c>
      <c r="I466" t="n">
        <v>1</v>
      </c>
      <c r="J466" t="n">
        <v>8000</v>
      </c>
      <c r="K466" t="n">
        <v>530</v>
      </c>
      <c r="L466" t="n">
        <v>1</v>
      </c>
      <c r="M466" t="n">
        <v>2007</v>
      </c>
      <c r="N466" t="n">
        <v>1</v>
      </c>
      <c r="O466" t="n">
        <v>0.05</v>
      </c>
      <c r="P466" t="n">
        <v>9000</v>
      </c>
      <c r="Q466" t="n">
        <v>132</v>
      </c>
      <c r="R466" t="n">
        <v>1</v>
      </c>
      <c r="S466" t="inlineStr">
        <is>
          <t>2001,2002</t>
        </is>
      </c>
      <c r="T466" t="n">
        <v>18</v>
      </c>
      <c r="U466" t="n">
        <v>0.5</v>
      </c>
      <c r="V466" t="n">
        <v>1000</v>
      </c>
      <c r="W466" t="n">
        <v>5520</v>
      </c>
      <c r="X466" t="n">
        <v>1</v>
      </c>
      <c r="Y466" t="n">
        <v>2006</v>
      </c>
      <c r="Z466" t="n">
        <v>1</v>
      </c>
      <c r="AA466" t="n">
        <v>0.03</v>
      </c>
    </row>
    <row r="467">
      <c r="A467" t="n">
        <v>1465</v>
      </c>
      <c r="B467" t="inlineStr">
        <is>
          <t>40084,40062,40064</t>
        </is>
      </c>
      <c r="C467" t="n">
        <v>150</v>
      </c>
      <c r="D4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7" t="n">
        <v>1</v>
      </c>
      <c r="F467" t="n">
        <v>0.137</v>
      </c>
      <c r="G467" t="n">
        <v>8001</v>
      </c>
      <c r="H467" t="n">
        <v>355</v>
      </c>
      <c r="I467" t="n">
        <v>1</v>
      </c>
      <c r="J467" t="n">
        <v>8000</v>
      </c>
      <c r="K467" t="n">
        <v>530</v>
      </c>
      <c r="L467" t="n">
        <v>1</v>
      </c>
      <c r="M467" t="n">
        <v>2007</v>
      </c>
      <c r="N467" t="n">
        <v>1</v>
      </c>
      <c r="O467" t="n">
        <v>0.05</v>
      </c>
      <c r="P467" t="n">
        <v>9000</v>
      </c>
      <c r="Q467" t="n">
        <v>132</v>
      </c>
      <c r="R467" t="n">
        <v>1</v>
      </c>
      <c r="S467" t="inlineStr">
        <is>
          <t>2001,2002</t>
        </is>
      </c>
      <c r="T467" t="n">
        <v>18</v>
      </c>
      <c r="U467" t="n">
        <v>0.5</v>
      </c>
      <c r="V467" t="n">
        <v>1000</v>
      </c>
      <c r="W467" t="n">
        <v>5530</v>
      </c>
      <c r="X467" t="n">
        <v>1</v>
      </c>
      <c r="Y467" t="n">
        <v>2006</v>
      </c>
      <c r="Z467" t="n">
        <v>1</v>
      </c>
      <c r="AA467" t="n">
        <v>0.03</v>
      </c>
    </row>
    <row r="468">
      <c r="A468" t="n">
        <v>1466</v>
      </c>
      <c r="B468" t="inlineStr">
        <is>
          <t>40062,40064,40061,40084</t>
        </is>
      </c>
      <c r="C468" t="n">
        <v>150</v>
      </c>
      <c r="D4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8" t="n">
        <v>1</v>
      </c>
      <c r="F468" t="n">
        <v>0.137</v>
      </c>
      <c r="G468" t="n">
        <v>8001</v>
      </c>
      <c r="H468" t="n">
        <v>355</v>
      </c>
      <c r="I468" t="n">
        <v>1</v>
      </c>
      <c r="J468" t="n">
        <v>8000</v>
      </c>
      <c r="K468" t="n">
        <v>530</v>
      </c>
      <c r="L468" t="n">
        <v>1</v>
      </c>
      <c r="M468" t="n">
        <v>2007</v>
      </c>
      <c r="N468" t="n">
        <v>1</v>
      </c>
      <c r="O468" t="n">
        <v>0.05</v>
      </c>
      <c r="P468" t="n">
        <v>9000</v>
      </c>
      <c r="Q468" t="n">
        <v>132</v>
      </c>
      <c r="R468" t="n">
        <v>1</v>
      </c>
      <c r="S468" t="inlineStr">
        <is>
          <t>2001,2002</t>
        </is>
      </c>
      <c r="T468" t="n">
        <v>18</v>
      </c>
      <c r="U468" t="n">
        <v>0.5</v>
      </c>
      <c r="V468" t="n">
        <v>1000</v>
      </c>
      <c r="W468" t="n">
        <v>5540</v>
      </c>
      <c r="X468" t="n">
        <v>1</v>
      </c>
      <c r="Y468" t="n">
        <v>2006</v>
      </c>
      <c r="Z468" t="n">
        <v>1</v>
      </c>
      <c r="AA468" t="n">
        <v>0.03</v>
      </c>
    </row>
    <row r="469">
      <c r="A469" t="n">
        <v>1467</v>
      </c>
      <c r="B469" t="inlineStr">
        <is>
          <t>40061,40084</t>
        </is>
      </c>
      <c r="C469" t="n">
        <v>150</v>
      </c>
      <c r="D4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9" t="n">
        <v>1</v>
      </c>
      <c r="F469" t="n">
        <v>0.138</v>
      </c>
      <c r="G469" t="n">
        <v>8001</v>
      </c>
      <c r="H469" t="n">
        <v>355</v>
      </c>
      <c r="I469" t="n">
        <v>1</v>
      </c>
      <c r="J469" t="n">
        <v>8000</v>
      </c>
      <c r="K469" t="n">
        <v>535</v>
      </c>
      <c r="L469" t="n">
        <v>1</v>
      </c>
      <c r="M469" t="n">
        <v>2007</v>
      </c>
      <c r="N469" t="n">
        <v>1</v>
      </c>
      <c r="O469" t="n">
        <v>0.05</v>
      </c>
      <c r="P469" t="n">
        <v>9000</v>
      </c>
      <c r="Q469" t="n">
        <v>133</v>
      </c>
      <c r="R469" t="n">
        <v>1</v>
      </c>
      <c r="S469" t="inlineStr">
        <is>
          <t>2001,2002</t>
        </is>
      </c>
      <c r="T469" t="n">
        <v>18</v>
      </c>
      <c r="U469" t="n">
        <v>0.5</v>
      </c>
      <c r="V469" t="n">
        <v>1000</v>
      </c>
      <c r="W469" t="n">
        <v>5550</v>
      </c>
      <c r="X469" t="n">
        <v>1</v>
      </c>
      <c r="Y469" t="n">
        <v>2006</v>
      </c>
      <c r="Z469" t="n">
        <v>1</v>
      </c>
      <c r="AA469" t="n">
        <v>0.03</v>
      </c>
    </row>
    <row r="470">
      <c r="A470" t="n">
        <v>1468</v>
      </c>
      <c r="B470" t="inlineStr">
        <is>
          <t>40064,40061</t>
        </is>
      </c>
      <c r="C470" t="n">
        <v>150</v>
      </c>
      <c r="D4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0" t="n">
        <v>1</v>
      </c>
      <c r="F470" t="n">
        <v>0.138</v>
      </c>
      <c r="G470" t="n">
        <v>8001</v>
      </c>
      <c r="H470" t="n">
        <v>355</v>
      </c>
      <c r="I470" t="n">
        <v>1</v>
      </c>
      <c r="J470" t="n">
        <v>8000</v>
      </c>
      <c r="K470" t="n">
        <v>535</v>
      </c>
      <c r="L470" t="n">
        <v>1</v>
      </c>
      <c r="M470" t="n">
        <v>2007</v>
      </c>
      <c r="N470" t="n">
        <v>1</v>
      </c>
      <c r="O470" t="n">
        <v>0.05</v>
      </c>
      <c r="P470" t="n">
        <v>9000</v>
      </c>
      <c r="Q470" t="n">
        <v>133</v>
      </c>
      <c r="R470" t="n">
        <v>1</v>
      </c>
      <c r="S470" t="inlineStr">
        <is>
          <t>2001,2002</t>
        </is>
      </c>
      <c r="T470" t="n">
        <v>18</v>
      </c>
      <c r="U470" t="n">
        <v>0.5</v>
      </c>
      <c r="V470" t="n">
        <v>1000</v>
      </c>
      <c r="W470" t="n">
        <v>5560</v>
      </c>
      <c r="X470" t="n">
        <v>1</v>
      </c>
      <c r="Y470" t="n">
        <v>2006</v>
      </c>
      <c r="Z470" t="n">
        <v>1</v>
      </c>
      <c r="AA470" t="n">
        <v>0.03</v>
      </c>
    </row>
    <row r="471">
      <c r="A471" t="n">
        <v>1469</v>
      </c>
      <c r="B471" t="inlineStr">
        <is>
          <t>40062,40051,40084</t>
        </is>
      </c>
      <c r="C471" t="n">
        <v>150</v>
      </c>
      <c r="D4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1" t="n">
        <v>1</v>
      </c>
      <c r="F471" t="n">
        <v>0.138</v>
      </c>
      <c r="G471" t="n">
        <v>8001</v>
      </c>
      <c r="H471" t="n">
        <v>355</v>
      </c>
      <c r="I471" t="n">
        <v>1</v>
      </c>
      <c r="J471" t="n">
        <v>8000</v>
      </c>
      <c r="K471" t="n">
        <v>535</v>
      </c>
      <c r="L471" t="n">
        <v>1</v>
      </c>
      <c r="M471" t="n">
        <v>2007</v>
      </c>
      <c r="N471" t="n">
        <v>1</v>
      </c>
      <c r="O471" t="n">
        <v>0.05</v>
      </c>
      <c r="P471" t="n">
        <v>9000</v>
      </c>
      <c r="Q471" t="n">
        <v>133</v>
      </c>
      <c r="R471" t="n">
        <v>1</v>
      </c>
      <c r="S471" t="inlineStr">
        <is>
          <t>2001,2002</t>
        </is>
      </c>
      <c r="T471" t="n">
        <v>18</v>
      </c>
      <c r="U471" t="n">
        <v>0.5</v>
      </c>
      <c r="V471" t="n">
        <v>1000</v>
      </c>
      <c r="W471" t="n">
        <v>5570</v>
      </c>
      <c r="X471" t="n">
        <v>1</v>
      </c>
      <c r="Y471" t="n">
        <v>2006</v>
      </c>
      <c r="Z471" t="n">
        <v>1</v>
      </c>
      <c r="AA471" t="n">
        <v>0.03</v>
      </c>
    </row>
    <row r="472">
      <c r="A472" t="n">
        <v>1470</v>
      </c>
      <c r="B472" t="inlineStr">
        <is>
          <t>40064,40061,40084</t>
        </is>
      </c>
      <c r="C472" t="n">
        <v>150</v>
      </c>
      <c r="D4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2" t="n">
        <v>1</v>
      </c>
      <c r="F472" t="n">
        <v>0.138</v>
      </c>
      <c r="G472" t="n">
        <v>8001</v>
      </c>
      <c r="H472" t="n">
        <v>355</v>
      </c>
      <c r="I472" t="n">
        <v>1</v>
      </c>
      <c r="J472" t="n">
        <v>8000</v>
      </c>
      <c r="K472" t="n">
        <v>535</v>
      </c>
      <c r="L472" t="n">
        <v>1</v>
      </c>
      <c r="M472" t="n">
        <v>2007</v>
      </c>
      <c r="N472" t="n">
        <v>1</v>
      </c>
      <c r="O472" t="n">
        <v>0.05</v>
      </c>
      <c r="P472" t="n">
        <v>9000</v>
      </c>
      <c r="Q472" t="n">
        <v>133</v>
      </c>
      <c r="R472" t="n">
        <v>1</v>
      </c>
      <c r="S472" t="inlineStr">
        <is>
          <t>2001,2002</t>
        </is>
      </c>
      <c r="T472" t="n">
        <v>18</v>
      </c>
      <c r="U472" t="n">
        <v>0.5</v>
      </c>
      <c r="V472" t="n">
        <v>1000</v>
      </c>
      <c r="W472" t="n">
        <v>5580</v>
      </c>
      <c r="X472" t="n">
        <v>1</v>
      </c>
      <c r="Y472" t="n">
        <v>2006</v>
      </c>
      <c r="Z472" t="n">
        <v>1</v>
      </c>
      <c r="AA472" t="n">
        <v>0.03</v>
      </c>
    </row>
    <row r="473">
      <c r="A473" t="n">
        <v>1471</v>
      </c>
      <c r="B473" t="inlineStr">
        <is>
          <t>40061,40051,40084,40064</t>
        </is>
      </c>
      <c r="C473" t="n">
        <v>150</v>
      </c>
      <c r="D4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3" t="n">
        <v>1</v>
      </c>
      <c r="F473" t="n">
        <v>0.138</v>
      </c>
      <c r="G473" t="n">
        <v>8001</v>
      </c>
      <c r="H473" t="n">
        <v>360</v>
      </c>
      <c r="I473" t="n">
        <v>1</v>
      </c>
      <c r="J473" t="n">
        <v>8000</v>
      </c>
      <c r="K473" t="n">
        <v>535</v>
      </c>
      <c r="L473" t="n">
        <v>1</v>
      </c>
      <c r="M473" t="n">
        <v>2007</v>
      </c>
      <c r="N473" t="n">
        <v>1</v>
      </c>
      <c r="O473" t="n">
        <v>0.05</v>
      </c>
      <c r="P473" t="n">
        <v>9000</v>
      </c>
      <c r="Q473" t="n">
        <v>134</v>
      </c>
      <c r="R473" t="n">
        <v>1</v>
      </c>
      <c r="S473" t="inlineStr">
        <is>
          <t>2001,2002</t>
        </is>
      </c>
      <c r="T473" t="n">
        <v>18</v>
      </c>
      <c r="U473" t="n">
        <v>0.5</v>
      </c>
      <c r="V473" t="n">
        <v>1000</v>
      </c>
      <c r="W473" t="n">
        <v>5590</v>
      </c>
      <c r="X473" t="n">
        <v>1</v>
      </c>
      <c r="Y473" t="n">
        <v>2006</v>
      </c>
      <c r="Z473" t="n">
        <v>1</v>
      </c>
      <c r="AA473" t="n">
        <v>0.03</v>
      </c>
    </row>
    <row r="474">
      <c r="A474" t="n">
        <v>1472</v>
      </c>
      <c r="B474" t="inlineStr">
        <is>
          <t>40064,40061</t>
        </is>
      </c>
      <c r="C474" t="n">
        <v>150</v>
      </c>
      <c r="D4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4" t="n">
        <v>1</v>
      </c>
      <c r="F474" t="n">
        <v>0.138</v>
      </c>
      <c r="G474" t="n">
        <v>8001</v>
      </c>
      <c r="H474" t="n">
        <v>360</v>
      </c>
      <c r="I474" t="n">
        <v>1</v>
      </c>
      <c r="J474" t="n">
        <v>8000</v>
      </c>
      <c r="K474" t="n">
        <v>535</v>
      </c>
      <c r="L474" t="n">
        <v>1</v>
      </c>
      <c r="M474" t="n">
        <v>2007</v>
      </c>
      <c r="N474" t="n">
        <v>1</v>
      </c>
      <c r="O474" t="n">
        <v>0.05</v>
      </c>
      <c r="P474" t="n">
        <v>9000</v>
      </c>
      <c r="Q474" t="n">
        <v>134</v>
      </c>
      <c r="R474" t="n">
        <v>1</v>
      </c>
      <c r="S474" t="inlineStr">
        <is>
          <t>2001,2002</t>
        </is>
      </c>
      <c r="T474" t="n">
        <v>18</v>
      </c>
      <c r="U474" t="n">
        <v>0.5</v>
      </c>
      <c r="V474" t="n">
        <v>1000</v>
      </c>
      <c r="W474" t="n">
        <v>5600</v>
      </c>
      <c r="X474" t="n">
        <v>1</v>
      </c>
      <c r="Y474" t="n">
        <v>2006</v>
      </c>
      <c r="Z474" t="n">
        <v>1</v>
      </c>
      <c r="AA474" t="n">
        <v>0.03</v>
      </c>
    </row>
    <row r="475">
      <c r="A475" t="n">
        <v>1473</v>
      </c>
      <c r="B475" t="inlineStr">
        <is>
          <t>40051,40064</t>
        </is>
      </c>
      <c r="C475" t="n">
        <v>150</v>
      </c>
      <c r="D4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5" t="n">
        <v>1</v>
      </c>
      <c r="F475" t="n">
        <v>0.139</v>
      </c>
      <c r="G475" t="n">
        <v>8001</v>
      </c>
      <c r="H475" t="n">
        <v>360</v>
      </c>
      <c r="I475" t="n">
        <v>1</v>
      </c>
      <c r="J475" t="n">
        <v>8000</v>
      </c>
      <c r="K475" t="n">
        <v>540</v>
      </c>
      <c r="L475" t="n">
        <v>1</v>
      </c>
      <c r="M475" t="n">
        <v>2007</v>
      </c>
      <c r="N475" t="n">
        <v>1</v>
      </c>
      <c r="O475" t="n">
        <v>0.05</v>
      </c>
      <c r="P475" t="n">
        <v>9000</v>
      </c>
      <c r="Q475" t="n">
        <v>134</v>
      </c>
      <c r="R475" t="n">
        <v>1</v>
      </c>
      <c r="S475" t="inlineStr">
        <is>
          <t>2001,2002</t>
        </is>
      </c>
      <c r="T475" t="n">
        <v>18</v>
      </c>
      <c r="U475" t="n">
        <v>0.5</v>
      </c>
      <c r="V475" t="n">
        <v>1000</v>
      </c>
      <c r="W475" t="n">
        <v>5610</v>
      </c>
      <c r="X475" t="n">
        <v>1</v>
      </c>
      <c r="Y475" t="n">
        <v>2006</v>
      </c>
      <c r="Z475" t="n">
        <v>1</v>
      </c>
      <c r="AA475" t="n">
        <v>0.03</v>
      </c>
    </row>
    <row r="476">
      <c r="A476" t="n">
        <v>1474</v>
      </c>
      <c r="B476" t="inlineStr">
        <is>
          <t>40051,40061,40064</t>
        </is>
      </c>
      <c r="C476" t="n">
        <v>150</v>
      </c>
      <c r="D4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6" t="n">
        <v>1</v>
      </c>
      <c r="F476" t="n">
        <v>0.139</v>
      </c>
      <c r="G476" t="n">
        <v>8001</v>
      </c>
      <c r="H476" t="n">
        <v>360</v>
      </c>
      <c r="I476" t="n">
        <v>1</v>
      </c>
      <c r="J476" t="n">
        <v>8000</v>
      </c>
      <c r="K476" t="n">
        <v>540</v>
      </c>
      <c r="L476" t="n">
        <v>1</v>
      </c>
      <c r="M476" t="n">
        <v>2007</v>
      </c>
      <c r="N476" t="n">
        <v>1</v>
      </c>
      <c r="O476" t="n">
        <v>0.05</v>
      </c>
      <c r="P476" t="n">
        <v>9000</v>
      </c>
      <c r="Q476" t="n">
        <v>134</v>
      </c>
      <c r="R476" t="n">
        <v>1</v>
      </c>
      <c r="S476" t="inlineStr">
        <is>
          <t>2001,2002</t>
        </is>
      </c>
      <c r="T476" t="n">
        <v>18</v>
      </c>
      <c r="U476" t="n">
        <v>0.5</v>
      </c>
      <c r="V476" t="n">
        <v>1000</v>
      </c>
      <c r="W476" t="n">
        <v>5615</v>
      </c>
      <c r="X476" t="n">
        <v>1</v>
      </c>
      <c r="Y476" t="n">
        <v>2006</v>
      </c>
      <c r="Z476" t="n">
        <v>1</v>
      </c>
      <c r="AA476" t="n">
        <v>0.03</v>
      </c>
    </row>
    <row r="477">
      <c r="A477" t="n">
        <v>1475</v>
      </c>
      <c r="B477" t="inlineStr">
        <is>
          <t>40051,40084,40061,40064</t>
        </is>
      </c>
      <c r="C477" t="n">
        <v>150</v>
      </c>
      <c r="D4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7" t="n">
        <v>1</v>
      </c>
      <c r="F477" t="n">
        <v>0.139</v>
      </c>
      <c r="G477" t="n">
        <v>8001</v>
      </c>
      <c r="H477" t="n">
        <v>360</v>
      </c>
      <c r="I477" t="n">
        <v>1</v>
      </c>
      <c r="J477" t="n">
        <v>8000</v>
      </c>
      <c r="K477" t="n">
        <v>540</v>
      </c>
      <c r="L477" t="n">
        <v>1</v>
      </c>
      <c r="M477" t="n">
        <v>2007</v>
      </c>
      <c r="N477" t="n">
        <v>1</v>
      </c>
      <c r="O477" t="n">
        <v>0.05</v>
      </c>
      <c r="P477" t="n">
        <v>9000</v>
      </c>
      <c r="Q477" t="n">
        <v>134</v>
      </c>
      <c r="R477" t="n">
        <v>1</v>
      </c>
      <c r="S477" t="inlineStr">
        <is>
          <t>2001,2002</t>
        </is>
      </c>
      <c r="T477" t="n">
        <v>18</v>
      </c>
      <c r="U477" t="n">
        <v>0.5</v>
      </c>
      <c r="V477" t="n">
        <v>1000</v>
      </c>
      <c r="W477" t="n">
        <v>5625</v>
      </c>
      <c r="X477" t="n">
        <v>1</v>
      </c>
      <c r="Y477" t="n">
        <v>2006</v>
      </c>
      <c r="Z477" t="n">
        <v>1</v>
      </c>
      <c r="AA477" t="n">
        <v>0.03</v>
      </c>
    </row>
    <row r="478">
      <c r="A478" t="n">
        <v>1476</v>
      </c>
      <c r="B478" t="inlineStr">
        <is>
          <t>40061,40051,40064</t>
        </is>
      </c>
      <c r="C478" t="n">
        <v>150</v>
      </c>
      <c r="D4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8" t="n">
        <v>1</v>
      </c>
      <c r="F478" t="n">
        <v>0.139</v>
      </c>
      <c r="G478" t="n">
        <v>8001</v>
      </c>
      <c r="H478" t="n">
        <v>360</v>
      </c>
      <c r="I478" t="n">
        <v>1</v>
      </c>
      <c r="J478" t="n">
        <v>8000</v>
      </c>
      <c r="K478" t="n">
        <v>540</v>
      </c>
      <c r="L478" t="n">
        <v>1</v>
      </c>
      <c r="M478" t="n">
        <v>2007</v>
      </c>
      <c r="N478" t="n">
        <v>1</v>
      </c>
      <c r="O478" t="n">
        <v>0.05</v>
      </c>
      <c r="P478" t="n">
        <v>9000</v>
      </c>
      <c r="Q478" t="n">
        <v>135</v>
      </c>
      <c r="R478" t="n">
        <v>1</v>
      </c>
      <c r="S478" t="inlineStr">
        <is>
          <t>2001,2002</t>
        </is>
      </c>
      <c r="T478" t="n">
        <v>18</v>
      </c>
      <c r="U478" t="n">
        <v>0.5</v>
      </c>
      <c r="V478" t="n">
        <v>1000</v>
      </c>
      <c r="W478" t="n">
        <v>5635</v>
      </c>
      <c r="X478" t="n">
        <v>1</v>
      </c>
      <c r="Y478" t="n">
        <v>2006</v>
      </c>
      <c r="Z478" t="n">
        <v>1</v>
      </c>
      <c r="AA478" t="n">
        <v>0.03</v>
      </c>
    </row>
    <row r="479">
      <c r="A479" t="n">
        <v>1477</v>
      </c>
      <c r="B479" t="inlineStr">
        <is>
          <t>40084,40051,40064</t>
        </is>
      </c>
      <c r="C479" t="n">
        <v>150</v>
      </c>
      <c r="D4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9" t="n">
        <v>1</v>
      </c>
      <c r="F479" t="n">
        <v>0.139</v>
      </c>
      <c r="G479" t="n">
        <v>8001</v>
      </c>
      <c r="H479" t="n">
        <v>360</v>
      </c>
      <c r="I479" t="n">
        <v>1</v>
      </c>
      <c r="J479" t="n">
        <v>8000</v>
      </c>
      <c r="K479" t="n">
        <v>540</v>
      </c>
      <c r="L479" t="n">
        <v>1</v>
      </c>
      <c r="M479" t="n">
        <v>2007</v>
      </c>
      <c r="N479" t="n">
        <v>1</v>
      </c>
      <c r="O479" t="n">
        <v>0.05</v>
      </c>
      <c r="P479" t="n">
        <v>9000</v>
      </c>
      <c r="Q479" t="n">
        <v>135</v>
      </c>
      <c r="R479" t="n">
        <v>1</v>
      </c>
      <c r="S479" t="inlineStr">
        <is>
          <t>2001,2002</t>
        </is>
      </c>
      <c r="T479" t="n">
        <v>18</v>
      </c>
      <c r="U479" t="n">
        <v>0.5</v>
      </c>
      <c r="V479" t="n">
        <v>1000</v>
      </c>
      <c r="W479" t="n">
        <v>5645</v>
      </c>
      <c r="X479" t="n">
        <v>1</v>
      </c>
      <c r="Y479" t="n">
        <v>2006</v>
      </c>
      <c r="Z479" t="n">
        <v>1</v>
      </c>
      <c r="AA479" t="n">
        <v>0.03</v>
      </c>
    </row>
    <row r="480">
      <c r="A480" t="n">
        <v>1478</v>
      </c>
      <c r="B480" t="inlineStr">
        <is>
          <t>40062,40084</t>
        </is>
      </c>
      <c r="C480" t="n">
        <v>150</v>
      </c>
      <c r="D4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0" t="n">
        <v>1</v>
      </c>
      <c r="F480" t="n">
        <v>0.139</v>
      </c>
      <c r="G480" t="n">
        <v>8001</v>
      </c>
      <c r="H480" t="n">
        <v>360</v>
      </c>
      <c r="I480" t="n">
        <v>1</v>
      </c>
      <c r="J480" t="n">
        <v>8000</v>
      </c>
      <c r="K480" t="n">
        <v>545</v>
      </c>
      <c r="L480" t="n">
        <v>1</v>
      </c>
      <c r="M480" t="n">
        <v>2007</v>
      </c>
      <c r="N480" t="n">
        <v>1</v>
      </c>
      <c r="O480" t="n">
        <v>0.05</v>
      </c>
      <c r="P480" t="n">
        <v>9000</v>
      </c>
      <c r="Q480" t="n">
        <v>135</v>
      </c>
      <c r="R480" t="n">
        <v>1</v>
      </c>
      <c r="S480" t="inlineStr">
        <is>
          <t>2001,2002</t>
        </is>
      </c>
      <c r="T480" t="n">
        <v>18</v>
      </c>
      <c r="U480" t="n">
        <v>0.5</v>
      </c>
      <c r="V480" t="n">
        <v>1000</v>
      </c>
      <c r="W480" t="n">
        <v>5655</v>
      </c>
      <c r="X480" t="n">
        <v>1</v>
      </c>
      <c r="Y480" t="n">
        <v>2006</v>
      </c>
      <c r="Z480" t="n">
        <v>1</v>
      </c>
      <c r="AA480" t="n">
        <v>0.03</v>
      </c>
    </row>
    <row r="481">
      <c r="A481" t="n">
        <v>1479</v>
      </c>
      <c r="B481" t="inlineStr">
        <is>
          <t>40062,40084,40061</t>
        </is>
      </c>
      <c r="C481" t="n">
        <v>150</v>
      </c>
      <c r="D4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1" t="n">
        <v>1</v>
      </c>
      <c r="F481" t="n">
        <v>0.14</v>
      </c>
      <c r="G481" t="n">
        <v>8001</v>
      </c>
      <c r="H481" t="n">
        <v>360</v>
      </c>
      <c r="I481" t="n">
        <v>1</v>
      </c>
      <c r="J481" t="n">
        <v>8000</v>
      </c>
      <c r="K481" t="n">
        <v>545</v>
      </c>
      <c r="L481" t="n">
        <v>1</v>
      </c>
      <c r="M481" t="n">
        <v>2007</v>
      </c>
      <c r="N481" t="n">
        <v>1</v>
      </c>
      <c r="O481" t="n">
        <v>0.05</v>
      </c>
      <c r="P481" t="n">
        <v>9000</v>
      </c>
      <c r="Q481" t="n">
        <v>135</v>
      </c>
      <c r="R481" t="n">
        <v>1</v>
      </c>
      <c r="S481" t="inlineStr">
        <is>
          <t>2001,2002</t>
        </is>
      </c>
      <c r="T481" t="n">
        <v>18</v>
      </c>
      <c r="U481" t="n">
        <v>0.5</v>
      </c>
      <c r="V481" t="n">
        <v>1000</v>
      </c>
      <c r="W481" t="n">
        <v>5665</v>
      </c>
      <c r="X481" t="n">
        <v>1</v>
      </c>
      <c r="Y481" t="n">
        <v>2006</v>
      </c>
      <c r="Z481" t="n">
        <v>1</v>
      </c>
      <c r="AA481" t="n">
        <v>0.03</v>
      </c>
    </row>
    <row r="482">
      <c r="A482" t="n">
        <v>1480</v>
      </c>
      <c r="B482" t="inlineStr">
        <is>
          <t>40061,40084,40064,40051</t>
        </is>
      </c>
      <c r="C482" t="n">
        <v>150</v>
      </c>
      <c r="D4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2" t="n">
        <v>1</v>
      </c>
      <c r="F482" t="n">
        <v>0.14</v>
      </c>
      <c r="G482" t="n">
        <v>8001</v>
      </c>
      <c r="H482" t="n">
        <v>365</v>
      </c>
      <c r="I482" t="n">
        <v>1</v>
      </c>
      <c r="J482" t="n">
        <v>8000</v>
      </c>
      <c r="K482" t="n">
        <v>545</v>
      </c>
      <c r="L482" t="n">
        <v>1</v>
      </c>
      <c r="M482" t="n">
        <v>2007</v>
      </c>
      <c r="N482" t="n">
        <v>1</v>
      </c>
      <c r="O482" t="n">
        <v>0.05</v>
      </c>
      <c r="P482" t="n">
        <v>9000</v>
      </c>
      <c r="Q482" t="n">
        <v>136</v>
      </c>
      <c r="R482" t="n">
        <v>1</v>
      </c>
      <c r="S482" t="inlineStr">
        <is>
          <t>2001,2002</t>
        </is>
      </c>
      <c r="T482" t="n">
        <v>18</v>
      </c>
      <c r="U482" t="n">
        <v>0.5</v>
      </c>
      <c r="V482" t="n">
        <v>1000</v>
      </c>
      <c r="W482" t="n">
        <v>5670</v>
      </c>
      <c r="X482" t="n">
        <v>1</v>
      </c>
      <c r="Y482" t="n">
        <v>2006</v>
      </c>
      <c r="Z482" t="n">
        <v>1</v>
      </c>
      <c r="AA482" t="n">
        <v>0.03</v>
      </c>
    </row>
    <row r="483">
      <c r="A483" t="n">
        <v>1481</v>
      </c>
      <c r="B483" t="inlineStr">
        <is>
          <t>40061,40062</t>
        </is>
      </c>
      <c r="C483" t="n">
        <v>150</v>
      </c>
      <c r="D4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3" t="n">
        <v>1</v>
      </c>
      <c r="F483" t="n">
        <v>0.14</v>
      </c>
      <c r="G483" t="n">
        <v>8001</v>
      </c>
      <c r="H483" t="n">
        <v>365</v>
      </c>
      <c r="I483" t="n">
        <v>1</v>
      </c>
      <c r="J483" t="n">
        <v>8000</v>
      </c>
      <c r="K483" t="n">
        <v>545</v>
      </c>
      <c r="L483" t="n">
        <v>1</v>
      </c>
      <c r="M483" t="n">
        <v>2007</v>
      </c>
      <c r="N483" t="n">
        <v>1</v>
      </c>
      <c r="O483" t="n">
        <v>0.05</v>
      </c>
      <c r="P483" t="n">
        <v>9000</v>
      </c>
      <c r="Q483" t="n">
        <v>136</v>
      </c>
      <c r="R483" t="n">
        <v>1</v>
      </c>
      <c r="S483" t="inlineStr">
        <is>
          <t>2001,2002</t>
        </is>
      </c>
      <c r="T483" t="n">
        <v>18</v>
      </c>
      <c r="U483" t="n">
        <v>0.5</v>
      </c>
      <c r="V483" t="n">
        <v>1000</v>
      </c>
      <c r="W483" t="n">
        <v>5680</v>
      </c>
      <c r="X483" t="n">
        <v>1</v>
      </c>
      <c r="Y483" t="n">
        <v>2006</v>
      </c>
      <c r="Z483" t="n">
        <v>1</v>
      </c>
      <c r="AA483" t="n">
        <v>0.03</v>
      </c>
    </row>
    <row r="484">
      <c r="A484" t="n">
        <v>1482</v>
      </c>
      <c r="B484" t="inlineStr">
        <is>
          <t>40051,40084,40064</t>
        </is>
      </c>
      <c r="C484" t="n">
        <v>150</v>
      </c>
      <c r="D4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4" t="n">
        <v>1</v>
      </c>
      <c r="F484" t="n">
        <v>0.14</v>
      </c>
      <c r="G484" t="n">
        <v>8001</v>
      </c>
      <c r="H484" t="n">
        <v>365</v>
      </c>
      <c r="I484" t="n">
        <v>1</v>
      </c>
      <c r="J484" t="n">
        <v>8000</v>
      </c>
      <c r="K484" t="n">
        <v>545</v>
      </c>
      <c r="L484" t="n">
        <v>1</v>
      </c>
      <c r="M484" t="n">
        <v>2007</v>
      </c>
      <c r="N484" t="n">
        <v>1</v>
      </c>
      <c r="O484" t="n">
        <v>0.05</v>
      </c>
      <c r="P484" t="n">
        <v>9000</v>
      </c>
      <c r="Q484" t="n">
        <v>136</v>
      </c>
      <c r="R484" t="n">
        <v>1</v>
      </c>
      <c r="S484" t="inlineStr">
        <is>
          <t>2001,2002</t>
        </is>
      </c>
      <c r="T484" t="n">
        <v>18</v>
      </c>
      <c r="U484" t="n">
        <v>0.5</v>
      </c>
      <c r="V484" t="n">
        <v>1000</v>
      </c>
      <c r="W484" t="n">
        <v>5690</v>
      </c>
      <c r="X484" t="n">
        <v>1</v>
      </c>
      <c r="Y484" t="n">
        <v>2006</v>
      </c>
      <c r="Z484" t="n">
        <v>1</v>
      </c>
      <c r="AA484" t="n">
        <v>0.03</v>
      </c>
    </row>
    <row r="485">
      <c r="A485" t="n">
        <v>1483</v>
      </c>
      <c r="B485" t="inlineStr">
        <is>
          <t>40064,40062,40084</t>
        </is>
      </c>
      <c r="C485" t="n">
        <v>150</v>
      </c>
      <c r="D4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5" t="n">
        <v>1</v>
      </c>
      <c r="F485" t="n">
        <v>0.14</v>
      </c>
      <c r="G485" t="n">
        <v>8001</v>
      </c>
      <c r="H485" t="n">
        <v>365</v>
      </c>
      <c r="I485" t="n">
        <v>1</v>
      </c>
      <c r="J485" t="n">
        <v>8000</v>
      </c>
      <c r="K485" t="n">
        <v>545</v>
      </c>
      <c r="L485" t="n">
        <v>1</v>
      </c>
      <c r="M485" t="n">
        <v>2007</v>
      </c>
      <c r="N485" t="n">
        <v>1</v>
      </c>
      <c r="O485" t="n">
        <v>0.05</v>
      </c>
      <c r="P485" t="n">
        <v>9000</v>
      </c>
      <c r="Q485" t="n">
        <v>136</v>
      </c>
      <c r="R485" t="n">
        <v>1</v>
      </c>
      <c r="S485" t="inlineStr">
        <is>
          <t>2001,2002</t>
        </is>
      </c>
      <c r="T485" t="n">
        <v>18</v>
      </c>
      <c r="U485" t="n">
        <v>0.5</v>
      </c>
      <c r="V485" t="n">
        <v>1000</v>
      </c>
      <c r="W485" t="n">
        <v>5700</v>
      </c>
      <c r="X485" t="n">
        <v>1</v>
      </c>
      <c r="Y485" t="n">
        <v>2006</v>
      </c>
      <c r="Z485" t="n">
        <v>1</v>
      </c>
      <c r="AA485" t="n">
        <v>0.03</v>
      </c>
    </row>
    <row r="486">
      <c r="A486" t="n">
        <v>1484</v>
      </c>
      <c r="B486" t="inlineStr">
        <is>
          <t>40061,40051,40064</t>
        </is>
      </c>
      <c r="C486" t="n">
        <v>150</v>
      </c>
      <c r="D4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6" t="n">
        <v>1</v>
      </c>
      <c r="F486" t="n">
        <v>0.14</v>
      </c>
      <c r="G486" t="n">
        <v>8001</v>
      </c>
      <c r="H486" t="n">
        <v>365</v>
      </c>
      <c r="I486" t="n">
        <v>1</v>
      </c>
      <c r="J486" t="n">
        <v>8000</v>
      </c>
      <c r="K486" t="n">
        <v>550</v>
      </c>
      <c r="L486" t="n">
        <v>1</v>
      </c>
      <c r="M486" t="n">
        <v>2007</v>
      </c>
      <c r="N486" t="n">
        <v>1</v>
      </c>
      <c r="O486" t="n">
        <v>0.05</v>
      </c>
      <c r="P486" t="n">
        <v>9000</v>
      </c>
      <c r="Q486" t="n">
        <v>137</v>
      </c>
      <c r="R486" t="n">
        <v>1</v>
      </c>
      <c r="S486" t="inlineStr">
        <is>
          <t>2001,2002</t>
        </is>
      </c>
      <c r="T486" t="n">
        <v>18</v>
      </c>
      <c r="U486" t="n">
        <v>0.5</v>
      </c>
      <c r="V486" t="n">
        <v>1000</v>
      </c>
      <c r="W486" t="n">
        <v>5710</v>
      </c>
      <c r="X486" t="n">
        <v>1</v>
      </c>
      <c r="Y486" t="n">
        <v>2006</v>
      </c>
      <c r="Z486" t="n">
        <v>1</v>
      </c>
      <c r="AA486" t="n">
        <v>0.03</v>
      </c>
    </row>
    <row r="487">
      <c r="A487" t="n">
        <v>1485</v>
      </c>
      <c r="B487" t="inlineStr">
        <is>
          <t>40064,40084,40061</t>
        </is>
      </c>
      <c r="C487" t="n">
        <v>150</v>
      </c>
      <c r="D4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7" t="n">
        <v>1</v>
      </c>
      <c r="F487" t="n">
        <v>0.141</v>
      </c>
      <c r="G487" t="n">
        <v>8001</v>
      </c>
      <c r="H487" t="n">
        <v>365</v>
      </c>
      <c r="I487" t="n">
        <v>1</v>
      </c>
      <c r="J487" t="n">
        <v>8000</v>
      </c>
      <c r="K487" t="n">
        <v>550</v>
      </c>
      <c r="L487" t="n">
        <v>1</v>
      </c>
      <c r="M487" t="n">
        <v>2007</v>
      </c>
      <c r="N487" t="n">
        <v>1</v>
      </c>
      <c r="O487" t="n">
        <v>0.05</v>
      </c>
      <c r="P487" t="n">
        <v>9000</v>
      </c>
      <c r="Q487" t="n">
        <v>137</v>
      </c>
      <c r="R487" t="n">
        <v>1</v>
      </c>
      <c r="S487" t="inlineStr">
        <is>
          <t>2001,2002</t>
        </is>
      </c>
      <c r="T487" t="n">
        <v>18</v>
      </c>
      <c r="U487" t="n">
        <v>0.5</v>
      </c>
      <c r="V487" t="n">
        <v>1000</v>
      </c>
      <c r="W487" t="n">
        <v>5715</v>
      </c>
      <c r="X487" t="n">
        <v>1</v>
      </c>
      <c r="Y487" t="n">
        <v>2006</v>
      </c>
      <c r="Z487" t="n">
        <v>1</v>
      </c>
      <c r="AA487" t="n">
        <v>0.03</v>
      </c>
    </row>
    <row r="488">
      <c r="A488" t="n">
        <v>1486</v>
      </c>
      <c r="B488" t="inlineStr">
        <is>
          <t>40051,40064,40061,40084</t>
        </is>
      </c>
      <c r="C488" t="n">
        <v>150</v>
      </c>
      <c r="D4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8" t="n">
        <v>1</v>
      </c>
      <c r="F488" t="n">
        <v>0.141</v>
      </c>
      <c r="G488" t="n">
        <v>8001</v>
      </c>
      <c r="H488" t="n">
        <v>365</v>
      </c>
      <c r="I488" t="n">
        <v>1</v>
      </c>
      <c r="J488" t="n">
        <v>8000</v>
      </c>
      <c r="K488" t="n">
        <v>550</v>
      </c>
      <c r="L488" t="n">
        <v>1</v>
      </c>
      <c r="M488" t="n">
        <v>2007</v>
      </c>
      <c r="N488" t="n">
        <v>1</v>
      </c>
      <c r="O488" t="n">
        <v>0.05</v>
      </c>
      <c r="P488" t="n">
        <v>9000</v>
      </c>
      <c r="Q488" t="n">
        <v>137</v>
      </c>
      <c r="R488" t="n">
        <v>1</v>
      </c>
      <c r="S488" t="inlineStr">
        <is>
          <t>2001,2002</t>
        </is>
      </c>
      <c r="T488" t="n">
        <v>18</v>
      </c>
      <c r="U488" t="n">
        <v>0.5</v>
      </c>
      <c r="V488" t="n">
        <v>1000</v>
      </c>
      <c r="W488" t="n">
        <v>5725</v>
      </c>
      <c r="X488" t="n">
        <v>1</v>
      </c>
      <c r="Y488" t="n">
        <v>2006</v>
      </c>
      <c r="Z488" t="n">
        <v>1</v>
      </c>
      <c r="AA488" t="n">
        <v>0.03</v>
      </c>
    </row>
    <row r="489">
      <c r="A489" t="n">
        <v>1487</v>
      </c>
      <c r="B489" t="inlineStr">
        <is>
          <t>40064,40051,40061</t>
        </is>
      </c>
      <c r="C489" t="n">
        <v>150</v>
      </c>
      <c r="D4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9" t="n">
        <v>1</v>
      </c>
      <c r="F489" t="n">
        <v>0.141</v>
      </c>
      <c r="G489" t="n">
        <v>8001</v>
      </c>
      <c r="H489" t="n">
        <v>365</v>
      </c>
      <c r="I489" t="n">
        <v>1</v>
      </c>
      <c r="J489" t="n">
        <v>8000</v>
      </c>
      <c r="K489" t="n">
        <v>550</v>
      </c>
      <c r="L489" t="n">
        <v>1</v>
      </c>
      <c r="M489" t="n">
        <v>2007</v>
      </c>
      <c r="N489" t="n">
        <v>1</v>
      </c>
      <c r="O489" t="n">
        <v>0.05</v>
      </c>
      <c r="P489" t="n">
        <v>9000</v>
      </c>
      <c r="Q489" t="n">
        <v>137</v>
      </c>
      <c r="R489" t="n">
        <v>1</v>
      </c>
      <c r="S489" t="inlineStr">
        <is>
          <t>2001,2002</t>
        </is>
      </c>
      <c r="T489" t="n">
        <v>18</v>
      </c>
      <c r="U489" t="n">
        <v>0.5</v>
      </c>
      <c r="V489" t="n">
        <v>1000</v>
      </c>
      <c r="W489" t="n">
        <v>5735</v>
      </c>
      <c r="X489" t="n">
        <v>1</v>
      </c>
      <c r="Y489" t="n">
        <v>2006</v>
      </c>
      <c r="Z489" t="n">
        <v>1</v>
      </c>
      <c r="AA489" t="n">
        <v>0.03</v>
      </c>
    </row>
    <row r="490">
      <c r="A490" t="n">
        <v>1488</v>
      </c>
      <c r="B490" t="inlineStr">
        <is>
          <t>40062,40051,40064,40061</t>
        </is>
      </c>
      <c r="C490" t="n">
        <v>150</v>
      </c>
      <c r="D4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0" t="n">
        <v>1</v>
      </c>
      <c r="F490" t="n">
        <v>0.141</v>
      </c>
      <c r="G490" t="n">
        <v>8001</v>
      </c>
      <c r="H490" t="n">
        <v>365</v>
      </c>
      <c r="I490" t="n">
        <v>1</v>
      </c>
      <c r="J490" t="n">
        <v>8000</v>
      </c>
      <c r="K490" t="n">
        <v>550</v>
      </c>
      <c r="L490" t="n">
        <v>1</v>
      </c>
      <c r="M490" t="n">
        <v>2007</v>
      </c>
      <c r="N490" t="n">
        <v>1</v>
      </c>
      <c r="O490" t="n">
        <v>0.05</v>
      </c>
      <c r="P490" t="n">
        <v>9000</v>
      </c>
      <c r="Q490" t="n">
        <v>137</v>
      </c>
      <c r="R490" t="n">
        <v>1</v>
      </c>
      <c r="S490" t="inlineStr">
        <is>
          <t>2001,2002</t>
        </is>
      </c>
      <c r="T490" t="n">
        <v>18</v>
      </c>
      <c r="U490" t="n">
        <v>0.5</v>
      </c>
      <c r="V490" t="n">
        <v>1000</v>
      </c>
      <c r="W490" t="n">
        <v>5740</v>
      </c>
      <c r="X490" t="n">
        <v>1</v>
      </c>
      <c r="Y490" t="n">
        <v>2006</v>
      </c>
      <c r="Z490" t="n">
        <v>1</v>
      </c>
      <c r="AA490" t="n">
        <v>0.03</v>
      </c>
    </row>
    <row r="491">
      <c r="A491" t="n">
        <v>1489</v>
      </c>
      <c r="B491" t="inlineStr">
        <is>
          <t>40084,40062,40051,40064,40061</t>
        </is>
      </c>
      <c r="C491" t="n">
        <v>150</v>
      </c>
      <c r="D4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1" t="n">
        <v>1</v>
      </c>
      <c r="F491" t="n">
        <v>0.141</v>
      </c>
      <c r="G491" t="n">
        <v>8001</v>
      </c>
      <c r="H491" t="n">
        <v>370</v>
      </c>
      <c r="I491" t="n">
        <v>1</v>
      </c>
      <c r="J491" t="n">
        <v>8000</v>
      </c>
      <c r="K491" t="n">
        <v>550</v>
      </c>
      <c r="L491" t="n">
        <v>1</v>
      </c>
      <c r="M491" t="n">
        <v>2007</v>
      </c>
      <c r="N491" t="n">
        <v>1</v>
      </c>
      <c r="O491" t="n">
        <v>0.05</v>
      </c>
      <c r="P491" t="n">
        <v>9000</v>
      </c>
      <c r="Q491" t="n">
        <v>138</v>
      </c>
      <c r="R491" t="n">
        <v>1</v>
      </c>
      <c r="S491" t="inlineStr">
        <is>
          <t>2001,2002</t>
        </is>
      </c>
      <c r="T491" t="n">
        <v>18</v>
      </c>
      <c r="U491" t="n">
        <v>0.5</v>
      </c>
      <c r="V491" t="n">
        <v>1000</v>
      </c>
      <c r="W491" t="n">
        <v>5750</v>
      </c>
      <c r="X491" t="n">
        <v>1</v>
      </c>
      <c r="Y491" t="n">
        <v>2006</v>
      </c>
      <c r="Z491" t="n">
        <v>1</v>
      </c>
      <c r="AA491" t="n">
        <v>0.03</v>
      </c>
    </row>
    <row r="492">
      <c r="A492" t="n">
        <v>1490</v>
      </c>
      <c r="B492" t="inlineStr">
        <is>
          <t>40062,40084,40051,40064</t>
        </is>
      </c>
      <c r="C492" t="n">
        <v>150</v>
      </c>
      <c r="D4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2" t="n">
        <v>1</v>
      </c>
      <c r="F492" t="n">
        <v>0.141</v>
      </c>
      <c r="G492" t="n">
        <v>8001</v>
      </c>
      <c r="H492" t="n">
        <v>370</v>
      </c>
      <c r="I492" t="n">
        <v>1</v>
      </c>
      <c r="J492" t="n">
        <v>8000</v>
      </c>
      <c r="K492" t="n">
        <v>555</v>
      </c>
      <c r="L492" t="n">
        <v>1</v>
      </c>
      <c r="M492" t="n">
        <v>2007</v>
      </c>
      <c r="N492" t="n">
        <v>1</v>
      </c>
      <c r="O492" t="n">
        <v>0.05</v>
      </c>
      <c r="P492" t="n">
        <v>9000</v>
      </c>
      <c r="Q492" t="n">
        <v>138</v>
      </c>
      <c r="R492" t="n">
        <v>1</v>
      </c>
      <c r="S492" t="inlineStr">
        <is>
          <t>2001,2002</t>
        </is>
      </c>
      <c r="T492" t="n">
        <v>18</v>
      </c>
      <c r="U492" t="n">
        <v>0.5</v>
      </c>
      <c r="V492" t="n">
        <v>1000</v>
      </c>
      <c r="W492" t="n">
        <v>5760</v>
      </c>
      <c r="X492" t="n">
        <v>1</v>
      </c>
      <c r="Y492" t="n">
        <v>2006</v>
      </c>
      <c r="Z492" t="n">
        <v>1</v>
      </c>
      <c r="AA492" t="n">
        <v>0.03</v>
      </c>
    </row>
    <row r="493">
      <c r="A493" t="n">
        <v>1491</v>
      </c>
      <c r="B493" t="inlineStr">
        <is>
          <t>40062,40051,40061,40064</t>
        </is>
      </c>
      <c r="C493" t="n">
        <v>150</v>
      </c>
      <c r="D4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3" t="n">
        <v>1</v>
      </c>
      <c r="F493" t="n">
        <v>0.141</v>
      </c>
      <c r="G493" t="n">
        <v>8001</v>
      </c>
      <c r="H493" t="n">
        <v>370</v>
      </c>
      <c r="I493" t="n">
        <v>1</v>
      </c>
      <c r="J493" t="n">
        <v>8000</v>
      </c>
      <c r="K493" t="n">
        <v>555</v>
      </c>
      <c r="L493" t="n">
        <v>1</v>
      </c>
      <c r="M493" t="n">
        <v>2007</v>
      </c>
      <c r="N493" t="n">
        <v>1</v>
      </c>
      <c r="O493" t="n">
        <v>0.05</v>
      </c>
      <c r="P493" t="n">
        <v>9000</v>
      </c>
      <c r="Q493" t="n">
        <v>138</v>
      </c>
      <c r="R493" t="n">
        <v>1</v>
      </c>
      <c r="S493" t="inlineStr">
        <is>
          <t>2001,2002</t>
        </is>
      </c>
      <c r="T493" t="n">
        <v>18</v>
      </c>
      <c r="U493" t="n">
        <v>0.5</v>
      </c>
      <c r="V493" t="n">
        <v>1000</v>
      </c>
      <c r="W493" t="n">
        <v>5765</v>
      </c>
      <c r="X493" t="n">
        <v>1</v>
      </c>
      <c r="Y493" t="n">
        <v>2006</v>
      </c>
      <c r="Z493" t="n">
        <v>1</v>
      </c>
      <c r="AA493" t="n">
        <v>0.03</v>
      </c>
    </row>
    <row r="494">
      <c r="A494" t="n">
        <v>1492</v>
      </c>
      <c r="B494" t="inlineStr">
        <is>
          <t>40084,40064,40061</t>
        </is>
      </c>
      <c r="C494" t="n">
        <v>150</v>
      </c>
      <c r="D4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4" t="n">
        <v>1</v>
      </c>
      <c r="F494" t="n">
        <v>0.142</v>
      </c>
      <c r="G494" t="n">
        <v>8001</v>
      </c>
      <c r="H494" t="n">
        <v>370</v>
      </c>
      <c r="I494" t="n">
        <v>1</v>
      </c>
      <c r="J494" t="n">
        <v>8000</v>
      </c>
      <c r="K494" t="n">
        <v>555</v>
      </c>
      <c r="L494" t="n">
        <v>1</v>
      </c>
      <c r="M494" t="n">
        <v>2007</v>
      </c>
      <c r="N494" t="n">
        <v>1</v>
      </c>
      <c r="O494" t="n">
        <v>0.05</v>
      </c>
      <c r="P494" t="n">
        <v>9000</v>
      </c>
      <c r="Q494" t="n">
        <v>138</v>
      </c>
      <c r="R494" t="n">
        <v>1</v>
      </c>
      <c r="S494" t="inlineStr">
        <is>
          <t>2001,2002</t>
        </is>
      </c>
      <c r="T494" t="n">
        <v>18</v>
      </c>
      <c r="U494" t="n">
        <v>0.5</v>
      </c>
      <c r="V494" t="n">
        <v>1000</v>
      </c>
      <c r="W494" t="n">
        <v>5775</v>
      </c>
      <c r="X494" t="n">
        <v>1</v>
      </c>
      <c r="Y494" t="n">
        <v>2006</v>
      </c>
      <c r="Z494" t="n">
        <v>1</v>
      </c>
      <c r="AA494" t="n">
        <v>0.03</v>
      </c>
    </row>
    <row r="495">
      <c r="A495" t="n">
        <v>1493</v>
      </c>
      <c r="B495" t="inlineStr">
        <is>
          <t>40084,40064,40051</t>
        </is>
      </c>
      <c r="C495" t="n">
        <v>150</v>
      </c>
      <c r="D4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5" t="n">
        <v>1</v>
      </c>
      <c r="F495" t="n">
        <v>0.142</v>
      </c>
      <c r="G495" t="n">
        <v>8001</v>
      </c>
      <c r="H495" t="n">
        <v>370</v>
      </c>
      <c r="I495" t="n">
        <v>1</v>
      </c>
      <c r="J495" t="n">
        <v>8000</v>
      </c>
      <c r="K495" t="n">
        <v>555</v>
      </c>
      <c r="L495" t="n">
        <v>1</v>
      </c>
      <c r="M495" t="n">
        <v>2007</v>
      </c>
      <c r="N495" t="n">
        <v>1</v>
      </c>
      <c r="O495" t="n">
        <v>0.05</v>
      </c>
      <c r="P495" t="n">
        <v>9000</v>
      </c>
      <c r="Q495" t="n">
        <v>138</v>
      </c>
      <c r="R495" t="n">
        <v>1</v>
      </c>
      <c r="S495" t="inlineStr">
        <is>
          <t>2001,2002</t>
        </is>
      </c>
      <c r="T495" t="n">
        <v>19</v>
      </c>
      <c r="U495" t="n">
        <v>0.5</v>
      </c>
      <c r="V495" t="n">
        <v>1000</v>
      </c>
      <c r="W495" t="n">
        <v>5785</v>
      </c>
      <c r="X495" t="n">
        <v>1</v>
      </c>
      <c r="Y495" t="n">
        <v>2006</v>
      </c>
      <c r="Z495" t="n">
        <v>1</v>
      </c>
      <c r="AA495" t="n">
        <v>0.03</v>
      </c>
    </row>
    <row r="496">
      <c r="A496" t="n">
        <v>1494</v>
      </c>
      <c r="B496" t="inlineStr">
        <is>
          <t>40061,40064,40062,40084,40051</t>
        </is>
      </c>
      <c r="C496" t="n">
        <v>150</v>
      </c>
      <c r="D4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6" t="n">
        <v>1</v>
      </c>
      <c r="F496" t="n">
        <v>0.142</v>
      </c>
      <c r="G496" t="n">
        <v>8001</v>
      </c>
      <c r="H496" t="n">
        <v>370</v>
      </c>
      <c r="I496" t="n">
        <v>1</v>
      </c>
      <c r="J496" t="n">
        <v>8000</v>
      </c>
      <c r="K496" t="n">
        <v>555</v>
      </c>
      <c r="L496" t="n">
        <v>1</v>
      </c>
      <c r="M496" t="n">
        <v>2007</v>
      </c>
      <c r="N496" t="n">
        <v>1</v>
      </c>
      <c r="O496" t="n">
        <v>0.05</v>
      </c>
      <c r="P496" t="n">
        <v>9000</v>
      </c>
      <c r="Q496" t="n">
        <v>139</v>
      </c>
      <c r="R496" t="n">
        <v>1</v>
      </c>
      <c r="S496" t="inlineStr">
        <is>
          <t>2001,2002</t>
        </is>
      </c>
      <c r="T496" t="n">
        <v>19</v>
      </c>
      <c r="U496" t="n">
        <v>0.5</v>
      </c>
      <c r="V496" t="n">
        <v>1000</v>
      </c>
      <c r="W496" t="n">
        <v>5790</v>
      </c>
      <c r="X496" t="n">
        <v>1</v>
      </c>
      <c r="Y496" t="n">
        <v>2006</v>
      </c>
      <c r="Z496" t="n">
        <v>1</v>
      </c>
      <c r="AA496" t="n">
        <v>0.03</v>
      </c>
    </row>
    <row r="497">
      <c r="A497" t="n">
        <v>1495</v>
      </c>
      <c r="B497" t="inlineStr">
        <is>
          <t>40051,40084</t>
        </is>
      </c>
      <c r="C497" t="n">
        <v>150</v>
      </c>
      <c r="D4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7" t="n">
        <v>1</v>
      </c>
      <c r="F497" t="n">
        <v>0.142</v>
      </c>
      <c r="G497" t="n">
        <v>8001</v>
      </c>
      <c r="H497" t="n">
        <v>370</v>
      </c>
      <c r="I497" t="n">
        <v>1</v>
      </c>
      <c r="J497" t="n">
        <v>8000</v>
      </c>
      <c r="K497" t="n">
        <v>555</v>
      </c>
      <c r="L497" t="n">
        <v>1</v>
      </c>
      <c r="M497" t="n">
        <v>2007</v>
      </c>
      <c r="N497" t="n">
        <v>1</v>
      </c>
      <c r="O497" t="n">
        <v>0.05</v>
      </c>
      <c r="P497" t="n">
        <v>9000</v>
      </c>
      <c r="Q497" t="n">
        <v>139</v>
      </c>
      <c r="R497" t="n">
        <v>1</v>
      </c>
      <c r="S497" t="inlineStr">
        <is>
          <t>2001,2002</t>
        </is>
      </c>
      <c r="T497" t="n">
        <v>19</v>
      </c>
      <c r="U497" t="n">
        <v>0.5</v>
      </c>
      <c r="V497" t="n">
        <v>1000</v>
      </c>
      <c r="W497" t="n">
        <v>5800</v>
      </c>
      <c r="X497" t="n">
        <v>1</v>
      </c>
      <c r="Y497" t="n">
        <v>2006</v>
      </c>
      <c r="Z497" t="n">
        <v>1</v>
      </c>
      <c r="AA497" t="n">
        <v>0.03</v>
      </c>
    </row>
    <row r="498">
      <c r="A498" t="n">
        <v>1496</v>
      </c>
      <c r="B498" t="inlineStr">
        <is>
          <t>40061,40051,40062</t>
        </is>
      </c>
      <c r="C498" t="n">
        <v>150</v>
      </c>
      <c r="D4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8" t="n">
        <v>1</v>
      </c>
      <c r="F498" t="n">
        <v>0.142</v>
      </c>
      <c r="G498" t="n">
        <v>8001</v>
      </c>
      <c r="H498" t="n">
        <v>370</v>
      </c>
      <c r="I498" t="n">
        <v>1</v>
      </c>
      <c r="J498" t="n">
        <v>8000</v>
      </c>
      <c r="K498" t="n">
        <v>560</v>
      </c>
      <c r="L498" t="n">
        <v>1</v>
      </c>
      <c r="M498" t="n">
        <v>2007</v>
      </c>
      <c r="N498" t="n">
        <v>1</v>
      </c>
      <c r="O498" t="n">
        <v>0.05</v>
      </c>
      <c r="P498" t="n">
        <v>9000</v>
      </c>
      <c r="Q498" t="n">
        <v>139</v>
      </c>
      <c r="R498" t="n">
        <v>1</v>
      </c>
      <c r="S498" t="inlineStr">
        <is>
          <t>2001,2002</t>
        </is>
      </c>
      <c r="T498" t="n">
        <v>19</v>
      </c>
      <c r="U498" t="n">
        <v>0.5</v>
      </c>
      <c r="V498" t="n">
        <v>1000</v>
      </c>
      <c r="W498" t="n">
        <v>5810</v>
      </c>
      <c r="X498" t="n">
        <v>1</v>
      </c>
      <c r="Y498" t="n">
        <v>2006</v>
      </c>
      <c r="Z498" t="n">
        <v>1</v>
      </c>
      <c r="AA498" t="n">
        <v>0.03</v>
      </c>
    </row>
    <row r="499">
      <c r="A499" t="n">
        <v>1497</v>
      </c>
      <c r="B499" t="inlineStr">
        <is>
          <t>40062,40084,40061</t>
        </is>
      </c>
      <c r="C499" t="n">
        <v>150</v>
      </c>
      <c r="D4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9" t="n">
        <v>1</v>
      </c>
      <c r="F499" t="n">
        <v>0.142</v>
      </c>
      <c r="G499" t="n">
        <v>8001</v>
      </c>
      <c r="H499" t="n">
        <v>370</v>
      </c>
      <c r="I499" t="n">
        <v>1</v>
      </c>
      <c r="J499" t="n">
        <v>8000</v>
      </c>
      <c r="K499" t="n">
        <v>560</v>
      </c>
      <c r="L499" t="n">
        <v>1</v>
      </c>
      <c r="M499" t="n">
        <v>2007</v>
      </c>
      <c r="N499" t="n">
        <v>1</v>
      </c>
      <c r="O499" t="n">
        <v>0.05</v>
      </c>
      <c r="P499" t="n">
        <v>9000</v>
      </c>
      <c r="Q499" t="n">
        <v>139</v>
      </c>
      <c r="R499" t="n">
        <v>1</v>
      </c>
      <c r="S499" t="inlineStr">
        <is>
          <t>2001,2002</t>
        </is>
      </c>
      <c r="T499" t="n">
        <v>19</v>
      </c>
      <c r="U499" t="n">
        <v>0.5</v>
      </c>
      <c r="V499" t="n">
        <v>1000</v>
      </c>
      <c r="W499" t="n">
        <v>5815</v>
      </c>
      <c r="X499" t="n">
        <v>1</v>
      </c>
      <c r="Y499" t="n">
        <v>2006</v>
      </c>
      <c r="Z499" t="n">
        <v>1</v>
      </c>
      <c r="AA499" t="n">
        <v>0.03</v>
      </c>
    </row>
    <row r="500">
      <c r="A500" t="n">
        <v>1498</v>
      </c>
      <c r="B500" t="inlineStr">
        <is>
          <t>40051,40062,40061</t>
        </is>
      </c>
      <c r="C500" t="n">
        <v>150</v>
      </c>
      <c r="D5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0" t="n">
        <v>1</v>
      </c>
      <c r="F500" t="n">
        <v>0.142</v>
      </c>
      <c r="G500" t="n">
        <v>8001</v>
      </c>
      <c r="H500" t="n">
        <v>375</v>
      </c>
      <c r="I500" t="n">
        <v>1</v>
      </c>
      <c r="J500" t="n">
        <v>8000</v>
      </c>
      <c r="K500" t="n">
        <v>560</v>
      </c>
      <c r="L500" t="n">
        <v>1</v>
      </c>
      <c r="M500" t="n">
        <v>2007</v>
      </c>
      <c r="N500" t="n">
        <v>1</v>
      </c>
      <c r="O500" t="n">
        <v>0.05</v>
      </c>
      <c r="P500" t="n">
        <v>9000</v>
      </c>
      <c r="Q500" t="n">
        <v>139</v>
      </c>
      <c r="R500" t="n">
        <v>1</v>
      </c>
      <c r="S500" t="inlineStr">
        <is>
          <t>2001,2002</t>
        </is>
      </c>
      <c r="T500" t="n">
        <v>19</v>
      </c>
      <c r="U500" t="n">
        <v>0.5</v>
      </c>
      <c r="V500" t="n">
        <v>1000</v>
      </c>
      <c r="W500" t="n">
        <v>5825</v>
      </c>
      <c r="X500" t="n">
        <v>1</v>
      </c>
      <c r="Y500" t="n">
        <v>2006</v>
      </c>
      <c r="Z500" t="n">
        <v>1</v>
      </c>
      <c r="AA500" t="n">
        <v>0.03</v>
      </c>
    </row>
    <row r="501">
      <c r="A501" t="n">
        <v>1499</v>
      </c>
      <c r="B501" t="inlineStr">
        <is>
          <t>50014,40051,40084,40061,40064</t>
        </is>
      </c>
      <c r="C501" t="n">
        <v>150</v>
      </c>
      <c r="D5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1" t="n">
        <v>1</v>
      </c>
      <c r="F501" t="n">
        <v>0.143</v>
      </c>
      <c r="G501" t="n">
        <v>8001</v>
      </c>
      <c r="H501" t="n">
        <v>375</v>
      </c>
      <c r="I501" t="n">
        <v>1</v>
      </c>
      <c r="J501" t="n">
        <v>8000</v>
      </c>
      <c r="K501" t="n">
        <v>560</v>
      </c>
      <c r="L501" t="n">
        <v>1</v>
      </c>
      <c r="M501" t="n">
        <v>2007</v>
      </c>
      <c r="N501" t="n">
        <v>1</v>
      </c>
      <c r="O501" t="n">
        <v>0.05</v>
      </c>
      <c r="P501" t="n">
        <v>9000</v>
      </c>
      <c r="Q501" t="n">
        <v>140</v>
      </c>
      <c r="R501" t="n">
        <v>1</v>
      </c>
      <c r="S501" t="inlineStr">
        <is>
          <t>2001,2002</t>
        </is>
      </c>
      <c r="T501" t="n">
        <v>19</v>
      </c>
      <c r="U501" t="n">
        <v>0.5</v>
      </c>
      <c r="V501" t="n">
        <v>1000</v>
      </c>
      <c r="W501" t="n">
        <v>5830</v>
      </c>
      <c r="X501" t="n">
        <v>1</v>
      </c>
      <c r="Y501" t="n">
        <v>2006</v>
      </c>
      <c r="Z501" t="n">
        <v>1</v>
      </c>
      <c r="AA501" t="n">
        <v>0.03</v>
      </c>
    </row>
    <row r="502">
      <c r="A502" t="n">
        <v>1500</v>
      </c>
      <c r="B502" t="inlineStr">
        <is>
          <t>40060,40056</t>
        </is>
      </c>
      <c r="C502" t="n">
        <v>150</v>
      </c>
      <c r="D5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2" t="n">
        <v>1</v>
      </c>
      <c r="F502" t="n">
        <v>0.143</v>
      </c>
      <c r="G502" t="n">
        <v>8001</v>
      </c>
      <c r="H502" t="n">
        <v>375</v>
      </c>
      <c r="I502" t="n">
        <v>1</v>
      </c>
      <c r="J502" t="n">
        <v>8000</v>
      </c>
      <c r="K502" t="n">
        <v>560</v>
      </c>
      <c r="L502" t="n">
        <v>1</v>
      </c>
      <c r="M502" t="n">
        <v>2007</v>
      </c>
      <c r="N502" t="n">
        <v>1</v>
      </c>
      <c r="O502" t="n">
        <v>0.05</v>
      </c>
      <c r="P502" t="n">
        <v>9000</v>
      </c>
      <c r="Q502" t="n">
        <v>140</v>
      </c>
      <c r="R502" t="n">
        <v>1</v>
      </c>
      <c r="S502" t="inlineStr">
        <is>
          <t>2001,2002</t>
        </is>
      </c>
      <c r="T502" t="n">
        <v>19</v>
      </c>
      <c r="U502" t="n">
        <v>0.5</v>
      </c>
      <c r="V502" t="n">
        <v>1000</v>
      </c>
      <c r="W502" t="n">
        <v>5840</v>
      </c>
      <c r="X502" t="n">
        <v>1</v>
      </c>
      <c r="Y502" t="n">
        <v>2006</v>
      </c>
      <c r="Z502" t="n">
        <v>1</v>
      </c>
      <c r="AA502" t="n">
        <v>0.03</v>
      </c>
    </row>
    <row r="503">
      <c r="A503" t="n">
        <v>1501</v>
      </c>
      <c r="B503" t="inlineStr">
        <is>
          <t>40060,40085</t>
        </is>
      </c>
      <c r="C503" t="n">
        <v>150</v>
      </c>
      <c r="D5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3" t="n">
        <v>1</v>
      </c>
      <c r="F503" t="n">
        <v>0.143</v>
      </c>
      <c r="G503" t="n">
        <v>8001</v>
      </c>
      <c r="H503" t="n">
        <v>375</v>
      </c>
      <c r="I503" t="n">
        <v>1</v>
      </c>
      <c r="J503" t="n">
        <v>8000</v>
      </c>
      <c r="K503" t="n">
        <v>560</v>
      </c>
      <c r="L503" t="n">
        <v>1</v>
      </c>
      <c r="M503" t="n">
        <v>2007</v>
      </c>
      <c r="N503" t="n">
        <v>1</v>
      </c>
      <c r="O503" t="n">
        <v>0.05</v>
      </c>
      <c r="P503" t="n">
        <v>9000</v>
      </c>
      <c r="Q503" t="n">
        <v>140</v>
      </c>
      <c r="R503" t="n">
        <v>1</v>
      </c>
      <c r="S503" t="inlineStr">
        <is>
          <t>2001,2002</t>
        </is>
      </c>
      <c r="T503" t="n">
        <v>19</v>
      </c>
      <c r="U503" t="n">
        <v>0.5</v>
      </c>
      <c r="V503" t="n">
        <v>1000</v>
      </c>
      <c r="W503" t="n">
        <v>5850</v>
      </c>
      <c r="X503" t="n">
        <v>1</v>
      </c>
      <c r="Y503" t="n">
        <v>2006</v>
      </c>
      <c r="Z503" t="n">
        <v>1</v>
      </c>
      <c r="AA503" t="n">
        <v>0.03</v>
      </c>
    </row>
    <row r="504">
      <c r="A504" t="n">
        <v>1502</v>
      </c>
      <c r="B504" t="inlineStr">
        <is>
          <t>40066</t>
        </is>
      </c>
      <c r="C504" t="n">
        <v>150</v>
      </c>
      <c r="D5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4" t="n">
        <v>1</v>
      </c>
      <c r="F504" t="n">
        <v>0.143</v>
      </c>
      <c r="G504" t="n">
        <v>8001</v>
      </c>
      <c r="H504" t="n">
        <v>375</v>
      </c>
      <c r="I504" t="n">
        <v>1</v>
      </c>
      <c r="J504" t="n">
        <v>8000</v>
      </c>
      <c r="K504" t="n">
        <v>560</v>
      </c>
      <c r="L504" t="n">
        <v>1</v>
      </c>
      <c r="M504" t="n">
        <v>2007</v>
      </c>
      <c r="N504" t="n">
        <v>1</v>
      </c>
      <c r="O504" t="n">
        <v>0.05</v>
      </c>
      <c r="P504" t="n">
        <v>9000</v>
      </c>
      <c r="Q504" t="n">
        <v>140</v>
      </c>
      <c r="R504" t="n">
        <v>1</v>
      </c>
      <c r="S504" t="inlineStr">
        <is>
          <t>2001,2002</t>
        </is>
      </c>
      <c r="T504" t="n">
        <v>19</v>
      </c>
      <c r="U504" t="n">
        <v>0.5</v>
      </c>
      <c r="V504" t="n">
        <v>1000</v>
      </c>
      <c r="W504" t="n">
        <v>5855</v>
      </c>
      <c r="X504" t="n">
        <v>1</v>
      </c>
      <c r="Y504" t="n">
        <v>2006</v>
      </c>
      <c r="Z504" t="n">
        <v>1</v>
      </c>
      <c r="AA504" t="n">
        <v>0.03</v>
      </c>
    </row>
    <row r="505">
      <c r="A505" t="n">
        <v>1503</v>
      </c>
      <c r="B505" t="inlineStr">
        <is>
          <t>40067,40085</t>
        </is>
      </c>
      <c r="C505" t="n">
        <v>150</v>
      </c>
      <c r="D5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5" t="n">
        <v>1</v>
      </c>
      <c r="F505" t="n">
        <v>0.143</v>
      </c>
      <c r="G505" t="n">
        <v>8001</v>
      </c>
      <c r="H505" t="n">
        <v>375</v>
      </c>
      <c r="I505" t="n">
        <v>1</v>
      </c>
      <c r="J505" t="n">
        <v>8000</v>
      </c>
      <c r="K505" t="n">
        <v>565</v>
      </c>
      <c r="L505" t="n">
        <v>1</v>
      </c>
      <c r="M505" t="n">
        <v>2007</v>
      </c>
      <c r="N505" t="n">
        <v>1</v>
      </c>
      <c r="O505" t="n">
        <v>0.05</v>
      </c>
      <c r="P505" t="n">
        <v>9000</v>
      </c>
      <c r="Q505" t="n">
        <v>140</v>
      </c>
      <c r="R505" t="n">
        <v>1</v>
      </c>
      <c r="S505" t="inlineStr">
        <is>
          <t>2001,2002</t>
        </is>
      </c>
      <c r="T505" t="n">
        <v>19</v>
      </c>
      <c r="U505" t="n">
        <v>0.5</v>
      </c>
      <c r="V505" t="n">
        <v>1000</v>
      </c>
      <c r="W505" t="n">
        <v>5865</v>
      </c>
      <c r="X505" t="n">
        <v>1</v>
      </c>
      <c r="Y505" t="n">
        <v>2006</v>
      </c>
      <c r="Z505" t="n">
        <v>1</v>
      </c>
      <c r="AA505" t="n">
        <v>0.03</v>
      </c>
    </row>
    <row r="506">
      <c r="A506" t="n">
        <v>1504</v>
      </c>
      <c r="B506" t="inlineStr">
        <is>
          <t>40060,40066</t>
        </is>
      </c>
      <c r="C506" t="n">
        <v>150</v>
      </c>
      <c r="D5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6" t="n">
        <v>1</v>
      </c>
      <c r="F506" t="n">
        <v>0.143</v>
      </c>
      <c r="G506" t="n">
        <v>8001</v>
      </c>
      <c r="H506" t="n">
        <v>375</v>
      </c>
      <c r="I506" t="n">
        <v>1</v>
      </c>
      <c r="J506" t="n">
        <v>8000</v>
      </c>
      <c r="K506" t="n">
        <v>565</v>
      </c>
      <c r="L506" t="n">
        <v>1</v>
      </c>
      <c r="M506" t="n">
        <v>2007</v>
      </c>
      <c r="N506" t="n">
        <v>1</v>
      </c>
      <c r="O506" t="n">
        <v>0.05</v>
      </c>
      <c r="P506" t="n">
        <v>9000</v>
      </c>
      <c r="Q506" t="n">
        <v>141</v>
      </c>
      <c r="R506" t="n">
        <v>1</v>
      </c>
      <c r="S506" t="inlineStr">
        <is>
          <t>2001,2002</t>
        </is>
      </c>
      <c r="T506" t="n">
        <v>19</v>
      </c>
      <c r="U506" t="n">
        <v>0.5</v>
      </c>
      <c r="V506" t="n">
        <v>1000</v>
      </c>
      <c r="W506" t="n">
        <v>5870</v>
      </c>
      <c r="X506" t="n">
        <v>1</v>
      </c>
      <c r="Y506" t="n">
        <v>2006</v>
      </c>
      <c r="Z506" t="n">
        <v>1</v>
      </c>
      <c r="AA506" t="n">
        <v>0.03</v>
      </c>
    </row>
    <row r="507">
      <c r="A507" t="n">
        <v>1505</v>
      </c>
      <c r="B507" t="inlineStr">
        <is>
          <t>40056,40085</t>
        </is>
      </c>
      <c r="C507" t="n">
        <v>150</v>
      </c>
      <c r="D5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7" t="n">
        <v>1</v>
      </c>
      <c r="F507" t="n">
        <v>0.143</v>
      </c>
      <c r="G507" t="n">
        <v>8001</v>
      </c>
      <c r="H507" t="n">
        <v>375</v>
      </c>
      <c r="I507" t="n">
        <v>1</v>
      </c>
      <c r="J507" t="n">
        <v>8000</v>
      </c>
      <c r="K507" t="n">
        <v>565</v>
      </c>
      <c r="L507" t="n">
        <v>1</v>
      </c>
      <c r="M507" t="n">
        <v>2007</v>
      </c>
      <c r="N507" t="n">
        <v>1</v>
      </c>
      <c r="O507" t="n">
        <v>0.05</v>
      </c>
      <c r="P507" t="n">
        <v>9000</v>
      </c>
      <c r="Q507" t="n">
        <v>141</v>
      </c>
      <c r="R507" t="n">
        <v>1</v>
      </c>
      <c r="S507" t="inlineStr">
        <is>
          <t>2001,2002</t>
        </is>
      </c>
      <c r="T507" t="n">
        <v>19</v>
      </c>
      <c r="U507" t="n">
        <v>0.5</v>
      </c>
      <c r="V507" t="n">
        <v>1000</v>
      </c>
      <c r="W507" t="n">
        <v>5880</v>
      </c>
      <c r="X507" t="n">
        <v>1</v>
      </c>
      <c r="Y507" t="n">
        <v>2006</v>
      </c>
      <c r="Z507" t="n">
        <v>1</v>
      </c>
      <c r="AA507" t="n">
        <v>0.03</v>
      </c>
    </row>
    <row r="508">
      <c r="A508" t="n">
        <v>1506</v>
      </c>
      <c r="B508" t="inlineStr">
        <is>
          <t>40066,40060,40056</t>
        </is>
      </c>
      <c r="C508" t="n">
        <v>150</v>
      </c>
      <c r="D5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8" t="n">
        <v>1</v>
      </c>
      <c r="F508" t="n">
        <v>0.144</v>
      </c>
      <c r="G508" t="n">
        <v>8001</v>
      </c>
      <c r="H508" t="n">
        <v>375</v>
      </c>
      <c r="I508" t="n">
        <v>1</v>
      </c>
      <c r="J508" t="n">
        <v>8000</v>
      </c>
      <c r="K508" t="n">
        <v>565</v>
      </c>
      <c r="L508" t="n">
        <v>1</v>
      </c>
      <c r="M508" t="n">
        <v>2007</v>
      </c>
      <c r="N508" t="n">
        <v>1</v>
      </c>
      <c r="O508" t="n">
        <v>0.05</v>
      </c>
      <c r="P508" t="n">
        <v>9000</v>
      </c>
      <c r="Q508" t="n">
        <v>141</v>
      </c>
      <c r="R508" t="n">
        <v>1</v>
      </c>
      <c r="S508" t="inlineStr">
        <is>
          <t>2001,2002</t>
        </is>
      </c>
      <c r="T508" t="n">
        <v>19</v>
      </c>
      <c r="U508" t="n">
        <v>0.5</v>
      </c>
      <c r="V508" t="n">
        <v>1000</v>
      </c>
      <c r="W508" t="n">
        <v>5885</v>
      </c>
      <c r="X508" t="n">
        <v>1</v>
      </c>
      <c r="Y508" t="n">
        <v>2006</v>
      </c>
      <c r="Z508" t="n">
        <v>1</v>
      </c>
      <c r="AA508" t="n">
        <v>0.03</v>
      </c>
    </row>
    <row r="509">
      <c r="A509" t="n">
        <v>1507</v>
      </c>
      <c r="B509" t="inlineStr">
        <is>
          <t>40056,40060,40067</t>
        </is>
      </c>
      <c r="C509" t="n">
        <v>150</v>
      </c>
      <c r="D5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9" t="n">
        <v>1</v>
      </c>
      <c r="F509" t="n">
        <v>0.144</v>
      </c>
      <c r="G509" t="n">
        <v>8001</v>
      </c>
      <c r="H509" t="n">
        <v>375</v>
      </c>
      <c r="I509" t="n">
        <v>1</v>
      </c>
      <c r="J509" t="n">
        <v>8000</v>
      </c>
      <c r="K509" t="n">
        <v>565</v>
      </c>
      <c r="L509" t="n">
        <v>1</v>
      </c>
      <c r="M509" t="n">
        <v>2007</v>
      </c>
      <c r="N509" t="n">
        <v>1</v>
      </c>
      <c r="O509" t="n">
        <v>0.05</v>
      </c>
      <c r="P509" t="n">
        <v>9000</v>
      </c>
      <c r="Q509" t="n">
        <v>141</v>
      </c>
      <c r="R509" t="n">
        <v>1</v>
      </c>
      <c r="S509" t="inlineStr">
        <is>
          <t>2001,2002</t>
        </is>
      </c>
      <c r="T509" t="n">
        <v>19</v>
      </c>
      <c r="U509" t="n">
        <v>0.5</v>
      </c>
      <c r="V509" t="n">
        <v>1000</v>
      </c>
      <c r="W509" t="n">
        <v>5895</v>
      </c>
      <c r="X509" t="n">
        <v>1</v>
      </c>
      <c r="Y509" t="n">
        <v>2006</v>
      </c>
      <c r="Z509" t="n">
        <v>1</v>
      </c>
      <c r="AA509" t="n">
        <v>0.03</v>
      </c>
    </row>
    <row r="510">
      <c r="A510" t="n">
        <v>1508</v>
      </c>
      <c r="B510" t="inlineStr">
        <is>
          <t>40056,40066,40060</t>
        </is>
      </c>
      <c r="C510" t="n">
        <v>150</v>
      </c>
      <c r="D5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0" t="n">
        <v>1</v>
      </c>
      <c r="F510" t="n">
        <v>0.144</v>
      </c>
      <c r="G510" t="n">
        <v>8001</v>
      </c>
      <c r="H510" t="n">
        <v>380</v>
      </c>
      <c r="I510" t="n">
        <v>1</v>
      </c>
      <c r="J510" t="n">
        <v>8000</v>
      </c>
      <c r="K510" t="n">
        <v>565</v>
      </c>
      <c r="L510" t="n">
        <v>1</v>
      </c>
      <c r="M510" t="n">
        <v>2007</v>
      </c>
      <c r="N510" t="n">
        <v>1</v>
      </c>
      <c r="O510" t="n">
        <v>0.05</v>
      </c>
      <c r="P510" t="n">
        <v>9000</v>
      </c>
      <c r="Q510" t="n">
        <v>141</v>
      </c>
      <c r="R510" t="n">
        <v>1</v>
      </c>
      <c r="S510" t="inlineStr">
        <is>
          <t>2001,2002</t>
        </is>
      </c>
      <c r="T510" t="n">
        <v>19</v>
      </c>
      <c r="U510" t="n">
        <v>0.5</v>
      </c>
      <c r="V510" t="n">
        <v>1000</v>
      </c>
      <c r="W510" t="n">
        <v>5900</v>
      </c>
      <c r="X510" t="n">
        <v>1</v>
      </c>
      <c r="Y510" t="n">
        <v>2006</v>
      </c>
      <c r="Z510" t="n">
        <v>1</v>
      </c>
      <c r="AA510" t="n">
        <v>0.03</v>
      </c>
    </row>
    <row r="511">
      <c r="A511" t="n">
        <v>1509</v>
      </c>
      <c r="B511" t="inlineStr">
        <is>
          <t>40056,40085</t>
        </is>
      </c>
      <c r="C511" t="n">
        <v>150</v>
      </c>
      <c r="D5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1" t="n">
        <v>1</v>
      </c>
      <c r="F511" t="n">
        <v>0.144</v>
      </c>
      <c r="G511" t="n">
        <v>8001</v>
      </c>
      <c r="H511" t="n">
        <v>380</v>
      </c>
      <c r="I511" t="n">
        <v>1</v>
      </c>
      <c r="J511" t="n">
        <v>8000</v>
      </c>
      <c r="K511" t="n">
        <v>565</v>
      </c>
      <c r="L511" t="n">
        <v>1</v>
      </c>
      <c r="M511" t="n">
        <v>2007</v>
      </c>
      <c r="N511" t="n">
        <v>1</v>
      </c>
      <c r="O511" t="n">
        <v>0.05</v>
      </c>
      <c r="P511" t="n">
        <v>9000</v>
      </c>
      <c r="Q511" t="n">
        <v>141</v>
      </c>
      <c r="R511" t="n">
        <v>1</v>
      </c>
      <c r="S511" t="inlineStr">
        <is>
          <t>2001,2002</t>
        </is>
      </c>
      <c r="T511" t="n">
        <v>19</v>
      </c>
      <c r="U511" t="n">
        <v>0.5</v>
      </c>
      <c r="V511" t="n">
        <v>1000</v>
      </c>
      <c r="W511" t="n">
        <v>5905</v>
      </c>
      <c r="X511" t="n">
        <v>1</v>
      </c>
      <c r="Y511" t="n">
        <v>2006</v>
      </c>
      <c r="Z511" t="n">
        <v>1</v>
      </c>
      <c r="AA511" t="n">
        <v>0.03</v>
      </c>
    </row>
    <row r="512">
      <c r="A512" t="n">
        <v>1510</v>
      </c>
      <c r="B512" t="inlineStr">
        <is>
          <t>40066,40085</t>
        </is>
      </c>
      <c r="C512" t="n">
        <v>150</v>
      </c>
      <c r="D5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2" t="n">
        <v>1</v>
      </c>
      <c r="F512" t="n">
        <v>0.144</v>
      </c>
      <c r="G512" t="n">
        <v>8001</v>
      </c>
      <c r="H512" t="n">
        <v>380</v>
      </c>
      <c r="I512" t="n">
        <v>1</v>
      </c>
      <c r="J512" t="n">
        <v>8000</v>
      </c>
      <c r="K512" t="n">
        <v>570</v>
      </c>
      <c r="L512" t="n">
        <v>1</v>
      </c>
      <c r="M512" t="n">
        <v>2007</v>
      </c>
      <c r="N512" t="n">
        <v>1</v>
      </c>
      <c r="O512" t="n">
        <v>0.05</v>
      </c>
      <c r="P512" t="n">
        <v>9000</v>
      </c>
      <c r="Q512" t="n">
        <v>142</v>
      </c>
      <c r="R512" t="n">
        <v>1</v>
      </c>
      <c r="S512" t="inlineStr">
        <is>
          <t>2001,2002</t>
        </is>
      </c>
      <c r="T512" t="n">
        <v>19</v>
      </c>
      <c r="U512" t="n">
        <v>0.5</v>
      </c>
      <c r="V512" t="n">
        <v>1000</v>
      </c>
      <c r="W512" t="n">
        <v>5915</v>
      </c>
      <c r="X512" t="n">
        <v>1</v>
      </c>
      <c r="Y512" t="n">
        <v>2006</v>
      </c>
      <c r="Z512" t="n">
        <v>1</v>
      </c>
      <c r="AA512" t="n">
        <v>0.03</v>
      </c>
    </row>
    <row r="513">
      <c r="A513" t="n">
        <v>1511</v>
      </c>
      <c r="B513" t="inlineStr">
        <is>
          <t>40066,40067,40056</t>
        </is>
      </c>
      <c r="C513" t="n">
        <v>150</v>
      </c>
      <c r="D5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3" t="n">
        <v>1</v>
      </c>
      <c r="F513" t="n">
        <v>0.144</v>
      </c>
      <c r="G513" t="n">
        <v>8001</v>
      </c>
      <c r="H513" t="n">
        <v>380</v>
      </c>
      <c r="I513" t="n">
        <v>1</v>
      </c>
      <c r="J513" t="n">
        <v>8000</v>
      </c>
      <c r="K513" t="n">
        <v>570</v>
      </c>
      <c r="L513" t="n">
        <v>1</v>
      </c>
      <c r="M513" t="n">
        <v>2007</v>
      </c>
      <c r="N513" t="n">
        <v>1</v>
      </c>
      <c r="O513" t="n">
        <v>0.05</v>
      </c>
      <c r="P513" t="n">
        <v>9000</v>
      </c>
      <c r="Q513" t="n">
        <v>142</v>
      </c>
      <c r="R513" t="n">
        <v>1</v>
      </c>
      <c r="S513" t="inlineStr">
        <is>
          <t>2001,2002</t>
        </is>
      </c>
      <c r="T513" t="n">
        <v>19</v>
      </c>
      <c r="U513" t="n">
        <v>0.5</v>
      </c>
      <c r="V513" t="n">
        <v>1000</v>
      </c>
      <c r="W513" t="n">
        <v>5920</v>
      </c>
      <c r="X513" t="n">
        <v>1</v>
      </c>
      <c r="Y513" t="n">
        <v>2006</v>
      </c>
      <c r="Z513" t="n">
        <v>1</v>
      </c>
      <c r="AA513" t="n">
        <v>0.03</v>
      </c>
    </row>
    <row r="514">
      <c r="A514" t="n">
        <v>1512</v>
      </c>
      <c r="B514" t="inlineStr">
        <is>
          <t>40060,40085,40066</t>
        </is>
      </c>
      <c r="C514" t="n">
        <v>150</v>
      </c>
      <c r="D5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4" t="n">
        <v>1</v>
      </c>
      <c r="F514" t="n">
        <v>0.144</v>
      </c>
      <c r="G514" t="n">
        <v>8001</v>
      </c>
      <c r="H514" t="n">
        <v>380</v>
      </c>
      <c r="I514" t="n">
        <v>1</v>
      </c>
      <c r="J514" t="n">
        <v>8000</v>
      </c>
      <c r="K514" t="n">
        <v>570</v>
      </c>
      <c r="L514" t="n">
        <v>1</v>
      </c>
      <c r="M514" t="n">
        <v>2007</v>
      </c>
      <c r="N514" t="n">
        <v>1</v>
      </c>
      <c r="O514" t="n">
        <v>0.05</v>
      </c>
      <c r="P514" t="n">
        <v>9000</v>
      </c>
      <c r="Q514" t="n">
        <v>142</v>
      </c>
      <c r="R514" t="n">
        <v>1</v>
      </c>
      <c r="S514" t="inlineStr">
        <is>
          <t>2001,2002</t>
        </is>
      </c>
      <c r="T514" t="n">
        <v>19</v>
      </c>
      <c r="U514" t="n">
        <v>0.5</v>
      </c>
      <c r="V514" t="n">
        <v>1000</v>
      </c>
      <c r="W514" t="n">
        <v>5930</v>
      </c>
      <c r="X514" t="n">
        <v>1</v>
      </c>
      <c r="Y514" t="n">
        <v>2006</v>
      </c>
      <c r="Z514" t="n">
        <v>1</v>
      </c>
      <c r="AA514" t="n">
        <v>0.03</v>
      </c>
    </row>
    <row r="515">
      <c r="A515" t="n">
        <v>1513</v>
      </c>
      <c r="B515" t="inlineStr">
        <is>
          <t>40056,40085</t>
        </is>
      </c>
      <c r="C515" t="n">
        <v>150</v>
      </c>
      <c r="D5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5" t="n">
        <v>1</v>
      </c>
      <c r="F515" t="n">
        <v>0.144</v>
      </c>
      <c r="G515" t="n">
        <v>8001</v>
      </c>
      <c r="H515" t="n">
        <v>380</v>
      </c>
      <c r="I515" t="n">
        <v>1</v>
      </c>
      <c r="J515" t="n">
        <v>8000</v>
      </c>
      <c r="K515" t="n">
        <v>570</v>
      </c>
      <c r="L515" t="n">
        <v>1</v>
      </c>
      <c r="M515" t="n">
        <v>2007</v>
      </c>
      <c r="N515" t="n">
        <v>1</v>
      </c>
      <c r="O515" t="n">
        <v>0.05</v>
      </c>
      <c r="P515" t="n">
        <v>9000</v>
      </c>
      <c r="Q515" t="n">
        <v>142</v>
      </c>
      <c r="R515" t="n">
        <v>1</v>
      </c>
      <c r="S515" t="inlineStr">
        <is>
          <t>2001,2002</t>
        </is>
      </c>
      <c r="T515" t="n">
        <v>19</v>
      </c>
      <c r="U515" t="n">
        <v>0.5</v>
      </c>
      <c r="V515" t="n">
        <v>1000</v>
      </c>
      <c r="W515" t="n">
        <v>5935</v>
      </c>
      <c r="X515" t="n">
        <v>1</v>
      </c>
      <c r="Y515" t="n">
        <v>2006</v>
      </c>
      <c r="Z515" t="n">
        <v>1</v>
      </c>
      <c r="AA515" t="n">
        <v>0.03</v>
      </c>
    </row>
    <row r="516">
      <c r="A516" t="n">
        <v>1514</v>
      </c>
      <c r="B516" t="inlineStr">
        <is>
          <t>40066,40067</t>
        </is>
      </c>
      <c r="C516" t="n">
        <v>150</v>
      </c>
      <c r="D5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6" t="n">
        <v>1</v>
      </c>
      <c r="F516" t="n">
        <v>0.145</v>
      </c>
      <c r="G516" t="n">
        <v>8001</v>
      </c>
      <c r="H516" t="n">
        <v>380</v>
      </c>
      <c r="I516" t="n">
        <v>1</v>
      </c>
      <c r="J516" t="n">
        <v>8000</v>
      </c>
      <c r="K516" t="n">
        <v>570</v>
      </c>
      <c r="L516" t="n">
        <v>1</v>
      </c>
      <c r="M516" t="n">
        <v>2007</v>
      </c>
      <c r="N516" t="n">
        <v>1</v>
      </c>
      <c r="O516" t="n">
        <v>0.05</v>
      </c>
      <c r="P516" t="n">
        <v>9000</v>
      </c>
      <c r="Q516" t="n">
        <v>142</v>
      </c>
      <c r="R516" t="n">
        <v>1</v>
      </c>
      <c r="S516" t="inlineStr">
        <is>
          <t>2001,2002</t>
        </is>
      </c>
      <c r="T516" t="n">
        <v>19</v>
      </c>
      <c r="U516" t="n">
        <v>0.5</v>
      </c>
      <c r="V516" t="n">
        <v>1000</v>
      </c>
      <c r="W516" t="n">
        <v>5940</v>
      </c>
      <c r="X516" t="n">
        <v>1</v>
      </c>
      <c r="Y516" t="n">
        <v>2006</v>
      </c>
      <c r="Z516" t="n">
        <v>1</v>
      </c>
      <c r="AA516" t="n">
        <v>0.03</v>
      </c>
    </row>
    <row r="517">
      <c r="A517" t="n">
        <v>1515</v>
      </c>
      <c r="B517" t="inlineStr">
        <is>
          <t>40067,40066,40056</t>
        </is>
      </c>
      <c r="C517" t="n">
        <v>150</v>
      </c>
      <c r="D5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7" t="n">
        <v>1</v>
      </c>
      <c r="F517" t="n">
        <v>0.145</v>
      </c>
      <c r="G517" t="n">
        <v>8001</v>
      </c>
      <c r="H517" t="n">
        <v>380</v>
      </c>
      <c r="I517" t="n">
        <v>1</v>
      </c>
      <c r="J517" t="n">
        <v>8000</v>
      </c>
      <c r="K517" t="n">
        <v>570</v>
      </c>
      <c r="L517" t="n">
        <v>1</v>
      </c>
      <c r="M517" t="n">
        <v>2007</v>
      </c>
      <c r="N517" t="n">
        <v>1</v>
      </c>
      <c r="O517" t="n">
        <v>0.05</v>
      </c>
      <c r="P517" t="n">
        <v>9000</v>
      </c>
      <c r="Q517" t="n">
        <v>143</v>
      </c>
      <c r="R517" t="n">
        <v>1</v>
      </c>
      <c r="S517" t="inlineStr">
        <is>
          <t>2001,2002</t>
        </is>
      </c>
      <c r="T517" t="n">
        <v>19</v>
      </c>
      <c r="U517" t="n">
        <v>0.5</v>
      </c>
      <c r="V517" t="n">
        <v>1000</v>
      </c>
      <c r="W517" t="n">
        <v>5950</v>
      </c>
      <c r="X517" t="n">
        <v>1</v>
      </c>
      <c r="Y517" t="n">
        <v>2006</v>
      </c>
      <c r="Z517" t="n">
        <v>1</v>
      </c>
      <c r="AA517" t="n">
        <v>0.03</v>
      </c>
    </row>
    <row r="518">
      <c r="A518" t="n">
        <v>1516</v>
      </c>
      <c r="B518" t="inlineStr">
        <is>
          <t>40056,40085,40060</t>
        </is>
      </c>
      <c r="C518" t="n">
        <v>150</v>
      </c>
      <c r="D5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8" t="n">
        <v>1</v>
      </c>
      <c r="F518" t="n">
        <v>0.145</v>
      </c>
      <c r="G518" t="n">
        <v>8001</v>
      </c>
      <c r="H518" t="n">
        <v>380</v>
      </c>
      <c r="I518" t="n">
        <v>1</v>
      </c>
      <c r="J518" t="n">
        <v>8000</v>
      </c>
      <c r="K518" t="n">
        <v>570</v>
      </c>
      <c r="L518" t="n">
        <v>1</v>
      </c>
      <c r="M518" t="n">
        <v>2007</v>
      </c>
      <c r="N518" t="n">
        <v>1</v>
      </c>
      <c r="O518" t="n">
        <v>0.05</v>
      </c>
      <c r="P518" t="n">
        <v>9000</v>
      </c>
      <c r="Q518" t="n">
        <v>143</v>
      </c>
      <c r="R518" t="n">
        <v>1</v>
      </c>
      <c r="S518" t="inlineStr">
        <is>
          <t>2001,2002</t>
        </is>
      </c>
      <c r="T518" t="n">
        <v>19</v>
      </c>
      <c r="U518" t="n">
        <v>0.5</v>
      </c>
      <c r="V518" t="n">
        <v>1000</v>
      </c>
      <c r="W518" t="n">
        <v>5955</v>
      </c>
      <c r="X518" t="n">
        <v>1</v>
      </c>
      <c r="Y518" t="n">
        <v>2006</v>
      </c>
      <c r="Z518" t="n">
        <v>1</v>
      </c>
      <c r="AA518" t="n">
        <v>0.03</v>
      </c>
    </row>
    <row r="519">
      <c r="A519" t="n">
        <v>1517</v>
      </c>
      <c r="B519" t="inlineStr">
        <is>
          <t>40056,40060,40085</t>
        </is>
      </c>
      <c r="C519" t="n">
        <v>150</v>
      </c>
      <c r="D5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9" t="n">
        <v>1</v>
      </c>
      <c r="F519" t="n">
        <v>0.145</v>
      </c>
      <c r="G519" t="n">
        <v>8001</v>
      </c>
      <c r="H519" t="n">
        <v>380</v>
      </c>
      <c r="I519" t="n">
        <v>1</v>
      </c>
      <c r="J519" t="n">
        <v>8000</v>
      </c>
      <c r="K519" t="n">
        <v>570</v>
      </c>
      <c r="L519" t="n">
        <v>1</v>
      </c>
      <c r="M519" t="n">
        <v>2007</v>
      </c>
      <c r="N519" t="n">
        <v>1</v>
      </c>
      <c r="O519" t="n">
        <v>0.05</v>
      </c>
      <c r="P519" t="n">
        <v>9000</v>
      </c>
      <c r="Q519" t="n">
        <v>143</v>
      </c>
      <c r="R519" t="n">
        <v>1</v>
      </c>
      <c r="S519" t="inlineStr">
        <is>
          <t>2001,2002</t>
        </is>
      </c>
      <c r="T519" t="n">
        <v>19</v>
      </c>
      <c r="U519" t="n">
        <v>0.5</v>
      </c>
      <c r="V519" t="n">
        <v>1000</v>
      </c>
      <c r="W519" t="n">
        <v>5965</v>
      </c>
      <c r="X519" t="n">
        <v>1</v>
      </c>
      <c r="Y519" t="n">
        <v>2006</v>
      </c>
      <c r="Z519" t="n">
        <v>1</v>
      </c>
      <c r="AA519" t="n">
        <v>0.03</v>
      </c>
    </row>
    <row r="520">
      <c r="A520" t="n">
        <v>1518</v>
      </c>
      <c r="B520" t="inlineStr">
        <is>
          <t>40067,40056</t>
        </is>
      </c>
      <c r="C520" t="n">
        <v>150</v>
      </c>
      <c r="D5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0" t="n">
        <v>1</v>
      </c>
      <c r="F520" t="n">
        <v>0.145</v>
      </c>
      <c r="G520" t="n">
        <v>8001</v>
      </c>
      <c r="H520" t="n">
        <v>380</v>
      </c>
      <c r="I520" t="n">
        <v>1</v>
      </c>
      <c r="J520" t="n">
        <v>8000</v>
      </c>
      <c r="K520" t="n">
        <v>575</v>
      </c>
      <c r="L520" t="n">
        <v>1</v>
      </c>
      <c r="M520" t="n">
        <v>2007</v>
      </c>
      <c r="N520" t="n">
        <v>1</v>
      </c>
      <c r="O520" t="n">
        <v>0.05</v>
      </c>
      <c r="P520" t="n">
        <v>9000</v>
      </c>
      <c r="Q520" t="n">
        <v>143</v>
      </c>
      <c r="R520" t="n">
        <v>1</v>
      </c>
      <c r="S520" t="inlineStr">
        <is>
          <t>2001,2002</t>
        </is>
      </c>
      <c r="T520" t="n">
        <v>19</v>
      </c>
      <c r="U520" t="n">
        <v>0.5</v>
      </c>
      <c r="V520" t="n">
        <v>1000</v>
      </c>
      <c r="W520" t="n">
        <v>5970</v>
      </c>
      <c r="X520" t="n">
        <v>1</v>
      </c>
      <c r="Y520" t="n">
        <v>2006</v>
      </c>
      <c r="Z520" t="n">
        <v>1</v>
      </c>
      <c r="AA520" t="n">
        <v>0.03</v>
      </c>
    </row>
    <row r="521">
      <c r="A521" t="n">
        <v>1519</v>
      </c>
      <c r="B521" t="inlineStr">
        <is>
          <t>40056,40085,40060</t>
        </is>
      </c>
      <c r="C521" t="n">
        <v>150</v>
      </c>
      <c r="D5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1" t="n">
        <v>1</v>
      </c>
      <c r="F521" t="n">
        <v>0.145</v>
      </c>
      <c r="G521" t="n">
        <v>8001</v>
      </c>
      <c r="H521" t="n">
        <v>380</v>
      </c>
      <c r="I521" t="n">
        <v>1</v>
      </c>
      <c r="J521" t="n">
        <v>8000</v>
      </c>
      <c r="K521" t="n">
        <v>575</v>
      </c>
      <c r="L521" t="n">
        <v>1</v>
      </c>
      <c r="M521" t="n">
        <v>2007</v>
      </c>
      <c r="N521" t="n">
        <v>1</v>
      </c>
      <c r="O521" t="n">
        <v>0.05</v>
      </c>
      <c r="P521" t="n">
        <v>9000</v>
      </c>
      <c r="Q521" t="n">
        <v>143</v>
      </c>
      <c r="R521" t="n">
        <v>1</v>
      </c>
      <c r="S521" t="inlineStr">
        <is>
          <t>2001,2002</t>
        </is>
      </c>
      <c r="T521" t="n">
        <v>19</v>
      </c>
      <c r="U521" t="n">
        <v>0.5</v>
      </c>
      <c r="V521" t="n">
        <v>1000</v>
      </c>
      <c r="W521" t="n">
        <v>5975</v>
      </c>
      <c r="X521" t="n">
        <v>1</v>
      </c>
      <c r="Y521" t="n">
        <v>2006</v>
      </c>
      <c r="Z521" t="n">
        <v>1</v>
      </c>
      <c r="AA521" t="n">
        <v>0.03</v>
      </c>
    </row>
    <row r="522">
      <c r="A522" t="n">
        <v>1520</v>
      </c>
      <c r="B522" t="inlineStr">
        <is>
          <t>40085,40056,40060</t>
        </is>
      </c>
      <c r="C522" t="n">
        <v>150</v>
      </c>
      <c r="D5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2" t="n">
        <v>1</v>
      </c>
      <c r="F522" t="n">
        <v>0.145</v>
      </c>
      <c r="G522" t="n">
        <v>8001</v>
      </c>
      <c r="H522" t="n">
        <v>385</v>
      </c>
      <c r="I522" t="n">
        <v>1</v>
      </c>
      <c r="J522" t="n">
        <v>8000</v>
      </c>
      <c r="K522" t="n">
        <v>575</v>
      </c>
      <c r="L522" t="n">
        <v>1</v>
      </c>
      <c r="M522" t="n">
        <v>2007</v>
      </c>
      <c r="N522" t="n">
        <v>1</v>
      </c>
      <c r="O522" t="n">
        <v>0.05</v>
      </c>
      <c r="P522" t="n">
        <v>9000</v>
      </c>
      <c r="Q522" t="n">
        <v>143</v>
      </c>
      <c r="R522" t="n">
        <v>1</v>
      </c>
      <c r="S522" t="inlineStr">
        <is>
          <t>2001,2002</t>
        </is>
      </c>
      <c r="T522" t="n">
        <v>19</v>
      </c>
      <c r="U522" t="n">
        <v>0.5</v>
      </c>
      <c r="V522" t="n">
        <v>1000</v>
      </c>
      <c r="W522" t="n">
        <v>5980</v>
      </c>
      <c r="X522" t="n">
        <v>1</v>
      </c>
      <c r="Y522" t="n">
        <v>2006</v>
      </c>
      <c r="Z522" t="n">
        <v>1</v>
      </c>
      <c r="AA522" t="n">
        <v>0.03</v>
      </c>
    </row>
    <row r="523">
      <c r="A523" t="n">
        <v>1521</v>
      </c>
      <c r="B523" t="inlineStr">
        <is>
          <t>40085,40066,40067,40060</t>
        </is>
      </c>
      <c r="C523" t="n">
        <v>150</v>
      </c>
      <c r="D5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3" t="n">
        <v>1</v>
      </c>
      <c r="F523" t="n">
        <v>0.145</v>
      </c>
      <c r="G523" t="n">
        <v>8001</v>
      </c>
      <c r="H523" t="n">
        <v>385</v>
      </c>
      <c r="I523" t="n">
        <v>1</v>
      </c>
      <c r="J523" t="n">
        <v>8000</v>
      </c>
      <c r="K523" t="n">
        <v>575</v>
      </c>
      <c r="L523" t="n">
        <v>1</v>
      </c>
      <c r="M523" t="n">
        <v>2007</v>
      </c>
      <c r="N523" t="n">
        <v>1</v>
      </c>
      <c r="O523" t="n">
        <v>0.05</v>
      </c>
      <c r="P523" t="n">
        <v>9000</v>
      </c>
      <c r="Q523" t="n">
        <v>143</v>
      </c>
      <c r="R523" t="n">
        <v>1</v>
      </c>
      <c r="S523" t="inlineStr">
        <is>
          <t>2001,2002</t>
        </is>
      </c>
      <c r="T523" t="n">
        <v>19</v>
      </c>
      <c r="U523" t="n">
        <v>0.5</v>
      </c>
      <c r="V523" t="n">
        <v>1000</v>
      </c>
      <c r="W523" t="n">
        <v>5990</v>
      </c>
      <c r="X523" t="n">
        <v>1</v>
      </c>
      <c r="Y523" t="n">
        <v>2006</v>
      </c>
      <c r="Z523" t="n">
        <v>1</v>
      </c>
      <c r="AA523" t="n">
        <v>0.03</v>
      </c>
    </row>
    <row r="524">
      <c r="A524" t="n">
        <v>1522</v>
      </c>
      <c r="B524" t="inlineStr">
        <is>
          <t>40067,40066,40060</t>
        </is>
      </c>
      <c r="C524" t="n">
        <v>150</v>
      </c>
      <c r="D5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4" t="n">
        <v>1</v>
      </c>
      <c r="F524" t="n">
        <v>0.145</v>
      </c>
      <c r="G524" t="n">
        <v>8001</v>
      </c>
      <c r="H524" t="n">
        <v>385</v>
      </c>
      <c r="I524" t="n">
        <v>1</v>
      </c>
      <c r="J524" t="n">
        <v>8000</v>
      </c>
      <c r="K524" t="n">
        <v>575</v>
      </c>
      <c r="L524" t="n">
        <v>1</v>
      </c>
      <c r="M524" t="n">
        <v>2007</v>
      </c>
      <c r="N524" t="n">
        <v>1</v>
      </c>
      <c r="O524" t="n">
        <v>0.05</v>
      </c>
      <c r="P524" t="n">
        <v>9000</v>
      </c>
      <c r="Q524" t="n">
        <v>144</v>
      </c>
      <c r="R524" t="n">
        <v>1</v>
      </c>
      <c r="S524" t="inlineStr">
        <is>
          <t>2001,2002</t>
        </is>
      </c>
      <c r="T524" t="n">
        <v>19</v>
      </c>
      <c r="U524" t="n">
        <v>0.5</v>
      </c>
      <c r="V524" t="n">
        <v>1000</v>
      </c>
      <c r="W524" t="n">
        <v>5995</v>
      </c>
      <c r="X524" t="n">
        <v>1</v>
      </c>
      <c r="Y524" t="n">
        <v>2006</v>
      </c>
      <c r="Z524" t="n">
        <v>1</v>
      </c>
      <c r="AA524" t="n">
        <v>0.03</v>
      </c>
    </row>
    <row r="525">
      <c r="A525" t="n">
        <v>1523</v>
      </c>
      <c r="B525" t="inlineStr">
        <is>
          <t>40066,40060,40056</t>
        </is>
      </c>
      <c r="C525" t="n">
        <v>150</v>
      </c>
      <c r="D5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5" t="n">
        <v>1</v>
      </c>
      <c r="F525" t="n">
        <v>0.146</v>
      </c>
      <c r="G525" t="n">
        <v>8001</v>
      </c>
      <c r="H525" t="n">
        <v>385</v>
      </c>
      <c r="I525" t="n">
        <v>1</v>
      </c>
      <c r="J525" t="n">
        <v>8000</v>
      </c>
      <c r="K525" t="n">
        <v>575</v>
      </c>
      <c r="L525" t="n">
        <v>1</v>
      </c>
      <c r="M525" t="n">
        <v>2007</v>
      </c>
      <c r="N525" t="n">
        <v>1</v>
      </c>
      <c r="O525" t="n">
        <v>0.05</v>
      </c>
      <c r="P525" t="n">
        <v>9000</v>
      </c>
      <c r="Q525" t="n">
        <v>144</v>
      </c>
      <c r="R525" t="n">
        <v>1</v>
      </c>
      <c r="S525" t="inlineStr">
        <is>
          <t>2001,2002</t>
        </is>
      </c>
      <c r="T525" t="n">
        <v>19</v>
      </c>
      <c r="U525" t="n">
        <v>0.5</v>
      </c>
      <c r="V525" t="n">
        <v>1000</v>
      </c>
      <c r="W525" t="n">
        <v>6000</v>
      </c>
      <c r="X525" t="n">
        <v>1</v>
      </c>
      <c r="Y525" t="n">
        <v>2006</v>
      </c>
      <c r="Z525" t="n">
        <v>1</v>
      </c>
      <c r="AA525" t="n">
        <v>0.03</v>
      </c>
    </row>
    <row r="526">
      <c r="A526" t="n">
        <v>1524</v>
      </c>
      <c r="B526" t="inlineStr">
        <is>
          <t>40066,40056,40060</t>
        </is>
      </c>
      <c r="C526" t="n">
        <v>150</v>
      </c>
      <c r="D5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6" t="n">
        <v>1</v>
      </c>
      <c r="F526" t="n">
        <v>0.146</v>
      </c>
      <c r="G526" t="n">
        <v>8001</v>
      </c>
      <c r="H526" t="n">
        <v>385</v>
      </c>
      <c r="I526" t="n">
        <v>1</v>
      </c>
      <c r="J526" t="n">
        <v>8000</v>
      </c>
      <c r="K526" t="n">
        <v>575</v>
      </c>
      <c r="L526" t="n">
        <v>1</v>
      </c>
      <c r="M526" t="n">
        <v>2007</v>
      </c>
      <c r="N526" t="n">
        <v>1</v>
      </c>
      <c r="O526" t="n">
        <v>0.05</v>
      </c>
      <c r="P526" t="n">
        <v>9000</v>
      </c>
      <c r="Q526" t="n">
        <v>144</v>
      </c>
      <c r="R526" t="n">
        <v>1</v>
      </c>
      <c r="S526" t="inlineStr">
        <is>
          <t>2001,2002</t>
        </is>
      </c>
      <c r="T526" t="n">
        <v>19</v>
      </c>
      <c r="U526" t="n">
        <v>0.5</v>
      </c>
      <c r="V526" t="n">
        <v>1000</v>
      </c>
      <c r="W526" t="n">
        <v>6010</v>
      </c>
      <c r="X526" t="n">
        <v>1</v>
      </c>
      <c r="Y526" t="n">
        <v>2006</v>
      </c>
      <c r="Z526" t="n">
        <v>1</v>
      </c>
      <c r="AA526" t="n">
        <v>0.03</v>
      </c>
    </row>
    <row r="527">
      <c r="A527" t="n">
        <v>1525</v>
      </c>
      <c r="B527" t="inlineStr">
        <is>
          <t>40067,40066,40056</t>
        </is>
      </c>
      <c r="C527" t="n">
        <v>150</v>
      </c>
      <c r="D5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7" t="n">
        <v>1</v>
      </c>
      <c r="F527" t="n">
        <v>0.146</v>
      </c>
      <c r="G527" t="n">
        <v>8001</v>
      </c>
      <c r="H527" t="n">
        <v>385</v>
      </c>
      <c r="I527" t="n">
        <v>1</v>
      </c>
      <c r="J527" t="n">
        <v>8000</v>
      </c>
      <c r="K527" t="n">
        <v>575</v>
      </c>
      <c r="L527" t="n">
        <v>1</v>
      </c>
      <c r="M527" t="n">
        <v>2007</v>
      </c>
      <c r="N527" t="n">
        <v>1</v>
      </c>
      <c r="O527" t="n">
        <v>0.05</v>
      </c>
      <c r="P527" t="n">
        <v>9000</v>
      </c>
      <c r="Q527" t="n">
        <v>144</v>
      </c>
      <c r="R527" t="n">
        <v>1</v>
      </c>
      <c r="S527" t="inlineStr">
        <is>
          <t>2001,2002</t>
        </is>
      </c>
      <c r="T527" t="n">
        <v>19</v>
      </c>
      <c r="U527" t="n">
        <v>0.5</v>
      </c>
      <c r="V527" t="n">
        <v>1000</v>
      </c>
      <c r="W527" t="n">
        <v>6015</v>
      </c>
      <c r="X527" t="n">
        <v>1</v>
      </c>
      <c r="Y527" t="n">
        <v>2006</v>
      </c>
      <c r="Z527" t="n">
        <v>1</v>
      </c>
      <c r="AA527" t="n">
        <v>0.03</v>
      </c>
    </row>
    <row r="528">
      <c r="A528" t="n">
        <v>1526</v>
      </c>
      <c r="B528" t="inlineStr">
        <is>
          <t>40056,40060</t>
        </is>
      </c>
      <c r="C528" t="n">
        <v>150</v>
      </c>
      <c r="D5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8" t="n">
        <v>1</v>
      </c>
      <c r="F528" t="n">
        <v>0.146</v>
      </c>
      <c r="G528" t="n">
        <v>8001</v>
      </c>
      <c r="H528" t="n">
        <v>385</v>
      </c>
      <c r="I528" t="n">
        <v>1</v>
      </c>
      <c r="J528" t="n">
        <v>8000</v>
      </c>
      <c r="K528" t="n">
        <v>580</v>
      </c>
      <c r="L528" t="n">
        <v>1</v>
      </c>
      <c r="M528" t="n">
        <v>2007</v>
      </c>
      <c r="N528" t="n">
        <v>1</v>
      </c>
      <c r="O528" t="n">
        <v>0.05</v>
      </c>
      <c r="P528" t="n">
        <v>9000</v>
      </c>
      <c r="Q528" t="n">
        <v>144</v>
      </c>
      <c r="R528" t="n">
        <v>1</v>
      </c>
      <c r="S528" t="inlineStr">
        <is>
          <t>2001,2002</t>
        </is>
      </c>
      <c r="T528" t="n">
        <v>19</v>
      </c>
      <c r="U528" t="n">
        <v>0.5</v>
      </c>
      <c r="V528" t="n">
        <v>1000</v>
      </c>
      <c r="W528" t="n">
        <v>6020</v>
      </c>
      <c r="X528" t="n">
        <v>1</v>
      </c>
      <c r="Y528" t="n">
        <v>2006</v>
      </c>
      <c r="Z528" t="n">
        <v>1</v>
      </c>
      <c r="AA528" t="n">
        <v>0.03</v>
      </c>
    </row>
    <row r="529">
      <c r="A529" t="n">
        <v>1527</v>
      </c>
      <c r="B529" t="inlineStr">
        <is>
          <t>40066,40056,40060</t>
        </is>
      </c>
      <c r="C529" t="n">
        <v>150</v>
      </c>
      <c r="D5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9" t="n">
        <v>1</v>
      </c>
      <c r="F529" t="n">
        <v>0.146</v>
      </c>
      <c r="G529" t="n">
        <v>8001</v>
      </c>
      <c r="H529" t="n">
        <v>385</v>
      </c>
      <c r="I529" t="n">
        <v>1</v>
      </c>
      <c r="J529" t="n">
        <v>8000</v>
      </c>
      <c r="K529" t="n">
        <v>580</v>
      </c>
      <c r="L529" t="n">
        <v>1</v>
      </c>
      <c r="M529" t="n">
        <v>2007</v>
      </c>
      <c r="N529" t="n">
        <v>1</v>
      </c>
      <c r="O529" t="n">
        <v>0.05</v>
      </c>
      <c r="P529" t="n">
        <v>9000</v>
      </c>
      <c r="Q529" t="n">
        <v>144</v>
      </c>
      <c r="R529" t="n">
        <v>1</v>
      </c>
      <c r="S529" t="inlineStr">
        <is>
          <t>2001,2002</t>
        </is>
      </c>
      <c r="T529" t="n">
        <v>19</v>
      </c>
      <c r="U529" t="n">
        <v>0.5</v>
      </c>
      <c r="V529" t="n">
        <v>1000</v>
      </c>
      <c r="W529" t="n">
        <v>6025</v>
      </c>
      <c r="X529" t="n">
        <v>1</v>
      </c>
      <c r="Y529" t="n">
        <v>2006</v>
      </c>
      <c r="Z529" t="n">
        <v>1</v>
      </c>
      <c r="AA529" t="n">
        <v>0.03</v>
      </c>
    </row>
    <row r="530">
      <c r="A530" t="n">
        <v>1528</v>
      </c>
      <c r="B530" t="inlineStr">
        <is>
          <t>40060,40056,40067</t>
        </is>
      </c>
      <c r="C530" t="n">
        <v>150</v>
      </c>
      <c r="D5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0" t="n">
        <v>1</v>
      </c>
      <c r="F530" t="n">
        <v>0.146</v>
      </c>
      <c r="G530" t="n">
        <v>8001</v>
      </c>
      <c r="H530" t="n">
        <v>385</v>
      </c>
      <c r="I530" t="n">
        <v>1</v>
      </c>
      <c r="J530" t="n">
        <v>8000</v>
      </c>
      <c r="K530" t="n">
        <v>580</v>
      </c>
      <c r="L530" t="n">
        <v>1</v>
      </c>
      <c r="M530" t="n">
        <v>2007</v>
      </c>
      <c r="N530" t="n">
        <v>1</v>
      </c>
      <c r="O530" t="n">
        <v>0.05</v>
      </c>
      <c r="P530" t="n">
        <v>9000</v>
      </c>
      <c r="Q530" t="n">
        <v>145</v>
      </c>
      <c r="R530" t="n">
        <v>1</v>
      </c>
      <c r="S530" t="inlineStr">
        <is>
          <t>2001,2002</t>
        </is>
      </c>
      <c r="T530" t="n">
        <v>19</v>
      </c>
      <c r="U530" t="n">
        <v>0.5</v>
      </c>
      <c r="V530" t="n">
        <v>1000</v>
      </c>
      <c r="W530" t="n">
        <v>6030</v>
      </c>
      <c r="X530" t="n">
        <v>1</v>
      </c>
      <c r="Y530" t="n">
        <v>2006</v>
      </c>
      <c r="Z530" t="n">
        <v>1</v>
      </c>
      <c r="AA530" t="n">
        <v>0.03</v>
      </c>
    </row>
    <row r="531">
      <c r="A531" t="n">
        <v>1529</v>
      </c>
      <c r="B531" t="inlineStr">
        <is>
          <t>40056,40085,40060</t>
        </is>
      </c>
      <c r="C531" t="n">
        <v>150</v>
      </c>
      <c r="D5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1" t="n">
        <v>1</v>
      </c>
      <c r="F531" t="n">
        <v>0.146</v>
      </c>
      <c r="G531" t="n">
        <v>8001</v>
      </c>
      <c r="H531" t="n">
        <v>385</v>
      </c>
      <c r="I531" t="n">
        <v>1</v>
      </c>
      <c r="J531" t="n">
        <v>8000</v>
      </c>
      <c r="K531" t="n">
        <v>580</v>
      </c>
      <c r="L531" t="n">
        <v>1</v>
      </c>
      <c r="M531" t="n">
        <v>2007</v>
      </c>
      <c r="N531" t="n">
        <v>1</v>
      </c>
      <c r="O531" t="n">
        <v>0.05</v>
      </c>
      <c r="P531" t="n">
        <v>9000</v>
      </c>
      <c r="Q531" t="n">
        <v>145</v>
      </c>
      <c r="R531" t="n">
        <v>1</v>
      </c>
      <c r="S531" t="inlineStr">
        <is>
          <t>2001,2002</t>
        </is>
      </c>
      <c r="T531" t="n">
        <v>19</v>
      </c>
      <c r="U531" t="n">
        <v>0.5</v>
      </c>
      <c r="V531" t="n">
        <v>1000</v>
      </c>
      <c r="W531" t="n">
        <v>6035</v>
      </c>
      <c r="X531" t="n">
        <v>1</v>
      </c>
      <c r="Y531" t="n">
        <v>2006</v>
      </c>
      <c r="Z531" t="n">
        <v>1</v>
      </c>
      <c r="AA531" t="n">
        <v>0.03</v>
      </c>
    </row>
    <row r="532">
      <c r="A532" t="n">
        <v>1530</v>
      </c>
      <c r="B532" t="inlineStr">
        <is>
          <t>40066,40085</t>
        </is>
      </c>
      <c r="C532" t="n">
        <v>150</v>
      </c>
      <c r="D5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2" t="n">
        <v>1</v>
      </c>
      <c r="F532" t="n">
        <v>0.146</v>
      </c>
      <c r="G532" t="n">
        <v>8001</v>
      </c>
      <c r="H532" t="n">
        <v>385</v>
      </c>
      <c r="I532" t="n">
        <v>1</v>
      </c>
      <c r="J532" t="n">
        <v>8000</v>
      </c>
      <c r="K532" t="n">
        <v>580</v>
      </c>
      <c r="L532" t="n">
        <v>1</v>
      </c>
      <c r="M532" t="n">
        <v>2007</v>
      </c>
      <c r="N532" t="n">
        <v>1</v>
      </c>
      <c r="O532" t="n">
        <v>0.05</v>
      </c>
      <c r="P532" t="n">
        <v>9000</v>
      </c>
      <c r="Q532" t="n">
        <v>145</v>
      </c>
      <c r="R532" t="n">
        <v>1</v>
      </c>
      <c r="S532" t="inlineStr">
        <is>
          <t>2001,2002</t>
        </is>
      </c>
      <c r="T532" t="n">
        <v>19</v>
      </c>
      <c r="U532" t="n">
        <v>0.5</v>
      </c>
      <c r="V532" t="n">
        <v>1000</v>
      </c>
      <c r="W532" t="n">
        <v>6045</v>
      </c>
      <c r="X532" t="n">
        <v>1</v>
      </c>
      <c r="Y532" t="n">
        <v>2006</v>
      </c>
      <c r="Z532" t="n">
        <v>1</v>
      </c>
      <c r="AA532" t="n">
        <v>0.03</v>
      </c>
    </row>
    <row r="533">
      <c r="A533" t="n">
        <v>1531</v>
      </c>
      <c r="B533" t="inlineStr">
        <is>
          <t>40085,40067,40056</t>
        </is>
      </c>
      <c r="C533" t="n">
        <v>150</v>
      </c>
      <c r="D5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3" t="n">
        <v>1</v>
      </c>
      <c r="F533" t="n">
        <v>0.146</v>
      </c>
      <c r="G533" t="n">
        <v>8001</v>
      </c>
      <c r="H533" t="n">
        <v>385</v>
      </c>
      <c r="I533" t="n">
        <v>1</v>
      </c>
      <c r="J533" t="n">
        <v>8000</v>
      </c>
      <c r="K533" t="n">
        <v>580</v>
      </c>
      <c r="L533" t="n">
        <v>1</v>
      </c>
      <c r="M533" t="n">
        <v>2007</v>
      </c>
      <c r="N533" t="n">
        <v>1</v>
      </c>
      <c r="O533" t="n">
        <v>0.05</v>
      </c>
      <c r="P533" t="n">
        <v>9000</v>
      </c>
      <c r="Q533" t="n">
        <v>145</v>
      </c>
      <c r="R533" t="n">
        <v>1</v>
      </c>
      <c r="S533" t="inlineStr">
        <is>
          <t>2001,2002</t>
        </is>
      </c>
      <c r="T533" t="n">
        <v>19</v>
      </c>
      <c r="U533" t="n">
        <v>0.5</v>
      </c>
      <c r="V533" t="n">
        <v>1000</v>
      </c>
      <c r="W533" t="n">
        <v>6050</v>
      </c>
      <c r="X533" t="n">
        <v>1</v>
      </c>
      <c r="Y533" t="n">
        <v>2006</v>
      </c>
      <c r="Z533" t="n">
        <v>1</v>
      </c>
      <c r="AA533" t="n">
        <v>0.03</v>
      </c>
    </row>
    <row r="534">
      <c r="A534" t="n">
        <v>1532</v>
      </c>
      <c r="B534" t="inlineStr">
        <is>
          <t>40066,40067,40085,40060</t>
        </is>
      </c>
      <c r="C534" t="n">
        <v>150</v>
      </c>
      <c r="D5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4" t="n">
        <v>1</v>
      </c>
      <c r="F534" t="n">
        <v>0.147</v>
      </c>
      <c r="G534" t="n">
        <v>8001</v>
      </c>
      <c r="H534" t="n">
        <v>385</v>
      </c>
      <c r="I534" t="n">
        <v>1</v>
      </c>
      <c r="J534" t="n">
        <v>8000</v>
      </c>
      <c r="K534" t="n">
        <v>580</v>
      </c>
      <c r="L534" t="n">
        <v>1</v>
      </c>
      <c r="M534" t="n">
        <v>2007</v>
      </c>
      <c r="N534" t="n">
        <v>1</v>
      </c>
      <c r="O534" t="n">
        <v>0.05</v>
      </c>
      <c r="P534" t="n">
        <v>9000</v>
      </c>
      <c r="Q534" t="n">
        <v>145</v>
      </c>
      <c r="R534" t="n">
        <v>1</v>
      </c>
      <c r="S534" t="inlineStr">
        <is>
          <t>2001,2002</t>
        </is>
      </c>
      <c r="T534" t="n">
        <v>19</v>
      </c>
      <c r="U534" t="n">
        <v>0.5</v>
      </c>
      <c r="V534" t="n">
        <v>1000</v>
      </c>
      <c r="W534" t="n">
        <v>6055</v>
      </c>
      <c r="X534" t="n">
        <v>1</v>
      </c>
      <c r="Y534" t="n">
        <v>2006</v>
      </c>
      <c r="Z534" t="n">
        <v>1</v>
      </c>
      <c r="AA534" t="n">
        <v>0.03</v>
      </c>
    </row>
    <row r="535">
      <c r="A535" t="n">
        <v>1533</v>
      </c>
      <c r="B535" t="inlineStr">
        <is>
          <t>40060,40085,40067,40066</t>
        </is>
      </c>
      <c r="C535" t="n">
        <v>150</v>
      </c>
      <c r="D5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5" t="n">
        <v>1</v>
      </c>
      <c r="F535" t="n">
        <v>0.147</v>
      </c>
      <c r="G535" t="n">
        <v>8001</v>
      </c>
      <c r="H535" t="n">
        <v>390</v>
      </c>
      <c r="I535" t="n">
        <v>1</v>
      </c>
      <c r="J535" t="n">
        <v>8000</v>
      </c>
      <c r="K535" t="n">
        <v>580</v>
      </c>
      <c r="L535" t="n">
        <v>1</v>
      </c>
      <c r="M535" t="n">
        <v>2007</v>
      </c>
      <c r="N535" t="n">
        <v>1</v>
      </c>
      <c r="O535" t="n">
        <v>0.05</v>
      </c>
      <c r="P535" t="n">
        <v>9000</v>
      </c>
      <c r="Q535" t="n">
        <v>145</v>
      </c>
      <c r="R535" t="n">
        <v>1</v>
      </c>
      <c r="S535" t="inlineStr">
        <is>
          <t>2001,2002</t>
        </is>
      </c>
      <c r="T535" t="n">
        <v>19</v>
      </c>
      <c r="U535" t="n">
        <v>0.5</v>
      </c>
      <c r="V535" t="n">
        <v>1000</v>
      </c>
      <c r="W535" t="n">
        <v>6060</v>
      </c>
      <c r="X535" t="n">
        <v>1</v>
      </c>
      <c r="Y535" t="n">
        <v>2006</v>
      </c>
      <c r="Z535" t="n">
        <v>1</v>
      </c>
      <c r="AA535" t="n">
        <v>0.03</v>
      </c>
    </row>
    <row r="536">
      <c r="A536" t="n">
        <v>1534</v>
      </c>
      <c r="B536" t="inlineStr">
        <is>
          <t>40056,40067,40085,40060</t>
        </is>
      </c>
      <c r="C536" t="n">
        <v>150</v>
      </c>
      <c r="D5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6" t="n">
        <v>1</v>
      </c>
      <c r="F536" t="n">
        <v>0.147</v>
      </c>
      <c r="G536" t="n">
        <v>8001</v>
      </c>
      <c r="H536" t="n">
        <v>390</v>
      </c>
      <c r="I536" t="n">
        <v>1</v>
      </c>
      <c r="J536" t="n">
        <v>8000</v>
      </c>
      <c r="K536" t="n">
        <v>580</v>
      </c>
      <c r="L536" t="n">
        <v>1</v>
      </c>
      <c r="M536" t="n">
        <v>2007</v>
      </c>
      <c r="N536" t="n">
        <v>1</v>
      </c>
      <c r="O536" t="n">
        <v>0.05</v>
      </c>
      <c r="P536" t="n">
        <v>9000</v>
      </c>
      <c r="Q536" t="n">
        <v>145</v>
      </c>
      <c r="R536" t="n">
        <v>1</v>
      </c>
      <c r="S536" t="inlineStr">
        <is>
          <t>2001,2002</t>
        </is>
      </c>
      <c r="T536" t="n">
        <v>19</v>
      </c>
      <c r="U536" t="n">
        <v>0.5</v>
      </c>
      <c r="V536" t="n">
        <v>1000</v>
      </c>
      <c r="W536" t="n">
        <v>6065</v>
      </c>
      <c r="X536" t="n">
        <v>1</v>
      </c>
      <c r="Y536" t="n">
        <v>2006</v>
      </c>
      <c r="Z536" t="n">
        <v>1</v>
      </c>
      <c r="AA536" t="n">
        <v>0.03</v>
      </c>
    </row>
    <row r="537">
      <c r="A537" t="n">
        <v>1535</v>
      </c>
      <c r="B537" t="inlineStr">
        <is>
          <t>40066,40060,40085</t>
        </is>
      </c>
      <c r="C537" t="n">
        <v>150</v>
      </c>
      <c r="D5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7" t="n">
        <v>1</v>
      </c>
      <c r="F537" t="n">
        <v>0.147</v>
      </c>
      <c r="G537" t="n">
        <v>8001</v>
      </c>
      <c r="H537" t="n">
        <v>390</v>
      </c>
      <c r="I537" t="n">
        <v>1</v>
      </c>
      <c r="J537" t="n">
        <v>8000</v>
      </c>
      <c r="K537" t="n">
        <v>585</v>
      </c>
      <c r="L537" t="n">
        <v>1</v>
      </c>
      <c r="M537" t="n">
        <v>2007</v>
      </c>
      <c r="N537" t="n">
        <v>1</v>
      </c>
      <c r="O537" t="n">
        <v>0.05</v>
      </c>
      <c r="P537" t="n">
        <v>9000</v>
      </c>
      <c r="Q537" t="n">
        <v>146</v>
      </c>
      <c r="R537" t="n">
        <v>1</v>
      </c>
      <c r="S537" t="inlineStr">
        <is>
          <t>2001,2002</t>
        </is>
      </c>
      <c r="T537" t="n">
        <v>19</v>
      </c>
      <c r="U537" t="n">
        <v>0.5</v>
      </c>
      <c r="V537" t="n">
        <v>1000</v>
      </c>
      <c r="W537" t="n">
        <v>6070</v>
      </c>
      <c r="X537" t="n">
        <v>1</v>
      </c>
      <c r="Y537" t="n">
        <v>2006</v>
      </c>
      <c r="Z537" t="n">
        <v>1</v>
      </c>
      <c r="AA537" t="n">
        <v>0.03</v>
      </c>
    </row>
    <row r="538">
      <c r="A538" t="n">
        <v>1536</v>
      </c>
      <c r="B538" t="inlineStr">
        <is>
          <t>40085,40060,40067</t>
        </is>
      </c>
      <c r="C538" t="n">
        <v>150</v>
      </c>
      <c r="D5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8" t="n">
        <v>1</v>
      </c>
      <c r="F538" t="n">
        <v>0.147</v>
      </c>
      <c r="G538" t="n">
        <v>8001</v>
      </c>
      <c r="H538" t="n">
        <v>390</v>
      </c>
      <c r="I538" t="n">
        <v>1</v>
      </c>
      <c r="J538" t="n">
        <v>8000</v>
      </c>
      <c r="K538" t="n">
        <v>585</v>
      </c>
      <c r="L538" t="n">
        <v>1</v>
      </c>
      <c r="M538" t="n">
        <v>2007</v>
      </c>
      <c r="N538" t="n">
        <v>1</v>
      </c>
      <c r="O538" t="n">
        <v>0.05</v>
      </c>
      <c r="P538" t="n">
        <v>9000</v>
      </c>
      <c r="Q538" t="n">
        <v>146</v>
      </c>
      <c r="R538" t="n">
        <v>1</v>
      </c>
      <c r="S538" t="inlineStr">
        <is>
          <t>2001,2002</t>
        </is>
      </c>
      <c r="T538" t="n">
        <v>19</v>
      </c>
      <c r="U538" t="n">
        <v>0.5</v>
      </c>
      <c r="V538" t="n">
        <v>1000</v>
      </c>
      <c r="W538" t="n">
        <v>6075</v>
      </c>
      <c r="X538" t="n">
        <v>1</v>
      </c>
      <c r="Y538" t="n">
        <v>2006</v>
      </c>
      <c r="Z538" t="n">
        <v>1</v>
      </c>
      <c r="AA538" t="n">
        <v>0.03</v>
      </c>
    </row>
    <row r="539">
      <c r="A539" t="n">
        <v>1537</v>
      </c>
      <c r="B539" t="inlineStr">
        <is>
          <t>40060,40067,40056,40085</t>
        </is>
      </c>
      <c r="C539" t="n">
        <v>150</v>
      </c>
      <c r="D5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9" t="n">
        <v>1</v>
      </c>
      <c r="F539" t="n">
        <v>0.147</v>
      </c>
      <c r="G539" t="n">
        <v>8001</v>
      </c>
      <c r="H539" t="n">
        <v>390</v>
      </c>
      <c r="I539" t="n">
        <v>1</v>
      </c>
      <c r="J539" t="n">
        <v>8000</v>
      </c>
      <c r="K539" t="n">
        <v>585</v>
      </c>
      <c r="L539" t="n">
        <v>1</v>
      </c>
      <c r="M539" t="n">
        <v>2007</v>
      </c>
      <c r="N539" t="n">
        <v>1</v>
      </c>
      <c r="O539" t="n">
        <v>0.05</v>
      </c>
      <c r="P539" t="n">
        <v>9000</v>
      </c>
      <c r="Q539" t="n">
        <v>146</v>
      </c>
      <c r="R539" t="n">
        <v>1</v>
      </c>
      <c r="S539" t="inlineStr">
        <is>
          <t>2001,2002</t>
        </is>
      </c>
      <c r="T539" t="n">
        <v>19</v>
      </c>
      <c r="U539" t="n">
        <v>0.5</v>
      </c>
      <c r="V539" t="n">
        <v>1000</v>
      </c>
      <c r="W539" t="n">
        <v>6080</v>
      </c>
      <c r="X539" t="n">
        <v>1</v>
      </c>
      <c r="Y539" t="n">
        <v>2006</v>
      </c>
      <c r="Z539" t="n">
        <v>1</v>
      </c>
      <c r="AA539" t="n">
        <v>0.03</v>
      </c>
    </row>
    <row r="540">
      <c r="A540" t="n">
        <v>1538</v>
      </c>
      <c r="B540" t="inlineStr">
        <is>
          <t>40060,40066,40056,40067</t>
        </is>
      </c>
      <c r="C540" t="n">
        <v>150</v>
      </c>
      <c r="D5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0" t="n">
        <v>1</v>
      </c>
      <c r="F540" t="n">
        <v>0.147</v>
      </c>
      <c r="G540" t="n">
        <v>8001</v>
      </c>
      <c r="H540" t="n">
        <v>390</v>
      </c>
      <c r="I540" t="n">
        <v>1</v>
      </c>
      <c r="J540" t="n">
        <v>8000</v>
      </c>
      <c r="K540" t="n">
        <v>585</v>
      </c>
      <c r="L540" t="n">
        <v>1</v>
      </c>
      <c r="M540" t="n">
        <v>2007</v>
      </c>
      <c r="N540" t="n">
        <v>1</v>
      </c>
      <c r="O540" t="n">
        <v>0.05</v>
      </c>
      <c r="P540" t="n">
        <v>9000</v>
      </c>
      <c r="Q540" t="n">
        <v>146</v>
      </c>
      <c r="R540" t="n">
        <v>1</v>
      </c>
      <c r="S540" t="inlineStr">
        <is>
          <t>2001,2002</t>
        </is>
      </c>
      <c r="T540" t="n">
        <v>19</v>
      </c>
      <c r="U540" t="n">
        <v>0.5</v>
      </c>
      <c r="V540" t="n">
        <v>1000</v>
      </c>
      <c r="W540" t="n">
        <v>6085</v>
      </c>
      <c r="X540" t="n">
        <v>1</v>
      </c>
      <c r="Y540" t="n">
        <v>2006</v>
      </c>
      <c r="Z540" t="n">
        <v>1</v>
      </c>
      <c r="AA540" t="n">
        <v>0.03</v>
      </c>
    </row>
    <row r="541">
      <c r="A541" t="n">
        <v>1539</v>
      </c>
      <c r="B541" t="inlineStr">
        <is>
          <t>40067,40066,40056</t>
        </is>
      </c>
      <c r="C541" t="n">
        <v>150</v>
      </c>
      <c r="D5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1" t="n">
        <v>1</v>
      </c>
      <c r="F541" t="n">
        <v>0.147</v>
      </c>
      <c r="G541" t="n">
        <v>8001</v>
      </c>
      <c r="H541" t="n">
        <v>390</v>
      </c>
      <c r="I541" t="n">
        <v>1</v>
      </c>
      <c r="J541" t="n">
        <v>8000</v>
      </c>
      <c r="K541" t="n">
        <v>585</v>
      </c>
      <c r="L541" t="n">
        <v>1</v>
      </c>
      <c r="M541" t="n">
        <v>2007</v>
      </c>
      <c r="N541" t="n">
        <v>1</v>
      </c>
      <c r="O541" t="n">
        <v>0.05</v>
      </c>
      <c r="P541" t="n">
        <v>9000</v>
      </c>
      <c r="Q541" t="n">
        <v>146</v>
      </c>
      <c r="R541" t="n">
        <v>1</v>
      </c>
      <c r="S541" t="inlineStr">
        <is>
          <t>2001,2002</t>
        </is>
      </c>
      <c r="T541" t="n">
        <v>19</v>
      </c>
      <c r="U541" t="n">
        <v>0.5</v>
      </c>
      <c r="V541" t="n">
        <v>1000</v>
      </c>
      <c r="W541" t="n">
        <v>6090</v>
      </c>
      <c r="X541" t="n">
        <v>1</v>
      </c>
      <c r="Y541" t="n">
        <v>2006</v>
      </c>
      <c r="Z541" t="n">
        <v>1</v>
      </c>
      <c r="AA541" t="n">
        <v>0.03</v>
      </c>
    </row>
    <row r="542">
      <c r="A542" t="n">
        <v>1540</v>
      </c>
      <c r="B542" t="inlineStr">
        <is>
          <t>40085,40060,40067,40056</t>
        </is>
      </c>
      <c r="C542" t="n">
        <v>150</v>
      </c>
      <c r="D5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2" t="n">
        <v>1</v>
      </c>
      <c r="F542" t="n">
        <v>0.147</v>
      </c>
      <c r="G542" t="n">
        <v>8001</v>
      </c>
      <c r="H542" t="n">
        <v>390</v>
      </c>
      <c r="I542" t="n">
        <v>1</v>
      </c>
      <c r="J542" t="n">
        <v>8000</v>
      </c>
      <c r="K542" t="n">
        <v>585</v>
      </c>
      <c r="L542" t="n">
        <v>1</v>
      </c>
      <c r="M542" t="n">
        <v>2007</v>
      </c>
      <c r="N542" t="n">
        <v>1</v>
      </c>
      <c r="O542" t="n">
        <v>0.05</v>
      </c>
      <c r="P542" t="n">
        <v>9000</v>
      </c>
      <c r="Q542" t="n">
        <v>146</v>
      </c>
      <c r="R542" t="n">
        <v>1</v>
      </c>
      <c r="S542" t="inlineStr">
        <is>
          <t>2001,2002</t>
        </is>
      </c>
      <c r="T542" t="n">
        <v>20</v>
      </c>
      <c r="U542" t="n">
        <v>0.5</v>
      </c>
      <c r="V542" t="n">
        <v>1000</v>
      </c>
      <c r="W542" t="n">
        <v>6095</v>
      </c>
      <c r="X542" t="n">
        <v>1</v>
      </c>
      <c r="Y542" t="n">
        <v>2006</v>
      </c>
      <c r="Z542" t="n">
        <v>1</v>
      </c>
      <c r="AA542" t="n">
        <v>0.03</v>
      </c>
    </row>
    <row r="543">
      <c r="A543" t="n">
        <v>1541</v>
      </c>
      <c r="B543" t="inlineStr">
        <is>
          <t>40060,40085,40056,40067</t>
        </is>
      </c>
      <c r="C543" t="n">
        <v>150</v>
      </c>
      <c r="D5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3" t="n">
        <v>1</v>
      </c>
      <c r="F543" t="n">
        <v>0.147</v>
      </c>
      <c r="G543" t="n">
        <v>8001</v>
      </c>
      <c r="H543" t="n">
        <v>390</v>
      </c>
      <c r="I543" t="n">
        <v>1</v>
      </c>
      <c r="J543" t="n">
        <v>8000</v>
      </c>
      <c r="K543" t="n">
        <v>585</v>
      </c>
      <c r="L543" t="n">
        <v>1</v>
      </c>
      <c r="M543" t="n">
        <v>2007</v>
      </c>
      <c r="N543" t="n">
        <v>1</v>
      </c>
      <c r="O543" t="n">
        <v>0.05</v>
      </c>
      <c r="P543" t="n">
        <v>9000</v>
      </c>
      <c r="Q543" t="n">
        <v>146</v>
      </c>
      <c r="R543" t="n">
        <v>1</v>
      </c>
      <c r="S543" t="inlineStr">
        <is>
          <t>2001,2002</t>
        </is>
      </c>
      <c r="T543" t="n">
        <v>20</v>
      </c>
      <c r="U543" t="n">
        <v>0.5</v>
      </c>
      <c r="V543" t="n">
        <v>1000</v>
      </c>
      <c r="W543" t="n">
        <v>6100</v>
      </c>
      <c r="X543" t="n">
        <v>1</v>
      </c>
      <c r="Y543" t="n">
        <v>2006</v>
      </c>
      <c r="Z543" t="n">
        <v>1</v>
      </c>
      <c r="AA543" t="n">
        <v>0.03</v>
      </c>
    </row>
    <row r="544">
      <c r="A544" t="n">
        <v>1542</v>
      </c>
      <c r="B544" t="inlineStr">
        <is>
          <t>40067,40066,40085,40060</t>
        </is>
      </c>
      <c r="C544" t="n">
        <v>150</v>
      </c>
      <c r="D5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4" t="n">
        <v>1</v>
      </c>
      <c r="F544" t="n">
        <v>0.147</v>
      </c>
      <c r="G544" t="n">
        <v>8001</v>
      </c>
      <c r="H544" t="n">
        <v>390</v>
      </c>
      <c r="I544" t="n">
        <v>1</v>
      </c>
      <c r="J544" t="n">
        <v>8000</v>
      </c>
      <c r="K544" t="n">
        <v>585</v>
      </c>
      <c r="L544" t="n">
        <v>1</v>
      </c>
      <c r="M544" t="n">
        <v>2007</v>
      </c>
      <c r="N544" t="n">
        <v>1</v>
      </c>
      <c r="O544" t="n">
        <v>0.05</v>
      </c>
      <c r="P544" t="n">
        <v>9000</v>
      </c>
      <c r="Q544" t="n">
        <v>146</v>
      </c>
      <c r="R544" t="n">
        <v>1</v>
      </c>
      <c r="S544" t="inlineStr">
        <is>
          <t>2001,2002</t>
        </is>
      </c>
      <c r="T544" t="n">
        <v>20</v>
      </c>
      <c r="U544" t="n">
        <v>0.5</v>
      </c>
      <c r="V544" t="n">
        <v>1000</v>
      </c>
      <c r="W544" t="n">
        <v>6105</v>
      </c>
      <c r="X544" t="n">
        <v>1</v>
      </c>
      <c r="Y544" t="n">
        <v>2006</v>
      </c>
      <c r="Z544" t="n">
        <v>1</v>
      </c>
      <c r="AA544" t="n">
        <v>0.03</v>
      </c>
    </row>
    <row r="545">
      <c r="A545" t="n">
        <v>1543</v>
      </c>
      <c r="B545" t="inlineStr">
        <is>
          <t>40060,40085,40056,40066,40067</t>
        </is>
      </c>
      <c r="C545" t="n">
        <v>150</v>
      </c>
      <c r="D5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5" t="n">
        <v>1</v>
      </c>
      <c r="F545" t="n">
        <v>0.148</v>
      </c>
      <c r="G545" t="n">
        <v>8001</v>
      </c>
      <c r="H545" t="n">
        <v>390</v>
      </c>
      <c r="I545" t="n">
        <v>1</v>
      </c>
      <c r="J545" t="n">
        <v>8000</v>
      </c>
      <c r="K545" t="n">
        <v>585</v>
      </c>
      <c r="L545" t="n">
        <v>1</v>
      </c>
      <c r="M545" t="n">
        <v>2007</v>
      </c>
      <c r="N545" t="n">
        <v>1</v>
      </c>
      <c r="O545" t="n">
        <v>0.05</v>
      </c>
      <c r="P545" t="n">
        <v>9000</v>
      </c>
      <c r="Q545" t="n">
        <v>147</v>
      </c>
      <c r="R545" t="n">
        <v>1</v>
      </c>
      <c r="S545" t="inlineStr">
        <is>
          <t>2001,2002</t>
        </is>
      </c>
      <c r="T545" t="n">
        <v>20</v>
      </c>
      <c r="U545" t="n">
        <v>0.5</v>
      </c>
      <c r="V545" t="n">
        <v>1000</v>
      </c>
      <c r="W545" t="n">
        <v>6110</v>
      </c>
      <c r="X545" t="n">
        <v>1</v>
      </c>
      <c r="Y545" t="n">
        <v>2006</v>
      </c>
      <c r="Z545" t="n">
        <v>1</v>
      </c>
      <c r="AA545" t="n">
        <v>0.03</v>
      </c>
    </row>
    <row r="546">
      <c r="A546" t="n">
        <v>1544</v>
      </c>
      <c r="B546" t="inlineStr">
        <is>
          <t>40060,40056,40067</t>
        </is>
      </c>
      <c r="C546" t="n">
        <v>150</v>
      </c>
      <c r="D5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6" t="n">
        <v>1</v>
      </c>
      <c r="F546" t="n">
        <v>0.148</v>
      </c>
      <c r="G546" t="n">
        <v>8001</v>
      </c>
      <c r="H546" t="n">
        <v>390</v>
      </c>
      <c r="I546" t="n">
        <v>1</v>
      </c>
      <c r="J546" t="n">
        <v>8000</v>
      </c>
      <c r="K546" t="n">
        <v>585</v>
      </c>
      <c r="L546" t="n">
        <v>1</v>
      </c>
      <c r="M546" t="n">
        <v>2007</v>
      </c>
      <c r="N546" t="n">
        <v>1</v>
      </c>
      <c r="O546" t="n">
        <v>0.05</v>
      </c>
      <c r="P546" t="n">
        <v>9000</v>
      </c>
      <c r="Q546" t="n">
        <v>147</v>
      </c>
      <c r="R546" t="n">
        <v>1</v>
      </c>
      <c r="S546" t="inlineStr">
        <is>
          <t>2001,2002</t>
        </is>
      </c>
      <c r="T546" t="n">
        <v>20</v>
      </c>
      <c r="U546" t="n">
        <v>0.5</v>
      </c>
      <c r="V546" t="n">
        <v>1000</v>
      </c>
      <c r="W546" t="n">
        <v>6115</v>
      </c>
      <c r="X546" t="n">
        <v>1</v>
      </c>
      <c r="Y546" t="n">
        <v>2006</v>
      </c>
      <c r="Z546" t="n">
        <v>1</v>
      </c>
      <c r="AA546" t="n">
        <v>0.03</v>
      </c>
    </row>
    <row r="547">
      <c r="A547" t="n">
        <v>1545</v>
      </c>
      <c r="B547" t="inlineStr">
        <is>
          <t>40067,40085,40056,40066</t>
        </is>
      </c>
      <c r="C547" t="n">
        <v>150</v>
      </c>
      <c r="D5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7" t="n">
        <v>1</v>
      </c>
      <c r="F547" t="n">
        <v>0.148</v>
      </c>
      <c r="G547" t="n">
        <v>8001</v>
      </c>
      <c r="H547" t="n">
        <v>390</v>
      </c>
      <c r="I547" t="n">
        <v>1</v>
      </c>
      <c r="J547" t="n">
        <v>8000</v>
      </c>
      <c r="K547" t="n">
        <v>590</v>
      </c>
      <c r="L547" t="n">
        <v>1</v>
      </c>
      <c r="M547" t="n">
        <v>2007</v>
      </c>
      <c r="N547" t="n">
        <v>1</v>
      </c>
      <c r="O547" t="n">
        <v>0.05</v>
      </c>
      <c r="P547" t="n">
        <v>9000</v>
      </c>
      <c r="Q547" t="n">
        <v>147</v>
      </c>
      <c r="R547" t="n">
        <v>1</v>
      </c>
      <c r="S547" t="inlineStr">
        <is>
          <t>2001,2002</t>
        </is>
      </c>
      <c r="T547" t="n">
        <v>20</v>
      </c>
      <c r="U547" t="n">
        <v>0.5</v>
      </c>
      <c r="V547" t="n">
        <v>1000</v>
      </c>
      <c r="W547" t="n">
        <v>6120</v>
      </c>
      <c r="X547" t="n">
        <v>1</v>
      </c>
      <c r="Y547" t="n">
        <v>2006</v>
      </c>
      <c r="Z547" t="n">
        <v>1</v>
      </c>
      <c r="AA547" t="n">
        <v>0.03</v>
      </c>
    </row>
    <row r="548">
      <c r="A548" t="n">
        <v>1546</v>
      </c>
      <c r="B548" t="inlineStr">
        <is>
          <t>40066,40056</t>
        </is>
      </c>
      <c r="C548" t="n">
        <v>150</v>
      </c>
      <c r="D5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8" t="n">
        <v>1</v>
      </c>
      <c r="F548" t="n">
        <v>0.148</v>
      </c>
      <c r="G548" t="n">
        <v>8001</v>
      </c>
      <c r="H548" t="n">
        <v>390</v>
      </c>
      <c r="I548" t="n">
        <v>1</v>
      </c>
      <c r="J548" t="n">
        <v>8000</v>
      </c>
      <c r="K548" t="n">
        <v>590</v>
      </c>
      <c r="L548" t="n">
        <v>1</v>
      </c>
      <c r="M548" t="n">
        <v>2007</v>
      </c>
      <c r="N548" t="n">
        <v>1</v>
      </c>
      <c r="O548" t="n">
        <v>0.05</v>
      </c>
      <c r="P548" t="n">
        <v>9000</v>
      </c>
      <c r="Q548" t="n">
        <v>147</v>
      </c>
      <c r="R548" t="n">
        <v>1</v>
      </c>
      <c r="S548" t="inlineStr">
        <is>
          <t>2001,2002</t>
        </is>
      </c>
      <c r="T548" t="n">
        <v>20</v>
      </c>
      <c r="U548" t="n">
        <v>0.5</v>
      </c>
      <c r="V548" t="n">
        <v>1000</v>
      </c>
      <c r="W548" t="n">
        <v>6125</v>
      </c>
      <c r="X548" t="n">
        <v>1</v>
      </c>
      <c r="Y548" t="n">
        <v>2006</v>
      </c>
      <c r="Z548" t="n">
        <v>1</v>
      </c>
      <c r="AA548" t="n">
        <v>0.03</v>
      </c>
    </row>
    <row r="549">
      <c r="A549" t="n">
        <v>1547</v>
      </c>
      <c r="B549" t="inlineStr">
        <is>
          <t>40060,40085,40056,40067</t>
        </is>
      </c>
      <c r="C549" t="n">
        <v>150</v>
      </c>
      <c r="D5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9" t="n">
        <v>1</v>
      </c>
      <c r="F549" t="n">
        <v>0.148</v>
      </c>
      <c r="G549" t="n">
        <v>8001</v>
      </c>
      <c r="H549" t="n">
        <v>390</v>
      </c>
      <c r="I549" t="n">
        <v>1</v>
      </c>
      <c r="J549" t="n">
        <v>8000</v>
      </c>
      <c r="K549" t="n">
        <v>590</v>
      </c>
      <c r="L549" t="n">
        <v>1</v>
      </c>
      <c r="M549" t="n">
        <v>2007</v>
      </c>
      <c r="N549" t="n">
        <v>1</v>
      </c>
      <c r="O549" t="n">
        <v>0.05</v>
      </c>
      <c r="P549" t="n">
        <v>9000</v>
      </c>
      <c r="Q549" t="n">
        <v>147</v>
      </c>
      <c r="R549" t="n">
        <v>1</v>
      </c>
      <c r="S549" t="inlineStr">
        <is>
          <t>2001,2002</t>
        </is>
      </c>
      <c r="T549" t="n">
        <v>20</v>
      </c>
      <c r="U549" t="n">
        <v>0.5</v>
      </c>
      <c r="V549" t="n">
        <v>1000</v>
      </c>
      <c r="W549" t="n">
        <v>6130</v>
      </c>
      <c r="X549" t="n">
        <v>1</v>
      </c>
      <c r="Y549" t="n">
        <v>2006</v>
      </c>
      <c r="Z549" t="n">
        <v>1</v>
      </c>
      <c r="AA549" t="n">
        <v>0.03</v>
      </c>
    </row>
    <row r="550">
      <c r="A550" t="n">
        <v>1548</v>
      </c>
      <c r="B550" t="inlineStr">
        <is>
          <t>40067,40085,40056,40060</t>
        </is>
      </c>
      <c r="C550" t="n">
        <v>150</v>
      </c>
      <c r="D5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0" t="n">
        <v>1</v>
      </c>
      <c r="F550" t="n">
        <v>0.148</v>
      </c>
      <c r="G550" t="n">
        <v>8001</v>
      </c>
      <c r="H550" t="n">
        <v>395</v>
      </c>
      <c r="I550" t="n">
        <v>1</v>
      </c>
      <c r="J550" t="n">
        <v>8000</v>
      </c>
      <c r="K550" t="n">
        <v>590</v>
      </c>
      <c r="L550" t="n">
        <v>1</v>
      </c>
      <c r="M550" t="n">
        <v>2007</v>
      </c>
      <c r="N550" t="n">
        <v>1</v>
      </c>
      <c r="O550" t="n">
        <v>0.05</v>
      </c>
      <c r="P550" t="n">
        <v>9000</v>
      </c>
      <c r="Q550" t="n">
        <v>147</v>
      </c>
      <c r="R550" t="n">
        <v>1</v>
      </c>
      <c r="S550" t="inlineStr">
        <is>
          <t>2001,2002</t>
        </is>
      </c>
      <c r="T550" t="n">
        <v>20</v>
      </c>
      <c r="U550" t="n">
        <v>0.5</v>
      </c>
      <c r="V550" t="n">
        <v>1000</v>
      </c>
      <c r="W550" t="n">
        <v>6135</v>
      </c>
      <c r="X550" t="n">
        <v>1</v>
      </c>
      <c r="Y550" t="n">
        <v>2006</v>
      </c>
      <c r="Z550" t="n">
        <v>1</v>
      </c>
      <c r="AA550" t="n">
        <v>0.03</v>
      </c>
    </row>
    <row r="551">
      <c r="A551" t="n">
        <v>1549</v>
      </c>
      <c r="B551" t="inlineStr">
        <is>
          <t>50015,40060,40085,40056,40066</t>
        </is>
      </c>
      <c r="C551" t="n">
        <v>150</v>
      </c>
      <c r="D5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1" t="n">
        <v>1</v>
      </c>
      <c r="F551" t="n">
        <v>0.148</v>
      </c>
      <c r="G551" t="n">
        <v>8001</v>
      </c>
      <c r="H551" t="n">
        <v>395</v>
      </c>
      <c r="I551" t="n">
        <v>1</v>
      </c>
      <c r="J551" t="n">
        <v>8000</v>
      </c>
      <c r="K551" t="n">
        <v>590</v>
      </c>
      <c r="L551" t="n">
        <v>1</v>
      </c>
      <c r="M551" t="n">
        <v>2007</v>
      </c>
      <c r="N551" t="n">
        <v>1</v>
      </c>
      <c r="O551" t="n">
        <v>0.05</v>
      </c>
      <c r="P551" t="n">
        <v>9000</v>
      </c>
      <c r="Q551" t="n">
        <v>147</v>
      </c>
      <c r="R551" t="n">
        <v>1</v>
      </c>
      <c r="S551" t="inlineStr">
        <is>
          <t>2001,2002</t>
        </is>
      </c>
      <c r="T551" t="n">
        <v>20</v>
      </c>
      <c r="U551" t="n">
        <v>0.5</v>
      </c>
      <c r="V551" t="n">
        <v>1000</v>
      </c>
      <c r="W551" t="n">
        <v>6140</v>
      </c>
      <c r="X551" t="n">
        <v>1</v>
      </c>
      <c r="Y551" t="n">
        <v>2006</v>
      </c>
      <c r="Z551" t="n">
        <v>1</v>
      </c>
      <c r="AA551" t="n">
        <v>0.03</v>
      </c>
    </row>
    <row r="552">
      <c r="A552" t="n">
        <v>1550</v>
      </c>
      <c r="B552" t="inlineStr">
        <is>
          <t>40063,40086</t>
        </is>
      </c>
      <c r="C552" t="n">
        <v>150</v>
      </c>
      <c r="D5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2" t="n">
        <v>1</v>
      </c>
      <c r="F552" t="n">
        <v>0.148</v>
      </c>
      <c r="G552" t="n">
        <v>8001</v>
      </c>
      <c r="H552" t="n">
        <v>395</v>
      </c>
      <c r="I552" t="n">
        <v>1</v>
      </c>
      <c r="J552" t="n">
        <v>8000</v>
      </c>
      <c r="K552" t="n">
        <v>590</v>
      </c>
      <c r="L552" t="n">
        <v>1</v>
      </c>
      <c r="M552" t="n">
        <v>2007</v>
      </c>
      <c r="N552" t="n">
        <v>1</v>
      </c>
      <c r="O552" t="n">
        <v>0.05</v>
      </c>
      <c r="P552" t="n">
        <v>9000</v>
      </c>
      <c r="Q552" t="n">
        <v>147</v>
      </c>
      <c r="R552" t="n">
        <v>1</v>
      </c>
      <c r="S552" t="inlineStr">
        <is>
          <t>2001,2002</t>
        </is>
      </c>
      <c r="T552" t="n">
        <v>20</v>
      </c>
      <c r="U552" t="n">
        <v>0.5</v>
      </c>
      <c r="V552" t="n">
        <v>1000</v>
      </c>
      <c r="W552" t="n">
        <v>6145</v>
      </c>
      <c r="X552" t="n">
        <v>1</v>
      </c>
      <c r="Y552" t="n">
        <v>2006</v>
      </c>
      <c r="Z552" t="n">
        <v>1</v>
      </c>
      <c r="AA552" t="n">
        <v>0.03</v>
      </c>
    </row>
    <row r="553">
      <c r="A553" t="n">
        <v>1551</v>
      </c>
      <c r="B553" t="inlineStr">
        <is>
          <t>40072,40063</t>
        </is>
      </c>
      <c r="C553" t="n">
        <v>150</v>
      </c>
      <c r="D5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3" t="n">
        <v>1</v>
      </c>
      <c r="F553" t="n">
        <v>0.148</v>
      </c>
      <c r="G553" t="n">
        <v>8001</v>
      </c>
      <c r="H553" t="n">
        <v>395</v>
      </c>
      <c r="I553" t="n">
        <v>1</v>
      </c>
      <c r="J553" t="n">
        <v>8000</v>
      </c>
      <c r="K553" t="n">
        <v>590</v>
      </c>
      <c r="L553" t="n">
        <v>1</v>
      </c>
      <c r="M553" t="n">
        <v>2007</v>
      </c>
      <c r="N553" t="n">
        <v>1</v>
      </c>
      <c r="O553" t="n">
        <v>0.05</v>
      </c>
      <c r="P553" t="n">
        <v>9000</v>
      </c>
      <c r="Q553" t="n">
        <v>147</v>
      </c>
      <c r="R553" t="n">
        <v>1</v>
      </c>
      <c r="S553" t="inlineStr">
        <is>
          <t>2001,2002</t>
        </is>
      </c>
      <c r="T553" t="n">
        <v>20</v>
      </c>
      <c r="U553" t="n">
        <v>0.5</v>
      </c>
      <c r="V553" t="n">
        <v>1000</v>
      </c>
      <c r="W553" t="n">
        <v>6145</v>
      </c>
      <c r="X553" t="n">
        <v>1</v>
      </c>
      <c r="Y553" t="n">
        <v>2006</v>
      </c>
      <c r="Z553" t="n">
        <v>1</v>
      </c>
      <c r="AA553" t="n">
        <v>0.03</v>
      </c>
    </row>
    <row r="554">
      <c r="A554" t="n">
        <v>1552</v>
      </c>
      <c r="B554" t="inlineStr">
        <is>
          <t>40069,40086</t>
        </is>
      </c>
      <c r="C554" t="n">
        <v>150</v>
      </c>
      <c r="D5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4" t="n">
        <v>1</v>
      </c>
      <c r="F554" t="n">
        <v>0.148</v>
      </c>
      <c r="G554" t="n">
        <v>8001</v>
      </c>
      <c r="H554" t="n">
        <v>395</v>
      </c>
      <c r="I554" t="n">
        <v>1</v>
      </c>
      <c r="J554" t="n">
        <v>8000</v>
      </c>
      <c r="K554" t="n">
        <v>590</v>
      </c>
      <c r="L554" t="n">
        <v>1</v>
      </c>
      <c r="M554" t="n">
        <v>2007</v>
      </c>
      <c r="N554" t="n">
        <v>1</v>
      </c>
      <c r="O554" t="n">
        <v>0.05</v>
      </c>
      <c r="P554" t="n">
        <v>9000</v>
      </c>
      <c r="Q554" t="n">
        <v>148</v>
      </c>
      <c r="R554" t="n">
        <v>1</v>
      </c>
      <c r="S554" t="inlineStr">
        <is>
          <t>2001,2002</t>
        </is>
      </c>
      <c r="T554" t="n">
        <v>20</v>
      </c>
      <c r="U554" t="n">
        <v>0.5</v>
      </c>
      <c r="V554" t="n">
        <v>1000</v>
      </c>
      <c r="W554" t="n">
        <v>6150</v>
      </c>
      <c r="X554" t="n">
        <v>1</v>
      </c>
      <c r="Y554" t="n">
        <v>2006</v>
      </c>
      <c r="Z554" t="n">
        <v>1</v>
      </c>
      <c r="AA554" t="n">
        <v>0.03</v>
      </c>
    </row>
    <row r="555">
      <c r="A555" t="n">
        <v>1553</v>
      </c>
      <c r="B555" t="inlineStr">
        <is>
          <t>40072</t>
        </is>
      </c>
      <c r="C555" t="n">
        <v>150</v>
      </c>
      <c r="D5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5" t="n">
        <v>1</v>
      </c>
      <c r="F555" t="n">
        <v>0.148</v>
      </c>
      <c r="G555" t="n">
        <v>8001</v>
      </c>
      <c r="H555" t="n">
        <v>395</v>
      </c>
      <c r="I555" t="n">
        <v>1</v>
      </c>
      <c r="J555" t="n">
        <v>8000</v>
      </c>
      <c r="K555" t="n">
        <v>590</v>
      </c>
      <c r="L555" t="n">
        <v>1</v>
      </c>
      <c r="M555" t="n">
        <v>2007</v>
      </c>
      <c r="N555" t="n">
        <v>1</v>
      </c>
      <c r="O555" t="n">
        <v>0.05</v>
      </c>
      <c r="P555" t="n">
        <v>9000</v>
      </c>
      <c r="Q555" t="n">
        <v>148</v>
      </c>
      <c r="R555" t="n">
        <v>1</v>
      </c>
      <c r="S555" t="inlineStr">
        <is>
          <t>2001,2002</t>
        </is>
      </c>
      <c r="T555" t="n">
        <v>20</v>
      </c>
      <c r="U555" t="n">
        <v>0.5</v>
      </c>
      <c r="V555" t="n">
        <v>1000</v>
      </c>
      <c r="W555" t="n">
        <v>6155</v>
      </c>
      <c r="X555" t="n">
        <v>1</v>
      </c>
      <c r="Y555" t="n">
        <v>2006</v>
      </c>
      <c r="Z555" t="n">
        <v>1</v>
      </c>
      <c r="AA555" t="n">
        <v>0.03</v>
      </c>
    </row>
    <row r="556">
      <c r="A556" t="n">
        <v>1554</v>
      </c>
      <c r="B556" t="inlineStr">
        <is>
          <t>40072,40063</t>
        </is>
      </c>
      <c r="C556" t="n">
        <v>150</v>
      </c>
      <c r="D5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6" t="n">
        <v>1</v>
      </c>
      <c r="F556" t="n">
        <v>0.148</v>
      </c>
      <c r="G556" t="n">
        <v>8001</v>
      </c>
      <c r="H556" t="n">
        <v>395</v>
      </c>
      <c r="I556" t="n">
        <v>1</v>
      </c>
      <c r="J556" t="n">
        <v>8000</v>
      </c>
      <c r="K556" t="n">
        <v>590</v>
      </c>
      <c r="L556" t="n">
        <v>1</v>
      </c>
      <c r="M556" t="n">
        <v>2007</v>
      </c>
      <c r="N556" t="n">
        <v>1</v>
      </c>
      <c r="O556" t="n">
        <v>0.05</v>
      </c>
      <c r="P556" t="n">
        <v>9000</v>
      </c>
      <c r="Q556" t="n">
        <v>148</v>
      </c>
      <c r="R556" t="n">
        <v>1</v>
      </c>
      <c r="S556" t="inlineStr">
        <is>
          <t>2001,2002</t>
        </is>
      </c>
      <c r="T556" t="n">
        <v>20</v>
      </c>
      <c r="U556" t="n">
        <v>0.5</v>
      </c>
      <c r="V556" t="n">
        <v>1000</v>
      </c>
      <c r="W556" t="n">
        <v>6160</v>
      </c>
      <c r="X556" t="n">
        <v>1</v>
      </c>
      <c r="Y556" t="n">
        <v>2006</v>
      </c>
      <c r="Z556" t="n">
        <v>1</v>
      </c>
      <c r="AA556" t="n">
        <v>0.03</v>
      </c>
    </row>
    <row r="557">
      <c r="A557" t="n">
        <v>1555</v>
      </c>
      <c r="B557" t="inlineStr">
        <is>
          <t>40087,40069,40063</t>
        </is>
      </c>
      <c r="C557" t="n">
        <v>150</v>
      </c>
      <c r="D5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7" t="n">
        <v>1</v>
      </c>
      <c r="F557" t="n">
        <v>0.148</v>
      </c>
      <c r="G557" t="n">
        <v>8001</v>
      </c>
      <c r="H557" t="n">
        <v>395</v>
      </c>
      <c r="I557" t="n">
        <v>1</v>
      </c>
      <c r="J557" t="n">
        <v>8000</v>
      </c>
      <c r="K557" t="n">
        <v>590</v>
      </c>
      <c r="L557" t="n">
        <v>1</v>
      </c>
      <c r="M557" t="n">
        <v>2007</v>
      </c>
      <c r="N557" t="n">
        <v>1</v>
      </c>
      <c r="O557" t="n">
        <v>0.05</v>
      </c>
      <c r="P557" t="n">
        <v>9000</v>
      </c>
      <c r="Q557" t="n">
        <v>148</v>
      </c>
      <c r="R557" t="n">
        <v>1</v>
      </c>
      <c r="S557" t="inlineStr">
        <is>
          <t>2001,2002</t>
        </is>
      </c>
      <c r="T557" t="n">
        <v>20</v>
      </c>
      <c r="U557" t="n">
        <v>0.5</v>
      </c>
      <c r="V557" t="n">
        <v>1000</v>
      </c>
      <c r="W557" t="n">
        <v>6165</v>
      </c>
      <c r="X557" t="n">
        <v>1</v>
      </c>
      <c r="Y557" t="n">
        <v>2006</v>
      </c>
      <c r="Z557" t="n">
        <v>1</v>
      </c>
      <c r="AA557" t="n">
        <v>0.03</v>
      </c>
    </row>
    <row r="558">
      <c r="A558" t="n">
        <v>1556</v>
      </c>
      <c r="B558" t="inlineStr">
        <is>
          <t>40072,40063</t>
        </is>
      </c>
      <c r="C558" t="n">
        <v>150</v>
      </c>
      <c r="D5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8" t="n">
        <v>1</v>
      </c>
      <c r="F558" t="n">
        <v>0.149</v>
      </c>
      <c r="G558" t="n">
        <v>8001</v>
      </c>
      <c r="H558" t="n">
        <v>395</v>
      </c>
      <c r="I558" t="n">
        <v>1</v>
      </c>
      <c r="J558" t="n">
        <v>8000</v>
      </c>
      <c r="K558" t="n">
        <v>590</v>
      </c>
      <c r="L558" t="n">
        <v>1</v>
      </c>
      <c r="M558" t="n">
        <v>2007</v>
      </c>
      <c r="N558" t="n">
        <v>1</v>
      </c>
      <c r="O558" t="n">
        <v>0.05</v>
      </c>
      <c r="P558" t="n">
        <v>9000</v>
      </c>
      <c r="Q558" t="n">
        <v>148</v>
      </c>
      <c r="R558" t="n">
        <v>1</v>
      </c>
      <c r="S558" t="inlineStr">
        <is>
          <t>2001,2002</t>
        </is>
      </c>
      <c r="T558" t="n">
        <v>20</v>
      </c>
      <c r="U558" t="n">
        <v>0.5</v>
      </c>
      <c r="V558" t="n">
        <v>1000</v>
      </c>
      <c r="W558" t="n">
        <v>6165</v>
      </c>
      <c r="X558" t="n">
        <v>1</v>
      </c>
      <c r="Y558" t="n">
        <v>2006</v>
      </c>
      <c r="Z558" t="n">
        <v>1</v>
      </c>
      <c r="AA558" t="n">
        <v>0.03</v>
      </c>
    </row>
    <row r="559">
      <c r="A559" t="n">
        <v>1557</v>
      </c>
      <c r="B559" t="inlineStr">
        <is>
          <t>40087,40072</t>
        </is>
      </c>
      <c r="C559" t="n">
        <v>150</v>
      </c>
      <c r="D5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9" t="n">
        <v>1</v>
      </c>
      <c r="F559" t="n">
        <v>0.149</v>
      </c>
      <c r="G559" t="n">
        <v>8001</v>
      </c>
      <c r="H559" t="n">
        <v>395</v>
      </c>
      <c r="I559" t="n">
        <v>1</v>
      </c>
      <c r="J559" t="n">
        <v>8000</v>
      </c>
      <c r="K559" t="n">
        <v>590</v>
      </c>
      <c r="L559" t="n">
        <v>1</v>
      </c>
      <c r="M559" t="n">
        <v>2007</v>
      </c>
      <c r="N559" t="n">
        <v>1</v>
      </c>
      <c r="O559" t="n">
        <v>0.05</v>
      </c>
      <c r="P559" t="n">
        <v>9000</v>
      </c>
      <c r="Q559" t="n">
        <v>148</v>
      </c>
      <c r="R559" t="n">
        <v>1</v>
      </c>
      <c r="S559" t="inlineStr">
        <is>
          <t>2001,2002</t>
        </is>
      </c>
      <c r="T559" t="n">
        <v>20</v>
      </c>
      <c r="U559" t="n">
        <v>0.5</v>
      </c>
      <c r="V559" t="n">
        <v>1000</v>
      </c>
      <c r="W559" t="n">
        <v>6170</v>
      </c>
      <c r="X559" t="n">
        <v>1</v>
      </c>
      <c r="Y559" t="n">
        <v>2006</v>
      </c>
      <c r="Z559" t="n">
        <v>1</v>
      </c>
      <c r="AA559" t="n">
        <v>0.03</v>
      </c>
    </row>
    <row r="560">
      <c r="A560" t="n">
        <v>1558</v>
      </c>
      <c r="B560" t="inlineStr">
        <is>
          <t>40086,40069</t>
        </is>
      </c>
      <c r="C560" t="n">
        <v>150</v>
      </c>
      <c r="D5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0" t="n">
        <v>1</v>
      </c>
      <c r="F560" t="n">
        <v>0.149</v>
      </c>
      <c r="G560" t="n">
        <v>8001</v>
      </c>
      <c r="H560" t="n">
        <v>395</v>
      </c>
      <c r="I560" t="n">
        <v>1</v>
      </c>
      <c r="J560" t="n">
        <v>8000</v>
      </c>
      <c r="K560" t="n">
        <v>595</v>
      </c>
      <c r="L560" t="n">
        <v>1</v>
      </c>
      <c r="M560" t="n">
        <v>2007</v>
      </c>
      <c r="N560" t="n">
        <v>1</v>
      </c>
      <c r="O560" t="n">
        <v>0.05</v>
      </c>
      <c r="P560" t="n">
        <v>9000</v>
      </c>
      <c r="Q560" t="n">
        <v>148</v>
      </c>
      <c r="R560" t="n">
        <v>1</v>
      </c>
      <c r="S560" t="inlineStr">
        <is>
          <t>2001,2002</t>
        </is>
      </c>
      <c r="T560" t="n">
        <v>20</v>
      </c>
      <c r="U560" t="n">
        <v>0.5</v>
      </c>
      <c r="V560" t="n">
        <v>1000</v>
      </c>
      <c r="W560" t="n">
        <v>6175</v>
      </c>
      <c r="X560" t="n">
        <v>1</v>
      </c>
      <c r="Y560" t="n">
        <v>2006</v>
      </c>
      <c r="Z560" t="n">
        <v>1</v>
      </c>
      <c r="AA560" t="n">
        <v>0.03</v>
      </c>
    </row>
    <row r="561">
      <c r="A561" t="n">
        <v>1559</v>
      </c>
      <c r="B561" t="inlineStr">
        <is>
          <t>40063,40086,40069</t>
        </is>
      </c>
      <c r="C561" t="n">
        <v>150</v>
      </c>
      <c r="D5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1" t="n">
        <v>1</v>
      </c>
      <c r="F561" t="n">
        <v>0.149</v>
      </c>
      <c r="G561" t="n">
        <v>8001</v>
      </c>
      <c r="H561" t="n">
        <v>395</v>
      </c>
      <c r="I561" t="n">
        <v>1</v>
      </c>
      <c r="J561" t="n">
        <v>8000</v>
      </c>
      <c r="K561" t="n">
        <v>595</v>
      </c>
      <c r="L561" t="n">
        <v>1</v>
      </c>
      <c r="M561" t="n">
        <v>2007</v>
      </c>
      <c r="N561" t="n">
        <v>1</v>
      </c>
      <c r="O561" t="n">
        <v>0.05</v>
      </c>
      <c r="P561" t="n">
        <v>9000</v>
      </c>
      <c r="Q561" t="n">
        <v>148</v>
      </c>
      <c r="R561" t="n">
        <v>1</v>
      </c>
      <c r="S561" t="inlineStr">
        <is>
          <t>2001,2002</t>
        </is>
      </c>
      <c r="T561" t="n">
        <v>20</v>
      </c>
      <c r="U561" t="n">
        <v>0.5</v>
      </c>
      <c r="V561" t="n">
        <v>1000</v>
      </c>
      <c r="W561" t="n">
        <v>6180</v>
      </c>
      <c r="X561" t="n">
        <v>1</v>
      </c>
      <c r="Y561" t="n">
        <v>2006</v>
      </c>
      <c r="Z561" t="n">
        <v>1</v>
      </c>
      <c r="AA561" t="n">
        <v>0.03</v>
      </c>
    </row>
    <row r="562">
      <c r="A562" t="n">
        <v>1560</v>
      </c>
      <c r="B562" t="inlineStr">
        <is>
          <t>40063,40087,40086</t>
        </is>
      </c>
      <c r="C562" t="n">
        <v>150</v>
      </c>
      <c r="D5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2" t="n">
        <v>1</v>
      </c>
      <c r="F562" t="n">
        <v>0.149</v>
      </c>
      <c r="G562" t="n">
        <v>8001</v>
      </c>
      <c r="H562" t="n">
        <v>395</v>
      </c>
      <c r="I562" t="n">
        <v>1</v>
      </c>
      <c r="J562" t="n">
        <v>8000</v>
      </c>
      <c r="K562" t="n">
        <v>595</v>
      </c>
      <c r="L562" t="n">
        <v>1</v>
      </c>
      <c r="M562" t="n">
        <v>2007</v>
      </c>
      <c r="N562" t="n">
        <v>1</v>
      </c>
      <c r="O562" t="n">
        <v>0.05</v>
      </c>
      <c r="P562" t="n">
        <v>9000</v>
      </c>
      <c r="Q562" t="n">
        <v>148</v>
      </c>
      <c r="R562" t="n">
        <v>1</v>
      </c>
      <c r="S562" t="inlineStr">
        <is>
          <t>2001,2002</t>
        </is>
      </c>
      <c r="T562" t="n">
        <v>20</v>
      </c>
      <c r="U562" t="n">
        <v>0.5</v>
      </c>
      <c r="V562" t="n">
        <v>1000</v>
      </c>
      <c r="W562" t="n">
        <v>6180</v>
      </c>
      <c r="X562" t="n">
        <v>1</v>
      </c>
      <c r="Y562" t="n">
        <v>2006</v>
      </c>
      <c r="Z562" t="n">
        <v>1</v>
      </c>
      <c r="AA562" t="n">
        <v>0.03</v>
      </c>
    </row>
    <row r="563">
      <c r="A563" t="n">
        <v>1561</v>
      </c>
      <c r="B563" t="inlineStr">
        <is>
          <t>40063,40069,40072</t>
        </is>
      </c>
      <c r="C563" t="n">
        <v>150</v>
      </c>
      <c r="D5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3" t="n">
        <v>1</v>
      </c>
      <c r="F563" t="n">
        <v>0.149</v>
      </c>
      <c r="G563" t="n">
        <v>8001</v>
      </c>
      <c r="H563" t="n">
        <v>395</v>
      </c>
      <c r="I563" t="n">
        <v>1</v>
      </c>
      <c r="J563" t="n">
        <v>8000</v>
      </c>
      <c r="K563" t="n">
        <v>595</v>
      </c>
      <c r="L563" t="n">
        <v>1</v>
      </c>
      <c r="M563" t="n">
        <v>2007</v>
      </c>
      <c r="N563" t="n">
        <v>1</v>
      </c>
      <c r="O563" t="n">
        <v>0.05</v>
      </c>
      <c r="P563" t="n">
        <v>9000</v>
      </c>
      <c r="Q563" t="n">
        <v>148</v>
      </c>
      <c r="R563" t="n">
        <v>1</v>
      </c>
      <c r="S563" t="inlineStr">
        <is>
          <t>2001,2002</t>
        </is>
      </c>
      <c r="T563" t="n">
        <v>20</v>
      </c>
      <c r="U563" t="n">
        <v>0.5</v>
      </c>
      <c r="V563" t="n">
        <v>1000</v>
      </c>
      <c r="W563" t="n">
        <v>6185</v>
      </c>
      <c r="X563" t="n">
        <v>1</v>
      </c>
      <c r="Y563" t="n">
        <v>2006</v>
      </c>
      <c r="Z563" t="n">
        <v>1</v>
      </c>
      <c r="AA563" t="n">
        <v>0.03</v>
      </c>
    </row>
    <row r="564">
      <c r="A564" t="n">
        <v>1562</v>
      </c>
      <c r="B564" t="inlineStr">
        <is>
          <t>40072,40069</t>
        </is>
      </c>
      <c r="C564" t="n">
        <v>150</v>
      </c>
      <c r="D5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4" t="n">
        <v>1</v>
      </c>
      <c r="F564" t="n">
        <v>0.149</v>
      </c>
      <c r="G564" t="n">
        <v>8001</v>
      </c>
      <c r="H564" t="n">
        <v>395</v>
      </c>
      <c r="I564" t="n">
        <v>1</v>
      </c>
      <c r="J564" t="n">
        <v>8000</v>
      </c>
      <c r="K564" t="n">
        <v>595</v>
      </c>
      <c r="L564" t="n">
        <v>1</v>
      </c>
      <c r="M564" t="n">
        <v>2007</v>
      </c>
      <c r="N564" t="n">
        <v>1</v>
      </c>
      <c r="O564" t="n">
        <v>0.05</v>
      </c>
      <c r="P564" t="n">
        <v>9000</v>
      </c>
      <c r="Q564" t="n">
        <v>148</v>
      </c>
      <c r="R564" t="n">
        <v>1</v>
      </c>
      <c r="S564" t="inlineStr">
        <is>
          <t>2001,2002</t>
        </is>
      </c>
      <c r="T564" t="n">
        <v>20</v>
      </c>
      <c r="U564" t="n">
        <v>0.5</v>
      </c>
      <c r="V564" t="n">
        <v>1000</v>
      </c>
      <c r="W564" t="n">
        <v>6190</v>
      </c>
      <c r="X564" t="n">
        <v>1</v>
      </c>
      <c r="Y564" t="n">
        <v>2006</v>
      </c>
      <c r="Z564" t="n">
        <v>1</v>
      </c>
      <c r="AA564" t="n">
        <v>0.03</v>
      </c>
    </row>
    <row r="565">
      <c r="A565" t="n">
        <v>1563</v>
      </c>
      <c r="B565" t="inlineStr">
        <is>
          <t>40086</t>
        </is>
      </c>
      <c r="C565" t="n">
        <v>150</v>
      </c>
      <c r="D5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5" t="n">
        <v>1</v>
      </c>
      <c r="F565" t="n">
        <v>0.149</v>
      </c>
      <c r="G565" t="n">
        <v>8001</v>
      </c>
      <c r="H565" t="n">
        <v>395</v>
      </c>
      <c r="I565" t="n">
        <v>1</v>
      </c>
      <c r="J565" t="n">
        <v>8000</v>
      </c>
      <c r="K565" t="n">
        <v>595</v>
      </c>
      <c r="L565" t="n">
        <v>1</v>
      </c>
      <c r="M565" t="n">
        <v>2007</v>
      </c>
      <c r="N565" t="n">
        <v>1</v>
      </c>
      <c r="O565" t="n">
        <v>0.05</v>
      </c>
      <c r="P565" t="n">
        <v>9000</v>
      </c>
      <c r="Q565" t="n">
        <v>149</v>
      </c>
      <c r="R565" t="n">
        <v>1</v>
      </c>
      <c r="S565" t="inlineStr">
        <is>
          <t>2001,2002</t>
        </is>
      </c>
      <c r="T565" t="n">
        <v>20</v>
      </c>
      <c r="U565" t="n">
        <v>0.5</v>
      </c>
      <c r="V565" t="n">
        <v>1000</v>
      </c>
      <c r="W565" t="n">
        <v>6190</v>
      </c>
      <c r="X565" t="n">
        <v>1</v>
      </c>
      <c r="Y565" t="n">
        <v>2006</v>
      </c>
      <c r="Z565" t="n">
        <v>1</v>
      </c>
      <c r="AA565" t="n">
        <v>0.03</v>
      </c>
    </row>
    <row r="566">
      <c r="A566" t="n">
        <v>1564</v>
      </c>
      <c r="B566" t="inlineStr">
        <is>
          <t>40072,40086,40063</t>
        </is>
      </c>
      <c r="C566" t="n">
        <v>150</v>
      </c>
      <c r="D5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6" t="n">
        <v>1</v>
      </c>
      <c r="F566" t="n">
        <v>0.149</v>
      </c>
      <c r="G566" t="n">
        <v>8001</v>
      </c>
      <c r="H566" t="n">
        <v>395</v>
      </c>
      <c r="I566" t="n">
        <v>1</v>
      </c>
      <c r="J566" t="n">
        <v>8000</v>
      </c>
      <c r="K566" t="n">
        <v>595</v>
      </c>
      <c r="L566" t="n">
        <v>1</v>
      </c>
      <c r="M566" t="n">
        <v>2007</v>
      </c>
      <c r="N566" t="n">
        <v>1</v>
      </c>
      <c r="O566" t="n">
        <v>0.05</v>
      </c>
      <c r="P566" t="n">
        <v>9000</v>
      </c>
      <c r="Q566" t="n">
        <v>149</v>
      </c>
      <c r="R566" t="n">
        <v>1</v>
      </c>
      <c r="S566" t="inlineStr">
        <is>
          <t>2001,2002</t>
        </is>
      </c>
      <c r="T566" t="n">
        <v>20</v>
      </c>
      <c r="U566" t="n">
        <v>0.5</v>
      </c>
      <c r="V566" t="n">
        <v>1000</v>
      </c>
      <c r="W566" t="n">
        <v>6195</v>
      </c>
      <c r="X566" t="n">
        <v>1</v>
      </c>
      <c r="Y566" t="n">
        <v>2006</v>
      </c>
      <c r="Z566" t="n">
        <v>1</v>
      </c>
      <c r="AA566" t="n">
        <v>0.03</v>
      </c>
    </row>
    <row r="567">
      <c r="A567" t="n">
        <v>1565</v>
      </c>
      <c r="B567" t="inlineStr">
        <is>
          <t>40087,40069,40086</t>
        </is>
      </c>
      <c r="C567" t="n">
        <v>150</v>
      </c>
      <c r="D5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7" t="n">
        <v>1</v>
      </c>
      <c r="F567" t="n">
        <v>0.149</v>
      </c>
      <c r="G567" t="n">
        <v>8001</v>
      </c>
      <c r="H567" t="n">
        <v>395</v>
      </c>
      <c r="I567" t="n">
        <v>1</v>
      </c>
      <c r="J567" t="n">
        <v>8000</v>
      </c>
      <c r="K567" t="n">
        <v>595</v>
      </c>
      <c r="L567" t="n">
        <v>1</v>
      </c>
      <c r="M567" t="n">
        <v>2007</v>
      </c>
      <c r="N567" t="n">
        <v>1</v>
      </c>
      <c r="O567" t="n">
        <v>0.05</v>
      </c>
      <c r="P567" t="n">
        <v>9000</v>
      </c>
      <c r="Q567" t="n">
        <v>149</v>
      </c>
      <c r="R567" t="n">
        <v>1</v>
      </c>
      <c r="S567" t="inlineStr">
        <is>
          <t>2001,2002</t>
        </is>
      </c>
      <c r="T567" t="n">
        <v>20</v>
      </c>
      <c r="U567" t="n">
        <v>0.5</v>
      </c>
      <c r="V567" t="n">
        <v>1000</v>
      </c>
      <c r="W567" t="n">
        <v>6200</v>
      </c>
      <c r="X567" t="n">
        <v>1</v>
      </c>
      <c r="Y567" t="n">
        <v>2006</v>
      </c>
      <c r="Z567" t="n">
        <v>1</v>
      </c>
      <c r="AA567" t="n">
        <v>0.03</v>
      </c>
    </row>
    <row r="568">
      <c r="A568" t="n">
        <v>1566</v>
      </c>
      <c r="B568" t="inlineStr">
        <is>
          <t>40086,40087,40069,40063</t>
        </is>
      </c>
      <c r="C568" t="n">
        <v>150</v>
      </c>
      <c r="D5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8" t="n">
        <v>1</v>
      </c>
      <c r="F568" t="n">
        <v>0.149</v>
      </c>
      <c r="G568" t="n">
        <v>8001</v>
      </c>
      <c r="H568" t="n">
        <v>395</v>
      </c>
      <c r="I568" t="n">
        <v>1</v>
      </c>
      <c r="J568" t="n">
        <v>8000</v>
      </c>
      <c r="K568" t="n">
        <v>595</v>
      </c>
      <c r="L568" t="n">
        <v>1</v>
      </c>
      <c r="M568" t="n">
        <v>2007</v>
      </c>
      <c r="N568" t="n">
        <v>1</v>
      </c>
      <c r="O568" t="n">
        <v>0.05</v>
      </c>
      <c r="P568" t="n">
        <v>9000</v>
      </c>
      <c r="Q568" t="n">
        <v>149</v>
      </c>
      <c r="R568" t="n">
        <v>1</v>
      </c>
      <c r="S568" t="inlineStr">
        <is>
          <t>2001,2002</t>
        </is>
      </c>
      <c r="T568" t="n">
        <v>20</v>
      </c>
      <c r="U568" t="n">
        <v>0.5</v>
      </c>
      <c r="V568" t="n">
        <v>1000</v>
      </c>
      <c r="W568" t="n">
        <v>6200</v>
      </c>
      <c r="X568" t="n">
        <v>1</v>
      </c>
      <c r="Y568" t="n">
        <v>2006</v>
      </c>
      <c r="Z568" t="n">
        <v>1</v>
      </c>
      <c r="AA568" t="n">
        <v>0.03</v>
      </c>
    </row>
    <row r="569">
      <c r="A569" t="n">
        <v>1567</v>
      </c>
      <c r="B569" t="inlineStr">
        <is>
          <t>40069,40072,40086</t>
        </is>
      </c>
      <c r="C569" t="n">
        <v>150</v>
      </c>
      <c r="D5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9" t="n">
        <v>1</v>
      </c>
      <c r="F569" t="n">
        <v>0.149</v>
      </c>
      <c r="G569" t="n">
        <v>8001</v>
      </c>
      <c r="H569" t="n">
        <v>395</v>
      </c>
      <c r="I569" t="n">
        <v>1</v>
      </c>
      <c r="J569" t="n">
        <v>8000</v>
      </c>
      <c r="K569" t="n">
        <v>595</v>
      </c>
      <c r="L569" t="n">
        <v>1</v>
      </c>
      <c r="M569" t="n">
        <v>2007</v>
      </c>
      <c r="N569" t="n">
        <v>1</v>
      </c>
      <c r="O569" t="n">
        <v>0.05</v>
      </c>
      <c r="P569" t="n">
        <v>9000</v>
      </c>
      <c r="Q569" t="n">
        <v>149</v>
      </c>
      <c r="R569" t="n">
        <v>1</v>
      </c>
      <c r="S569" t="inlineStr">
        <is>
          <t>2001,2002</t>
        </is>
      </c>
      <c r="T569" t="n">
        <v>20</v>
      </c>
      <c r="U569" t="n">
        <v>0.5</v>
      </c>
      <c r="V569" t="n">
        <v>1000</v>
      </c>
      <c r="W569" t="n">
        <v>6205</v>
      </c>
      <c r="X569" t="n">
        <v>1</v>
      </c>
      <c r="Y569" t="n">
        <v>2006</v>
      </c>
      <c r="Z569" t="n">
        <v>1</v>
      </c>
      <c r="AA569" t="n">
        <v>0.03</v>
      </c>
    </row>
    <row r="570">
      <c r="A570" t="n">
        <v>1568</v>
      </c>
      <c r="B570" t="inlineStr">
        <is>
          <t>40087,40086,40063</t>
        </is>
      </c>
      <c r="C570" t="n">
        <v>150</v>
      </c>
      <c r="D5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0" t="n">
        <v>1</v>
      </c>
      <c r="F570" t="n">
        <v>0.149</v>
      </c>
      <c r="G570" t="n">
        <v>8001</v>
      </c>
      <c r="H570" t="n">
        <v>395</v>
      </c>
      <c r="I570" t="n">
        <v>1</v>
      </c>
      <c r="J570" t="n">
        <v>8000</v>
      </c>
      <c r="K570" t="n">
        <v>595</v>
      </c>
      <c r="L570" t="n">
        <v>1</v>
      </c>
      <c r="M570" t="n">
        <v>2007</v>
      </c>
      <c r="N570" t="n">
        <v>1</v>
      </c>
      <c r="O570" t="n">
        <v>0.05</v>
      </c>
      <c r="P570" t="n">
        <v>9000</v>
      </c>
      <c r="Q570" t="n">
        <v>149</v>
      </c>
      <c r="R570" t="n">
        <v>1</v>
      </c>
      <c r="S570" t="inlineStr">
        <is>
          <t>2001,2002</t>
        </is>
      </c>
      <c r="T570" t="n">
        <v>20</v>
      </c>
      <c r="U570" t="n">
        <v>0.5</v>
      </c>
      <c r="V570" t="n">
        <v>1000</v>
      </c>
      <c r="W570" t="n">
        <v>6205</v>
      </c>
      <c r="X570" t="n">
        <v>1</v>
      </c>
      <c r="Y570" t="n">
        <v>2006</v>
      </c>
      <c r="Z570" t="n">
        <v>1</v>
      </c>
      <c r="AA570" t="n">
        <v>0.03</v>
      </c>
    </row>
    <row r="571">
      <c r="A571" t="n">
        <v>1569</v>
      </c>
      <c r="B571" t="inlineStr">
        <is>
          <t>40063,40086,40087</t>
        </is>
      </c>
      <c r="C571" t="n">
        <v>150</v>
      </c>
      <c r="D5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1" t="n">
        <v>1</v>
      </c>
      <c r="F571" t="n">
        <v>0.149</v>
      </c>
      <c r="G571" t="n">
        <v>8001</v>
      </c>
      <c r="H571" t="n">
        <v>395</v>
      </c>
      <c r="I571" t="n">
        <v>1</v>
      </c>
      <c r="J571" t="n">
        <v>8000</v>
      </c>
      <c r="K571" t="n">
        <v>595</v>
      </c>
      <c r="L571" t="n">
        <v>1</v>
      </c>
      <c r="M571" t="n">
        <v>2007</v>
      </c>
      <c r="N571" t="n">
        <v>1</v>
      </c>
      <c r="O571" t="n">
        <v>0.05</v>
      </c>
      <c r="P571" t="n">
        <v>9000</v>
      </c>
      <c r="Q571" t="n">
        <v>149</v>
      </c>
      <c r="R571" t="n">
        <v>1</v>
      </c>
      <c r="S571" t="inlineStr">
        <is>
          <t>2001,2002</t>
        </is>
      </c>
      <c r="T571" t="n">
        <v>20</v>
      </c>
      <c r="U571" t="n">
        <v>0.5</v>
      </c>
      <c r="V571" t="n">
        <v>1000</v>
      </c>
      <c r="W571" t="n">
        <v>6210</v>
      </c>
      <c r="X571" t="n">
        <v>1</v>
      </c>
      <c r="Y571" t="n">
        <v>2006</v>
      </c>
      <c r="Z571" t="n">
        <v>1</v>
      </c>
      <c r="AA571" t="n">
        <v>0.03</v>
      </c>
    </row>
    <row r="572">
      <c r="A572" t="n">
        <v>1570</v>
      </c>
      <c r="B572" t="inlineStr">
        <is>
          <t>40087,40072,40063,40086</t>
        </is>
      </c>
      <c r="C572" t="n">
        <v>150</v>
      </c>
      <c r="D5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2" t="n">
        <v>1</v>
      </c>
      <c r="F572" t="n">
        <v>0.149</v>
      </c>
      <c r="G572" t="n">
        <v>8001</v>
      </c>
      <c r="H572" t="n">
        <v>400</v>
      </c>
      <c r="I572" t="n">
        <v>1</v>
      </c>
      <c r="J572" t="n">
        <v>8000</v>
      </c>
      <c r="K572" t="n">
        <v>595</v>
      </c>
      <c r="L572" t="n">
        <v>1</v>
      </c>
      <c r="M572" t="n">
        <v>2007</v>
      </c>
      <c r="N572" t="n">
        <v>1</v>
      </c>
      <c r="O572" t="n">
        <v>0.05</v>
      </c>
      <c r="P572" t="n">
        <v>9000</v>
      </c>
      <c r="Q572" t="n">
        <v>149</v>
      </c>
      <c r="R572" t="n">
        <v>1</v>
      </c>
      <c r="S572" t="inlineStr">
        <is>
          <t>2001,2002</t>
        </is>
      </c>
      <c r="T572" t="n">
        <v>20</v>
      </c>
      <c r="U572" t="n">
        <v>0.5</v>
      </c>
      <c r="V572" t="n">
        <v>1000</v>
      </c>
      <c r="W572" t="n">
        <v>6210</v>
      </c>
      <c r="X572" t="n">
        <v>1</v>
      </c>
      <c r="Y572" t="n">
        <v>2006</v>
      </c>
      <c r="Z572" t="n">
        <v>1</v>
      </c>
      <c r="AA572" t="n">
        <v>0.03</v>
      </c>
    </row>
    <row r="573">
      <c r="A573" t="n">
        <v>1571</v>
      </c>
      <c r="B573" t="inlineStr">
        <is>
          <t>40072,40063,40069</t>
        </is>
      </c>
      <c r="C573" t="n">
        <v>150</v>
      </c>
      <c r="D5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3" t="n">
        <v>1</v>
      </c>
      <c r="F573" t="n">
        <v>0.149</v>
      </c>
      <c r="G573" t="n">
        <v>8001</v>
      </c>
      <c r="H573" t="n">
        <v>400</v>
      </c>
      <c r="I573" t="n">
        <v>1</v>
      </c>
      <c r="J573" t="n">
        <v>8000</v>
      </c>
      <c r="K573" t="n">
        <v>595</v>
      </c>
      <c r="L573" t="n">
        <v>1</v>
      </c>
      <c r="M573" t="n">
        <v>2007</v>
      </c>
      <c r="N573" t="n">
        <v>1</v>
      </c>
      <c r="O573" t="n">
        <v>0.05</v>
      </c>
      <c r="P573" t="n">
        <v>9000</v>
      </c>
      <c r="Q573" t="n">
        <v>149</v>
      </c>
      <c r="R573" t="n">
        <v>1</v>
      </c>
      <c r="S573" t="inlineStr">
        <is>
          <t>2001,2002</t>
        </is>
      </c>
      <c r="T573" t="n">
        <v>20</v>
      </c>
      <c r="U573" t="n">
        <v>0.5</v>
      </c>
      <c r="V573" t="n">
        <v>1000</v>
      </c>
      <c r="W573" t="n">
        <v>6215</v>
      </c>
      <c r="X573" t="n">
        <v>1</v>
      </c>
      <c r="Y573" t="n">
        <v>2006</v>
      </c>
      <c r="Z573" t="n">
        <v>1</v>
      </c>
      <c r="AA573" t="n">
        <v>0.03</v>
      </c>
    </row>
    <row r="574">
      <c r="A574" t="n">
        <v>1572</v>
      </c>
      <c r="B574" t="inlineStr">
        <is>
          <t>40086,40063,40072</t>
        </is>
      </c>
      <c r="C574" t="n">
        <v>150</v>
      </c>
      <c r="D5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4" t="n">
        <v>1</v>
      </c>
      <c r="F574" t="n">
        <v>0.149</v>
      </c>
      <c r="G574" t="n">
        <v>8001</v>
      </c>
      <c r="H574" t="n">
        <v>400</v>
      </c>
      <c r="I574" t="n">
        <v>1</v>
      </c>
      <c r="J574" t="n">
        <v>8000</v>
      </c>
      <c r="K574" t="n">
        <v>595</v>
      </c>
      <c r="L574" t="n">
        <v>1</v>
      </c>
      <c r="M574" t="n">
        <v>2007</v>
      </c>
      <c r="N574" t="n">
        <v>1</v>
      </c>
      <c r="O574" t="n">
        <v>0.05</v>
      </c>
      <c r="P574" t="n">
        <v>9000</v>
      </c>
      <c r="Q574" t="n">
        <v>149</v>
      </c>
      <c r="R574" t="n">
        <v>1</v>
      </c>
      <c r="S574" t="inlineStr">
        <is>
          <t>2001,2002</t>
        </is>
      </c>
      <c r="T574" t="n">
        <v>20</v>
      </c>
      <c r="U574" t="n">
        <v>0.5</v>
      </c>
      <c r="V574" t="n">
        <v>1000</v>
      </c>
      <c r="W574" t="n">
        <v>6215</v>
      </c>
      <c r="X574" t="n">
        <v>1</v>
      </c>
      <c r="Y574" t="n">
        <v>2006</v>
      </c>
      <c r="Z574" t="n">
        <v>1</v>
      </c>
      <c r="AA574" t="n">
        <v>0.03</v>
      </c>
    </row>
    <row r="575">
      <c r="A575" t="n">
        <v>1573</v>
      </c>
      <c r="B575" t="inlineStr">
        <is>
          <t>40069,40087,40086</t>
        </is>
      </c>
      <c r="C575" t="n">
        <v>150</v>
      </c>
      <c r="D5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5" t="n">
        <v>1</v>
      </c>
      <c r="F575" t="n">
        <v>0.149</v>
      </c>
      <c r="G575" t="n">
        <v>8001</v>
      </c>
      <c r="H575" t="n">
        <v>400</v>
      </c>
      <c r="I575" t="n">
        <v>1</v>
      </c>
      <c r="J575" t="n">
        <v>8000</v>
      </c>
      <c r="K575" t="n">
        <v>595</v>
      </c>
      <c r="L575" t="n">
        <v>1</v>
      </c>
      <c r="M575" t="n">
        <v>2007</v>
      </c>
      <c r="N575" t="n">
        <v>1</v>
      </c>
      <c r="O575" t="n">
        <v>0.05</v>
      </c>
      <c r="P575" t="n">
        <v>9000</v>
      </c>
      <c r="Q575" t="n">
        <v>149</v>
      </c>
      <c r="R575" t="n">
        <v>1</v>
      </c>
      <c r="S575" t="inlineStr">
        <is>
          <t>2001,2002</t>
        </is>
      </c>
      <c r="T575" t="n">
        <v>20</v>
      </c>
      <c r="U575" t="n">
        <v>0.5</v>
      </c>
      <c r="V575" t="n">
        <v>1000</v>
      </c>
      <c r="W575" t="n">
        <v>6220</v>
      </c>
      <c r="X575" t="n">
        <v>1</v>
      </c>
      <c r="Y575" t="n">
        <v>2006</v>
      </c>
      <c r="Z575" t="n">
        <v>1</v>
      </c>
      <c r="AA575" t="n">
        <v>0.03</v>
      </c>
    </row>
    <row r="576">
      <c r="A576" t="n">
        <v>1574</v>
      </c>
      <c r="B576" t="inlineStr">
        <is>
          <t>40072,40087</t>
        </is>
      </c>
      <c r="C576" t="n">
        <v>150</v>
      </c>
      <c r="D5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6" t="n">
        <v>1</v>
      </c>
      <c r="F576" t="n">
        <v>0.149</v>
      </c>
      <c r="G576" t="n">
        <v>8001</v>
      </c>
      <c r="H576" t="n">
        <v>400</v>
      </c>
      <c r="I576" t="n">
        <v>1</v>
      </c>
      <c r="J576" t="n">
        <v>8000</v>
      </c>
      <c r="K576" t="n">
        <v>595</v>
      </c>
      <c r="L576" t="n">
        <v>1</v>
      </c>
      <c r="M576" t="n">
        <v>2007</v>
      </c>
      <c r="N576" t="n">
        <v>1</v>
      </c>
      <c r="O576" t="n">
        <v>0.05</v>
      </c>
      <c r="P576" t="n">
        <v>9000</v>
      </c>
      <c r="Q576" t="n">
        <v>149</v>
      </c>
      <c r="R576" t="n">
        <v>1</v>
      </c>
      <c r="S576" t="inlineStr">
        <is>
          <t>2001,2002</t>
        </is>
      </c>
      <c r="T576" t="n">
        <v>20</v>
      </c>
      <c r="U576" t="n">
        <v>0.5</v>
      </c>
      <c r="V576" t="n">
        <v>1000</v>
      </c>
      <c r="W576" t="n">
        <v>6220</v>
      </c>
      <c r="X576" t="n">
        <v>1</v>
      </c>
      <c r="Y576" t="n">
        <v>2006</v>
      </c>
      <c r="Z576" t="n">
        <v>1</v>
      </c>
      <c r="AA576" t="n">
        <v>0.03</v>
      </c>
    </row>
    <row r="577">
      <c r="A577" t="n">
        <v>1575</v>
      </c>
      <c r="B577" t="inlineStr">
        <is>
          <t>40069,40072,40063,40086</t>
        </is>
      </c>
      <c r="C577" t="n">
        <v>150</v>
      </c>
      <c r="D5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7" t="n">
        <v>1</v>
      </c>
      <c r="F577" t="n">
        <v>0.15</v>
      </c>
      <c r="G577" t="n">
        <v>8001</v>
      </c>
      <c r="H577" t="n">
        <v>400</v>
      </c>
      <c r="I577" t="n">
        <v>1</v>
      </c>
      <c r="J577" t="n">
        <v>8000</v>
      </c>
      <c r="K577" t="n">
        <v>595</v>
      </c>
      <c r="L577" t="n">
        <v>1</v>
      </c>
      <c r="M577" t="n">
        <v>2007</v>
      </c>
      <c r="N577" t="n">
        <v>1</v>
      </c>
      <c r="O577" t="n">
        <v>0.05</v>
      </c>
      <c r="P577" t="n">
        <v>9000</v>
      </c>
      <c r="Q577" t="n">
        <v>149</v>
      </c>
      <c r="R577" t="n">
        <v>1</v>
      </c>
      <c r="S577" t="inlineStr">
        <is>
          <t>2001,2002</t>
        </is>
      </c>
      <c r="T577" t="n">
        <v>20</v>
      </c>
      <c r="U577" t="n">
        <v>0.5</v>
      </c>
      <c r="V577" t="n">
        <v>1000</v>
      </c>
      <c r="W577" t="n">
        <v>6225</v>
      </c>
      <c r="X577" t="n">
        <v>1</v>
      </c>
      <c r="Y577" t="n">
        <v>2006</v>
      </c>
      <c r="Z577" t="n">
        <v>1</v>
      </c>
      <c r="AA577" t="n">
        <v>0.03</v>
      </c>
    </row>
    <row r="578">
      <c r="A578" t="n">
        <v>1576</v>
      </c>
      <c r="B578" t="inlineStr">
        <is>
          <t>40086,40069,40063</t>
        </is>
      </c>
      <c r="C578" t="n">
        <v>150</v>
      </c>
      <c r="D5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8" t="n">
        <v>1</v>
      </c>
      <c r="F578" t="n">
        <v>0.15</v>
      </c>
      <c r="G578" t="n">
        <v>8001</v>
      </c>
      <c r="H578" t="n">
        <v>400</v>
      </c>
      <c r="I578" t="n">
        <v>1</v>
      </c>
      <c r="J578" t="n">
        <v>8000</v>
      </c>
      <c r="K578" t="n">
        <v>600</v>
      </c>
      <c r="L578" t="n">
        <v>1</v>
      </c>
      <c r="M578" t="n">
        <v>2007</v>
      </c>
      <c r="N578" t="n">
        <v>1</v>
      </c>
      <c r="O578" t="n">
        <v>0.05</v>
      </c>
      <c r="P578" t="n">
        <v>9000</v>
      </c>
      <c r="Q578" t="n">
        <v>149</v>
      </c>
      <c r="R578" t="n">
        <v>1</v>
      </c>
      <c r="S578" t="inlineStr">
        <is>
          <t>2001,2002</t>
        </is>
      </c>
      <c r="T578" t="n">
        <v>20</v>
      </c>
      <c r="U578" t="n">
        <v>0.5</v>
      </c>
      <c r="V578" t="n">
        <v>1000</v>
      </c>
      <c r="W578" t="n">
        <v>6225</v>
      </c>
      <c r="X578" t="n">
        <v>1</v>
      </c>
      <c r="Y578" t="n">
        <v>2006</v>
      </c>
      <c r="Z578" t="n">
        <v>1</v>
      </c>
      <c r="AA578" t="n">
        <v>0.03</v>
      </c>
    </row>
    <row r="579">
      <c r="A579" t="n">
        <v>1577</v>
      </c>
      <c r="B579" t="inlineStr">
        <is>
          <t>40072,40086,40063,40087</t>
        </is>
      </c>
      <c r="C579" t="n">
        <v>150</v>
      </c>
      <c r="D5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9" t="n">
        <v>1</v>
      </c>
      <c r="F579" t="n">
        <v>0.15</v>
      </c>
      <c r="G579" t="n">
        <v>8001</v>
      </c>
      <c r="H579" t="n">
        <v>400</v>
      </c>
      <c r="I579" t="n">
        <v>1</v>
      </c>
      <c r="J579" t="n">
        <v>8000</v>
      </c>
      <c r="K579" t="n">
        <v>600</v>
      </c>
      <c r="L579" t="n">
        <v>1</v>
      </c>
      <c r="M579" t="n">
        <v>2007</v>
      </c>
      <c r="N579" t="n">
        <v>1</v>
      </c>
      <c r="O579" t="n">
        <v>0.05</v>
      </c>
      <c r="P579" t="n">
        <v>9000</v>
      </c>
      <c r="Q579" t="n">
        <v>149</v>
      </c>
      <c r="R579" t="n">
        <v>1</v>
      </c>
      <c r="S579" t="inlineStr">
        <is>
          <t>2001,2002</t>
        </is>
      </c>
      <c r="T579" t="n">
        <v>20</v>
      </c>
      <c r="U579" t="n">
        <v>0.5</v>
      </c>
      <c r="V579" t="n">
        <v>1000</v>
      </c>
      <c r="W579" t="n">
        <v>6230</v>
      </c>
      <c r="X579" t="n">
        <v>1</v>
      </c>
      <c r="Y579" t="n">
        <v>2006</v>
      </c>
      <c r="Z579" t="n">
        <v>1</v>
      </c>
      <c r="AA579" t="n">
        <v>0.03</v>
      </c>
    </row>
    <row r="580">
      <c r="A580" t="n">
        <v>1578</v>
      </c>
      <c r="B580" t="inlineStr">
        <is>
          <t>40063,40072,40086</t>
        </is>
      </c>
      <c r="C580" t="n">
        <v>150</v>
      </c>
      <c r="D5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0" t="n">
        <v>1</v>
      </c>
      <c r="F580" t="n">
        <v>0.15</v>
      </c>
      <c r="G580" t="n">
        <v>8001</v>
      </c>
      <c r="H580" t="n">
        <v>400</v>
      </c>
      <c r="I580" t="n">
        <v>1</v>
      </c>
      <c r="J580" t="n">
        <v>8000</v>
      </c>
      <c r="K580" t="n">
        <v>600</v>
      </c>
      <c r="L580" t="n">
        <v>1</v>
      </c>
      <c r="M580" t="n">
        <v>2007</v>
      </c>
      <c r="N580" t="n">
        <v>1</v>
      </c>
      <c r="O580" t="n">
        <v>0.05</v>
      </c>
      <c r="P580" t="n">
        <v>9000</v>
      </c>
      <c r="Q580" t="n">
        <v>149</v>
      </c>
      <c r="R580" t="n">
        <v>1</v>
      </c>
      <c r="S580" t="inlineStr">
        <is>
          <t>2001,2002</t>
        </is>
      </c>
      <c r="T580" t="n">
        <v>20</v>
      </c>
      <c r="U580" t="n">
        <v>0.5</v>
      </c>
      <c r="V580" t="n">
        <v>1000</v>
      </c>
      <c r="W580" t="n">
        <v>6230</v>
      </c>
      <c r="X580" t="n">
        <v>1</v>
      </c>
      <c r="Y580" t="n">
        <v>2006</v>
      </c>
      <c r="Z580" t="n">
        <v>1</v>
      </c>
      <c r="AA580" t="n">
        <v>0.03</v>
      </c>
    </row>
    <row r="581">
      <c r="A581" t="n">
        <v>1579</v>
      </c>
      <c r="B581" t="inlineStr">
        <is>
          <t>40087,40086,40072,40063</t>
        </is>
      </c>
      <c r="C581" t="n">
        <v>150</v>
      </c>
      <c r="D5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1" t="n">
        <v>1</v>
      </c>
      <c r="F581" t="n">
        <v>0.15</v>
      </c>
      <c r="G581" t="n">
        <v>8001</v>
      </c>
      <c r="H581" t="n">
        <v>400</v>
      </c>
      <c r="I581" t="n">
        <v>1</v>
      </c>
      <c r="J581" t="n">
        <v>8000</v>
      </c>
      <c r="K581" t="n">
        <v>600</v>
      </c>
      <c r="L581" t="n">
        <v>1</v>
      </c>
      <c r="M581" t="n">
        <v>2007</v>
      </c>
      <c r="N581" t="n">
        <v>1</v>
      </c>
      <c r="O581" t="n">
        <v>0.05</v>
      </c>
      <c r="P581" t="n">
        <v>9000</v>
      </c>
      <c r="Q581" t="n">
        <v>150</v>
      </c>
      <c r="R581" t="n">
        <v>1</v>
      </c>
      <c r="S581" t="inlineStr">
        <is>
          <t>2001,2002</t>
        </is>
      </c>
      <c r="T581" t="n">
        <v>20</v>
      </c>
      <c r="U581" t="n">
        <v>0.5</v>
      </c>
      <c r="V581" t="n">
        <v>1000</v>
      </c>
      <c r="W581" t="n">
        <v>6230</v>
      </c>
      <c r="X581" t="n">
        <v>1</v>
      </c>
      <c r="Y581" t="n">
        <v>2006</v>
      </c>
      <c r="Z581" t="n">
        <v>1</v>
      </c>
      <c r="AA581" t="n">
        <v>0.03</v>
      </c>
    </row>
    <row r="582">
      <c r="A582" t="n">
        <v>1580</v>
      </c>
      <c r="B582" t="inlineStr">
        <is>
          <t>40087,40069,40086</t>
        </is>
      </c>
      <c r="C582" t="n">
        <v>150</v>
      </c>
      <c r="D5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2" t="n">
        <v>1</v>
      </c>
      <c r="F582" t="n">
        <v>0.15</v>
      </c>
      <c r="G582" t="n">
        <v>8001</v>
      </c>
      <c r="H582" t="n">
        <v>400</v>
      </c>
      <c r="I582" t="n">
        <v>1</v>
      </c>
      <c r="J582" t="n">
        <v>8000</v>
      </c>
      <c r="K582" t="n">
        <v>600</v>
      </c>
      <c r="L582" t="n">
        <v>1</v>
      </c>
      <c r="M582" t="n">
        <v>2007</v>
      </c>
      <c r="N582" t="n">
        <v>1</v>
      </c>
      <c r="O582" t="n">
        <v>0.05</v>
      </c>
      <c r="P582" t="n">
        <v>9000</v>
      </c>
      <c r="Q582" t="n">
        <v>150</v>
      </c>
      <c r="R582" t="n">
        <v>1</v>
      </c>
      <c r="S582" t="inlineStr">
        <is>
          <t>2001,2002</t>
        </is>
      </c>
      <c r="T582" t="n">
        <v>20</v>
      </c>
      <c r="U582" t="n">
        <v>0.5</v>
      </c>
      <c r="V582" t="n">
        <v>1000</v>
      </c>
      <c r="W582" t="n">
        <v>6235</v>
      </c>
      <c r="X582" t="n">
        <v>1</v>
      </c>
      <c r="Y582" t="n">
        <v>2006</v>
      </c>
      <c r="Z582" t="n">
        <v>1</v>
      </c>
      <c r="AA582" t="n">
        <v>0.03</v>
      </c>
    </row>
    <row r="583">
      <c r="A583" t="n">
        <v>1581</v>
      </c>
      <c r="B583" t="inlineStr">
        <is>
          <t>40069,40072</t>
        </is>
      </c>
      <c r="C583" t="n">
        <v>150</v>
      </c>
      <c r="D5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3" t="n">
        <v>1</v>
      </c>
      <c r="F583" t="n">
        <v>0.15</v>
      </c>
      <c r="G583" t="n">
        <v>8001</v>
      </c>
      <c r="H583" t="n">
        <v>400</v>
      </c>
      <c r="I583" t="n">
        <v>1</v>
      </c>
      <c r="J583" t="n">
        <v>8000</v>
      </c>
      <c r="K583" t="n">
        <v>600</v>
      </c>
      <c r="L583" t="n">
        <v>1</v>
      </c>
      <c r="M583" t="n">
        <v>2007</v>
      </c>
      <c r="N583" t="n">
        <v>1</v>
      </c>
      <c r="O583" t="n">
        <v>0.05</v>
      </c>
      <c r="P583" t="n">
        <v>9000</v>
      </c>
      <c r="Q583" t="n">
        <v>150</v>
      </c>
      <c r="R583" t="n">
        <v>1</v>
      </c>
      <c r="S583" t="inlineStr">
        <is>
          <t>2001,2002</t>
        </is>
      </c>
      <c r="T583" t="n">
        <v>20</v>
      </c>
      <c r="U583" t="n">
        <v>0.5</v>
      </c>
      <c r="V583" t="n">
        <v>1000</v>
      </c>
      <c r="W583" t="n">
        <v>6235</v>
      </c>
      <c r="X583" t="n">
        <v>1</v>
      </c>
      <c r="Y583" t="n">
        <v>2006</v>
      </c>
      <c r="Z583" t="n">
        <v>1</v>
      </c>
      <c r="AA583" t="n">
        <v>0.03</v>
      </c>
    </row>
    <row r="584">
      <c r="A584" t="n">
        <v>1582</v>
      </c>
      <c r="B584" t="inlineStr">
        <is>
          <t>40087,40069,40072,40063</t>
        </is>
      </c>
      <c r="C584" t="n">
        <v>150</v>
      </c>
      <c r="D5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4" t="n">
        <v>1</v>
      </c>
      <c r="F584" t="n">
        <v>0.15</v>
      </c>
      <c r="G584" t="n">
        <v>8001</v>
      </c>
      <c r="H584" t="n">
        <v>400</v>
      </c>
      <c r="I584" t="n">
        <v>1</v>
      </c>
      <c r="J584" t="n">
        <v>8000</v>
      </c>
      <c r="K584" t="n">
        <v>600</v>
      </c>
      <c r="L584" t="n">
        <v>1</v>
      </c>
      <c r="M584" t="n">
        <v>2007</v>
      </c>
      <c r="N584" t="n">
        <v>1</v>
      </c>
      <c r="O584" t="n">
        <v>0.05</v>
      </c>
      <c r="P584" t="n">
        <v>9000</v>
      </c>
      <c r="Q584" t="n">
        <v>150</v>
      </c>
      <c r="R584" t="n">
        <v>1</v>
      </c>
      <c r="S584" t="inlineStr">
        <is>
          <t>2001,2002</t>
        </is>
      </c>
      <c r="T584" t="n">
        <v>20</v>
      </c>
      <c r="U584" t="n">
        <v>0.5</v>
      </c>
      <c r="V584" t="n">
        <v>1000</v>
      </c>
      <c r="W584" t="n">
        <v>6235</v>
      </c>
      <c r="X584" t="n">
        <v>1</v>
      </c>
      <c r="Y584" t="n">
        <v>2006</v>
      </c>
      <c r="Z584" t="n">
        <v>1</v>
      </c>
      <c r="AA584" t="n">
        <v>0.03</v>
      </c>
    </row>
    <row r="585">
      <c r="A585" t="n">
        <v>1583</v>
      </c>
      <c r="B585" t="inlineStr">
        <is>
          <t>40086,40072,40087,40069</t>
        </is>
      </c>
      <c r="C585" t="n">
        <v>150</v>
      </c>
      <c r="D5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5" t="n">
        <v>1</v>
      </c>
      <c r="F585" t="n">
        <v>0.15</v>
      </c>
      <c r="G585" t="n">
        <v>8001</v>
      </c>
      <c r="H585" t="n">
        <v>400</v>
      </c>
      <c r="I585" t="n">
        <v>1</v>
      </c>
      <c r="J585" t="n">
        <v>8000</v>
      </c>
      <c r="K585" t="n">
        <v>600</v>
      </c>
      <c r="L585" t="n">
        <v>1</v>
      </c>
      <c r="M585" t="n">
        <v>2007</v>
      </c>
      <c r="N585" t="n">
        <v>1</v>
      </c>
      <c r="O585" t="n">
        <v>0.05</v>
      </c>
      <c r="P585" t="n">
        <v>9000</v>
      </c>
      <c r="Q585" t="n">
        <v>150</v>
      </c>
      <c r="R585" t="n">
        <v>1</v>
      </c>
      <c r="S585" t="inlineStr">
        <is>
          <t>2001,2002</t>
        </is>
      </c>
      <c r="T585" t="n">
        <v>20</v>
      </c>
      <c r="U585" t="n">
        <v>0.5</v>
      </c>
      <c r="V585" t="n">
        <v>1000</v>
      </c>
      <c r="W585" t="n">
        <v>6240</v>
      </c>
      <c r="X585" t="n">
        <v>1</v>
      </c>
      <c r="Y585" t="n">
        <v>2006</v>
      </c>
      <c r="Z585" t="n">
        <v>1</v>
      </c>
      <c r="AA585" t="n">
        <v>0.03</v>
      </c>
    </row>
    <row r="586">
      <c r="A586" t="n">
        <v>1584</v>
      </c>
      <c r="B586" t="inlineStr">
        <is>
          <t>40069,40087,40063,40086</t>
        </is>
      </c>
      <c r="C586" t="n">
        <v>150</v>
      </c>
      <c r="D5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6" t="n">
        <v>1</v>
      </c>
      <c r="F586" t="n">
        <v>0.15</v>
      </c>
      <c r="G586" t="n">
        <v>8001</v>
      </c>
      <c r="H586" t="n">
        <v>400</v>
      </c>
      <c r="I586" t="n">
        <v>1</v>
      </c>
      <c r="J586" t="n">
        <v>8000</v>
      </c>
      <c r="K586" t="n">
        <v>600</v>
      </c>
      <c r="L586" t="n">
        <v>1</v>
      </c>
      <c r="M586" t="n">
        <v>2007</v>
      </c>
      <c r="N586" t="n">
        <v>1</v>
      </c>
      <c r="O586" t="n">
        <v>0.05</v>
      </c>
      <c r="P586" t="n">
        <v>9000</v>
      </c>
      <c r="Q586" t="n">
        <v>150</v>
      </c>
      <c r="R586" t="n">
        <v>1</v>
      </c>
      <c r="S586" t="inlineStr">
        <is>
          <t>2001,2002</t>
        </is>
      </c>
      <c r="T586" t="n">
        <v>20</v>
      </c>
      <c r="U586" t="n">
        <v>0.5</v>
      </c>
      <c r="V586" t="n">
        <v>1000</v>
      </c>
      <c r="W586" t="n">
        <v>6240</v>
      </c>
      <c r="X586" t="n">
        <v>1</v>
      </c>
      <c r="Y586" t="n">
        <v>2006</v>
      </c>
      <c r="Z586" t="n">
        <v>1</v>
      </c>
      <c r="AA586" t="n">
        <v>0.03</v>
      </c>
    </row>
    <row r="587">
      <c r="A587" t="n">
        <v>1585</v>
      </c>
      <c r="B587" t="inlineStr">
        <is>
          <t>40069,40086,40087,40072</t>
        </is>
      </c>
      <c r="C587" t="n">
        <v>150</v>
      </c>
      <c r="D5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7" t="n">
        <v>1</v>
      </c>
      <c r="F587" t="n">
        <v>0.15</v>
      </c>
      <c r="G587" t="n">
        <v>8001</v>
      </c>
      <c r="H587" t="n">
        <v>400</v>
      </c>
      <c r="I587" t="n">
        <v>1</v>
      </c>
      <c r="J587" t="n">
        <v>8000</v>
      </c>
      <c r="K587" t="n">
        <v>600</v>
      </c>
      <c r="L587" t="n">
        <v>1</v>
      </c>
      <c r="M587" t="n">
        <v>2007</v>
      </c>
      <c r="N587" t="n">
        <v>1</v>
      </c>
      <c r="O587" t="n">
        <v>0.05</v>
      </c>
      <c r="P587" t="n">
        <v>9000</v>
      </c>
      <c r="Q587" t="n">
        <v>150</v>
      </c>
      <c r="R587" t="n">
        <v>1</v>
      </c>
      <c r="S587" t="inlineStr">
        <is>
          <t>2001,2002</t>
        </is>
      </c>
      <c r="T587" t="n">
        <v>20</v>
      </c>
      <c r="U587" t="n">
        <v>0.5</v>
      </c>
      <c r="V587" t="n">
        <v>1000</v>
      </c>
      <c r="W587" t="n">
        <v>6240</v>
      </c>
      <c r="X587" t="n">
        <v>1</v>
      </c>
      <c r="Y587" t="n">
        <v>2006</v>
      </c>
      <c r="Z587" t="n">
        <v>1</v>
      </c>
      <c r="AA587" t="n">
        <v>0.03</v>
      </c>
    </row>
    <row r="588">
      <c r="A588" t="n">
        <v>1586</v>
      </c>
      <c r="B588" t="inlineStr">
        <is>
          <t>40086,40087,40069</t>
        </is>
      </c>
      <c r="C588" t="n">
        <v>150</v>
      </c>
      <c r="D5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8" t="n">
        <v>1</v>
      </c>
      <c r="F588" t="n">
        <v>0.15</v>
      </c>
      <c r="G588" t="n">
        <v>8001</v>
      </c>
      <c r="H588" t="n">
        <v>400</v>
      </c>
      <c r="I588" t="n">
        <v>1</v>
      </c>
      <c r="J588" t="n">
        <v>8000</v>
      </c>
      <c r="K588" t="n">
        <v>600</v>
      </c>
      <c r="L588" t="n">
        <v>1</v>
      </c>
      <c r="M588" t="n">
        <v>2007</v>
      </c>
      <c r="N588" t="n">
        <v>1</v>
      </c>
      <c r="O588" t="n">
        <v>0.05</v>
      </c>
      <c r="P588" t="n">
        <v>9000</v>
      </c>
      <c r="Q588" t="n">
        <v>150</v>
      </c>
      <c r="R588" t="n">
        <v>1</v>
      </c>
      <c r="S588" t="inlineStr">
        <is>
          <t>2001,2002</t>
        </is>
      </c>
      <c r="T588" t="n">
        <v>20</v>
      </c>
      <c r="U588" t="n">
        <v>0.5</v>
      </c>
      <c r="V588" t="n">
        <v>1000</v>
      </c>
      <c r="W588" t="n">
        <v>6240</v>
      </c>
      <c r="X588" t="n">
        <v>1</v>
      </c>
      <c r="Y588" t="n">
        <v>2006</v>
      </c>
      <c r="Z588" t="n">
        <v>1</v>
      </c>
      <c r="AA588" t="n">
        <v>0.03</v>
      </c>
    </row>
    <row r="589">
      <c r="A589" t="n">
        <v>1587</v>
      </c>
      <c r="B589" t="inlineStr">
        <is>
          <t>40072,40069,40063</t>
        </is>
      </c>
      <c r="C589" t="n">
        <v>150</v>
      </c>
      <c r="D5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9" t="n">
        <v>1</v>
      </c>
      <c r="F589" t="n">
        <v>0.15</v>
      </c>
      <c r="G589" t="n">
        <v>8001</v>
      </c>
      <c r="H589" t="n">
        <v>400</v>
      </c>
      <c r="I589" t="n">
        <v>1</v>
      </c>
      <c r="J589" t="n">
        <v>8000</v>
      </c>
      <c r="K589" t="n">
        <v>600</v>
      </c>
      <c r="L589" t="n">
        <v>1</v>
      </c>
      <c r="M589" t="n">
        <v>2007</v>
      </c>
      <c r="N589" t="n">
        <v>1</v>
      </c>
      <c r="O589" t="n">
        <v>0.05</v>
      </c>
      <c r="P589" t="n">
        <v>9000</v>
      </c>
      <c r="Q589" t="n">
        <v>150</v>
      </c>
      <c r="R589" t="n">
        <v>1</v>
      </c>
      <c r="S589" t="inlineStr">
        <is>
          <t>2001,2002</t>
        </is>
      </c>
      <c r="T589" t="n">
        <v>20</v>
      </c>
      <c r="U589" t="n">
        <v>0.5</v>
      </c>
      <c r="V589" t="n">
        <v>1000</v>
      </c>
      <c r="W589" t="n">
        <v>6245</v>
      </c>
      <c r="X589" t="n">
        <v>1</v>
      </c>
      <c r="Y589" t="n">
        <v>2006</v>
      </c>
      <c r="Z589" t="n">
        <v>1</v>
      </c>
      <c r="AA589" t="n">
        <v>0.03</v>
      </c>
    </row>
    <row r="590">
      <c r="A590" t="n">
        <v>1588</v>
      </c>
      <c r="B590" t="inlineStr">
        <is>
          <t>40087,40063,40072,40069</t>
        </is>
      </c>
      <c r="C590" t="n">
        <v>150</v>
      </c>
      <c r="D5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0" t="n">
        <v>1</v>
      </c>
      <c r="F590" t="n">
        <v>0.15</v>
      </c>
      <c r="G590" t="n">
        <v>8001</v>
      </c>
      <c r="H590" t="n">
        <v>400</v>
      </c>
      <c r="I590" t="n">
        <v>1</v>
      </c>
      <c r="J590" t="n">
        <v>8000</v>
      </c>
      <c r="K590" t="n">
        <v>600</v>
      </c>
      <c r="L590" t="n">
        <v>1</v>
      </c>
      <c r="M590" t="n">
        <v>2007</v>
      </c>
      <c r="N590" t="n">
        <v>1</v>
      </c>
      <c r="O590" t="n">
        <v>0.05</v>
      </c>
      <c r="P590" t="n">
        <v>9000</v>
      </c>
      <c r="Q590" t="n">
        <v>150</v>
      </c>
      <c r="R590" t="n">
        <v>1</v>
      </c>
      <c r="S590" t="inlineStr">
        <is>
          <t>2001,2002</t>
        </is>
      </c>
      <c r="T590" t="n">
        <v>20</v>
      </c>
      <c r="U590" t="n">
        <v>0.5</v>
      </c>
      <c r="V590" t="n">
        <v>1000</v>
      </c>
      <c r="W590" t="n">
        <v>6245</v>
      </c>
      <c r="X590" t="n">
        <v>1</v>
      </c>
      <c r="Y590" t="n">
        <v>2006</v>
      </c>
      <c r="Z590" t="n">
        <v>1</v>
      </c>
      <c r="AA590" t="n">
        <v>0.03</v>
      </c>
    </row>
    <row r="591">
      <c r="A591" t="n">
        <v>1589</v>
      </c>
      <c r="B591" t="inlineStr">
        <is>
          <t>40086,40069,40063,40087</t>
        </is>
      </c>
      <c r="C591" t="n">
        <v>150</v>
      </c>
      <c r="D5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1" t="n">
        <v>1</v>
      </c>
      <c r="F591" t="n">
        <v>0.15</v>
      </c>
      <c r="G591" t="n">
        <v>8001</v>
      </c>
      <c r="H591" t="n">
        <v>400</v>
      </c>
      <c r="I591" t="n">
        <v>1</v>
      </c>
      <c r="J591" t="n">
        <v>8000</v>
      </c>
      <c r="K591" t="n">
        <v>600</v>
      </c>
      <c r="L591" t="n">
        <v>1</v>
      </c>
      <c r="M591" t="n">
        <v>2007</v>
      </c>
      <c r="N591" t="n">
        <v>1</v>
      </c>
      <c r="O591" t="n">
        <v>0.05</v>
      </c>
      <c r="P591" t="n">
        <v>9000</v>
      </c>
      <c r="Q591" t="n">
        <v>150</v>
      </c>
      <c r="R591" t="n">
        <v>1</v>
      </c>
      <c r="S591" t="inlineStr">
        <is>
          <t>2001,2002</t>
        </is>
      </c>
      <c r="T591" t="n">
        <v>20</v>
      </c>
      <c r="U591" t="n">
        <v>0.5</v>
      </c>
      <c r="V591" t="n">
        <v>1000</v>
      </c>
      <c r="W591" t="n">
        <v>6245</v>
      </c>
      <c r="X591" t="n">
        <v>1</v>
      </c>
      <c r="Y591" t="n">
        <v>2006</v>
      </c>
      <c r="Z591" t="n">
        <v>1</v>
      </c>
      <c r="AA591" t="n">
        <v>0.03</v>
      </c>
    </row>
    <row r="592">
      <c r="A592" t="n">
        <v>1590</v>
      </c>
      <c r="B592" t="inlineStr">
        <is>
          <t>40069,40086,40072</t>
        </is>
      </c>
      <c r="C592" t="n">
        <v>150</v>
      </c>
      <c r="D5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2" t="n">
        <v>1</v>
      </c>
      <c r="F592" t="n">
        <v>0.15</v>
      </c>
      <c r="G592" t="n">
        <v>8001</v>
      </c>
      <c r="H592" t="n">
        <v>400</v>
      </c>
      <c r="I592" t="n">
        <v>1</v>
      </c>
      <c r="J592" t="n">
        <v>8000</v>
      </c>
      <c r="K592" t="n">
        <v>600</v>
      </c>
      <c r="L592" t="n">
        <v>1</v>
      </c>
      <c r="M592" t="n">
        <v>2007</v>
      </c>
      <c r="N592" t="n">
        <v>1</v>
      </c>
      <c r="O592" t="n">
        <v>0.05</v>
      </c>
      <c r="P592" t="n">
        <v>9000</v>
      </c>
      <c r="Q592" t="n">
        <v>150</v>
      </c>
      <c r="R592" t="n">
        <v>1</v>
      </c>
      <c r="S592" t="inlineStr">
        <is>
          <t>2001,2002</t>
        </is>
      </c>
      <c r="T592" t="n">
        <v>20</v>
      </c>
      <c r="U592" t="n">
        <v>0.5</v>
      </c>
      <c r="V592" t="n">
        <v>1000</v>
      </c>
      <c r="W592" t="n">
        <v>6245</v>
      </c>
      <c r="X592" t="n">
        <v>1</v>
      </c>
      <c r="Y592" t="n">
        <v>2006</v>
      </c>
      <c r="Z592" t="n">
        <v>1</v>
      </c>
      <c r="AA592" t="n">
        <v>0.03</v>
      </c>
    </row>
    <row r="593">
      <c r="A593" t="n">
        <v>1591</v>
      </c>
      <c r="B593" t="inlineStr">
        <is>
          <t>40087,40063,40072,40069</t>
        </is>
      </c>
      <c r="C593" t="n">
        <v>150</v>
      </c>
      <c r="D5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3" t="n">
        <v>1</v>
      </c>
      <c r="F593" t="n">
        <v>0.15</v>
      </c>
      <c r="G593" t="n">
        <v>8001</v>
      </c>
      <c r="H593" t="n">
        <v>400</v>
      </c>
      <c r="I593" t="n">
        <v>1</v>
      </c>
      <c r="J593" t="n">
        <v>8000</v>
      </c>
      <c r="K593" t="n">
        <v>600</v>
      </c>
      <c r="L593" t="n">
        <v>1</v>
      </c>
      <c r="M593" t="n">
        <v>2007</v>
      </c>
      <c r="N593" t="n">
        <v>1</v>
      </c>
      <c r="O593" t="n">
        <v>0.05</v>
      </c>
      <c r="P593" t="n">
        <v>9000</v>
      </c>
      <c r="Q593" t="n">
        <v>150</v>
      </c>
      <c r="R593" t="n">
        <v>1</v>
      </c>
      <c r="S593" t="inlineStr">
        <is>
          <t>2001,2002</t>
        </is>
      </c>
      <c r="T593" t="n">
        <v>20</v>
      </c>
      <c r="U593" t="n">
        <v>0.5</v>
      </c>
      <c r="V593" t="n">
        <v>1000</v>
      </c>
      <c r="W593" t="n">
        <v>6245</v>
      </c>
      <c r="X593" t="n">
        <v>1</v>
      </c>
      <c r="Y593" t="n">
        <v>2006</v>
      </c>
      <c r="Z593" t="n">
        <v>1</v>
      </c>
      <c r="AA593" t="n">
        <v>0.03</v>
      </c>
    </row>
    <row r="594">
      <c r="A594" t="n">
        <v>1592</v>
      </c>
      <c r="B594" t="inlineStr">
        <is>
          <t>40086,40087,40072,40069</t>
        </is>
      </c>
      <c r="C594" t="n">
        <v>150</v>
      </c>
      <c r="D5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4" t="n">
        <v>1</v>
      </c>
      <c r="F594" t="n">
        <v>0.15</v>
      </c>
      <c r="G594" t="n">
        <v>8001</v>
      </c>
      <c r="H594" t="n">
        <v>400</v>
      </c>
      <c r="I594" t="n">
        <v>1</v>
      </c>
      <c r="J594" t="n">
        <v>8000</v>
      </c>
      <c r="K594" t="n">
        <v>600</v>
      </c>
      <c r="L594" t="n">
        <v>1</v>
      </c>
      <c r="M594" t="n">
        <v>2007</v>
      </c>
      <c r="N594" t="n">
        <v>1</v>
      </c>
      <c r="O594" t="n">
        <v>0.05</v>
      </c>
      <c r="P594" t="n">
        <v>9000</v>
      </c>
      <c r="Q594" t="n">
        <v>150</v>
      </c>
      <c r="R594" t="n">
        <v>1</v>
      </c>
      <c r="S594" t="inlineStr">
        <is>
          <t>2001,2002</t>
        </is>
      </c>
      <c r="T594" t="n">
        <v>20</v>
      </c>
      <c r="U594" t="n">
        <v>0.5</v>
      </c>
      <c r="V594" t="n">
        <v>1000</v>
      </c>
      <c r="W594" t="n">
        <v>6250</v>
      </c>
      <c r="X594" t="n">
        <v>1</v>
      </c>
      <c r="Y594" t="n">
        <v>2006</v>
      </c>
      <c r="Z594" t="n">
        <v>1</v>
      </c>
      <c r="AA594" t="n">
        <v>0.03</v>
      </c>
    </row>
    <row r="595">
      <c r="A595" t="n">
        <v>1593</v>
      </c>
      <c r="B595" t="inlineStr">
        <is>
          <t>40072,40087,40069</t>
        </is>
      </c>
      <c r="C595" t="n">
        <v>150</v>
      </c>
      <c r="D5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5" t="n">
        <v>1</v>
      </c>
      <c r="F595" t="n">
        <v>0.15</v>
      </c>
      <c r="G595" t="n">
        <v>8001</v>
      </c>
      <c r="H595" t="n">
        <v>400</v>
      </c>
      <c r="I595" t="n">
        <v>1</v>
      </c>
      <c r="J595" t="n">
        <v>8000</v>
      </c>
      <c r="K595" t="n">
        <v>600</v>
      </c>
      <c r="L595" t="n">
        <v>1</v>
      </c>
      <c r="M595" t="n">
        <v>2007</v>
      </c>
      <c r="N595" t="n">
        <v>1</v>
      </c>
      <c r="O595" t="n">
        <v>0.05</v>
      </c>
      <c r="P595" t="n">
        <v>9000</v>
      </c>
      <c r="Q595" t="n">
        <v>150</v>
      </c>
      <c r="R595" t="n">
        <v>1</v>
      </c>
      <c r="S595" t="inlineStr">
        <is>
          <t>2001,2002</t>
        </is>
      </c>
      <c r="T595" t="n">
        <v>20</v>
      </c>
      <c r="U595" t="n">
        <v>0.5</v>
      </c>
      <c r="V595" t="n">
        <v>1000</v>
      </c>
      <c r="W595" t="n">
        <v>6250</v>
      </c>
      <c r="X595" t="n">
        <v>1</v>
      </c>
      <c r="Y595" t="n">
        <v>2006</v>
      </c>
      <c r="Z595" t="n">
        <v>1</v>
      </c>
      <c r="AA595" t="n">
        <v>0.03</v>
      </c>
    </row>
    <row r="596">
      <c r="A596" t="n">
        <v>1594</v>
      </c>
      <c r="B596" t="inlineStr">
        <is>
          <t>40063,40087,40072,40086</t>
        </is>
      </c>
      <c r="C596" t="n">
        <v>150</v>
      </c>
      <c r="D5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6" t="n">
        <v>1</v>
      </c>
      <c r="F596" t="n">
        <v>0.15</v>
      </c>
      <c r="G596" t="n">
        <v>8001</v>
      </c>
      <c r="H596" t="n">
        <v>400</v>
      </c>
      <c r="I596" t="n">
        <v>1</v>
      </c>
      <c r="J596" t="n">
        <v>8000</v>
      </c>
      <c r="K596" t="n">
        <v>600</v>
      </c>
      <c r="L596" t="n">
        <v>1</v>
      </c>
      <c r="M596" t="n">
        <v>2007</v>
      </c>
      <c r="N596" t="n">
        <v>1</v>
      </c>
      <c r="O596" t="n">
        <v>0.05</v>
      </c>
      <c r="P596" t="n">
        <v>9000</v>
      </c>
      <c r="Q596" t="n">
        <v>150</v>
      </c>
      <c r="R596" t="n">
        <v>1</v>
      </c>
      <c r="S596" t="inlineStr">
        <is>
          <t>2001,2002</t>
        </is>
      </c>
      <c r="T596" t="n">
        <v>20</v>
      </c>
      <c r="U596" t="n">
        <v>0.5</v>
      </c>
      <c r="V596" t="n">
        <v>1000</v>
      </c>
      <c r="W596" t="n">
        <v>6250</v>
      </c>
      <c r="X596" t="n">
        <v>1</v>
      </c>
      <c r="Y596" t="n">
        <v>2006</v>
      </c>
      <c r="Z596" t="n">
        <v>1</v>
      </c>
      <c r="AA596" t="n">
        <v>0.03</v>
      </c>
    </row>
    <row r="597">
      <c r="A597" t="n">
        <v>1595</v>
      </c>
      <c r="B597" t="inlineStr">
        <is>
          <t>40086,40072</t>
        </is>
      </c>
      <c r="C597" t="n">
        <v>150</v>
      </c>
      <c r="D5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7" t="n">
        <v>1</v>
      </c>
      <c r="F597" t="n">
        <v>0.15</v>
      </c>
      <c r="G597" t="n">
        <v>8001</v>
      </c>
      <c r="H597" t="n">
        <v>400</v>
      </c>
      <c r="I597" t="n">
        <v>1</v>
      </c>
      <c r="J597" t="n">
        <v>8000</v>
      </c>
      <c r="K597" t="n">
        <v>600</v>
      </c>
      <c r="L597" t="n">
        <v>1</v>
      </c>
      <c r="M597" t="n">
        <v>2007</v>
      </c>
      <c r="N597" t="n">
        <v>1</v>
      </c>
      <c r="O597" t="n">
        <v>0.05</v>
      </c>
      <c r="P597" t="n">
        <v>9000</v>
      </c>
      <c r="Q597" t="n">
        <v>150</v>
      </c>
      <c r="R597" t="n">
        <v>1</v>
      </c>
      <c r="S597" t="inlineStr">
        <is>
          <t>2001,2002</t>
        </is>
      </c>
      <c r="T597" t="n">
        <v>20</v>
      </c>
      <c r="U597" t="n">
        <v>0.5</v>
      </c>
      <c r="V597" t="n">
        <v>1000</v>
      </c>
      <c r="W597" t="n">
        <v>6250</v>
      </c>
      <c r="X597" t="n">
        <v>1</v>
      </c>
      <c r="Y597" t="n">
        <v>2006</v>
      </c>
      <c r="Z597" t="n">
        <v>1</v>
      </c>
      <c r="AA597" t="n">
        <v>0.03</v>
      </c>
    </row>
    <row r="598">
      <c r="A598" t="n">
        <v>1596</v>
      </c>
      <c r="B598" t="inlineStr">
        <is>
          <t>40086,40072,40087,40069</t>
        </is>
      </c>
      <c r="C598" t="n">
        <v>150</v>
      </c>
      <c r="D5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8" t="n">
        <v>1</v>
      </c>
      <c r="F598" t="n">
        <v>0.15</v>
      </c>
      <c r="G598" t="n">
        <v>8001</v>
      </c>
      <c r="H598" t="n">
        <v>400</v>
      </c>
      <c r="I598" t="n">
        <v>1</v>
      </c>
      <c r="J598" t="n">
        <v>8000</v>
      </c>
      <c r="K598" t="n">
        <v>600</v>
      </c>
      <c r="L598" t="n">
        <v>1</v>
      </c>
      <c r="M598" t="n">
        <v>2007</v>
      </c>
      <c r="N598" t="n">
        <v>1</v>
      </c>
      <c r="O598" t="n">
        <v>0.05</v>
      </c>
      <c r="P598" t="n">
        <v>9000</v>
      </c>
      <c r="Q598" t="n">
        <v>150</v>
      </c>
      <c r="R598" t="n">
        <v>1</v>
      </c>
      <c r="S598" t="inlineStr">
        <is>
          <t>2001,2002</t>
        </is>
      </c>
      <c r="T598" t="n">
        <v>20</v>
      </c>
      <c r="U598" t="n">
        <v>0.5</v>
      </c>
      <c r="V598" t="n">
        <v>1000</v>
      </c>
      <c r="W598" t="n">
        <v>6250</v>
      </c>
      <c r="X598" t="n">
        <v>1</v>
      </c>
      <c r="Y598" t="n">
        <v>2006</v>
      </c>
      <c r="Z598" t="n">
        <v>1</v>
      </c>
      <c r="AA598" t="n">
        <v>0.03</v>
      </c>
    </row>
    <row r="599">
      <c r="A599" t="n">
        <v>1597</v>
      </c>
      <c r="B599" t="inlineStr">
        <is>
          <t>40072,40069,40063,40086</t>
        </is>
      </c>
      <c r="C599" t="n">
        <v>150</v>
      </c>
      <c r="D5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9" t="n">
        <v>1</v>
      </c>
      <c r="F599" t="n">
        <v>0.15</v>
      </c>
      <c r="G599" t="n">
        <v>8001</v>
      </c>
      <c r="H599" t="n">
        <v>400</v>
      </c>
      <c r="I599" t="n">
        <v>1</v>
      </c>
      <c r="J599" t="n">
        <v>8000</v>
      </c>
      <c r="K599" t="n">
        <v>600</v>
      </c>
      <c r="L599" t="n">
        <v>1</v>
      </c>
      <c r="M599" t="n">
        <v>2007</v>
      </c>
      <c r="N599" t="n">
        <v>1</v>
      </c>
      <c r="O599" t="n">
        <v>0.05</v>
      </c>
      <c r="P599" t="n">
        <v>9000</v>
      </c>
      <c r="Q599" t="n">
        <v>150</v>
      </c>
      <c r="R599" t="n">
        <v>1</v>
      </c>
      <c r="S599" t="inlineStr">
        <is>
          <t>2001,2002</t>
        </is>
      </c>
      <c r="T599" t="n">
        <v>20</v>
      </c>
      <c r="U599" t="n">
        <v>0.5</v>
      </c>
      <c r="V599" t="n">
        <v>1000</v>
      </c>
      <c r="W599" t="n">
        <v>6250</v>
      </c>
      <c r="X599" t="n">
        <v>1</v>
      </c>
      <c r="Y599" t="n">
        <v>2006</v>
      </c>
      <c r="Z599" t="n">
        <v>1</v>
      </c>
      <c r="AA599" t="n">
        <v>0.03</v>
      </c>
    </row>
    <row r="600">
      <c r="A600" t="n">
        <v>1598</v>
      </c>
      <c r="B600" t="inlineStr">
        <is>
          <t>40069,40063,40087</t>
        </is>
      </c>
      <c r="C600" t="n">
        <v>150</v>
      </c>
      <c r="D6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00" t="n">
        <v>1</v>
      </c>
      <c r="F600" t="n">
        <v>0.15</v>
      </c>
      <c r="G600" t="n">
        <v>8001</v>
      </c>
      <c r="H600" t="n">
        <v>400</v>
      </c>
      <c r="I600" t="n">
        <v>1</v>
      </c>
      <c r="J600" t="n">
        <v>8000</v>
      </c>
      <c r="K600" t="n">
        <v>600</v>
      </c>
      <c r="L600" t="n">
        <v>1</v>
      </c>
      <c r="M600" t="n">
        <v>2007</v>
      </c>
      <c r="N600" t="n">
        <v>1</v>
      </c>
      <c r="O600" t="n">
        <v>0.05</v>
      </c>
      <c r="P600" t="n">
        <v>9000</v>
      </c>
      <c r="Q600" t="n">
        <v>150</v>
      </c>
      <c r="R600" t="n">
        <v>1</v>
      </c>
      <c r="S600" t="inlineStr">
        <is>
          <t>2001,2002</t>
        </is>
      </c>
      <c r="T600" t="n">
        <v>20</v>
      </c>
      <c r="U600" t="n">
        <v>0.5</v>
      </c>
      <c r="V600" t="n">
        <v>1000</v>
      </c>
      <c r="W600" t="n">
        <v>6250</v>
      </c>
      <c r="X600" t="n">
        <v>1</v>
      </c>
      <c r="Y600" t="n">
        <v>2006</v>
      </c>
      <c r="Z600" t="n">
        <v>1</v>
      </c>
      <c r="AA600" t="n">
        <v>0.03</v>
      </c>
    </row>
    <row r="601">
      <c r="A601" t="n">
        <v>1599</v>
      </c>
      <c r="B601" t="inlineStr">
        <is>
          <t>50000,40063,40072,40086,40069</t>
        </is>
      </c>
      <c r="C601" t="n">
        <v>150</v>
      </c>
      <c r="D6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01" t="n">
        <v>1</v>
      </c>
      <c r="F601" t="n">
        <v>0.15</v>
      </c>
      <c r="G601" t="n">
        <v>8001</v>
      </c>
      <c r="H601" t="n">
        <v>400</v>
      </c>
      <c r="I601" t="n">
        <v>1</v>
      </c>
      <c r="J601" t="n">
        <v>8000</v>
      </c>
      <c r="K601" t="n">
        <v>600</v>
      </c>
      <c r="L601" t="n">
        <v>1</v>
      </c>
      <c r="M601" t="n">
        <v>2007</v>
      </c>
      <c r="N601" t="n">
        <v>1</v>
      </c>
      <c r="O601" t="n">
        <v>0.05</v>
      </c>
      <c r="P601" t="n">
        <v>9000</v>
      </c>
      <c r="Q601" t="n">
        <v>150</v>
      </c>
      <c r="R601" t="n">
        <v>1</v>
      </c>
      <c r="S601" t="inlineStr">
        <is>
          <t>2001,2002</t>
        </is>
      </c>
      <c r="T601" t="n">
        <v>20</v>
      </c>
      <c r="U601" t="n">
        <v>0.5</v>
      </c>
      <c r="V601" t="n">
        <v>1000</v>
      </c>
      <c r="W601" t="n">
        <v>6250</v>
      </c>
      <c r="X601" t="n">
        <v>1</v>
      </c>
      <c r="Y601" t="n">
        <v>2006</v>
      </c>
      <c r="Z601" t="n">
        <v>1</v>
      </c>
      <c r="AA601" t="n">
        <v>0.03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06"/>
  <sheetViews>
    <sheetView zoomScaleNormal="100" workbookViewId="0">
      <selection activeCell="A1" sqref="A1"/>
    </sheetView>
  </sheetViews>
  <sheetFormatPr baseColWidth="8" defaultColWidth="12.5703125" defaultRowHeight="12.75"/>
  <cols>
    <col width="21.7109375" customWidth="1" style="142" min="2" max="2"/>
  </cols>
  <sheetData>
    <row r="1" ht="14.25" customHeight="1" s="142">
      <c r="A1" s="7" t="n"/>
    </row>
    <row r="2" ht="14.25" customHeight="1" s="142">
      <c r="A2" s="40" t="inlineStr">
        <is>
          <t>id</t>
        </is>
      </c>
      <c r="B2" s="40" t="inlineStr">
        <is>
          <t>#備註</t>
        </is>
      </c>
      <c r="C2" s="40" t="inlineStr">
        <is>
          <t>level</t>
        </is>
      </c>
      <c r="D2" s="40" t="inlineStr">
        <is>
          <t>HP</t>
        </is>
      </c>
      <c r="E2" s="40" t="inlineStr">
        <is>
          <t>ATK</t>
        </is>
      </c>
      <c r="F2" s="40" t="inlineStr">
        <is>
          <t>MATK</t>
        </is>
      </c>
      <c r="G2" s="40" t="inlineStr">
        <is>
          <t>DEF</t>
        </is>
      </c>
      <c r="H2" s="40" t="inlineStr">
        <is>
          <t>MDEF</t>
        </is>
      </c>
      <c r="I2" s="40" t="inlineStr">
        <is>
          <t>MP</t>
        </is>
      </c>
      <c r="J2" s="40" t="inlineStr">
        <is>
          <t>AGI</t>
        </is>
      </c>
      <c r="K2" s="40" t="inlineStr">
        <is>
          <t>CRI</t>
        </is>
      </c>
      <c r="L2" s="40" t="inlineStr">
        <is>
          <t>cri_resist</t>
        </is>
      </c>
      <c r="M2" s="40" t="inlineStr">
        <is>
          <t>cri_damage</t>
        </is>
      </c>
      <c r="N2" s="40" t="inlineStr">
        <is>
          <t>cri_damage_resist</t>
        </is>
      </c>
      <c r="O2" s="40" t="inlineStr">
        <is>
          <t>skill_rate</t>
        </is>
      </c>
      <c r="P2" s="40" t="inlineStr">
        <is>
          <t>skill_resist</t>
        </is>
      </c>
      <c r="Q2" s="40" t="inlineStr">
        <is>
          <t>damage_increase</t>
        </is>
      </c>
      <c r="R2" s="40" t="inlineStr">
        <is>
          <t>damage_reduce</t>
        </is>
      </c>
      <c r="S2" s="40" t="inlineStr">
        <is>
          <t>damage_reflect</t>
        </is>
      </c>
    </row>
    <row r="3" ht="14.25" customHeight="1" s="142">
      <c r="A3" s="135" t="n">
        <v>700</v>
      </c>
      <c r="B3" s="8" t="inlineStr">
        <is>
          <t>寶石強化1</t>
        </is>
      </c>
      <c r="C3" s="135" t="n">
        <v>1</v>
      </c>
      <c r="D3" s="135" t="n">
        <v>10</v>
      </c>
      <c r="E3" s="135" t="n"/>
      <c r="F3" s="135" t="n"/>
      <c r="G3" s="135" t="n"/>
      <c r="H3" s="135" t="n"/>
      <c r="I3" s="135" t="n"/>
      <c r="J3" s="135" t="n"/>
      <c r="K3" s="141" t="n"/>
      <c r="L3" s="141" t="n"/>
      <c r="M3" s="141" t="n"/>
      <c r="N3" s="141" t="n"/>
      <c r="O3" s="141" t="n"/>
      <c r="P3" s="141" t="n"/>
      <c r="Q3" s="141" t="n"/>
      <c r="R3" s="141" t="n"/>
      <c r="S3" s="141" t="n"/>
    </row>
    <row r="4" ht="14.25" customHeight="1" s="142">
      <c r="A4" s="135" t="n">
        <v>700</v>
      </c>
      <c r="B4" s="8" t="inlineStr">
        <is>
          <t>寶石強化2</t>
        </is>
      </c>
      <c r="C4" s="135" t="n">
        <v>2</v>
      </c>
      <c r="D4" s="135">
        <f>D3+4</f>
        <v/>
      </c>
      <c r="E4" s="135" t="n"/>
      <c r="F4" s="135" t="n"/>
      <c r="G4" s="135" t="n"/>
      <c r="H4" s="135" t="n"/>
      <c r="I4" s="135" t="n"/>
      <c r="J4" s="135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</row>
    <row r="5" ht="14.25" customHeight="1" s="142">
      <c r="A5" s="135" t="n">
        <v>700</v>
      </c>
      <c r="B5" s="8" t="inlineStr">
        <is>
          <t>寶石強化3</t>
        </is>
      </c>
      <c r="C5" s="135" t="n">
        <v>3</v>
      </c>
      <c r="D5" s="135">
        <f>D4+4</f>
        <v/>
      </c>
      <c r="E5" s="135" t="n"/>
      <c r="F5" s="135" t="n"/>
      <c r="G5" s="135" t="n"/>
      <c r="H5" s="135" t="n"/>
      <c r="I5" s="135" t="n"/>
      <c r="J5" s="135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</row>
    <row r="6" ht="14.25" customHeight="1" s="142">
      <c r="A6" s="135" t="n">
        <v>700</v>
      </c>
      <c r="B6" s="8" t="inlineStr">
        <is>
          <t>寶石強化4</t>
        </is>
      </c>
      <c r="C6" s="135" t="n">
        <v>4</v>
      </c>
      <c r="D6" s="135">
        <f>D5+4</f>
        <v/>
      </c>
      <c r="E6" s="135" t="n"/>
      <c r="F6" s="135" t="n"/>
      <c r="G6" s="135" t="n"/>
      <c r="H6" s="135" t="n"/>
      <c r="I6" s="135" t="n"/>
      <c r="J6" s="135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</row>
    <row r="7" ht="14.25" customHeight="1" s="142">
      <c r="A7" s="135" t="n">
        <v>700</v>
      </c>
      <c r="B7" s="8" t="inlineStr">
        <is>
          <t>寶石強化5</t>
        </is>
      </c>
      <c r="C7" s="135" t="n">
        <v>5</v>
      </c>
      <c r="D7" s="135">
        <f>D6+4</f>
        <v/>
      </c>
      <c r="E7" s="135" t="n"/>
      <c r="F7" s="135" t="n"/>
      <c r="G7" s="135" t="n"/>
      <c r="H7" s="135" t="n"/>
      <c r="I7" s="135" t="n"/>
      <c r="J7" s="135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</row>
    <row r="8" ht="14.25" customHeight="1" s="142">
      <c r="A8" s="135" t="n">
        <v>700</v>
      </c>
      <c r="B8" s="8" t="inlineStr">
        <is>
          <t>寶石強化6</t>
        </is>
      </c>
      <c r="C8" s="135" t="n">
        <v>6</v>
      </c>
      <c r="D8" s="135">
        <f>D7+4</f>
        <v/>
      </c>
      <c r="E8" s="135" t="n"/>
      <c r="F8" s="135" t="n"/>
      <c r="G8" s="135" t="n"/>
      <c r="H8" s="135" t="n"/>
      <c r="I8" s="135" t="n"/>
      <c r="J8" s="135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</row>
    <row r="9" ht="14.25" customHeight="1" s="142">
      <c r="A9" s="135" t="n">
        <v>700</v>
      </c>
      <c r="B9" s="8" t="inlineStr">
        <is>
          <t>寶石強化7</t>
        </is>
      </c>
      <c r="C9" s="135" t="n">
        <v>7</v>
      </c>
      <c r="D9" s="135">
        <f>D8+5</f>
        <v/>
      </c>
      <c r="E9" s="135" t="n"/>
      <c r="F9" s="135" t="n"/>
      <c r="G9" s="135" t="n"/>
      <c r="H9" s="135" t="n"/>
      <c r="I9" s="135" t="n"/>
      <c r="J9" s="135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</row>
    <row r="10" ht="14.25" customHeight="1" s="142">
      <c r="A10" s="135" t="n">
        <v>700</v>
      </c>
      <c r="B10" s="8" t="inlineStr">
        <is>
          <t>寶石強化8</t>
        </is>
      </c>
      <c r="C10" s="135" t="n">
        <v>8</v>
      </c>
      <c r="D10" s="135">
        <f>D9+5</f>
        <v/>
      </c>
      <c r="E10" s="135" t="n"/>
      <c r="F10" s="135" t="n"/>
      <c r="G10" s="135" t="n"/>
      <c r="H10" s="135" t="n"/>
      <c r="I10" s="135" t="n"/>
      <c r="J10" s="135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</row>
    <row r="11" ht="14.25" customHeight="1" s="142">
      <c r="A11" s="135" t="n">
        <v>700</v>
      </c>
      <c r="B11" s="8" t="inlineStr">
        <is>
          <t>寶石強化9</t>
        </is>
      </c>
      <c r="C11" s="135" t="n">
        <v>9</v>
      </c>
      <c r="D11" s="135">
        <f>D10+5</f>
        <v/>
      </c>
      <c r="E11" s="135" t="n"/>
      <c r="F11" s="135" t="n"/>
      <c r="G11" s="135" t="n"/>
      <c r="H11" s="135" t="n"/>
      <c r="I11" s="135" t="n"/>
      <c r="J11" s="135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</row>
    <row r="12" ht="14.25" customHeight="1" s="142">
      <c r="A12" s="135" t="n">
        <v>700</v>
      </c>
      <c r="B12" s="8" t="inlineStr">
        <is>
          <t>寶石強化10</t>
        </is>
      </c>
      <c r="C12" s="135" t="n">
        <v>10</v>
      </c>
      <c r="D12" s="135">
        <f>D11+5</f>
        <v/>
      </c>
      <c r="E12" s="135" t="n"/>
      <c r="F12" s="135" t="n"/>
      <c r="G12" s="135" t="n"/>
      <c r="H12" s="135" t="n"/>
      <c r="I12" s="135" t="n"/>
      <c r="J12" s="135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</row>
    <row r="13" ht="14.25" customHeight="1" s="142">
      <c r="A13" s="135" t="n">
        <v>701</v>
      </c>
      <c r="B13" s="8" t="inlineStr">
        <is>
          <t>彩石強化1</t>
        </is>
      </c>
      <c r="C13" s="135" t="n">
        <v>1</v>
      </c>
      <c r="D13" s="135" t="n">
        <v>10</v>
      </c>
      <c r="E13" s="135" t="n"/>
      <c r="F13" s="135" t="n"/>
      <c r="G13" s="135" t="n"/>
      <c r="H13" s="135" t="n"/>
      <c r="I13" s="135" t="n"/>
      <c r="J13" s="135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</row>
    <row r="14" ht="14.25" customHeight="1" s="142">
      <c r="A14" s="135" t="n">
        <v>701</v>
      </c>
      <c r="B14" s="8" t="inlineStr">
        <is>
          <t>彩石強化2</t>
        </is>
      </c>
      <c r="C14" s="135" t="n">
        <v>2</v>
      </c>
      <c r="D14" s="135">
        <f>D13+4</f>
        <v/>
      </c>
      <c r="E14" s="135" t="n"/>
      <c r="F14" s="135" t="n"/>
      <c r="G14" s="135" t="n"/>
      <c r="H14" s="135" t="n"/>
      <c r="I14" s="135" t="n"/>
      <c r="J14" s="135" t="n"/>
      <c r="K14" s="141" t="n"/>
      <c r="L14" s="141" t="n"/>
      <c r="M14" s="141" t="n"/>
      <c r="N14" s="141" t="n"/>
      <c r="O14" s="141" t="n"/>
      <c r="P14" s="141" t="n"/>
      <c r="Q14" s="141" t="n"/>
      <c r="R14" s="141" t="n"/>
      <c r="S14" s="141" t="n"/>
    </row>
    <row r="15" ht="14.25" customHeight="1" s="142">
      <c r="A15" s="135" t="n">
        <v>701</v>
      </c>
      <c r="B15" s="8" t="inlineStr">
        <is>
          <t>彩石強化3</t>
        </is>
      </c>
      <c r="C15" s="135" t="n">
        <v>3</v>
      </c>
      <c r="D15" s="135">
        <f>D14+4</f>
        <v/>
      </c>
      <c r="E15" s="135" t="n"/>
      <c r="F15" s="135" t="n"/>
      <c r="G15" s="135" t="n"/>
      <c r="H15" s="135" t="n"/>
      <c r="I15" s="135" t="n"/>
      <c r="J15" s="135" t="n"/>
      <c r="K15" s="141" t="n"/>
      <c r="L15" s="141" t="n"/>
      <c r="M15" s="141" t="n"/>
      <c r="N15" s="141" t="n"/>
      <c r="O15" s="141" t="n"/>
      <c r="P15" s="141" t="n"/>
      <c r="Q15" s="141" t="n"/>
      <c r="R15" s="141" t="n"/>
      <c r="S15" s="141" t="n"/>
    </row>
    <row r="16" ht="14.25" customHeight="1" s="142">
      <c r="A16" s="135" t="n">
        <v>701</v>
      </c>
      <c r="B16" s="8" t="inlineStr">
        <is>
          <t>彩石強化4</t>
        </is>
      </c>
      <c r="C16" s="135" t="n">
        <v>4</v>
      </c>
      <c r="D16" s="135">
        <f>D15+4</f>
        <v/>
      </c>
      <c r="E16" s="135" t="n"/>
      <c r="F16" s="135" t="n"/>
      <c r="G16" s="135" t="n"/>
      <c r="H16" s="135" t="n"/>
      <c r="I16" s="135" t="n"/>
      <c r="J16" s="135" t="n"/>
      <c r="K16" s="141" t="n"/>
      <c r="L16" s="141" t="n"/>
      <c r="M16" s="141" t="n"/>
      <c r="N16" s="141" t="n"/>
      <c r="O16" s="141" t="n"/>
      <c r="P16" s="141" t="n"/>
      <c r="Q16" s="141" t="n"/>
      <c r="R16" s="141" t="n"/>
      <c r="S16" s="141" t="n"/>
    </row>
    <row r="17" ht="14.25" customHeight="1" s="142">
      <c r="A17" s="135" t="n">
        <v>701</v>
      </c>
      <c r="B17" s="8" t="inlineStr">
        <is>
          <t>彩石強化5</t>
        </is>
      </c>
      <c r="C17" s="135" t="n">
        <v>5</v>
      </c>
      <c r="D17" s="135">
        <f>D16+4</f>
        <v/>
      </c>
      <c r="E17" s="135" t="n"/>
      <c r="F17" s="135" t="n"/>
      <c r="G17" s="135" t="n"/>
      <c r="H17" s="135" t="n"/>
      <c r="I17" s="135" t="n"/>
      <c r="J17" s="135" t="n"/>
      <c r="K17" s="141" t="n"/>
      <c r="L17" s="141" t="n"/>
      <c r="M17" s="141" t="n"/>
      <c r="N17" s="141" t="n"/>
      <c r="O17" s="141" t="n"/>
      <c r="P17" s="141" t="n"/>
      <c r="Q17" s="141" t="n"/>
      <c r="R17" s="141" t="n"/>
      <c r="S17" s="141" t="n"/>
    </row>
    <row r="18" ht="14.25" customHeight="1" s="142">
      <c r="A18" s="135" t="n">
        <v>701</v>
      </c>
      <c r="B18" s="8" t="inlineStr">
        <is>
          <t>彩石強化6</t>
        </is>
      </c>
      <c r="C18" s="135" t="n">
        <v>6</v>
      </c>
      <c r="D18" s="135">
        <f>D17+4</f>
        <v/>
      </c>
      <c r="E18" s="135" t="n"/>
      <c r="F18" s="135" t="n"/>
      <c r="G18" s="135" t="n"/>
      <c r="H18" s="135" t="n"/>
      <c r="I18" s="135" t="n"/>
      <c r="J18" s="135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</row>
    <row r="19" ht="14.25" customHeight="1" s="142">
      <c r="A19" s="135" t="n">
        <v>701</v>
      </c>
      <c r="B19" s="8" t="inlineStr">
        <is>
          <t>彩石強化7</t>
        </is>
      </c>
      <c r="C19" s="135" t="n">
        <v>7</v>
      </c>
      <c r="D19" s="135">
        <f>D18+5</f>
        <v/>
      </c>
      <c r="E19" s="135" t="n"/>
      <c r="F19" s="135" t="n"/>
      <c r="G19" s="135" t="n"/>
      <c r="H19" s="135" t="n"/>
      <c r="I19" s="135" t="n"/>
      <c r="J19" s="135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</row>
    <row r="20" ht="14.25" customHeight="1" s="142">
      <c r="A20" s="135" t="n">
        <v>701</v>
      </c>
      <c r="B20" s="8" t="inlineStr">
        <is>
          <t>彩石強化8</t>
        </is>
      </c>
      <c r="C20" s="135" t="n">
        <v>8</v>
      </c>
      <c r="D20" s="135">
        <f>D19+5</f>
        <v/>
      </c>
      <c r="E20" s="135" t="n"/>
      <c r="F20" s="135" t="n"/>
      <c r="G20" s="135" t="n"/>
      <c r="H20" s="135" t="n"/>
      <c r="I20" s="135" t="n"/>
      <c r="J20" s="135" t="n"/>
      <c r="K20" s="141" t="n"/>
      <c r="L20" s="141" t="n"/>
      <c r="M20" s="141" t="n"/>
      <c r="N20" s="141" t="n"/>
      <c r="O20" s="141" t="n"/>
      <c r="P20" s="141" t="n"/>
      <c r="Q20" s="141" t="n"/>
      <c r="R20" s="141" t="n"/>
      <c r="S20" s="141" t="n"/>
    </row>
    <row r="21" ht="14.25" customHeight="1" s="142">
      <c r="A21" s="135" t="n">
        <v>701</v>
      </c>
      <c r="B21" s="8" t="inlineStr">
        <is>
          <t>彩石強化9</t>
        </is>
      </c>
      <c r="C21" s="135" t="n">
        <v>9</v>
      </c>
      <c r="D21" s="135">
        <f>D20+5</f>
        <v/>
      </c>
      <c r="E21" s="135" t="n"/>
      <c r="F21" s="135" t="n"/>
      <c r="G21" s="135" t="n"/>
      <c r="H21" s="135" t="n"/>
      <c r="I21" s="135" t="n"/>
      <c r="J21" s="135" t="n"/>
      <c r="K21" s="141" t="n"/>
      <c r="L21" s="141" t="n"/>
      <c r="M21" s="141" t="n"/>
      <c r="N21" s="141" t="n"/>
      <c r="O21" s="141" t="n"/>
      <c r="P21" s="141" t="n"/>
      <c r="Q21" s="141" t="n"/>
      <c r="R21" s="141" t="n"/>
      <c r="S21" s="141" t="n"/>
    </row>
    <row r="22" ht="14.25" customHeight="1" s="142">
      <c r="A22" s="135" t="n">
        <v>701</v>
      </c>
      <c r="B22" s="8" t="inlineStr">
        <is>
          <t>彩石強化10</t>
        </is>
      </c>
      <c r="C22" s="135" t="n">
        <v>10</v>
      </c>
      <c r="D22" s="135">
        <f>D21+5</f>
        <v/>
      </c>
      <c r="E22" s="135" t="n"/>
      <c r="F22" s="135" t="n"/>
      <c r="G22" s="135" t="n"/>
      <c r="H22" s="135" t="n"/>
      <c r="I22" s="135" t="n"/>
      <c r="J22" s="135" t="n"/>
      <c r="K22" s="141" t="n"/>
      <c r="L22" s="141" t="n"/>
      <c r="M22" s="141" t="n"/>
      <c r="N22" s="141" t="n"/>
      <c r="O22" s="141" t="n"/>
      <c r="P22" s="141" t="n"/>
      <c r="Q22" s="141" t="n"/>
      <c r="R22" s="141" t="n"/>
      <c r="S22" s="141" t="n"/>
    </row>
    <row r="23" ht="14.25" customHeight="1" s="142">
      <c r="A23" s="135" t="n">
        <v>702</v>
      </c>
      <c r="B23" s="8" t="inlineStr">
        <is>
          <t>暴晶強化1</t>
        </is>
      </c>
      <c r="C23" s="135" t="n">
        <v>1</v>
      </c>
      <c r="D23" s="135" t="n">
        <v>10</v>
      </c>
      <c r="E23" s="135" t="n"/>
      <c r="F23" s="135" t="n"/>
      <c r="G23" s="135" t="n"/>
      <c r="H23" s="135" t="n"/>
      <c r="I23" s="135" t="n"/>
      <c r="J23" s="135" t="n"/>
      <c r="K23" s="141" t="n"/>
      <c r="L23" s="141" t="n"/>
      <c r="M23" s="141" t="n"/>
      <c r="N23" s="141" t="n"/>
      <c r="O23" s="141" t="n"/>
      <c r="P23" s="141" t="n"/>
      <c r="Q23" s="141" t="n"/>
      <c r="R23" s="141" t="n"/>
      <c r="S23" s="141" t="n"/>
    </row>
    <row r="24" ht="14.25" customHeight="1" s="142">
      <c r="A24" s="135" t="n">
        <v>702</v>
      </c>
      <c r="B24" s="8" t="inlineStr">
        <is>
          <t>暴晶強化1</t>
        </is>
      </c>
      <c r="C24" s="135" t="n">
        <v>2</v>
      </c>
      <c r="D24" s="135">
        <f>D23+4</f>
        <v/>
      </c>
      <c r="E24" s="135" t="n"/>
      <c r="F24" s="135" t="n"/>
      <c r="G24" s="135" t="n"/>
      <c r="H24" s="135" t="n"/>
      <c r="I24" s="135" t="n"/>
      <c r="J24" s="135" t="n"/>
      <c r="K24" s="141" t="n"/>
      <c r="L24" s="141" t="n"/>
      <c r="M24" s="141" t="n"/>
      <c r="N24" s="141" t="n"/>
      <c r="O24" s="141" t="n"/>
      <c r="P24" s="141" t="n"/>
      <c r="Q24" s="141" t="n"/>
      <c r="R24" s="141" t="n"/>
      <c r="S24" s="141" t="n"/>
    </row>
    <row r="25" ht="14.25" customHeight="1" s="142">
      <c r="A25" s="135" t="n">
        <v>702</v>
      </c>
      <c r="B25" s="8" t="inlineStr">
        <is>
          <t>暴晶強化1</t>
        </is>
      </c>
      <c r="C25" s="135" t="n">
        <v>3</v>
      </c>
      <c r="D25" s="135">
        <f>D24+4</f>
        <v/>
      </c>
      <c r="E25" s="135" t="n"/>
      <c r="F25" s="135" t="n"/>
      <c r="G25" s="135" t="n"/>
      <c r="H25" s="135" t="n"/>
      <c r="I25" s="135" t="n"/>
      <c r="J25" s="135" t="n"/>
      <c r="K25" s="141" t="n"/>
      <c r="L25" s="141" t="n"/>
      <c r="M25" s="141" t="n"/>
      <c r="N25" s="141" t="n"/>
      <c r="O25" s="141" t="n"/>
      <c r="P25" s="141" t="n"/>
      <c r="Q25" s="141" t="n"/>
      <c r="R25" s="141" t="n"/>
      <c r="S25" s="141" t="n"/>
    </row>
    <row r="26" ht="14.25" customHeight="1" s="142">
      <c r="A26" s="135" t="n">
        <v>702</v>
      </c>
      <c r="B26" s="8" t="inlineStr">
        <is>
          <t>暴晶強化1</t>
        </is>
      </c>
      <c r="C26" s="135" t="n">
        <v>4</v>
      </c>
      <c r="D26" s="135">
        <f>D25+4</f>
        <v/>
      </c>
      <c r="E26" s="135" t="n"/>
      <c r="F26" s="135" t="n"/>
      <c r="G26" s="135" t="n"/>
      <c r="H26" s="135" t="n"/>
      <c r="I26" s="135" t="n"/>
      <c r="J26" s="135" t="n"/>
      <c r="K26" s="141" t="n"/>
      <c r="L26" s="141" t="n"/>
      <c r="M26" s="141" t="n"/>
      <c r="N26" s="141" t="n"/>
      <c r="O26" s="141" t="n"/>
      <c r="P26" s="141" t="n"/>
      <c r="Q26" s="141" t="n"/>
      <c r="R26" s="141" t="n"/>
      <c r="S26" s="141" t="n"/>
    </row>
    <row r="27" ht="14.25" customHeight="1" s="142">
      <c r="A27" s="135" t="n">
        <v>702</v>
      </c>
      <c r="B27" s="8" t="inlineStr">
        <is>
          <t>暴晶強化1</t>
        </is>
      </c>
      <c r="C27" s="135" t="n">
        <v>5</v>
      </c>
      <c r="D27" s="135">
        <f>D26+4</f>
        <v/>
      </c>
      <c r="E27" s="135" t="n"/>
      <c r="F27" s="135" t="n"/>
      <c r="G27" s="135" t="n"/>
      <c r="H27" s="135" t="n"/>
      <c r="I27" s="135" t="n"/>
      <c r="J27" s="135" t="n"/>
      <c r="K27" s="141" t="n"/>
      <c r="L27" s="141" t="n"/>
      <c r="M27" s="141" t="n"/>
      <c r="N27" s="141" t="n"/>
      <c r="O27" s="141" t="n"/>
      <c r="P27" s="141" t="n"/>
      <c r="Q27" s="141" t="n"/>
      <c r="R27" s="141" t="n"/>
      <c r="S27" s="141" t="n"/>
    </row>
    <row r="28" ht="14.25" customHeight="1" s="142">
      <c r="A28" s="135" t="n">
        <v>702</v>
      </c>
      <c r="B28" s="8" t="inlineStr">
        <is>
          <t>暴晶強化1</t>
        </is>
      </c>
      <c r="C28" s="135" t="n">
        <v>6</v>
      </c>
      <c r="D28" s="135">
        <f>D27+4</f>
        <v/>
      </c>
      <c r="E28" s="135" t="n"/>
      <c r="F28" s="135" t="n"/>
      <c r="G28" s="135" t="n"/>
      <c r="H28" s="135" t="n"/>
      <c r="I28" s="135" t="n"/>
      <c r="J28" s="135" t="n"/>
      <c r="K28" s="141" t="n"/>
      <c r="L28" s="141" t="n"/>
      <c r="M28" s="141" t="n"/>
      <c r="N28" s="141" t="n"/>
      <c r="O28" s="141" t="n"/>
      <c r="P28" s="141" t="n"/>
      <c r="Q28" s="141" t="n"/>
      <c r="R28" s="141" t="n"/>
      <c r="S28" s="141" t="n"/>
    </row>
    <row r="29" ht="14.25" customHeight="1" s="142">
      <c r="A29" s="135" t="n">
        <v>702</v>
      </c>
      <c r="B29" s="8" t="inlineStr">
        <is>
          <t>暴晶強化1</t>
        </is>
      </c>
      <c r="C29" s="135" t="n">
        <v>7</v>
      </c>
      <c r="D29" s="135">
        <f>D28+5</f>
        <v/>
      </c>
      <c r="E29" s="135" t="n"/>
      <c r="F29" s="135" t="n"/>
      <c r="G29" s="135" t="n"/>
      <c r="H29" s="135" t="n"/>
      <c r="I29" s="135" t="n"/>
      <c r="J29" s="135" t="n"/>
      <c r="K29" s="141" t="n"/>
      <c r="L29" s="141" t="n"/>
      <c r="M29" s="141" t="n"/>
      <c r="N29" s="141" t="n"/>
      <c r="O29" s="141" t="n"/>
      <c r="P29" s="141" t="n"/>
      <c r="Q29" s="141" t="n"/>
      <c r="R29" s="141" t="n"/>
      <c r="S29" s="141" t="n"/>
    </row>
    <row r="30" ht="14.25" customHeight="1" s="142">
      <c r="A30" s="135" t="n">
        <v>702</v>
      </c>
      <c r="B30" s="8" t="inlineStr">
        <is>
          <t>暴晶強化1</t>
        </is>
      </c>
      <c r="C30" s="135" t="n">
        <v>8</v>
      </c>
      <c r="D30" s="135">
        <f>D29+5</f>
        <v/>
      </c>
      <c r="E30" s="135" t="n"/>
      <c r="F30" s="135" t="n"/>
      <c r="G30" s="135" t="n"/>
      <c r="H30" s="135" t="n"/>
      <c r="I30" s="135" t="n"/>
      <c r="J30" s="135" t="n"/>
      <c r="K30" s="141" t="n"/>
      <c r="L30" s="141" t="n"/>
      <c r="M30" s="141" t="n"/>
      <c r="N30" s="141" t="n"/>
      <c r="O30" s="141" t="n"/>
      <c r="P30" s="141" t="n"/>
      <c r="Q30" s="141" t="n"/>
      <c r="R30" s="141" t="n"/>
      <c r="S30" s="141" t="n"/>
    </row>
    <row r="31" ht="14.25" customHeight="1" s="142">
      <c r="A31" s="135" t="n">
        <v>702</v>
      </c>
      <c r="B31" s="8" t="inlineStr">
        <is>
          <t>暴晶強化1</t>
        </is>
      </c>
      <c r="C31" s="135" t="n">
        <v>9</v>
      </c>
      <c r="D31" s="135">
        <f>D30+5</f>
        <v/>
      </c>
      <c r="E31" s="135" t="n"/>
      <c r="F31" s="135" t="n"/>
      <c r="G31" s="135" t="n"/>
      <c r="H31" s="135" t="n"/>
      <c r="I31" s="135" t="n"/>
      <c r="J31" s="135" t="n"/>
      <c r="K31" s="141" t="n"/>
      <c r="L31" s="141" t="n"/>
      <c r="M31" s="141" t="n"/>
      <c r="N31" s="141" t="n"/>
      <c r="O31" s="141" t="n"/>
      <c r="P31" s="141" t="n"/>
      <c r="Q31" s="141" t="n"/>
      <c r="R31" s="141" t="n"/>
      <c r="S31" s="141" t="n"/>
    </row>
    <row r="32" ht="14.25" customHeight="1" s="142">
      <c r="A32" s="135" t="n">
        <v>702</v>
      </c>
      <c r="B32" s="8" t="inlineStr">
        <is>
          <t>暴晶強化1</t>
        </is>
      </c>
      <c r="C32" s="135" t="n">
        <v>10</v>
      </c>
      <c r="D32" s="135">
        <f>D31+5</f>
        <v/>
      </c>
      <c r="E32" s="135" t="n"/>
      <c r="F32" s="135" t="n"/>
      <c r="G32" s="135" t="n"/>
      <c r="H32" s="135" t="n"/>
      <c r="I32" s="135" t="n"/>
      <c r="J32" s="135" t="n"/>
      <c r="K32" s="141" t="n"/>
      <c r="L32" s="141" t="n"/>
      <c r="M32" s="141" t="n"/>
      <c r="N32" s="141" t="n"/>
      <c r="O32" s="141" t="n"/>
      <c r="P32" s="141" t="n"/>
      <c r="Q32" s="141" t="n"/>
      <c r="R32" s="141" t="n"/>
      <c r="S32" s="141" t="n"/>
    </row>
    <row r="34" ht="14.25" customHeight="1" s="142">
      <c r="A34" s="40" t="inlineStr">
        <is>
          <t>id</t>
        </is>
      </c>
      <c r="B34" s="40" t="inlineStr">
        <is>
          <t>#備註</t>
        </is>
      </c>
      <c r="C34" s="40" t="inlineStr">
        <is>
          <t>level</t>
        </is>
      </c>
      <c r="D34" s="40" t="inlineStr">
        <is>
          <t>HP</t>
        </is>
      </c>
      <c r="E34" s="40" t="inlineStr">
        <is>
          <t>ATK</t>
        </is>
      </c>
      <c r="F34" s="40" t="inlineStr">
        <is>
          <t>MATK</t>
        </is>
      </c>
      <c r="G34" s="40" t="inlineStr">
        <is>
          <t>DEF</t>
        </is>
      </c>
      <c r="H34" s="40" t="inlineStr">
        <is>
          <t>MDEF</t>
        </is>
      </c>
      <c r="I34" s="40" t="inlineStr">
        <is>
          <t>MP</t>
        </is>
      </c>
      <c r="J34" s="40" t="inlineStr">
        <is>
          <t>AGI</t>
        </is>
      </c>
      <c r="K34" s="40" t="inlineStr">
        <is>
          <t>CRI</t>
        </is>
      </c>
      <c r="L34" s="40" t="inlineStr">
        <is>
          <t>cri_resist</t>
        </is>
      </c>
      <c r="M34" s="40" t="inlineStr">
        <is>
          <t>cri_damage</t>
        </is>
      </c>
      <c r="N34" s="40" t="inlineStr">
        <is>
          <t>cri_damage_resist</t>
        </is>
      </c>
      <c r="O34" s="40" t="inlineStr">
        <is>
          <t>skill_rate</t>
        </is>
      </c>
      <c r="P34" s="40" t="inlineStr">
        <is>
          <t>skill_resist</t>
        </is>
      </c>
      <c r="Q34" s="40" t="inlineStr">
        <is>
          <t>damage_increase</t>
        </is>
      </c>
      <c r="R34" s="40" t="inlineStr">
        <is>
          <t>damage_reduce</t>
        </is>
      </c>
      <c r="S34" s="40" t="inlineStr">
        <is>
          <t>damage_reflect</t>
        </is>
      </c>
    </row>
    <row r="35" ht="14.25" customHeight="1" s="142">
      <c r="A35" s="135" t="n">
        <v>800</v>
      </c>
      <c r="B35" s="8" t="inlineStr">
        <is>
          <t>裝備強化1</t>
        </is>
      </c>
      <c r="C35" s="135" t="n">
        <v>1</v>
      </c>
      <c r="D35" s="141" t="n"/>
      <c r="E35" s="141" t="n"/>
      <c r="F35" s="141" t="n"/>
      <c r="G35" s="141" t="n"/>
      <c r="H35" s="141" t="n"/>
      <c r="I35" s="141" t="n"/>
      <c r="J35" s="141" t="n"/>
      <c r="K35" s="141" t="n"/>
      <c r="L35" s="141" t="n"/>
      <c r="M35" s="141" t="n"/>
      <c r="N35" s="141" t="n"/>
      <c r="O35" s="141" t="n"/>
      <c r="P35" s="141" t="n"/>
      <c r="Q35" s="141" t="n"/>
      <c r="R35" s="141" t="n"/>
      <c r="S35" s="141" t="n"/>
    </row>
    <row r="36" ht="14.25" customHeight="1" s="142">
      <c r="A36" s="135" t="n">
        <v>800</v>
      </c>
      <c r="B36" s="8" t="inlineStr">
        <is>
          <t>裝備強化2</t>
        </is>
      </c>
      <c r="C36" s="135" t="n">
        <v>2</v>
      </c>
      <c r="D36" s="141" t="n"/>
      <c r="E36" s="141" t="n"/>
      <c r="F36" s="141" t="n"/>
      <c r="G36" s="141" t="n"/>
      <c r="H36" s="141" t="n"/>
      <c r="I36" s="141" t="n"/>
      <c r="J36" s="141" t="n"/>
      <c r="K36" s="141" t="n"/>
      <c r="L36" s="141" t="n"/>
      <c r="M36" s="141" t="n"/>
      <c r="N36" s="141" t="n"/>
      <c r="O36" s="141" t="n"/>
      <c r="P36" s="141" t="n"/>
      <c r="Q36" s="141" t="n"/>
      <c r="R36" s="141" t="n"/>
      <c r="S36" s="141" t="n"/>
    </row>
    <row r="37" ht="14.25" customHeight="1" s="142">
      <c r="A37" s="135" t="n">
        <v>800</v>
      </c>
      <c r="B37" s="8" t="inlineStr">
        <is>
          <t>裝備強化3</t>
        </is>
      </c>
      <c r="C37" s="135" t="n">
        <v>3</v>
      </c>
      <c r="D37" s="141" t="n"/>
      <c r="E37" s="141" t="n"/>
      <c r="F37" s="141" t="n"/>
      <c r="G37" s="141" t="n"/>
      <c r="H37" s="141" t="n"/>
      <c r="I37" s="141" t="n"/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  <c r="S37" s="141" t="n"/>
    </row>
    <row r="38" ht="14.25" customHeight="1" s="142">
      <c r="A38" s="135" t="n">
        <v>800</v>
      </c>
      <c r="B38" s="8" t="inlineStr">
        <is>
          <t>裝備強化4</t>
        </is>
      </c>
      <c r="C38" s="135" t="n">
        <v>4</v>
      </c>
      <c r="D38" s="141" t="n"/>
      <c r="E38" s="141" t="n"/>
      <c r="F38" s="141" t="n"/>
      <c r="G38" s="141" t="n"/>
      <c r="H38" s="141" t="n"/>
      <c r="I38" s="141" t="n"/>
      <c r="J38" s="141" t="n"/>
      <c r="K38" s="141" t="n"/>
      <c r="L38" s="141" t="n"/>
      <c r="M38" s="141" t="n"/>
      <c r="N38" s="141" t="n"/>
      <c r="O38" s="141" t="n"/>
      <c r="P38" s="141" t="n"/>
      <c r="Q38" s="141" t="n"/>
      <c r="R38" s="141" t="n"/>
      <c r="S38" s="141" t="n"/>
    </row>
    <row r="39" ht="14.25" customHeight="1" s="142">
      <c r="A39" s="135" t="n">
        <v>800</v>
      </c>
      <c r="B39" s="8" t="inlineStr">
        <is>
          <t>裝備強化5</t>
        </is>
      </c>
      <c r="C39" s="135" t="n">
        <v>5</v>
      </c>
      <c r="D39" s="141" t="n"/>
      <c r="E39" s="141" t="n"/>
      <c r="F39" s="141" t="n"/>
      <c r="G39" s="141" t="n"/>
      <c r="H39" s="141" t="n"/>
      <c r="I39" s="141" t="n"/>
      <c r="J39" s="141" t="n"/>
      <c r="K39" s="141" t="n"/>
      <c r="L39" s="141" t="n"/>
      <c r="M39" s="141" t="n"/>
      <c r="N39" s="141" t="n"/>
      <c r="O39" s="141" t="n"/>
      <c r="P39" s="141" t="n"/>
      <c r="Q39" s="141" t="n"/>
      <c r="R39" s="141" t="n"/>
      <c r="S39" s="141" t="n"/>
    </row>
    <row r="40" ht="14.25" customHeight="1" s="142">
      <c r="A40" s="135" t="n">
        <v>800</v>
      </c>
      <c r="B40" s="8" t="inlineStr">
        <is>
          <t>裝備強化6</t>
        </is>
      </c>
      <c r="C40" s="135" t="n">
        <v>6</v>
      </c>
      <c r="D40" s="141" t="n"/>
      <c r="E40" s="141" t="n"/>
      <c r="F40" s="141" t="n"/>
      <c r="G40" s="141" t="n"/>
      <c r="H40" s="141" t="n"/>
      <c r="I40" s="141" t="n"/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  <c r="S40" s="141" t="n"/>
    </row>
    <row r="41" ht="14.25" customHeight="1" s="142">
      <c r="A41" s="135" t="n">
        <v>800</v>
      </c>
      <c r="B41" s="8" t="inlineStr">
        <is>
          <t>裝備強化7</t>
        </is>
      </c>
      <c r="C41" s="135" t="n">
        <v>7</v>
      </c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41" t="n"/>
      <c r="M41" s="141" t="n"/>
      <c r="N41" s="141" t="n"/>
      <c r="O41" s="141" t="n"/>
      <c r="P41" s="141" t="n"/>
      <c r="Q41" s="141" t="n"/>
      <c r="R41" s="141" t="n"/>
      <c r="S41" s="141" t="n"/>
    </row>
    <row r="42" ht="14.25" customHeight="1" s="142">
      <c r="A42" s="135" t="n">
        <v>800</v>
      </c>
      <c r="B42" s="8" t="inlineStr">
        <is>
          <t>裝備強化8</t>
        </is>
      </c>
      <c r="C42" s="135" t="n">
        <v>8</v>
      </c>
      <c r="D42" s="141" t="n"/>
      <c r="E42" s="141" t="n"/>
      <c r="F42" s="141" t="n"/>
      <c r="G42" s="141" t="n"/>
      <c r="H42" s="141" t="n"/>
      <c r="I42" s="141" t="n"/>
      <c r="J42" s="141" t="n"/>
      <c r="K42" s="141" t="n"/>
      <c r="L42" s="141" t="n"/>
      <c r="M42" s="141" t="n"/>
      <c r="N42" s="141" t="n"/>
      <c r="O42" s="141" t="n"/>
      <c r="P42" s="141" t="n"/>
      <c r="Q42" s="141" t="n"/>
      <c r="R42" s="141" t="n"/>
      <c r="S42" s="141" t="n"/>
    </row>
    <row r="43" ht="14.25" customHeight="1" s="142">
      <c r="A43" s="135" t="n">
        <v>800</v>
      </c>
      <c r="B43" s="8" t="inlineStr">
        <is>
          <t>裝備強化9</t>
        </is>
      </c>
      <c r="C43" s="135" t="n">
        <v>9</v>
      </c>
      <c r="D43" s="141" t="n"/>
      <c r="E43" s="141" t="n"/>
      <c r="F43" s="141" t="n"/>
      <c r="G43" s="141" t="n"/>
      <c r="H43" s="141" t="n"/>
      <c r="I43" s="141" t="n"/>
      <c r="J43" s="141" t="n"/>
      <c r="K43" s="141" t="n"/>
      <c r="L43" s="141" t="n"/>
      <c r="M43" s="141" t="n"/>
      <c r="N43" s="141" t="n"/>
      <c r="O43" s="141" t="n"/>
      <c r="P43" s="141" t="n"/>
      <c r="Q43" s="141" t="n"/>
      <c r="R43" s="141" t="n"/>
      <c r="S43" s="141" t="n"/>
    </row>
    <row r="44" ht="14.25" customHeight="1" s="142">
      <c r="A44" s="135" t="n">
        <v>800</v>
      </c>
      <c r="B44" s="8" t="inlineStr">
        <is>
          <t>裝備強化10</t>
        </is>
      </c>
      <c r="C44" s="135" t="n">
        <v>10</v>
      </c>
      <c r="D44" s="141" t="n"/>
      <c r="E44" s="141" t="n"/>
      <c r="F44" s="141" t="n"/>
      <c r="G44" s="141" t="n"/>
      <c r="H44" s="141" t="n"/>
      <c r="I44" s="141" t="n"/>
      <c r="J44" s="141" t="n"/>
      <c r="K44" s="141" t="n"/>
      <c r="L44" s="141" t="n"/>
      <c r="M44" s="141" t="n"/>
      <c r="N44" s="141" t="n"/>
      <c r="O44" s="141" t="n"/>
      <c r="P44" s="141" t="n"/>
      <c r="Q44" s="141" t="n"/>
      <c r="R44" s="141" t="n"/>
      <c r="S44" s="141" t="n"/>
    </row>
    <row r="45" ht="14.25" customHeight="1" s="142">
      <c r="F45" s="7" t="n"/>
    </row>
    <row r="46" ht="14.25" customHeight="1" s="142">
      <c r="A46" s="40" t="inlineStr">
        <is>
          <t>id</t>
        </is>
      </c>
      <c r="B46" s="40" t="inlineStr">
        <is>
          <t>#備註</t>
        </is>
      </c>
      <c r="C46" s="40" t="inlineStr">
        <is>
          <t>level</t>
        </is>
      </c>
      <c r="D46" s="40" t="inlineStr">
        <is>
          <t>HP</t>
        </is>
      </c>
      <c r="E46" s="40" t="inlineStr">
        <is>
          <t>ATK</t>
        </is>
      </c>
      <c r="F46" s="40" t="inlineStr">
        <is>
          <t>MATK</t>
        </is>
      </c>
      <c r="G46" s="40" t="inlineStr">
        <is>
          <t>DEF</t>
        </is>
      </c>
      <c r="H46" s="40" t="inlineStr">
        <is>
          <t>MDEF</t>
        </is>
      </c>
      <c r="I46" s="40" t="inlineStr">
        <is>
          <t>MP</t>
        </is>
      </c>
      <c r="J46" s="40" t="inlineStr">
        <is>
          <t>AGI</t>
        </is>
      </c>
      <c r="K46" s="40" t="inlineStr">
        <is>
          <t>CRI</t>
        </is>
      </c>
      <c r="L46" s="40" t="inlineStr">
        <is>
          <t>cri_resist</t>
        </is>
      </c>
      <c r="M46" s="40" t="inlineStr">
        <is>
          <t>cri_damage</t>
        </is>
      </c>
      <c r="N46" s="40" t="inlineStr">
        <is>
          <t>cri_damage_resist</t>
        </is>
      </c>
      <c r="O46" s="40" t="inlineStr">
        <is>
          <t>skill_rate</t>
        </is>
      </c>
      <c r="P46" s="40" t="inlineStr">
        <is>
          <t>skill_resist</t>
        </is>
      </c>
      <c r="Q46" s="40" t="inlineStr">
        <is>
          <t>damage_increase</t>
        </is>
      </c>
      <c r="R46" s="40" t="inlineStr">
        <is>
          <t>damage_reduce</t>
        </is>
      </c>
      <c r="S46" s="40" t="inlineStr">
        <is>
          <t>damage_reflect</t>
        </is>
      </c>
    </row>
    <row r="47" ht="14.25" customHeight="1" s="142">
      <c r="A47" s="135" t="n">
        <v>900</v>
      </c>
      <c r="B47" s="135" t="inlineStr">
        <is>
          <t>SSR武器升星-物攻1</t>
        </is>
      </c>
      <c r="C47" s="135" t="n">
        <v>1</v>
      </c>
      <c r="D47" s="141" t="n">
        <v>250</v>
      </c>
      <c r="E47" s="141" t="n">
        <v>25</v>
      </c>
      <c r="F47" s="141" t="n">
        <v>6</v>
      </c>
      <c r="G47" s="141" t="n">
        <v>18</v>
      </c>
      <c r="H47" s="141" t="n">
        <v>14</v>
      </c>
      <c r="I47" s="141" t="n">
        <v>25</v>
      </c>
      <c r="J47" s="21" t="n">
        <v>1</v>
      </c>
      <c r="K47" s="141" t="n"/>
      <c r="L47" s="141" t="n"/>
      <c r="M47" s="141" t="n"/>
      <c r="N47" s="141" t="n"/>
      <c r="O47" s="141" t="n"/>
      <c r="P47" s="141" t="n"/>
      <c r="Q47" s="141" t="n"/>
      <c r="R47" s="141" t="n"/>
      <c r="S47" s="141" t="n"/>
    </row>
    <row r="48" ht="14.25" customHeight="1" s="142">
      <c r="A48" s="135" t="n">
        <v>900</v>
      </c>
      <c r="B48" s="135" t="inlineStr">
        <is>
          <t>SSR武器升星-物攻2</t>
        </is>
      </c>
      <c r="C48" s="135" t="n">
        <v>2</v>
      </c>
      <c r="D48" s="141">
        <f>ROUND(D$47*1.5,0)</f>
        <v/>
      </c>
      <c r="E48" s="141">
        <f>ROUND(E$47*1.5,0)</f>
        <v/>
      </c>
      <c r="F48" s="141">
        <f>ROUND(F$47*1.5,0)</f>
        <v/>
      </c>
      <c r="G48" s="141">
        <f>ROUND(G$47*1.5,0)</f>
        <v/>
      </c>
      <c r="H48" s="141">
        <f>ROUND(H$47*1.5,0)</f>
        <v/>
      </c>
      <c r="I48" s="141">
        <f>ROUND(I$47*1.5,0)</f>
        <v/>
      </c>
      <c r="J48" s="21" t="n"/>
      <c r="K48" s="141" t="n"/>
      <c r="L48" s="141" t="n"/>
      <c r="M48" s="141" t="n"/>
      <c r="N48" s="141" t="n"/>
      <c r="O48" s="141" t="n"/>
      <c r="P48" s="141" t="n"/>
      <c r="Q48" s="141" t="n"/>
      <c r="R48" s="141" t="n"/>
      <c r="S48" s="141" t="n"/>
    </row>
    <row r="49" ht="14.25" customHeight="1" s="142">
      <c r="A49" s="135" t="n">
        <v>900</v>
      </c>
      <c r="B49" s="135" t="inlineStr">
        <is>
          <t>SSR武器升星-物攻3</t>
        </is>
      </c>
      <c r="C49" s="135" t="n">
        <v>3</v>
      </c>
      <c r="D49" s="141">
        <f>ROUND(D$47*2,0)</f>
        <v/>
      </c>
      <c r="E49" s="141">
        <f>ROUND(E$47*1.5,0)</f>
        <v/>
      </c>
      <c r="F49" s="141">
        <f>ROUND(F$47*1.5,0)</f>
        <v/>
      </c>
      <c r="G49" s="141">
        <f>ROUND(G$47*1.5,0)</f>
        <v/>
      </c>
      <c r="H49" s="141">
        <f>ROUND(H$47*1.5,0)</f>
        <v/>
      </c>
      <c r="I49" s="141">
        <f>ROUND(I$47*1.5,0)</f>
        <v/>
      </c>
      <c r="J49" s="21" t="n">
        <v>1</v>
      </c>
      <c r="K49" s="141" t="n"/>
      <c r="L49" s="141" t="n"/>
      <c r="M49" s="141" t="n"/>
      <c r="N49" s="141" t="n"/>
      <c r="O49" s="141" t="n"/>
      <c r="P49" s="141" t="n"/>
      <c r="Q49" s="141" t="n"/>
      <c r="R49" s="141" t="n"/>
      <c r="S49" s="141" t="n"/>
    </row>
    <row r="50" ht="14.25" customHeight="1" s="142">
      <c r="A50" s="135" t="n">
        <v>900</v>
      </c>
      <c r="B50" s="135" t="inlineStr">
        <is>
          <t>SSR武器升星-物攻4</t>
        </is>
      </c>
      <c r="C50" s="135" t="n">
        <v>4</v>
      </c>
      <c r="D50" s="141">
        <f>ROUND(D$47*2.5,0)</f>
        <v/>
      </c>
      <c r="E50" s="141">
        <f>ROUND(E$47*2.5,0)</f>
        <v/>
      </c>
      <c r="F50" s="141">
        <f>ROUND(F$47*2.5,0)</f>
        <v/>
      </c>
      <c r="G50" s="141">
        <f>ROUND(G$47*2.5,0)</f>
        <v/>
      </c>
      <c r="H50" s="141">
        <f>ROUND(H$47*2.5,0)</f>
        <v/>
      </c>
      <c r="I50" s="141">
        <f>ROUND(I$47*2.5,0)</f>
        <v/>
      </c>
      <c r="J50" s="21" t="n"/>
      <c r="K50" s="141" t="n"/>
      <c r="L50" s="141" t="n"/>
      <c r="M50" s="141" t="n"/>
      <c r="N50" s="141" t="n"/>
      <c r="O50" s="141" t="n"/>
      <c r="P50" s="141" t="n"/>
      <c r="Q50" s="141" t="n"/>
      <c r="R50" s="141" t="n"/>
      <c r="S50" s="141" t="n"/>
    </row>
    <row r="51" ht="14.25" customHeight="1" s="142">
      <c r="A51" s="135" t="n">
        <v>900</v>
      </c>
      <c r="B51" s="135" t="inlineStr">
        <is>
          <t>SSR武器升星-物攻5</t>
        </is>
      </c>
      <c r="C51" s="135" t="n">
        <v>5</v>
      </c>
      <c r="D51" s="141">
        <f>ROUND(D$47*3,0)</f>
        <v/>
      </c>
      <c r="E51" s="141">
        <f>ROUND(E$47*3,0)</f>
        <v/>
      </c>
      <c r="F51" s="141">
        <f>ROUND(F$47*3,0)</f>
        <v/>
      </c>
      <c r="G51" s="141">
        <f>ROUND(G$47*3,0)</f>
        <v/>
      </c>
      <c r="H51" s="141">
        <f>ROUND(H$47*3,0)</f>
        <v/>
      </c>
      <c r="I51" s="141">
        <f>ROUND(I$47*3,0)</f>
        <v/>
      </c>
      <c r="J51" s="21" t="n">
        <v>1</v>
      </c>
      <c r="K51" s="141" t="n"/>
      <c r="L51" s="141" t="n"/>
      <c r="M51" s="141" t="n"/>
      <c r="N51" s="141" t="n"/>
      <c r="O51" s="141" t="n"/>
      <c r="P51" s="141" t="n"/>
      <c r="Q51" s="141" t="n"/>
      <c r="R51" s="141" t="n"/>
      <c r="S51" s="141" t="n"/>
    </row>
    <row r="52" ht="14.25" customHeight="1" s="142">
      <c r="A52" s="135" t="n">
        <v>900</v>
      </c>
      <c r="B52" s="135" t="inlineStr">
        <is>
          <t>SSR武器升星-物攻6</t>
        </is>
      </c>
      <c r="C52" s="135" t="n">
        <v>6</v>
      </c>
      <c r="D52" s="141">
        <f>ROUND(D$47*3.5,0)</f>
        <v/>
      </c>
      <c r="E52" s="141">
        <f>ROUND(E$47*3.5,0)</f>
        <v/>
      </c>
      <c r="F52" s="141">
        <f>ROUND(F$47*3.5,0)</f>
        <v/>
      </c>
      <c r="G52" s="141">
        <f>ROUND(G$47*3.5,0)</f>
        <v/>
      </c>
      <c r="H52" s="141">
        <f>ROUND(H$47*3.5,0)</f>
        <v/>
      </c>
      <c r="I52" s="141">
        <f>ROUND(I$47*3.5,0)</f>
        <v/>
      </c>
      <c r="J52" s="21" t="n"/>
      <c r="K52" s="141" t="n">
        <v>0.05</v>
      </c>
      <c r="L52" s="141" t="n"/>
      <c r="M52" s="141" t="n">
        <v>0.05</v>
      </c>
      <c r="N52" s="141" t="n"/>
      <c r="O52" s="141" t="n"/>
      <c r="P52" s="141" t="n"/>
      <c r="Q52" s="141" t="n"/>
      <c r="R52" s="141" t="n"/>
      <c r="S52" s="141" t="n"/>
    </row>
    <row r="53" ht="14.25" customHeight="1" s="142">
      <c r="A53" s="135" t="n">
        <v>900</v>
      </c>
      <c r="B53" s="135" t="inlineStr">
        <is>
          <t>SSR武器升星-物攻7</t>
        </is>
      </c>
      <c r="C53" s="135" t="n">
        <v>7</v>
      </c>
      <c r="D53" s="141">
        <f>ROUND(D$47*4,0)</f>
        <v/>
      </c>
      <c r="E53" s="141">
        <f>ROUND(E$47*4,0)</f>
        <v/>
      </c>
      <c r="F53" s="141">
        <f>ROUND(F$47*4,0)</f>
        <v/>
      </c>
      <c r="G53" s="141">
        <f>ROUND(G$47*4,0)</f>
        <v/>
      </c>
      <c r="H53" s="141">
        <f>ROUND(H$47*4,0)</f>
        <v/>
      </c>
      <c r="I53" s="141">
        <f>ROUND(I$47*4,0)</f>
        <v/>
      </c>
      <c r="J53" s="21" t="n">
        <v>1</v>
      </c>
      <c r="K53" s="141" t="n">
        <v>0.05</v>
      </c>
      <c r="L53" s="141" t="n"/>
      <c r="M53" s="141" t="n">
        <v>0.05</v>
      </c>
      <c r="N53" s="141" t="n"/>
      <c r="O53" s="141" t="n"/>
      <c r="P53" s="141" t="n"/>
      <c r="Q53" s="141" t="n"/>
      <c r="R53" s="141" t="n"/>
      <c r="S53" s="141" t="n"/>
    </row>
    <row r="54" ht="14.25" customHeight="1" s="142">
      <c r="A54" s="135" t="n">
        <v>900</v>
      </c>
      <c r="B54" s="135" t="inlineStr">
        <is>
          <t>SSR武器升星-物攻8</t>
        </is>
      </c>
      <c r="C54" s="135" t="n">
        <v>8</v>
      </c>
      <c r="D54" s="141">
        <f>ROUND(D$47*4.5,0)</f>
        <v/>
      </c>
      <c r="E54" s="141">
        <f>ROUND(E$47*4.5,0)</f>
        <v/>
      </c>
      <c r="F54" s="141">
        <f>ROUND(F$47*4.5,0)</f>
        <v/>
      </c>
      <c r="G54" s="141">
        <f>ROUND(G$47*4.5,0)</f>
        <v/>
      </c>
      <c r="H54" s="141">
        <f>ROUND(H$47*4.5,0)</f>
        <v/>
      </c>
      <c r="I54" s="141">
        <f>ROUND(I$47*4.5,0)</f>
        <v/>
      </c>
      <c r="J54" s="21" t="n"/>
      <c r="K54" s="141" t="n">
        <v>0.05</v>
      </c>
      <c r="L54" s="141" t="n"/>
      <c r="M54" s="141" t="n">
        <v>0.05</v>
      </c>
      <c r="N54" s="141" t="n"/>
      <c r="O54" s="141" t="n"/>
      <c r="P54" s="141" t="n"/>
      <c r="Q54" s="141" t="n"/>
      <c r="R54" s="141" t="n"/>
      <c r="S54" s="141" t="n"/>
    </row>
    <row r="55" ht="14.25" customHeight="1" s="142">
      <c r="A55" s="135" t="n">
        <v>900</v>
      </c>
      <c r="B55" s="135" t="inlineStr">
        <is>
          <t>SSR武器升星-物攻9</t>
        </is>
      </c>
      <c r="C55" s="135" t="n">
        <v>9</v>
      </c>
      <c r="D55" s="141">
        <f>ROUND(D$47*5,0)</f>
        <v/>
      </c>
      <c r="E55" s="141">
        <f>ROUND(E$47*5,0)</f>
        <v/>
      </c>
      <c r="F55" s="141">
        <f>ROUND(F$47*5,0)</f>
        <v/>
      </c>
      <c r="G55" s="141">
        <f>ROUND(G$47*5,0)</f>
        <v/>
      </c>
      <c r="H55" s="141">
        <f>ROUND(H$47*5,0)</f>
        <v/>
      </c>
      <c r="I55" s="141">
        <f>ROUND(I$47*5,0)</f>
        <v/>
      </c>
      <c r="J55" s="21" t="n">
        <v>1</v>
      </c>
      <c r="K55" s="141" t="n">
        <v>0.05</v>
      </c>
      <c r="L55" s="141" t="n"/>
      <c r="M55" s="141" t="n">
        <v>0.05</v>
      </c>
      <c r="N55" s="141" t="n"/>
      <c r="O55" s="141" t="n"/>
      <c r="P55" s="141" t="n"/>
      <c r="Q55" s="141" t="n"/>
      <c r="R55" s="141" t="n"/>
      <c r="S55" s="141" t="n"/>
    </row>
    <row r="56" ht="14.25" customHeight="1" s="142">
      <c r="A56" s="135" t="n">
        <v>900</v>
      </c>
      <c r="B56" s="135" t="inlineStr">
        <is>
          <t>SSR武器升星-物攻10</t>
        </is>
      </c>
      <c r="C56" s="135" t="n">
        <v>10</v>
      </c>
      <c r="D56" s="141">
        <f>ROUND(D$47*6,0)</f>
        <v/>
      </c>
      <c r="E56" s="141">
        <f>ROUND(E$47*6,0)</f>
        <v/>
      </c>
      <c r="F56" s="141">
        <f>ROUND(F$47*6,0)</f>
        <v/>
      </c>
      <c r="G56" s="141">
        <f>ROUND(G$47*6,0)</f>
        <v/>
      </c>
      <c r="H56" s="141">
        <f>ROUND(H$47*6,0)</f>
        <v/>
      </c>
      <c r="I56" s="141">
        <f>ROUND(I$47*6,0)</f>
        <v/>
      </c>
      <c r="J56" s="21" t="n">
        <v>2</v>
      </c>
      <c r="K56" s="141" t="n">
        <v>0.05</v>
      </c>
      <c r="L56" s="141" t="n"/>
      <c r="M56" s="141" t="n">
        <v>0.05</v>
      </c>
      <c r="N56" s="141" t="n"/>
      <c r="O56" s="141" t="n"/>
      <c r="P56" s="141" t="n"/>
      <c r="Q56" s="141" t="n"/>
      <c r="R56" s="141" t="n"/>
      <c r="S56" s="141" t="n"/>
    </row>
    <row r="57" ht="14.25" customHeight="1" s="142">
      <c r="A57" s="135" t="n">
        <v>901</v>
      </c>
      <c r="B57" s="135" t="inlineStr">
        <is>
          <t>SSR武器升星-魔攻1</t>
        </is>
      </c>
      <c r="C57" s="135" t="n">
        <v>1</v>
      </c>
      <c r="D57" s="141" t="n">
        <v>200</v>
      </c>
      <c r="E57" s="141" t="n">
        <v>4</v>
      </c>
      <c r="F57" s="141" t="n">
        <v>32</v>
      </c>
      <c r="G57" s="141" t="n">
        <v>10</v>
      </c>
      <c r="H57" s="141" t="n">
        <v>17</v>
      </c>
      <c r="I57" s="141" t="n">
        <v>44</v>
      </c>
      <c r="J57" s="21" t="n">
        <v>1</v>
      </c>
      <c r="K57" s="141" t="n"/>
      <c r="L57" s="141" t="n"/>
      <c r="M57" s="141" t="n"/>
      <c r="N57" s="141" t="n"/>
      <c r="O57" s="141" t="n"/>
      <c r="P57" s="141" t="n"/>
      <c r="Q57" s="141" t="n"/>
      <c r="R57" s="141" t="n"/>
      <c r="S57" s="141" t="n"/>
    </row>
    <row r="58" ht="14.25" customHeight="1" s="142">
      <c r="A58" s="135" t="n">
        <v>901</v>
      </c>
      <c r="B58" s="135" t="inlineStr">
        <is>
          <t>SSR武器升星-魔攻2</t>
        </is>
      </c>
      <c r="C58" s="135" t="n">
        <v>2</v>
      </c>
      <c r="D58" s="141">
        <f>ROUND(D$57*1.5,0)</f>
        <v/>
      </c>
      <c r="E58" s="141">
        <f>ROUND(E$57*1.5,0)</f>
        <v/>
      </c>
      <c r="F58" s="141">
        <f>ROUND(F$57*1.5,0)</f>
        <v/>
      </c>
      <c r="G58" s="141">
        <f>ROUND(G$57*1.5,0)</f>
        <v/>
      </c>
      <c r="H58" s="141">
        <f>ROUND(H$57*1.5,0)</f>
        <v/>
      </c>
      <c r="I58" s="141">
        <f>ROUND(I$57*1.5,0)</f>
        <v/>
      </c>
      <c r="J58" s="21" t="n"/>
      <c r="K58" s="141" t="n"/>
      <c r="L58" s="141" t="n"/>
      <c r="M58" s="141" t="n"/>
      <c r="N58" s="141" t="n"/>
      <c r="O58" s="141" t="n"/>
      <c r="P58" s="141" t="n"/>
      <c r="Q58" s="141" t="n"/>
      <c r="R58" s="141" t="n"/>
      <c r="S58" s="141" t="n"/>
    </row>
    <row r="59" ht="14.25" customHeight="1" s="142">
      <c r="A59" s="135" t="n">
        <v>901</v>
      </c>
      <c r="B59" s="135" t="inlineStr">
        <is>
          <t>SSR武器升星-魔攻3</t>
        </is>
      </c>
      <c r="C59" s="135" t="n">
        <v>3</v>
      </c>
      <c r="D59" s="141">
        <f>ROUND(D$57*2,0)</f>
        <v/>
      </c>
      <c r="E59" s="141">
        <f>ROUND(E$57*2,0)</f>
        <v/>
      </c>
      <c r="F59" s="141">
        <f>ROUND(F$57*2,0)</f>
        <v/>
      </c>
      <c r="G59" s="141">
        <f>ROUND(G$57*2,0)</f>
        <v/>
      </c>
      <c r="H59" s="141">
        <f>ROUND(H$57*2,0)</f>
        <v/>
      </c>
      <c r="I59" s="141">
        <f>ROUND(I$57*2,0)</f>
        <v/>
      </c>
      <c r="J59" s="21" t="n">
        <v>1</v>
      </c>
      <c r="K59" s="141" t="n"/>
      <c r="L59" s="141" t="n"/>
      <c r="M59" s="141" t="n"/>
      <c r="N59" s="141" t="n"/>
      <c r="O59" s="141" t="n"/>
      <c r="P59" s="141" t="n"/>
      <c r="Q59" s="141" t="n"/>
      <c r="R59" s="141" t="n"/>
      <c r="S59" s="141" t="n"/>
    </row>
    <row r="60" ht="14.25" customHeight="1" s="142">
      <c r="A60" s="135" t="n">
        <v>901</v>
      </c>
      <c r="B60" s="135" t="inlineStr">
        <is>
          <t>SSR武器升星-魔攻4</t>
        </is>
      </c>
      <c r="C60" s="135" t="n">
        <v>4</v>
      </c>
      <c r="D60" s="141">
        <f>ROUND(D$57*2.5,0)</f>
        <v/>
      </c>
      <c r="E60" s="141">
        <f>ROUND(E$57*2.5,0)</f>
        <v/>
      </c>
      <c r="F60" s="141">
        <f>ROUND(F$57*2.5,0)</f>
        <v/>
      </c>
      <c r="G60" s="141">
        <f>ROUND(G$57*2.5,0)</f>
        <v/>
      </c>
      <c r="H60" s="141">
        <f>ROUND(H$57*2.5,0)</f>
        <v/>
      </c>
      <c r="I60" s="141">
        <f>ROUND(I$57*2.5,0)</f>
        <v/>
      </c>
      <c r="J60" s="21" t="n"/>
      <c r="K60" s="141" t="n"/>
      <c r="L60" s="141" t="n"/>
      <c r="M60" s="141" t="n"/>
      <c r="N60" s="141" t="n"/>
      <c r="O60" s="141" t="n"/>
      <c r="P60" s="141" t="n"/>
      <c r="Q60" s="141" t="n"/>
      <c r="R60" s="141" t="n"/>
      <c r="S60" s="141" t="n"/>
    </row>
    <row r="61" ht="14.25" customHeight="1" s="142">
      <c r="A61" s="135" t="n">
        <v>901</v>
      </c>
      <c r="B61" s="135" t="inlineStr">
        <is>
          <t>SSR武器升星-魔攻5</t>
        </is>
      </c>
      <c r="C61" s="135" t="n">
        <v>5</v>
      </c>
      <c r="D61" s="141">
        <f>ROUND(D$57*3,0)</f>
        <v/>
      </c>
      <c r="E61" s="141">
        <f>ROUND(E$57*3,0)</f>
        <v/>
      </c>
      <c r="F61" s="141">
        <f>ROUND(F$57*3,0)</f>
        <v/>
      </c>
      <c r="G61" s="141">
        <f>ROUND(G$57*3,0)</f>
        <v/>
      </c>
      <c r="H61" s="141">
        <f>ROUND(H$57*3,0)</f>
        <v/>
      </c>
      <c r="I61" s="141">
        <f>ROUND(I$57*3,0)</f>
        <v/>
      </c>
      <c r="J61" s="21" t="n">
        <v>1</v>
      </c>
      <c r="K61" s="141" t="n"/>
      <c r="L61" s="141" t="n"/>
      <c r="M61" s="141" t="n"/>
      <c r="N61" s="141" t="n"/>
      <c r="O61" s="141" t="n"/>
      <c r="P61" s="141" t="n"/>
      <c r="Q61" s="141" t="n"/>
      <c r="R61" s="141" t="n"/>
      <c r="S61" s="141" t="n"/>
    </row>
    <row r="62" ht="14.25" customHeight="1" s="142">
      <c r="A62" s="135" t="n">
        <v>901</v>
      </c>
      <c r="B62" s="135" t="inlineStr">
        <is>
          <t>SSR武器升星-魔攻6</t>
        </is>
      </c>
      <c r="C62" s="135" t="n">
        <v>6</v>
      </c>
      <c r="D62" s="141">
        <f>ROUND(D$57*3.5,0)</f>
        <v/>
      </c>
      <c r="E62" s="141">
        <f>ROUND(E$57*3.5,0)</f>
        <v/>
      </c>
      <c r="F62" s="141">
        <f>ROUND(F$57*3.5,0)</f>
        <v/>
      </c>
      <c r="G62" s="141">
        <f>ROUND(G$57*3.5,0)</f>
        <v/>
      </c>
      <c r="H62" s="141">
        <f>ROUND(H$57*3.5,0)</f>
        <v/>
      </c>
      <c r="I62" s="141">
        <f>ROUND(I$57*3.5,0)</f>
        <v/>
      </c>
      <c r="J62" s="21" t="n"/>
      <c r="K62" s="141" t="n">
        <v>0.05</v>
      </c>
      <c r="L62" s="141" t="n"/>
      <c r="M62" s="141" t="n">
        <v>0.05</v>
      </c>
      <c r="N62" s="141" t="n"/>
      <c r="O62" s="141" t="n"/>
      <c r="P62" s="141" t="n"/>
      <c r="Q62" s="141" t="n"/>
      <c r="R62" s="141" t="n"/>
      <c r="S62" s="141" t="n"/>
    </row>
    <row r="63" ht="14.25" customHeight="1" s="142">
      <c r="A63" s="135" t="n">
        <v>901</v>
      </c>
      <c r="B63" s="135" t="inlineStr">
        <is>
          <t>SSR武器升星-魔攻7</t>
        </is>
      </c>
      <c r="C63" s="135" t="n">
        <v>7</v>
      </c>
      <c r="D63" s="141">
        <f>ROUND(D$57*4,0)</f>
        <v/>
      </c>
      <c r="E63" s="141">
        <f>ROUND(E$57*4,0)</f>
        <v/>
      </c>
      <c r="F63" s="141">
        <f>ROUND(F$57*4,0)</f>
        <v/>
      </c>
      <c r="G63" s="141">
        <f>ROUND(G$57*4,0)</f>
        <v/>
      </c>
      <c r="H63" s="141">
        <f>ROUND(H$57*4,0)</f>
        <v/>
      </c>
      <c r="I63" s="141">
        <f>ROUND(I$57*4,0)</f>
        <v/>
      </c>
      <c r="J63" s="21" t="n">
        <v>1</v>
      </c>
      <c r="K63" s="141" t="n">
        <v>0.05</v>
      </c>
      <c r="L63" s="141" t="n"/>
      <c r="M63" s="141" t="n">
        <v>0.05</v>
      </c>
      <c r="N63" s="141" t="n"/>
      <c r="O63" s="141" t="n"/>
      <c r="P63" s="141" t="n"/>
      <c r="Q63" s="141" t="n"/>
      <c r="R63" s="141" t="n"/>
      <c r="S63" s="141" t="n"/>
    </row>
    <row r="64" ht="14.25" customHeight="1" s="142">
      <c r="A64" s="135" t="n">
        <v>901</v>
      </c>
      <c r="B64" s="135" t="inlineStr">
        <is>
          <t>SSR武器升星-魔攻8</t>
        </is>
      </c>
      <c r="C64" s="135" t="n">
        <v>8</v>
      </c>
      <c r="D64" s="141">
        <f>ROUND(D$57*4.5,0)</f>
        <v/>
      </c>
      <c r="E64" s="141">
        <f>ROUND(E$57*4.5,0)</f>
        <v/>
      </c>
      <c r="F64" s="141">
        <f>ROUND(F$57*4.5,0)</f>
        <v/>
      </c>
      <c r="G64" s="141">
        <f>ROUND(G$57*4.5,0)</f>
        <v/>
      </c>
      <c r="H64" s="141">
        <f>ROUND(H$57*4.5,0)</f>
        <v/>
      </c>
      <c r="I64" s="141">
        <f>ROUND(I$57*4.5,0)</f>
        <v/>
      </c>
      <c r="J64" s="21" t="n"/>
      <c r="K64" s="141" t="n">
        <v>0.05</v>
      </c>
      <c r="L64" s="141" t="n"/>
      <c r="M64" s="141" t="n">
        <v>0.05</v>
      </c>
      <c r="N64" s="141" t="n"/>
      <c r="O64" s="141" t="n"/>
      <c r="P64" s="141" t="n"/>
      <c r="Q64" s="141" t="n"/>
      <c r="R64" s="141" t="n"/>
      <c r="S64" s="141" t="n"/>
    </row>
    <row r="65" ht="14.25" customHeight="1" s="142">
      <c r="A65" s="135" t="n">
        <v>901</v>
      </c>
      <c r="B65" s="135" t="inlineStr">
        <is>
          <t>SSR武器升星-魔攻9</t>
        </is>
      </c>
      <c r="C65" s="135" t="n">
        <v>9</v>
      </c>
      <c r="D65" s="141">
        <f>ROUND(D$57*5,0)</f>
        <v/>
      </c>
      <c r="E65" s="141">
        <f>ROUND(E$57*5,0)</f>
        <v/>
      </c>
      <c r="F65" s="141">
        <f>ROUND(F$57*5,0)</f>
        <v/>
      </c>
      <c r="G65" s="141">
        <f>ROUND(G$57*5,0)</f>
        <v/>
      </c>
      <c r="H65" s="141">
        <f>ROUND(H$57*5,0)</f>
        <v/>
      </c>
      <c r="I65" s="141">
        <f>ROUND(I$57*5,0)</f>
        <v/>
      </c>
      <c r="J65" s="21" t="n">
        <v>1</v>
      </c>
      <c r="K65" s="141" t="n">
        <v>0.05</v>
      </c>
      <c r="L65" s="141" t="n"/>
      <c r="M65" s="141" t="n">
        <v>0.05</v>
      </c>
      <c r="N65" s="141" t="n"/>
      <c r="O65" s="141" t="n"/>
      <c r="P65" s="141" t="n"/>
      <c r="Q65" s="141" t="n"/>
      <c r="R65" s="141" t="n"/>
      <c r="S65" s="141" t="n"/>
    </row>
    <row r="66" ht="14.25" customHeight="1" s="142">
      <c r="A66" s="135" t="n">
        <v>901</v>
      </c>
      <c r="B66" s="135" t="inlineStr">
        <is>
          <t>SSR武器升星-魔攻10</t>
        </is>
      </c>
      <c r="C66" s="135" t="n">
        <v>10</v>
      </c>
      <c r="D66" s="141">
        <f>ROUND(D$57*6,0)</f>
        <v/>
      </c>
      <c r="E66" s="141">
        <f>ROUND(E$57*6,0)</f>
        <v/>
      </c>
      <c r="F66" s="141">
        <f>ROUND(F$57*6,0)</f>
        <v/>
      </c>
      <c r="G66" s="141">
        <f>ROUND(G$57*6,0)</f>
        <v/>
      </c>
      <c r="H66" s="141">
        <f>ROUND(H$57*6,0)</f>
        <v/>
      </c>
      <c r="I66" s="141">
        <f>ROUND(I$57*6,0)</f>
        <v/>
      </c>
      <c r="J66" s="21" t="n">
        <v>2</v>
      </c>
      <c r="K66" s="141" t="n">
        <v>0.05</v>
      </c>
      <c r="L66" s="141" t="n"/>
      <c r="M66" s="141" t="n">
        <v>0.05</v>
      </c>
      <c r="N66" s="141" t="n"/>
      <c r="O66" s="141" t="n"/>
      <c r="P66" s="141" t="n"/>
      <c r="Q66" s="141" t="n"/>
      <c r="R66" s="141" t="n"/>
      <c r="S66" s="141" t="n"/>
    </row>
    <row r="67" ht="14.25" customHeight="1" s="142">
      <c r="A67" s="135">
        <f>A47+2</f>
        <v/>
      </c>
      <c r="B67" s="135" t="inlineStr">
        <is>
          <t>SR武器升星-物攻1</t>
        </is>
      </c>
      <c r="C67" s="135" t="n">
        <v>1</v>
      </c>
      <c r="D67" s="141">
        <f>ROUND(D47*0.65,0)</f>
        <v/>
      </c>
      <c r="E67" s="141">
        <f>ROUND(E47*0.65,0)</f>
        <v/>
      </c>
      <c r="F67" s="141">
        <f>ROUND(F47*0.65,0)</f>
        <v/>
      </c>
      <c r="G67" s="141">
        <f>ROUND(G47*0.65,0)</f>
        <v/>
      </c>
      <c r="H67" s="141">
        <f>ROUND(H47*0.65,0)</f>
        <v/>
      </c>
      <c r="I67" s="141">
        <f>ROUND(I47*0.65,0)</f>
        <v/>
      </c>
      <c r="J67" s="21" t="n">
        <v>1</v>
      </c>
      <c r="K67" s="141" t="n"/>
      <c r="L67" s="141" t="n"/>
      <c r="M67" s="141" t="n"/>
      <c r="N67" s="141" t="n"/>
      <c r="O67" s="141" t="n"/>
      <c r="P67" s="141" t="n"/>
      <c r="Q67" s="141" t="n"/>
      <c r="R67" s="141" t="n"/>
      <c r="S67" s="141" t="n"/>
    </row>
    <row r="68" ht="14.25" customHeight="1" s="142">
      <c r="A68" s="135">
        <f>A48+2</f>
        <v/>
      </c>
      <c r="B68" s="135" t="inlineStr">
        <is>
          <t>SR武器升星-物攻2</t>
        </is>
      </c>
      <c r="C68" s="135" t="n">
        <v>2</v>
      </c>
      <c r="D68" s="141">
        <f>ROUND(D48*0.65,0)</f>
        <v/>
      </c>
      <c r="E68" s="141">
        <f>ROUND(E48*0.65,0)</f>
        <v/>
      </c>
      <c r="F68" s="141">
        <f>ROUND(F48*0.65,0)</f>
        <v/>
      </c>
      <c r="G68" s="141">
        <f>ROUND(G48*0.65,0)</f>
        <v/>
      </c>
      <c r="H68" s="141">
        <f>ROUND(H48*0.65,0)</f>
        <v/>
      </c>
      <c r="I68" s="141">
        <f>ROUND(I48*0.65,0)</f>
        <v/>
      </c>
      <c r="J68" s="21" t="n"/>
      <c r="K68" s="141" t="n"/>
      <c r="L68" s="141" t="n"/>
      <c r="M68" s="141" t="n"/>
      <c r="N68" s="141" t="n"/>
      <c r="O68" s="141" t="n"/>
      <c r="P68" s="141" t="n"/>
      <c r="Q68" s="141" t="n"/>
      <c r="R68" s="141" t="n"/>
      <c r="S68" s="141" t="n"/>
    </row>
    <row r="69" ht="14.25" customHeight="1" s="142">
      <c r="A69" s="135">
        <f>A49+2</f>
        <v/>
      </c>
      <c r="B69" s="135" t="inlineStr">
        <is>
          <t>SR武器升星-物攻3</t>
        </is>
      </c>
      <c r="C69" s="135" t="n">
        <v>3</v>
      </c>
      <c r="D69" s="141">
        <f>ROUND(D49*0.65,0)</f>
        <v/>
      </c>
      <c r="E69" s="141">
        <f>ROUND(E49*0.65,0)</f>
        <v/>
      </c>
      <c r="F69" s="141">
        <f>ROUND(F49*0.65,0)</f>
        <v/>
      </c>
      <c r="G69" s="141">
        <f>ROUND(G49*0.65,0)</f>
        <v/>
      </c>
      <c r="H69" s="141">
        <f>ROUND(H49*0.65,0)</f>
        <v/>
      </c>
      <c r="I69" s="141">
        <f>ROUND(I49*0.65,0)</f>
        <v/>
      </c>
      <c r="J69" s="21" t="n">
        <v>1</v>
      </c>
      <c r="K69" s="141" t="n"/>
      <c r="L69" s="141" t="n"/>
      <c r="M69" s="141" t="n"/>
      <c r="N69" s="141" t="n"/>
      <c r="O69" s="141" t="n"/>
      <c r="P69" s="141" t="n"/>
      <c r="Q69" s="141" t="n"/>
      <c r="R69" s="141" t="n"/>
      <c r="S69" s="141" t="n"/>
    </row>
    <row r="70" ht="14.25" customHeight="1" s="142">
      <c r="A70" s="135">
        <f>A50+2</f>
        <v/>
      </c>
      <c r="B70" s="135" t="inlineStr">
        <is>
          <t>SR武器升星-物攻4</t>
        </is>
      </c>
      <c r="C70" s="135" t="n">
        <v>4</v>
      </c>
      <c r="D70" s="141">
        <f>ROUND(D50*0.65,0)</f>
        <v/>
      </c>
      <c r="E70" s="141">
        <f>ROUND(E50*0.65,0)</f>
        <v/>
      </c>
      <c r="F70" s="141">
        <f>ROUND(F50*0.65,0)</f>
        <v/>
      </c>
      <c r="G70" s="141">
        <f>ROUND(G50*0.65,0)</f>
        <v/>
      </c>
      <c r="H70" s="141">
        <f>ROUND(H50*0.65,0)</f>
        <v/>
      </c>
      <c r="I70" s="141">
        <f>ROUND(I50*0.65,0)</f>
        <v/>
      </c>
      <c r="J70" s="21" t="n"/>
      <c r="K70" s="141" t="n"/>
      <c r="L70" s="141" t="n"/>
      <c r="M70" s="141" t="n"/>
      <c r="N70" s="141" t="n"/>
      <c r="O70" s="141" t="n"/>
      <c r="P70" s="141" t="n"/>
      <c r="Q70" s="141" t="n"/>
      <c r="R70" s="141" t="n"/>
      <c r="S70" s="141" t="n"/>
    </row>
    <row r="71" ht="14.25" customHeight="1" s="142">
      <c r="A71" s="135">
        <f>A51+2</f>
        <v/>
      </c>
      <c r="B71" s="135" t="inlineStr">
        <is>
          <t>SR武器升星-物攻5</t>
        </is>
      </c>
      <c r="C71" s="135" t="n">
        <v>5</v>
      </c>
      <c r="D71" s="141">
        <f>ROUND(D51*0.65,0)</f>
        <v/>
      </c>
      <c r="E71" s="141">
        <f>ROUND(E51*0.65,0)</f>
        <v/>
      </c>
      <c r="F71" s="141">
        <f>ROUND(F51*0.65,0)</f>
        <v/>
      </c>
      <c r="G71" s="141">
        <f>ROUND(G51*0.65,0)</f>
        <v/>
      </c>
      <c r="H71" s="141">
        <f>ROUND(H51*0.65,0)</f>
        <v/>
      </c>
      <c r="I71" s="141">
        <f>ROUND(I51*0.65,0)</f>
        <v/>
      </c>
      <c r="J71" s="21" t="n">
        <v>1</v>
      </c>
      <c r="K71" s="141" t="n"/>
      <c r="L71" s="141" t="n"/>
      <c r="M71" s="141" t="n"/>
      <c r="N71" s="141" t="n"/>
      <c r="O71" s="141" t="n"/>
      <c r="P71" s="141" t="n"/>
      <c r="Q71" s="141" t="n"/>
      <c r="R71" s="141" t="n"/>
      <c r="S71" s="141" t="n"/>
    </row>
    <row r="72" ht="14.25" customHeight="1" s="142">
      <c r="A72" s="135">
        <f>A52+2</f>
        <v/>
      </c>
      <c r="B72" s="135" t="inlineStr">
        <is>
          <t>SR武器升星-物攻6</t>
        </is>
      </c>
      <c r="C72" s="135" t="n">
        <v>6</v>
      </c>
      <c r="D72" s="141">
        <f>ROUND(D52*0.65,0)</f>
        <v/>
      </c>
      <c r="E72" s="141">
        <f>ROUND(E52*0.65,0)</f>
        <v/>
      </c>
      <c r="F72" s="141">
        <f>ROUND(F52*0.65,0)</f>
        <v/>
      </c>
      <c r="G72" s="141">
        <f>ROUND(G52*0.65,0)</f>
        <v/>
      </c>
      <c r="H72" s="141">
        <f>ROUND(H52*0.65,0)</f>
        <v/>
      </c>
      <c r="I72" s="141">
        <f>ROUND(I52*0.65,0)</f>
        <v/>
      </c>
      <c r="J72" s="21" t="n"/>
      <c r="K72" s="141" t="n">
        <v>0.04</v>
      </c>
      <c r="L72" s="141" t="n"/>
      <c r="M72" s="141" t="n">
        <v>0.04</v>
      </c>
      <c r="N72" s="141" t="n"/>
      <c r="O72" s="141" t="n"/>
      <c r="P72" s="141" t="n"/>
      <c r="Q72" s="141" t="n"/>
      <c r="R72" s="141" t="n"/>
      <c r="S72" s="141" t="n"/>
    </row>
    <row r="73" ht="14.25" customHeight="1" s="142">
      <c r="A73" s="135">
        <f>A53+2</f>
        <v/>
      </c>
      <c r="B73" s="135" t="inlineStr">
        <is>
          <t>SR武器升星-物攻7</t>
        </is>
      </c>
      <c r="C73" s="135" t="n">
        <v>7</v>
      </c>
      <c r="D73" s="141">
        <f>ROUND(D53*0.65,0)</f>
        <v/>
      </c>
      <c r="E73" s="141">
        <f>ROUND(E53*0.65,0)</f>
        <v/>
      </c>
      <c r="F73" s="141">
        <f>ROUND(F53*0.65,0)</f>
        <v/>
      </c>
      <c r="G73" s="141">
        <f>ROUND(G53*0.65,0)</f>
        <v/>
      </c>
      <c r="H73" s="141">
        <f>ROUND(H53*0.65,0)</f>
        <v/>
      </c>
      <c r="I73" s="141">
        <f>ROUND(I53*0.65,0)</f>
        <v/>
      </c>
      <c r="J73" s="21" t="n">
        <v>1</v>
      </c>
      <c r="K73" s="141" t="n">
        <v>0.04</v>
      </c>
      <c r="L73" s="141" t="n"/>
      <c r="M73" s="141" t="n">
        <v>0.04</v>
      </c>
      <c r="N73" s="141" t="n"/>
      <c r="O73" s="141" t="n"/>
      <c r="P73" s="141" t="n"/>
      <c r="Q73" s="141" t="n"/>
      <c r="R73" s="141" t="n"/>
      <c r="S73" s="141" t="n"/>
    </row>
    <row r="74" ht="14.25" customHeight="1" s="142">
      <c r="A74" s="135">
        <f>A54+2</f>
        <v/>
      </c>
      <c r="B74" s="135" t="inlineStr">
        <is>
          <t>SR武器升星-物攻8</t>
        </is>
      </c>
      <c r="C74" s="135" t="n">
        <v>8</v>
      </c>
      <c r="D74" s="141">
        <f>ROUND(D54*0.65,0)</f>
        <v/>
      </c>
      <c r="E74" s="141">
        <f>ROUND(E54*0.65,0)</f>
        <v/>
      </c>
      <c r="F74" s="141">
        <f>ROUND(F54*0.65,0)</f>
        <v/>
      </c>
      <c r="G74" s="141">
        <f>ROUND(G54*0.65,0)</f>
        <v/>
      </c>
      <c r="H74" s="141">
        <f>ROUND(H54*0.65,0)</f>
        <v/>
      </c>
      <c r="I74" s="141">
        <f>ROUND(I54*0.65,0)</f>
        <v/>
      </c>
      <c r="J74" s="21" t="n"/>
      <c r="K74" s="141" t="n">
        <v>0.04</v>
      </c>
      <c r="L74" s="141" t="n"/>
      <c r="M74" s="141" t="n">
        <v>0.04</v>
      </c>
      <c r="N74" s="141" t="n"/>
      <c r="O74" s="141" t="n"/>
      <c r="P74" s="141" t="n"/>
      <c r="Q74" s="141" t="n"/>
      <c r="R74" s="141" t="n"/>
      <c r="S74" s="141" t="n"/>
    </row>
    <row r="75" ht="14.25" customHeight="1" s="142">
      <c r="A75" s="135">
        <f>A55+2</f>
        <v/>
      </c>
      <c r="B75" s="135" t="inlineStr">
        <is>
          <t>SR武器升星-物攻9</t>
        </is>
      </c>
      <c r="C75" s="135" t="n">
        <v>9</v>
      </c>
      <c r="D75" s="141">
        <f>ROUND(D55*0.65,0)</f>
        <v/>
      </c>
      <c r="E75" s="141">
        <f>ROUND(E55*0.65,0)</f>
        <v/>
      </c>
      <c r="F75" s="141">
        <f>ROUND(F55*0.65,0)</f>
        <v/>
      </c>
      <c r="G75" s="141">
        <f>ROUND(G55*0.65,0)</f>
        <v/>
      </c>
      <c r="H75" s="141">
        <f>ROUND(H55*0.65,0)</f>
        <v/>
      </c>
      <c r="I75" s="141">
        <f>ROUND(I55*0.65,0)</f>
        <v/>
      </c>
      <c r="J75" s="21" t="n">
        <v>1</v>
      </c>
      <c r="K75" s="141" t="n">
        <v>0.04</v>
      </c>
      <c r="L75" s="141" t="n"/>
      <c r="M75" s="141" t="n">
        <v>0.04</v>
      </c>
      <c r="N75" s="141" t="n"/>
      <c r="O75" s="141" t="n"/>
      <c r="P75" s="141" t="n"/>
      <c r="Q75" s="141" t="n"/>
      <c r="R75" s="141" t="n"/>
      <c r="S75" s="141" t="n"/>
    </row>
    <row r="76" ht="14.25" customHeight="1" s="142">
      <c r="A76" s="135">
        <f>A56+2</f>
        <v/>
      </c>
      <c r="B76" s="135" t="inlineStr">
        <is>
          <t>SR武器升星-物攻10</t>
        </is>
      </c>
      <c r="C76" s="135" t="n">
        <v>10</v>
      </c>
      <c r="D76" s="141">
        <f>ROUND(D56*0.65,0)</f>
        <v/>
      </c>
      <c r="E76" s="141">
        <f>ROUND(E56*0.65,0)</f>
        <v/>
      </c>
      <c r="F76" s="141">
        <f>ROUND(F56*0.65,0)</f>
        <v/>
      </c>
      <c r="G76" s="141">
        <f>ROUND(G56*0.65,0)</f>
        <v/>
      </c>
      <c r="H76" s="141">
        <f>ROUND(H56*0.65,0)</f>
        <v/>
      </c>
      <c r="I76" s="141">
        <f>ROUND(I56*0.65,0)</f>
        <v/>
      </c>
      <c r="J76" s="21" t="n">
        <v>2</v>
      </c>
      <c r="K76" s="141" t="n">
        <v>0.04</v>
      </c>
      <c r="L76" s="141" t="n"/>
      <c r="M76" s="141" t="n">
        <v>0.04</v>
      </c>
      <c r="N76" s="141" t="n"/>
      <c r="O76" s="141" t="n"/>
      <c r="P76" s="141" t="n"/>
      <c r="Q76" s="141" t="n"/>
      <c r="R76" s="141" t="n"/>
      <c r="S76" s="141" t="n"/>
    </row>
    <row r="77" ht="14.25" customHeight="1" s="142">
      <c r="A77" s="135">
        <f>A57+2</f>
        <v/>
      </c>
      <c r="B77" s="135" t="inlineStr">
        <is>
          <t>SR武器升星-魔攻1</t>
        </is>
      </c>
      <c r="C77" s="135" t="n">
        <v>1</v>
      </c>
      <c r="D77" s="141">
        <f>ROUND(D57*0.65,0)</f>
        <v/>
      </c>
      <c r="E77" s="141">
        <f>ROUND(E57*0.65,0)</f>
        <v/>
      </c>
      <c r="F77" s="141">
        <f>ROUND(F57*0.65,0)</f>
        <v/>
      </c>
      <c r="G77" s="141">
        <f>ROUND(G57*0.65,0)</f>
        <v/>
      </c>
      <c r="H77" s="141">
        <f>ROUND(H57*0.65,0)</f>
        <v/>
      </c>
      <c r="I77" s="141">
        <f>ROUND(I57*0.65,0)</f>
        <v/>
      </c>
      <c r="J77" s="21" t="n">
        <v>1</v>
      </c>
      <c r="K77" s="141" t="n"/>
      <c r="L77" s="141" t="n"/>
      <c r="M77" s="141" t="n"/>
      <c r="N77" s="141" t="n"/>
      <c r="O77" s="141" t="n"/>
      <c r="P77" s="141" t="n"/>
      <c r="Q77" s="141" t="n"/>
      <c r="R77" s="141" t="n"/>
      <c r="S77" s="141" t="n"/>
    </row>
    <row r="78" ht="14.25" customHeight="1" s="142">
      <c r="A78" s="135">
        <f>A58+2</f>
        <v/>
      </c>
      <c r="B78" s="135" t="inlineStr">
        <is>
          <t>SR武器升星-魔攻2</t>
        </is>
      </c>
      <c r="C78" s="135" t="n">
        <v>2</v>
      </c>
      <c r="D78" s="141">
        <f>ROUND(D58*0.65,0)</f>
        <v/>
      </c>
      <c r="E78" s="141">
        <f>ROUND(E58*0.65,0)</f>
        <v/>
      </c>
      <c r="F78" s="141">
        <f>ROUND(F58*0.65,0)</f>
        <v/>
      </c>
      <c r="G78" s="141">
        <f>ROUND(G58*0.65,0)</f>
        <v/>
      </c>
      <c r="H78" s="141">
        <f>ROUND(H58*0.65,0)</f>
        <v/>
      </c>
      <c r="I78" s="141">
        <f>ROUND(I58*0.65,0)</f>
        <v/>
      </c>
      <c r="J78" s="21" t="n"/>
      <c r="K78" s="141" t="n"/>
      <c r="L78" s="141" t="n"/>
      <c r="M78" s="141" t="n"/>
      <c r="N78" s="141" t="n"/>
      <c r="O78" s="141" t="n"/>
      <c r="P78" s="141" t="n"/>
      <c r="Q78" s="141" t="n"/>
      <c r="R78" s="141" t="n"/>
      <c r="S78" s="141" t="n"/>
    </row>
    <row r="79" ht="14.25" customHeight="1" s="142">
      <c r="A79" s="135">
        <f>A59+2</f>
        <v/>
      </c>
      <c r="B79" s="135" t="inlineStr">
        <is>
          <t>SR武器升星-魔攻3</t>
        </is>
      </c>
      <c r="C79" s="135" t="n">
        <v>3</v>
      </c>
      <c r="D79" s="141">
        <f>ROUND(D59*0.65,0)</f>
        <v/>
      </c>
      <c r="E79" s="141">
        <f>ROUND(E59*0.65,0)</f>
        <v/>
      </c>
      <c r="F79" s="141">
        <f>ROUND(F59*0.65,0)</f>
        <v/>
      </c>
      <c r="G79" s="141">
        <f>ROUND(G59*0.65,0)</f>
        <v/>
      </c>
      <c r="H79" s="141">
        <f>ROUND(H59*0.65,0)</f>
        <v/>
      </c>
      <c r="I79" s="141">
        <f>ROUND(I59*0.65,0)</f>
        <v/>
      </c>
      <c r="J79" s="21" t="n">
        <v>1</v>
      </c>
      <c r="K79" s="141" t="n"/>
      <c r="L79" s="141" t="n"/>
      <c r="M79" s="141" t="n"/>
      <c r="N79" s="141" t="n"/>
      <c r="O79" s="141" t="n"/>
      <c r="P79" s="141" t="n"/>
      <c r="Q79" s="141" t="n"/>
      <c r="R79" s="141" t="n"/>
      <c r="S79" s="141" t="n"/>
    </row>
    <row r="80" ht="14.25" customHeight="1" s="142">
      <c r="A80" s="135">
        <f>A60+2</f>
        <v/>
      </c>
      <c r="B80" s="135" t="inlineStr">
        <is>
          <t>SR武器升星-魔攻4</t>
        </is>
      </c>
      <c r="C80" s="135" t="n">
        <v>4</v>
      </c>
      <c r="D80" s="141">
        <f>ROUND(D60*0.65,0)</f>
        <v/>
      </c>
      <c r="E80" s="141">
        <f>ROUND(E60*0.65,0)</f>
        <v/>
      </c>
      <c r="F80" s="141">
        <f>ROUND(F60*0.65,0)</f>
        <v/>
      </c>
      <c r="G80" s="141">
        <f>ROUND(G60*0.65,0)</f>
        <v/>
      </c>
      <c r="H80" s="141">
        <f>ROUND(H60*0.65,0)</f>
        <v/>
      </c>
      <c r="I80" s="141">
        <f>ROUND(I60*0.65,0)</f>
        <v/>
      </c>
      <c r="J80" s="21" t="n"/>
      <c r="K80" s="141" t="n"/>
      <c r="L80" s="141" t="n"/>
      <c r="M80" s="141" t="n"/>
      <c r="N80" s="141" t="n"/>
      <c r="O80" s="141" t="n"/>
      <c r="P80" s="141" t="n"/>
      <c r="Q80" s="141" t="n"/>
      <c r="R80" s="141" t="n"/>
      <c r="S80" s="141" t="n"/>
    </row>
    <row r="81" ht="14.25" customHeight="1" s="142">
      <c r="A81" s="135">
        <f>A61+2</f>
        <v/>
      </c>
      <c r="B81" s="135" t="inlineStr">
        <is>
          <t>SR武器升星-魔攻5</t>
        </is>
      </c>
      <c r="C81" s="135" t="n">
        <v>5</v>
      </c>
      <c r="D81" s="141">
        <f>ROUND(D61*0.65,0)</f>
        <v/>
      </c>
      <c r="E81" s="141">
        <f>ROUND(E61*0.65,0)</f>
        <v/>
      </c>
      <c r="F81" s="141">
        <f>ROUND(F61*0.65,0)</f>
        <v/>
      </c>
      <c r="G81" s="141">
        <f>ROUND(G61*0.65,0)</f>
        <v/>
      </c>
      <c r="H81" s="141">
        <f>ROUND(H61*0.65,0)</f>
        <v/>
      </c>
      <c r="I81" s="141">
        <f>ROUND(I61*0.65,0)</f>
        <v/>
      </c>
      <c r="J81" s="21" t="n">
        <v>1</v>
      </c>
      <c r="K81" s="141" t="n"/>
      <c r="L81" s="141" t="n"/>
      <c r="M81" s="141" t="n"/>
      <c r="N81" s="141" t="n"/>
      <c r="O81" s="141" t="n"/>
      <c r="P81" s="141" t="n"/>
      <c r="Q81" s="141" t="n"/>
      <c r="R81" s="141" t="n"/>
      <c r="S81" s="141" t="n"/>
    </row>
    <row r="82" ht="14.25" customHeight="1" s="142">
      <c r="A82" s="135">
        <f>A62+2</f>
        <v/>
      </c>
      <c r="B82" s="135" t="inlineStr">
        <is>
          <t>SR武器升星-魔攻6</t>
        </is>
      </c>
      <c r="C82" s="135" t="n">
        <v>6</v>
      </c>
      <c r="D82" s="141">
        <f>ROUND(D62*0.65,0)</f>
        <v/>
      </c>
      <c r="E82" s="141">
        <f>ROUND(E62*0.65,0)</f>
        <v/>
      </c>
      <c r="F82" s="141">
        <f>ROUND(F62*0.65,0)</f>
        <v/>
      </c>
      <c r="G82" s="141">
        <f>ROUND(G62*0.65,0)</f>
        <v/>
      </c>
      <c r="H82" s="141">
        <f>ROUND(H62*0.65,0)</f>
        <v/>
      </c>
      <c r="I82" s="141">
        <f>ROUND(I62*0.65,0)</f>
        <v/>
      </c>
      <c r="J82" s="21" t="n"/>
      <c r="K82" s="141" t="n">
        <v>0.03</v>
      </c>
      <c r="L82" s="141" t="n"/>
      <c r="M82" s="141" t="n">
        <v>0.03</v>
      </c>
      <c r="N82" s="141" t="n"/>
      <c r="O82" s="141" t="n"/>
      <c r="P82" s="141" t="n"/>
      <c r="Q82" s="141" t="n"/>
      <c r="R82" s="141" t="n"/>
      <c r="S82" s="141" t="n"/>
    </row>
    <row r="83" ht="14.25" customHeight="1" s="142">
      <c r="A83" s="135">
        <f>A63+2</f>
        <v/>
      </c>
      <c r="B83" s="135" t="inlineStr">
        <is>
          <t>SR武器升星-魔攻7</t>
        </is>
      </c>
      <c r="C83" s="135" t="n">
        <v>7</v>
      </c>
      <c r="D83" s="141">
        <f>ROUND(D63*0.65,0)</f>
        <v/>
      </c>
      <c r="E83" s="141">
        <f>ROUND(E63*0.65,0)</f>
        <v/>
      </c>
      <c r="F83" s="141">
        <f>ROUND(F63*0.65,0)</f>
        <v/>
      </c>
      <c r="G83" s="141">
        <f>ROUND(G63*0.65,0)</f>
        <v/>
      </c>
      <c r="H83" s="141">
        <f>ROUND(H63*0.65,0)</f>
        <v/>
      </c>
      <c r="I83" s="141">
        <f>ROUND(I63*0.65,0)</f>
        <v/>
      </c>
      <c r="J83" s="21" t="n">
        <v>1</v>
      </c>
      <c r="K83" s="141" t="n">
        <v>0.03</v>
      </c>
      <c r="L83" s="141" t="n"/>
      <c r="M83" s="141" t="n">
        <v>0.03</v>
      </c>
      <c r="N83" s="141" t="n"/>
      <c r="O83" s="141" t="n"/>
      <c r="P83" s="141" t="n"/>
      <c r="Q83" s="141" t="n"/>
      <c r="R83" s="141" t="n"/>
      <c r="S83" s="141" t="n"/>
    </row>
    <row r="84" ht="14.25" customHeight="1" s="142">
      <c r="A84" s="135">
        <f>A64+2</f>
        <v/>
      </c>
      <c r="B84" s="135" t="inlineStr">
        <is>
          <t>SR武器升星-魔攻8</t>
        </is>
      </c>
      <c r="C84" s="135" t="n">
        <v>8</v>
      </c>
      <c r="D84" s="141">
        <f>ROUND(D64*0.65,0)</f>
        <v/>
      </c>
      <c r="E84" s="141">
        <f>ROUND(E64*0.65,0)</f>
        <v/>
      </c>
      <c r="F84" s="141">
        <f>ROUND(F64*0.65,0)</f>
        <v/>
      </c>
      <c r="G84" s="141">
        <f>ROUND(G64*0.65,0)</f>
        <v/>
      </c>
      <c r="H84" s="141">
        <f>ROUND(H64*0.65,0)</f>
        <v/>
      </c>
      <c r="I84" s="141">
        <f>ROUND(I64*0.65,0)</f>
        <v/>
      </c>
      <c r="J84" s="21" t="n"/>
      <c r="K84" s="141" t="n">
        <v>0.03</v>
      </c>
      <c r="L84" s="141" t="n"/>
      <c r="M84" s="141" t="n">
        <v>0.03</v>
      </c>
      <c r="N84" s="141" t="n"/>
      <c r="O84" s="141" t="n"/>
      <c r="P84" s="141" t="n"/>
      <c r="Q84" s="141" t="n"/>
      <c r="R84" s="141" t="n"/>
      <c r="S84" s="141" t="n"/>
    </row>
    <row r="85" ht="14.25" customHeight="1" s="142">
      <c r="A85" s="135">
        <f>A65+2</f>
        <v/>
      </c>
      <c r="B85" s="135" t="inlineStr">
        <is>
          <t>SR武器升星-魔攻9</t>
        </is>
      </c>
      <c r="C85" s="135" t="n">
        <v>9</v>
      </c>
      <c r="D85" s="141">
        <f>ROUND(D65*0.65,0)</f>
        <v/>
      </c>
      <c r="E85" s="141">
        <f>ROUND(E65*0.65,0)</f>
        <v/>
      </c>
      <c r="F85" s="141">
        <f>ROUND(F65*0.65,0)</f>
        <v/>
      </c>
      <c r="G85" s="141">
        <f>ROUND(G65*0.65,0)</f>
        <v/>
      </c>
      <c r="H85" s="141">
        <f>ROUND(H65*0.65,0)</f>
        <v/>
      </c>
      <c r="I85" s="141">
        <f>ROUND(I65*0.65,0)</f>
        <v/>
      </c>
      <c r="J85" s="21" t="n">
        <v>1</v>
      </c>
      <c r="K85" s="141" t="n">
        <v>0.03</v>
      </c>
      <c r="L85" s="141" t="n"/>
      <c r="M85" s="141" t="n">
        <v>0.03</v>
      </c>
      <c r="N85" s="141" t="n"/>
      <c r="O85" s="141" t="n"/>
      <c r="P85" s="141" t="n"/>
      <c r="Q85" s="141" t="n"/>
      <c r="R85" s="141" t="n"/>
      <c r="S85" s="141" t="n"/>
    </row>
    <row r="86" ht="14.25" customHeight="1" s="142">
      <c r="A86" s="135">
        <f>A66+2</f>
        <v/>
      </c>
      <c r="B86" s="135" t="inlineStr">
        <is>
          <t>SR武器升星-魔攻10</t>
        </is>
      </c>
      <c r="C86" s="135" t="n">
        <v>10</v>
      </c>
      <c r="D86" s="141">
        <f>ROUND(D66*0.65,0)</f>
        <v/>
      </c>
      <c r="E86" s="141">
        <f>ROUND(E66*0.65,0)</f>
        <v/>
      </c>
      <c r="F86" s="141">
        <f>ROUND(F66*0.65,0)</f>
        <v/>
      </c>
      <c r="G86" s="141">
        <f>ROUND(G66*0.65,0)</f>
        <v/>
      </c>
      <c r="H86" s="141">
        <f>ROUND(H66*0.65,0)</f>
        <v/>
      </c>
      <c r="I86" s="141">
        <f>ROUND(I66*0.65,0)</f>
        <v/>
      </c>
      <c r="J86" s="21" t="n">
        <v>2</v>
      </c>
      <c r="K86" s="141" t="n">
        <v>0.03</v>
      </c>
      <c r="L86" s="141" t="n"/>
      <c r="M86" s="141" t="n">
        <v>0.03</v>
      </c>
      <c r="N86" s="141" t="n"/>
      <c r="O86" s="141" t="n"/>
      <c r="P86" s="141" t="n"/>
      <c r="Q86" s="141" t="n"/>
      <c r="R86" s="141" t="n"/>
      <c r="S86" s="141" t="n"/>
    </row>
    <row r="87" ht="14.25" customHeight="1" s="142">
      <c r="A87" s="135">
        <f>A67+2</f>
        <v/>
      </c>
      <c r="B87" s="135" t="inlineStr">
        <is>
          <t>R武器升星-物攻1</t>
        </is>
      </c>
      <c r="C87" s="135" t="n">
        <v>1</v>
      </c>
      <c r="D87" s="141">
        <f>ROUND(D67*0.8,0)</f>
        <v/>
      </c>
      <c r="E87" s="141">
        <f>ROUND(E67*0.8,0)</f>
        <v/>
      </c>
      <c r="F87" s="141">
        <f>ROUND(F67*0.8,0)</f>
        <v/>
      </c>
      <c r="G87" s="141">
        <f>ROUND(G67*0.8,0)</f>
        <v/>
      </c>
      <c r="H87" s="141">
        <f>ROUND(H67*0.8,0)</f>
        <v/>
      </c>
      <c r="I87" s="141">
        <f>ROUND(I67*0.8,0)</f>
        <v/>
      </c>
      <c r="J87" s="21" t="n">
        <v>1</v>
      </c>
      <c r="K87" s="141" t="n"/>
      <c r="L87" s="141" t="n"/>
      <c r="M87" s="141" t="n"/>
      <c r="N87" s="141" t="n"/>
      <c r="O87" s="141" t="n"/>
      <c r="P87" s="141" t="n"/>
      <c r="Q87" s="141" t="n"/>
      <c r="R87" s="141" t="n"/>
      <c r="S87" s="141" t="n"/>
    </row>
    <row r="88" ht="14.25" customHeight="1" s="142">
      <c r="A88" s="135">
        <f>A68+2</f>
        <v/>
      </c>
      <c r="B88" s="135" t="inlineStr">
        <is>
          <t>R武器升星-物攻2</t>
        </is>
      </c>
      <c r="C88" s="135" t="n">
        <v>2</v>
      </c>
      <c r="D88" s="141">
        <f>ROUND(D68*0.8,0)</f>
        <v/>
      </c>
      <c r="E88" s="141">
        <f>ROUND(E68*0.8,0)</f>
        <v/>
      </c>
      <c r="F88" s="141">
        <f>ROUND(F68*0.8,0)</f>
        <v/>
      </c>
      <c r="G88" s="141">
        <f>ROUND(G68*0.8,0)</f>
        <v/>
      </c>
      <c r="H88" s="141">
        <f>ROUND(H68*0.8,0)</f>
        <v/>
      </c>
      <c r="I88" s="141">
        <f>ROUND(I68*0.8,0)</f>
        <v/>
      </c>
      <c r="J88" s="21" t="n"/>
      <c r="K88" s="141" t="n"/>
      <c r="L88" s="141" t="n"/>
      <c r="M88" s="141" t="n"/>
      <c r="N88" s="141" t="n"/>
      <c r="O88" s="141" t="n"/>
      <c r="P88" s="141" t="n"/>
      <c r="Q88" s="141" t="n"/>
      <c r="R88" s="141" t="n"/>
      <c r="S88" s="141" t="n"/>
    </row>
    <row r="89" ht="14.25" customHeight="1" s="142">
      <c r="A89" s="135">
        <f>A69+2</f>
        <v/>
      </c>
      <c r="B89" s="135" t="inlineStr">
        <is>
          <t>R武器升星-物攻3</t>
        </is>
      </c>
      <c r="C89" s="135" t="n">
        <v>3</v>
      </c>
      <c r="D89" s="141">
        <f>ROUND(D69*0.8,0)</f>
        <v/>
      </c>
      <c r="E89" s="141">
        <f>ROUND(E69*0.8,0)</f>
        <v/>
      </c>
      <c r="F89" s="141">
        <f>ROUND(F69*0.8,0)</f>
        <v/>
      </c>
      <c r="G89" s="141">
        <f>ROUND(G69*0.8,0)</f>
        <v/>
      </c>
      <c r="H89" s="141">
        <f>ROUND(H69*0.8,0)</f>
        <v/>
      </c>
      <c r="I89" s="141">
        <f>ROUND(I69*0.8,0)</f>
        <v/>
      </c>
      <c r="J89" s="21" t="n">
        <v>1</v>
      </c>
      <c r="K89" s="141" t="n"/>
      <c r="L89" s="141" t="n"/>
      <c r="M89" s="141" t="n"/>
      <c r="N89" s="141" t="n"/>
      <c r="O89" s="141" t="n"/>
      <c r="P89" s="141" t="n"/>
      <c r="Q89" s="141" t="n"/>
      <c r="R89" s="141" t="n"/>
      <c r="S89" s="141" t="n"/>
    </row>
    <row r="90" ht="14.25" customHeight="1" s="142">
      <c r="A90" s="135">
        <f>A70+2</f>
        <v/>
      </c>
      <c r="B90" s="135" t="inlineStr">
        <is>
          <t>R武器升星-物攻4</t>
        </is>
      </c>
      <c r="C90" s="135" t="n">
        <v>4</v>
      </c>
      <c r="D90" s="141">
        <f>ROUND(D70*0.8,0)</f>
        <v/>
      </c>
      <c r="E90" s="141">
        <f>ROUND(E70*0.8,0)</f>
        <v/>
      </c>
      <c r="F90" s="141">
        <f>ROUND(F70*0.8,0)</f>
        <v/>
      </c>
      <c r="G90" s="141">
        <f>ROUND(G70*0.8,0)</f>
        <v/>
      </c>
      <c r="H90" s="141">
        <f>ROUND(H70*0.8,0)</f>
        <v/>
      </c>
      <c r="I90" s="141">
        <f>ROUND(I70*0.8,0)</f>
        <v/>
      </c>
      <c r="J90" s="21" t="n"/>
      <c r="K90" s="141" t="n"/>
      <c r="L90" s="141" t="n"/>
      <c r="M90" s="141" t="n"/>
      <c r="N90" s="141" t="n"/>
      <c r="O90" s="141" t="n"/>
      <c r="P90" s="141" t="n"/>
      <c r="Q90" s="141" t="n"/>
      <c r="R90" s="141" t="n"/>
      <c r="S90" s="141" t="n"/>
    </row>
    <row r="91" ht="14.25" customHeight="1" s="142">
      <c r="A91" s="135">
        <f>A71+2</f>
        <v/>
      </c>
      <c r="B91" s="135" t="inlineStr">
        <is>
          <t>R武器升星-物攻5</t>
        </is>
      </c>
      <c r="C91" s="135" t="n">
        <v>5</v>
      </c>
      <c r="D91" s="141">
        <f>ROUND(D71*0.8,0)</f>
        <v/>
      </c>
      <c r="E91" s="141">
        <f>ROUND(E71*0.8,0)</f>
        <v/>
      </c>
      <c r="F91" s="141">
        <f>ROUND(F71*0.8,0)</f>
        <v/>
      </c>
      <c r="G91" s="141">
        <f>ROUND(G71*0.8,0)</f>
        <v/>
      </c>
      <c r="H91" s="141">
        <f>ROUND(H71*0.8,0)</f>
        <v/>
      </c>
      <c r="I91" s="141">
        <f>ROUND(I71*0.8,0)</f>
        <v/>
      </c>
      <c r="J91" s="21" t="n">
        <v>1</v>
      </c>
      <c r="K91" s="141" t="n"/>
      <c r="L91" s="141" t="n"/>
      <c r="M91" s="141" t="n"/>
      <c r="N91" s="141" t="n"/>
      <c r="O91" s="141" t="n"/>
      <c r="P91" s="141" t="n"/>
      <c r="Q91" s="141" t="n"/>
      <c r="R91" s="141" t="n"/>
      <c r="S91" s="141" t="n"/>
    </row>
    <row r="92" ht="14.25" customHeight="1" s="142">
      <c r="A92" s="135">
        <f>A72+2</f>
        <v/>
      </c>
      <c r="B92" s="135" t="inlineStr">
        <is>
          <t>R武器升星-物攻6</t>
        </is>
      </c>
      <c r="C92" s="135" t="n">
        <v>6</v>
      </c>
      <c r="D92" s="141">
        <f>ROUND(D72*0.8,0)</f>
        <v/>
      </c>
      <c r="E92" s="141">
        <f>ROUND(E72*0.8,0)</f>
        <v/>
      </c>
      <c r="F92" s="141">
        <f>ROUND(F72*0.8,0)</f>
        <v/>
      </c>
      <c r="G92" s="141">
        <f>ROUND(G72*0.8,0)</f>
        <v/>
      </c>
      <c r="H92" s="141">
        <f>ROUND(H72*0.8,0)</f>
        <v/>
      </c>
      <c r="I92" s="141">
        <f>ROUND(I72*0.8,0)</f>
        <v/>
      </c>
      <c r="J92" s="21" t="n"/>
      <c r="K92" s="141" t="n">
        <v>0.05</v>
      </c>
      <c r="L92" s="141" t="n"/>
      <c r="M92" s="141" t="n">
        <v>0.05</v>
      </c>
      <c r="N92" s="141" t="n"/>
      <c r="O92" s="141" t="n"/>
      <c r="P92" s="141" t="n"/>
      <c r="Q92" s="141" t="n"/>
      <c r="R92" s="141" t="n"/>
      <c r="S92" s="141" t="n"/>
    </row>
    <row r="93" ht="14.25" customHeight="1" s="142">
      <c r="A93" s="135">
        <f>A73+2</f>
        <v/>
      </c>
      <c r="B93" s="135" t="inlineStr">
        <is>
          <t>R武器升星-物攻7</t>
        </is>
      </c>
      <c r="C93" s="135" t="n">
        <v>7</v>
      </c>
      <c r="D93" s="141">
        <f>ROUND(D73*0.8,0)</f>
        <v/>
      </c>
      <c r="E93" s="141">
        <f>ROUND(E73*0.8,0)</f>
        <v/>
      </c>
      <c r="F93" s="141">
        <f>ROUND(F73*0.8,0)</f>
        <v/>
      </c>
      <c r="G93" s="141">
        <f>ROUND(G73*0.8,0)</f>
        <v/>
      </c>
      <c r="H93" s="141">
        <f>ROUND(H73*0.8,0)</f>
        <v/>
      </c>
      <c r="I93" s="141">
        <f>ROUND(I73*0.8,0)</f>
        <v/>
      </c>
      <c r="J93" s="21" t="n">
        <v>1</v>
      </c>
      <c r="K93" s="141" t="n">
        <v>0.05</v>
      </c>
      <c r="L93" s="141" t="n"/>
      <c r="M93" s="141" t="n">
        <v>0.05</v>
      </c>
      <c r="N93" s="141" t="n"/>
      <c r="O93" s="141" t="n"/>
      <c r="P93" s="141" t="n"/>
      <c r="Q93" s="141" t="n"/>
      <c r="R93" s="141" t="n"/>
      <c r="S93" s="141" t="n"/>
    </row>
    <row r="94" ht="14.25" customHeight="1" s="142">
      <c r="A94" s="135">
        <f>A74+2</f>
        <v/>
      </c>
      <c r="B94" s="135" t="inlineStr">
        <is>
          <t>R武器升星-物攻8</t>
        </is>
      </c>
      <c r="C94" s="135" t="n">
        <v>8</v>
      </c>
      <c r="D94" s="141">
        <f>ROUND(D74*0.8,0)</f>
        <v/>
      </c>
      <c r="E94" s="141">
        <f>ROUND(E74*0.8,0)</f>
        <v/>
      </c>
      <c r="F94" s="141">
        <f>ROUND(F74*0.8,0)</f>
        <v/>
      </c>
      <c r="G94" s="141">
        <f>ROUND(G74*0.8,0)</f>
        <v/>
      </c>
      <c r="H94" s="141">
        <f>ROUND(H74*0.8,0)</f>
        <v/>
      </c>
      <c r="I94" s="141">
        <f>ROUND(I74*0.8,0)</f>
        <v/>
      </c>
      <c r="J94" s="21" t="n"/>
      <c r="K94" s="141" t="n">
        <v>0.05</v>
      </c>
      <c r="L94" s="141" t="n"/>
      <c r="M94" s="141" t="n">
        <v>0.05</v>
      </c>
      <c r="N94" s="141" t="n"/>
      <c r="O94" s="141" t="n"/>
      <c r="P94" s="141" t="n"/>
      <c r="Q94" s="141" t="n"/>
      <c r="R94" s="141" t="n"/>
      <c r="S94" s="141" t="n"/>
    </row>
    <row r="95" ht="14.25" customHeight="1" s="142">
      <c r="A95" s="135">
        <f>A75+2</f>
        <v/>
      </c>
      <c r="B95" s="135" t="inlineStr">
        <is>
          <t>R武器升星-物攻9</t>
        </is>
      </c>
      <c r="C95" s="135" t="n">
        <v>9</v>
      </c>
      <c r="D95" s="141">
        <f>ROUND(D75*0.8,0)</f>
        <v/>
      </c>
      <c r="E95" s="141">
        <f>ROUND(E75*0.8,0)</f>
        <v/>
      </c>
      <c r="F95" s="141">
        <f>ROUND(F75*0.8,0)</f>
        <v/>
      </c>
      <c r="G95" s="141">
        <f>ROUND(G75*0.8,0)</f>
        <v/>
      </c>
      <c r="H95" s="141">
        <f>ROUND(H75*0.8,0)</f>
        <v/>
      </c>
      <c r="I95" s="141">
        <f>ROUND(I75*0.8,0)</f>
        <v/>
      </c>
      <c r="J95" s="21" t="n">
        <v>1</v>
      </c>
      <c r="K95" s="141" t="n">
        <v>0.05</v>
      </c>
      <c r="L95" s="141" t="n"/>
      <c r="M95" s="141" t="n">
        <v>0.05</v>
      </c>
      <c r="N95" s="141" t="n"/>
      <c r="O95" s="141" t="n"/>
      <c r="P95" s="141" t="n"/>
      <c r="Q95" s="141" t="n"/>
      <c r="R95" s="141" t="n"/>
      <c r="S95" s="141" t="n"/>
    </row>
    <row r="96" ht="14.25" customHeight="1" s="142">
      <c r="A96" s="135">
        <f>A76+2</f>
        <v/>
      </c>
      <c r="B96" s="135" t="inlineStr">
        <is>
          <t>R武器升星-物攻10</t>
        </is>
      </c>
      <c r="C96" s="135" t="n">
        <v>10</v>
      </c>
      <c r="D96" s="141">
        <f>ROUND(D76*0.8,0)</f>
        <v/>
      </c>
      <c r="E96" s="141">
        <f>ROUND(E76*0.8,0)</f>
        <v/>
      </c>
      <c r="F96" s="141">
        <f>ROUND(F76*0.8,0)</f>
        <v/>
      </c>
      <c r="G96" s="141">
        <f>ROUND(G76*0.8,0)</f>
        <v/>
      </c>
      <c r="H96" s="141">
        <f>ROUND(H76*0.8,0)</f>
        <v/>
      </c>
      <c r="I96" s="141">
        <f>ROUND(I76*0.8,0)</f>
        <v/>
      </c>
      <c r="J96" s="21" t="n">
        <v>2</v>
      </c>
      <c r="K96" s="141" t="n">
        <v>0.05</v>
      </c>
      <c r="L96" s="141" t="n"/>
      <c r="M96" s="141" t="n">
        <v>0.05</v>
      </c>
      <c r="N96" s="141" t="n"/>
      <c r="O96" s="141" t="n"/>
      <c r="P96" s="141" t="n"/>
      <c r="Q96" s="141" t="n"/>
      <c r="R96" s="141" t="n"/>
      <c r="S96" s="141" t="n"/>
    </row>
    <row r="97" ht="14.25" customHeight="1" s="142">
      <c r="A97" s="135">
        <f>A77+2</f>
        <v/>
      </c>
      <c r="B97" s="135" t="inlineStr">
        <is>
          <t>R武器升星-魔攻1</t>
        </is>
      </c>
      <c r="C97" s="135" t="n">
        <v>1</v>
      </c>
      <c r="D97" s="141">
        <f>ROUND(D77*0.8,0)</f>
        <v/>
      </c>
      <c r="E97" s="141">
        <f>ROUND(E77*0.8,0)</f>
        <v/>
      </c>
      <c r="F97" s="141">
        <f>ROUND(F77*0.8,0)</f>
        <v/>
      </c>
      <c r="G97" s="141">
        <f>ROUND(G77*0.8,0)</f>
        <v/>
      </c>
      <c r="H97" s="141">
        <f>ROUND(H77*0.8,0)</f>
        <v/>
      </c>
      <c r="I97" s="141">
        <f>ROUND(I77*0.8,0)</f>
        <v/>
      </c>
      <c r="J97" s="21" t="n">
        <v>1</v>
      </c>
      <c r="K97" s="141" t="n"/>
      <c r="L97" s="141" t="n"/>
      <c r="M97" s="141" t="n"/>
      <c r="N97" s="141" t="n"/>
      <c r="O97" s="141" t="n"/>
      <c r="P97" s="141" t="n"/>
      <c r="Q97" s="141" t="n"/>
      <c r="R97" s="141" t="n"/>
      <c r="S97" s="141" t="n"/>
    </row>
    <row r="98" ht="14.25" customHeight="1" s="142">
      <c r="A98" s="135">
        <f>A78+2</f>
        <v/>
      </c>
      <c r="B98" s="135" t="inlineStr">
        <is>
          <t>R武器升星-魔攻2</t>
        </is>
      </c>
      <c r="C98" s="135" t="n">
        <v>2</v>
      </c>
      <c r="D98" s="141">
        <f>ROUND(D78*0.8,0)</f>
        <v/>
      </c>
      <c r="E98" s="141">
        <f>ROUND(E78*0.8,0)</f>
        <v/>
      </c>
      <c r="F98" s="141">
        <f>ROUND(F78*0.8,0)</f>
        <v/>
      </c>
      <c r="G98" s="141">
        <f>ROUND(G78*0.8,0)</f>
        <v/>
      </c>
      <c r="H98" s="141">
        <f>ROUND(H78*0.8,0)</f>
        <v/>
      </c>
      <c r="I98" s="141">
        <f>ROUND(I78*0.8,0)</f>
        <v/>
      </c>
      <c r="J98" s="21" t="n"/>
      <c r="K98" s="141" t="n"/>
      <c r="L98" s="141" t="n"/>
      <c r="M98" s="141" t="n"/>
      <c r="N98" s="141" t="n"/>
      <c r="O98" s="141" t="n"/>
      <c r="P98" s="141" t="n"/>
      <c r="Q98" s="141" t="n"/>
      <c r="R98" s="141" t="n"/>
      <c r="S98" s="141" t="n"/>
    </row>
    <row r="99" ht="14.25" customHeight="1" s="142">
      <c r="A99" s="135">
        <f>A79+2</f>
        <v/>
      </c>
      <c r="B99" s="135" t="inlineStr">
        <is>
          <t>R武器升星-魔攻3</t>
        </is>
      </c>
      <c r="C99" s="135" t="n">
        <v>3</v>
      </c>
      <c r="D99" s="141">
        <f>ROUND(D79*0.8,0)</f>
        <v/>
      </c>
      <c r="E99" s="141">
        <f>ROUND(E79*0.8,0)</f>
        <v/>
      </c>
      <c r="F99" s="141">
        <f>ROUND(F79*0.8,0)</f>
        <v/>
      </c>
      <c r="G99" s="141">
        <f>ROUND(G79*0.8,0)</f>
        <v/>
      </c>
      <c r="H99" s="141">
        <f>ROUND(H79*0.8,0)</f>
        <v/>
      </c>
      <c r="I99" s="141">
        <f>ROUND(I79*0.8,0)</f>
        <v/>
      </c>
      <c r="J99" s="21" t="n">
        <v>1</v>
      </c>
      <c r="K99" s="141" t="n"/>
      <c r="L99" s="141" t="n"/>
      <c r="M99" s="141" t="n"/>
      <c r="N99" s="141" t="n"/>
      <c r="O99" s="141" t="n"/>
      <c r="P99" s="141" t="n"/>
      <c r="Q99" s="141" t="n"/>
      <c r="R99" s="141" t="n"/>
      <c r="S99" s="141" t="n"/>
    </row>
    <row r="100" ht="14.25" customHeight="1" s="142">
      <c r="A100" s="135">
        <f>A80+2</f>
        <v/>
      </c>
      <c r="B100" s="135" t="inlineStr">
        <is>
          <t>R武器升星-魔攻4</t>
        </is>
      </c>
      <c r="C100" s="135" t="n">
        <v>4</v>
      </c>
      <c r="D100" s="141">
        <f>ROUND(D80*0.8,0)</f>
        <v/>
      </c>
      <c r="E100" s="141">
        <f>ROUND(E80*0.8,0)</f>
        <v/>
      </c>
      <c r="F100" s="141">
        <f>ROUND(F80*0.8,0)</f>
        <v/>
      </c>
      <c r="G100" s="141">
        <f>ROUND(G80*0.8,0)</f>
        <v/>
      </c>
      <c r="H100" s="141">
        <f>ROUND(H80*0.8,0)</f>
        <v/>
      </c>
      <c r="I100" s="141">
        <f>ROUND(I80*0.8,0)</f>
        <v/>
      </c>
      <c r="J100" s="21" t="n"/>
      <c r="K100" s="141" t="n"/>
      <c r="L100" s="141" t="n"/>
      <c r="M100" s="141" t="n"/>
      <c r="N100" s="141" t="n"/>
      <c r="O100" s="141" t="n"/>
      <c r="P100" s="141" t="n"/>
      <c r="Q100" s="141" t="n"/>
      <c r="R100" s="141" t="n"/>
      <c r="S100" s="141" t="n"/>
    </row>
    <row r="101" ht="14.25" customHeight="1" s="142">
      <c r="A101" s="135">
        <f>A81+2</f>
        <v/>
      </c>
      <c r="B101" s="135" t="inlineStr">
        <is>
          <t>R武器升星-魔攻5</t>
        </is>
      </c>
      <c r="C101" s="135" t="n">
        <v>5</v>
      </c>
      <c r="D101" s="141">
        <f>ROUND(D81*0.8,0)</f>
        <v/>
      </c>
      <c r="E101" s="141">
        <f>ROUND(E81*0.8,0)</f>
        <v/>
      </c>
      <c r="F101" s="141">
        <f>ROUND(F81*0.8,0)</f>
        <v/>
      </c>
      <c r="G101" s="141">
        <f>ROUND(G81*0.8,0)</f>
        <v/>
      </c>
      <c r="H101" s="141">
        <f>ROUND(H81*0.8,0)</f>
        <v/>
      </c>
      <c r="I101" s="141">
        <f>ROUND(I81*0.8,0)</f>
        <v/>
      </c>
      <c r="J101" s="21" t="n">
        <v>1</v>
      </c>
      <c r="K101" s="141" t="n"/>
      <c r="L101" s="141" t="n"/>
      <c r="M101" s="141" t="n"/>
      <c r="N101" s="141" t="n"/>
      <c r="O101" s="141" t="n"/>
      <c r="P101" s="141" t="n"/>
      <c r="Q101" s="141" t="n"/>
      <c r="R101" s="141" t="n"/>
      <c r="S101" s="141" t="n"/>
    </row>
    <row r="102" ht="14.25" customHeight="1" s="142">
      <c r="A102" s="135">
        <f>A82+2</f>
        <v/>
      </c>
      <c r="B102" s="135" t="inlineStr">
        <is>
          <t>R武器升星-魔攻6</t>
        </is>
      </c>
      <c r="C102" s="135" t="n">
        <v>6</v>
      </c>
      <c r="D102" s="141">
        <f>ROUND(D82*0.8,0)</f>
        <v/>
      </c>
      <c r="E102" s="141">
        <f>ROUND(E82*0.8,0)</f>
        <v/>
      </c>
      <c r="F102" s="141">
        <f>ROUND(F82*0.8,0)</f>
        <v/>
      </c>
      <c r="G102" s="141">
        <f>ROUND(G82*0.8,0)</f>
        <v/>
      </c>
      <c r="H102" s="141">
        <f>ROUND(H82*0.8,0)</f>
        <v/>
      </c>
      <c r="I102" s="141">
        <f>ROUND(I82*0.8,0)</f>
        <v/>
      </c>
      <c r="J102" s="21" t="n"/>
      <c r="K102" s="141" t="n">
        <v>0.05</v>
      </c>
      <c r="L102" s="141" t="n"/>
      <c r="M102" s="141" t="n">
        <v>0.05</v>
      </c>
      <c r="N102" s="141" t="n"/>
      <c r="O102" s="141" t="n"/>
      <c r="P102" s="141" t="n"/>
      <c r="Q102" s="141" t="n"/>
      <c r="R102" s="141" t="n"/>
      <c r="S102" s="141" t="n"/>
    </row>
    <row r="103" ht="14.25" customHeight="1" s="142">
      <c r="A103" s="135">
        <f>A83+2</f>
        <v/>
      </c>
      <c r="B103" s="135" t="inlineStr">
        <is>
          <t>R武器升星-魔攻7</t>
        </is>
      </c>
      <c r="C103" s="135" t="n">
        <v>7</v>
      </c>
      <c r="D103" s="141">
        <f>ROUND(D83*0.8,0)</f>
        <v/>
      </c>
      <c r="E103" s="141">
        <f>ROUND(E83*0.8,0)</f>
        <v/>
      </c>
      <c r="F103" s="141">
        <f>ROUND(F83*0.8,0)</f>
        <v/>
      </c>
      <c r="G103" s="141">
        <f>ROUND(G83*0.8,0)</f>
        <v/>
      </c>
      <c r="H103" s="141">
        <f>ROUND(H83*0.8,0)</f>
        <v/>
      </c>
      <c r="I103" s="141">
        <f>ROUND(I83*0.8,0)</f>
        <v/>
      </c>
      <c r="J103" s="21" t="n">
        <v>1</v>
      </c>
      <c r="K103" s="141" t="n">
        <v>0.05</v>
      </c>
      <c r="L103" s="141" t="n"/>
      <c r="M103" s="141" t="n">
        <v>0.05</v>
      </c>
      <c r="N103" s="141" t="n"/>
      <c r="O103" s="141" t="n"/>
      <c r="P103" s="141" t="n"/>
      <c r="Q103" s="141" t="n"/>
      <c r="R103" s="141" t="n"/>
      <c r="S103" s="141" t="n"/>
    </row>
    <row r="104" ht="14.25" customHeight="1" s="142">
      <c r="A104" s="135">
        <f>A84+2</f>
        <v/>
      </c>
      <c r="B104" s="135" t="inlineStr">
        <is>
          <t>R武器升星-魔攻8</t>
        </is>
      </c>
      <c r="C104" s="135" t="n">
        <v>8</v>
      </c>
      <c r="D104" s="141">
        <f>ROUND(D84*0.8,0)</f>
        <v/>
      </c>
      <c r="E104" s="141">
        <f>ROUND(E84*0.8,0)</f>
        <v/>
      </c>
      <c r="F104" s="141">
        <f>ROUND(F84*0.8,0)</f>
        <v/>
      </c>
      <c r="G104" s="141">
        <f>ROUND(G84*0.8,0)</f>
        <v/>
      </c>
      <c r="H104" s="141">
        <f>ROUND(H84*0.8,0)</f>
        <v/>
      </c>
      <c r="I104" s="141">
        <f>ROUND(I84*0.8,0)</f>
        <v/>
      </c>
      <c r="J104" s="21" t="n"/>
      <c r="K104" s="141" t="n">
        <v>0.05</v>
      </c>
      <c r="L104" s="141" t="n"/>
      <c r="M104" s="141" t="n">
        <v>0.05</v>
      </c>
      <c r="N104" s="141" t="n"/>
      <c r="O104" s="141" t="n"/>
      <c r="P104" s="141" t="n"/>
      <c r="Q104" s="141" t="n"/>
      <c r="R104" s="141" t="n"/>
      <c r="S104" s="141" t="n"/>
    </row>
    <row r="105" ht="14.25" customHeight="1" s="142">
      <c r="A105" s="135">
        <f>A85+2</f>
        <v/>
      </c>
      <c r="B105" s="135" t="inlineStr">
        <is>
          <t>R武器升星-魔攻9</t>
        </is>
      </c>
      <c r="C105" s="135" t="n">
        <v>9</v>
      </c>
      <c r="D105" s="141">
        <f>ROUND(D85*0.8,0)</f>
        <v/>
      </c>
      <c r="E105" s="141">
        <f>ROUND(E85*0.8,0)</f>
        <v/>
      </c>
      <c r="F105" s="141">
        <f>ROUND(F85*0.8,0)</f>
        <v/>
      </c>
      <c r="G105" s="141">
        <f>ROUND(G85*0.8,0)</f>
        <v/>
      </c>
      <c r="H105" s="141">
        <f>ROUND(H85*0.8,0)</f>
        <v/>
      </c>
      <c r="I105" s="141">
        <f>ROUND(I85*0.8,0)</f>
        <v/>
      </c>
      <c r="J105" s="21" t="n">
        <v>1</v>
      </c>
      <c r="K105" s="141" t="n">
        <v>0.05</v>
      </c>
      <c r="L105" s="141" t="n"/>
      <c r="M105" s="141" t="n">
        <v>0.05</v>
      </c>
      <c r="N105" s="141" t="n"/>
      <c r="O105" s="141" t="n"/>
      <c r="P105" s="141" t="n"/>
      <c r="Q105" s="141" t="n"/>
      <c r="R105" s="141" t="n"/>
      <c r="S105" s="141" t="n"/>
    </row>
    <row r="106" ht="14.25" customHeight="1" s="142">
      <c r="A106" s="135">
        <f>A86+2</f>
        <v/>
      </c>
      <c r="B106" s="135" t="inlineStr">
        <is>
          <t>R武器升星-魔攻10</t>
        </is>
      </c>
      <c r="C106" s="135" t="n">
        <v>10</v>
      </c>
      <c r="D106" s="141">
        <f>ROUND(D86*0.8,0)</f>
        <v/>
      </c>
      <c r="E106" s="141">
        <f>ROUND(E86*0.8,0)</f>
        <v/>
      </c>
      <c r="F106" s="141">
        <f>ROUND(F86*0.8,0)</f>
        <v/>
      </c>
      <c r="G106" s="141">
        <f>ROUND(G86*0.8,0)</f>
        <v/>
      </c>
      <c r="H106" s="141">
        <f>ROUND(H86*0.8,0)</f>
        <v/>
      </c>
      <c r="I106" s="141">
        <f>ROUND(I86*0.8,0)</f>
        <v/>
      </c>
      <c r="J106" s="21" t="n">
        <v>2</v>
      </c>
      <c r="K106" s="141" t="n">
        <v>0.05</v>
      </c>
      <c r="L106" s="141" t="n"/>
      <c r="M106" s="141" t="n">
        <v>0.05</v>
      </c>
      <c r="N106" s="141" t="n"/>
      <c r="O106" s="141" t="n"/>
      <c r="P106" s="141" t="n"/>
      <c r="Q106" s="141" t="n"/>
      <c r="R106" s="141" t="n"/>
      <c r="S106" s="141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7" t="n"/>
    </row>
    <row r="3" ht="14.25" customHeight="1" s="142">
      <c r="A3" s="40" t="inlineStr">
        <is>
          <t>id</t>
        </is>
      </c>
      <c r="B3" s="40" t="inlineStr">
        <is>
          <t>#備註</t>
        </is>
      </c>
      <c r="C3" s="40" t="inlineStr">
        <is>
          <t>level</t>
        </is>
      </c>
      <c r="D3" s="40" t="inlineStr">
        <is>
          <t>item1_id</t>
        </is>
      </c>
      <c r="E3" s="40" t="inlineStr">
        <is>
          <t>item1_amount</t>
        </is>
      </c>
      <c r="F3" s="40" t="inlineStr">
        <is>
          <t>item2_id</t>
        </is>
      </c>
      <c r="G3" s="40" t="inlineStr">
        <is>
          <t>item2_amount</t>
        </is>
      </c>
      <c r="H3" s="40" t="inlineStr">
        <is>
          <t>rate</t>
        </is>
      </c>
    </row>
    <row r="4" ht="16.5" customHeight="1" s="142">
      <c r="A4" s="135" t="n">
        <v>700</v>
      </c>
      <c r="B4" s="8" t="inlineStr">
        <is>
          <t>寶石強化1</t>
        </is>
      </c>
      <c r="C4" s="135" t="n">
        <v>1</v>
      </c>
      <c r="D4" s="135" t="n">
        <v>2000</v>
      </c>
      <c r="E4" s="32" t="n">
        <v>1</v>
      </c>
      <c r="F4" s="135" t="n">
        <v>1000</v>
      </c>
      <c r="G4" s="135" t="n">
        <v>4000</v>
      </c>
      <c r="H4" s="135" t="n">
        <v>1</v>
      </c>
    </row>
    <row r="5" ht="16.5" customHeight="1" s="142">
      <c r="A5" s="135" t="n">
        <v>700</v>
      </c>
      <c r="B5" s="8" t="inlineStr">
        <is>
          <t>寶石強化2</t>
        </is>
      </c>
      <c r="C5" s="135" t="n">
        <v>2</v>
      </c>
      <c r="D5" s="135" t="n">
        <v>2000</v>
      </c>
      <c r="E5" s="32" t="n">
        <v>2</v>
      </c>
      <c r="F5" s="135" t="n">
        <v>1000</v>
      </c>
      <c r="G5" s="135">
        <f>G4+500</f>
        <v/>
      </c>
      <c r="H5" s="135" t="n">
        <v>1</v>
      </c>
    </row>
    <row r="6" ht="16.5" customHeight="1" s="142">
      <c r="A6" s="135" t="n">
        <v>700</v>
      </c>
      <c r="B6" s="8" t="inlineStr">
        <is>
          <t>寶石強化3</t>
        </is>
      </c>
      <c r="C6" s="135" t="n">
        <v>3</v>
      </c>
      <c r="D6" s="135" t="n">
        <v>2000</v>
      </c>
      <c r="E6" s="32" t="n">
        <v>3</v>
      </c>
      <c r="F6" s="135" t="n">
        <v>1000</v>
      </c>
      <c r="G6" s="135">
        <f>G5+500</f>
        <v/>
      </c>
      <c r="H6" s="135" t="n">
        <v>1</v>
      </c>
    </row>
    <row r="7" ht="16.5" customHeight="1" s="142">
      <c r="A7" s="135" t="n">
        <v>700</v>
      </c>
      <c r="B7" s="8" t="inlineStr">
        <is>
          <t>寶石強化4</t>
        </is>
      </c>
      <c r="C7" s="135" t="n">
        <v>4</v>
      </c>
      <c r="D7" s="135" t="n">
        <v>2000</v>
      </c>
      <c r="E7" s="32" t="n">
        <v>6</v>
      </c>
      <c r="F7" s="135" t="n">
        <v>1000</v>
      </c>
      <c r="G7" s="135">
        <f>G6+500</f>
        <v/>
      </c>
      <c r="H7" s="135" t="n">
        <v>1</v>
      </c>
    </row>
    <row r="8" ht="16.5" customHeight="1" s="142">
      <c r="A8" s="135" t="n">
        <v>700</v>
      </c>
      <c r="B8" s="8" t="inlineStr">
        <is>
          <t>寶石強化5</t>
        </is>
      </c>
      <c r="C8" s="135" t="n">
        <v>5</v>
      </c>
      <c r="D8" s="135" t="n">
        <v>2000</v>
      </c>
      <c r="E8" s="32" t="n">
        <v>10</v>
      </c>
      <c r="F8" s="135" t="n">
        <v>1000</v>
      </c>
      <c r="G8" s="135">
        <f>G7+500</f>
        <v/>
      </c>
      <c r="H8" s="135" t="n">
        <v>0.9</v>
      </c>
    </row>
    <row r="9" ht="16.5" customHeight="1" s="142">
      <c r="A9" s="135" t="n">
        <v>700</v>
      </c>
      <c r="B9" s="8" t="inlineStr">
        <is>
          <t>寶石強化6</t>
        </is>
      </c>
      <c r="C9" s="135" t="n">
        <v>6</v>
      </c>
      <c r="D9" s="135" t="n">
        <v>2000</v>
      </c>
      <c r="E9" s="32" t="n">
        <v>12</v>
      </c>
      <c r="F9" s="135" t="n">
        <v>1000</v>
      </c>
      <c r="G9" s="135">
        <f>G8+500</f>
        <v/>
      </c>
      <c r="H9" s="135" t="n">
        <v>0.7</v>
      </c>
    </row>
    <row r="10" ht="16.5" customHeight="1" s="142">
      <c r="A10" s="135" t="n">
        <v>700</v>
      </c>
      <c r="B10" s="8" t="inlineStr">
        <is>
          <t>寶石強化7</t>
        </is>
      </c>
      <c r="C10" s="135" t="n">
        <v>7</v>
      </c>
      <c r="D10" s="135" t="n">
        <v>2000</v>
      </c>
      <c r="E10" s="32" t="n">
        <v>15</v>
      </c>
      <c r="F10" s="135" t="n">
        <v>1000</v>
      </c>
      <c r="G10" s="135">
        <f>G9+500</f>
        <v/>
      </c>
      <c r="H10" s="135" t="n">
        <v>0.5</v>
      </c>
    </row>
    <row r="11" ht="16.5" customHeight="1" s="142">
      <c r="A11" s="135" t="n">
        <v>700</v>
      </c>
      <c r="B11" s="8" t="inlineStr">
        <is>
          <t>寶石強化8</t>
        </is>
      </c>
      <c r="C11" s="135" t="n">
        <v>8</v>
      </c>
      <c r="D11" s="135" t="n">
        <v>2000</v>
      </c>
      <c r="E11" s="32" t="n">
        <v>20</v>
      </c>
      <c r="F11" s="135" t="n">
        <v>1000</v>
      </c>
      <c r="G11" s="135">
        <f>G10+500</f>
        <v/>
      </c>
      <c r="H11" s="135" t="n">
        <v>0.45</v>
      </c>
    </row>
    <row r="12" ht="16.5" customHeight="1" s="142">
      <c r="A12" s="135" t="n">
        <v>700</v>
      </c>
      <c r="B12" s="8" t="inlineStr">
        <is>
          <t>寶石強化9</t>
        </is>
      </c>
      <c r="C12" s="135" t="n">
        <v>9</v>
      </c>
      <c r="D12" s="135" t="n">
        <v>2000</v>
      </c>
      <c r="E12" s="32" t="n">
        <v>25</v>
      </c>
      <c r="F12" s="135" t="n">
        <v>1000</v>
      </c>
      <c r="G12" s="135">
        <f>G11+500</f>
        <v/>
      </c>
      <c r="H12" s="135" t="n">
        <v>0.35</v>
      </c>
    </row>
    <row r="13" ht="16.5" customHeight="1" s="142">
      <c r="A13" s="135" t="n">
        <v>700</v>
      </c>
      <c r="B13" s="8" t="inlineStr">
        <is>
          <t>寶石強化10</t>
        </is>
      </c>
      <c r="C13" s="135" t="n">
        <v>10</v>
      </c>
      <c r="D13" s="135" t="n">
        <v>2000</v>
      </c>
      <c r="E13" s="32" t="n">
        <v>40</v>
      </c>
      <c r="F13" s="135" t="n">
        <v>1000</v>
      </c>
      <c r="G13" s="135">
        <f>G12+500</f>
        <v/>
      </c>
      <c r="H13" s="135" t="n">
        <v>0.3</v>
      </c>
    </row>
    <row r="14" ht="16.5" customHeight="1" s="142">
      <c r="A14" s="135" t="n">
        <v>701</v>
      </c>
      <c r="B14" s="8" t="inlineStr">
        <is>
          <t>彩石強化1</t>
        </is>
      </c>
      <c r="C14" s="135" t="n">
        <v>1</v>
      </c>
      <c r="D14" s="135" t="n">
        <v>2003</v>
      </c>
      <c r="E14" s="32" t="n">
        <v>1</v>
      </c>
      <c r="F14" s="135" t="n">
        <v>1000</v>
      </c>
      <c r="G14" s="135" t="n">
        <v>5000</v>
      </c>
      <c r="H14" s="135" t="n">
        <v>1</v>
      </c>
    </row>
    <row r="15" ht="16.5" customHeight="1" s="142">
      <c r="A15" s="135" t="n">
        <v>701</v>
      </c>
      <c r="B15" s="8" t="inlineStr">
        <is>
          <t>彩石強化2</t>
        </is>
      </c>
      <c r="C15" s="135" t="n">
        <v>2</v>
      </c>
      <c r="D15" s="135" t="n">
        <v>2003</v>
      </c>
      <c r="E15" s="32" t="n">
        <v>2</v>
      </c>
      <c r="F15" s="135" t="n">
        <v>1000</v>
      </c>
      <c r="G15" s="135">
        <f>G14+500</f>
        <v/>
      </c>
      <c r="H15" s="135" t="n">
        <v>1</v>
      </c>
    </row>
    <row r="16" ht="16.5" customHeight="1" s="142">
      <c r="A16" s="135" t="n">
        <v>701</v>
      </c>
      <c r="B16" s="8" t="inlineStr">
        <is>
          <t>彩石強化3</t>
        </is>
      </c>
      <c r="C16" s="135" t="n">
        <v>3</v>
      </c>
      <c r="D16" s="135" t="n">
        <v>2003</v>
      </c>
      <c r="E16" s="32" t="n">
        <v>3</v>
      </c>
      <c r="F16" s="135" t="n">
        <v>1000</v>
      </c>
      <c r="G16" s="135">
        <f>G15+500</f>
        <v/>
      </c>
      <c r="H16" s="135" t="n">
        <v>1</v>
      </c>
    </row>
    <row r="17" ht="16.5" customHeight="1" s="142">
      <c r="A17" s="135" t="n">
        <v>701</v>
      </c>
      <c r="B17" s="8" t="inlineStr">
        <is>
          <t>彩石強化4</t>
        </is>
      </c>
      <c r="C17" s="135" t="n">
        <v>4</v>
      </c>
      <c r="D17" s="135" t="n">
        <v>2003</v>
      </c>
      <c r="E17" s="32" t="n">
        <v>6</v>
      </c>
      <c r="F17" s="135" t="n">
        <v>1000</v>
      </c>
      <c r="G17" s="135">
        <f>G16+500</f>
        <v/>
      </c>
      <c r="H17" s="135" t="n">
        <v>1</v>
      </c>
    </row>
    <row r="18" ht="16.5" customHeight="1" s="142">
      <c r="A18" s="135" t="n">
        <v>701</v>
      </c>
      <c r="B18" s="8" t="inlineStr">
        <is>
          <t>彩石強化5</t>
        </is>
      </c>
      <c r="C18" s="135" t="n">
        <v>5</v>
      </c>
      <c r="D18" s="135" t="n">
        <v>2003</v>
      </c>
      <c r="E18" s="32" t="n">
        <v>10</v>
      </c>
      <c r="F18" s="135" t="n">
        <v>1000</v>
      </c>
      <c r="G18" s="135">
        <f>G17+500</f>
        <v/>
      </c>
      <c r="H18" s="135" t="n">
        <v>0.9</v>
      </c>
    </row>
    <row r="19" ht="16.5" customHeight="1" s="142">
      <c r="A19" s="135" t="n">
        <v>701</v>
      </c>
      <c r="B19" s="8" t="inlineStr">
        <is>
          <t>彩石強化6</t>
        </is>
      </c>
      <c r="C19" s="135" t="n">
        <v>6</v>
      </c>
      <c r="D19" s="135" t="n">
        <v>2003</v>
      </c>
      <c r="E19" s="32" t="n">
        <v>12</v>
      </c>
      <c r="F19" s="135" t="n">
        <v>1000</v>
      </c>
      <c r="G19" s="135">
        <f>G18+500</f>
        <v/>
      </c>
      <c r="H19" s="135" t="n">
        <v>0.7</v>
      </c>
    </row>
    <row r="20" ht="16.5" customHeight="1" s="142">
      <c r="A20" s="135" t="n">
        <v>701</v>
      </c>
      <c r="B20" s="8" t="inlineStr">
        <is>
          <t>彩石強化7</t>
        </is>
      </c>
      <c r="C20" s="135" t="n">
        <v>7</v>
      </c>
      <c r="D20" s="135" t="n">
        <v>2003</v>
      </c>
      <c r="E20" s="32" t="n">
        <v>15</v>
      </c>
      <c r="F20" s="135" t="n">
        <v>1000</v>
      </c>
      <c r="G20" s="135">
        <f>G19+500</f>
        <v/>
      </c>
      <c r="H20" s="135" t="n">
        <v>0.5</v>
      </c>
    </row>
    <row r="21" ht="16.5" customHeight="1" s="142">
      <c r="A21" s="135" t="n">
        <v>701</v>
      </c>
      <c r="B21" s="8" t="inlineStr">
        <is>
          <t>彩石強化8</t>
        </is>
      </c>
      <c r="C21" s="135" t="n">
        <v>8</v>
      </c>
      <c r="D21" s="135" t="n">
        <v>2003</v>
      </c>
      <c r="E21" s="32" t="n">
        <v>20</v>
      </c>
      <c r="F21" s="135" t="n">
        <v>1000</v>
      </c>
      <c r="G21" s="135">
        <f>G20+500</f>
        <v/>
      </c>
      <c r="H21" s="135" t="n">
        <v>0.45</v>
      </c>
    </row>
    <row r="22" ht="16.5" customHeight="1" s="142">
      <c r="A22" s="135" t="n">
        <v>701</v>
      </c>
      <c r="B22" s="8" t="inlineStr">
        <is>
          <t>彩石強化9</t>
        </is>
      </c>
      <c r="C22" s="135" t="n">
        <v>9</v>
      </c>
      <c r="D22" s="135" t="n">
        <v>2003</v>
      </c>
      <c r="E22" s="32" t="n">
        <v>25</v>
      </c>
      <c r="F22" s="135" t="n">
        <v>1000</v>
      </c>
      <c r="G22" s="135">
        <f>G21+500</f>
        <v/>
      </c>
      <c r="H22" s="135" t="n">
        <v>0.35</v>
      </c>
    </row>
    <row r="23" ht="16.5" customHeight="1" s="142">
      <c r="A23" s="135" t="n">
        <v>701</v>
      </c>
      <c r="B23" s="8" t="inlineStr">
        <is>
          <t>彩石強化10</t>
        </is>
      </c>
      <c r="C23" s="135" t="n">
        <v>10</v>
      </c>
      <c r="D23" s="135" t="n">
        <v>2003</v>
      </c>
      <c r="E23" s="32" t="n">
        <v>40</v>
      </c>
      <c r="F23" s="135" t="n">
        <v>1000</v>
      </c>
      <c r="G23" s="135">
        <f>G22+500</f>
        <v/>
      </c>
      <c r="H23" s="135" t="n">
        <v>0.3</v>
      </c>
    </row>
    <row r="24" ht="16.5" customHeight="1" s="142">
      <c r="A24" s="135" t="n">
        <v>702</v>
      </c>
      <c r="B24" s="8" t="inlineStr">
        <is>
          <t>暴晶強化1</t>
        </is>
      </c>
      <c r="C24" s="135" t="n">
        <v>1</v>
      </c>
      <c r="D24" s="135" t="n">
        <v>2004</v>
      </c>
      <c r="E24" s="32" t="n">
        <v>1</v>
      </c>
      <c r="F24" s="135" t="n">
        <v>1000</v>
      </c>
      <c r="G24" s="135" t="n">
        <v>6000</v>
      </c>
      <c r="H24" s="135" t="n">
        <v>1</v>
      </c>
    </row>
    <row r="25" ht="16.5" customHeight="1" s="142">
      <c r="A25" s="135" t="n">
        <v>702</v>
      </c>
      <c r="B25" s="8" t="inlineStr">
        <is>
          <t>暴晶強化1</t>
        </is>
      </c>
      <c r="C25" s="135" t="n">
        <v>2</v>
      </c>
      <c r="D25" s="135" t="n">
        <v>2004</v>
      </c>
      <c r="E25" s="32" t="n">
        <v>2</v>
      </c>
      <c r="F25" s="135" t="n">
        <v>1000</v>
      </c>
      <c r="G25" s="135">
        <f>G24+500</f>
        <v/>
      </c>
      <c r="H25" s="135" t="n">
        <v>1</v>
      </c>
    </row>
    <row r="26" ht="16.5" customHeight="1" s="142">
      <c r="A26" s="135" t="n">
        <v>702</v>
      </c>
      <c r="B26" s="8" t="inlineStr">
        <is>
          <t>暴晶強化1</t>
        </is>
      </c>
      <c r="C26" s="135" t="n">
        <v>3</v>
      </c>
      <c r="D26" s="135" t="n">
        <v>2004</v>
      </c>
      <c r="E26" s="32" t="n">
        <v>3</v>
      </c>
      <c r="F26" s="135" t="n">
        <v>1000</v>
      </c>
      <c r="G26" s="135">
        <f>G25+500</f>
        <v/>
      </c>
      <c r="H26" s="135" t="n">
        <v>1</v>
      </c>
    </row>
    <row r="27" ht="16.5" customHeight="1" s="142">
      <c r="A27" s="135" t="n">
        <v>702</v>
      </c>
      <c r="B27" s="8" t="inlineStr">
        <is>
          <t>暴晶強化1</t>
        </is>
      </c>
      <c r="C27" s="135" t="n">
        <v>4</v>
      </c>
      <c r="D27" s="135" t="n">
        <v>2004</v>
      </c>
      <c r="E27" s="32" t="n">
        <v>6</v>
      </c>
      <c r="F27" s="135" t="n">
        <v>1000</v>
      </c>
      <c r="G27" s="135">
        <f>G26+500</f>
        <v/>
      </c>
      <c r="H27" s="135" t="n">
        <v>1</v>
      </c>
    </row>
    <row r="28" ht="16.5" customHeight="1" s="142">
      <c r="A28" s="135" t="n">
        <v>702</v>
      </c>
      <c r="B28" s="8" t="inlineStr">
        <is>
          <t>暴晶強化1</t>
        </is>
      </c>
      <c r="C28" s="135" t="n">
        <v>5</v>
      </c>
      <c r="D28" s="135" t="n">
        <v>2004</v>
      </c>
      <c r="E28" s="32" t="n">
        <v>10</v>
      </c>
      <c r="F28" s="135" t="n">
        <v>1000</v>
      </c>
      <c r="G28" s="135">
        <f>G27+500</f>
        <v/>
      </c>
      <c r="H28" s="135" t="n">
        <v>0.9</v>
      </c>
    </row>
    <row r="29" ht="16.5" customHeight="1" s="142">
      <c r="A29" s="135" t="n">
        <v>702</v>
      </c>
      <c r="B29" s="8" t="inlineStr">
        <is>
          <t>暴晶強化1</t>
        </is>
      </c>
      <c r="C29" s="135" t="n">
        <v>6</v>
      </c>
      <c r="D29" s="135" t="n">
        <v>2004</v>
      </c>
      <c r="E29" s="32" t="n">
        <v>12</v>
      </c>
      <c r="F29" s="135" t="n">
        <v>1000</v>
      </c>
      <c r="G29" s="135">
        <f>G28+500</f>
        <v/>
      </c>
      <c r="H29" s="135" t="n">
        <v>0.7</v>
      </c>
    </row>
    <row r="30" ht="16.5" customHeight="1" s="142">
      <c r="A30" s="135" t="n">
        <v>702</v>
      </c>
      <c r="B30" s="8" t="inlineStr">
        <is>
          <t>暴晶強化1</t>
        </is>
      </c>
      <c r="C30" s="135" t="n">
        <v>7</v>
      </c>
      <c r="D30" s="135" t="n">
        <v>2004</v>
      </c>
      <c r="E30" s="32" t="n">
        <v>15</v>
      </c>
      <c r="F30" s="135" t="n">
        <v>1000</v>
      </c>
      <c r="G30" s="135">
        <f>G29+500</f>
        <v/>
      </c>
      <c r="H30" s="135" t="n">
        <v>0.5</v>
      </c>
    </row>
    <row r="31" ht="16.5" customHeight="1" s="142">
      <c r="A31" s="135" t="n">
        <v>702</v>
      </c>
      <c r="B31" s="8" t="inlineStr">
        <is>
          <t>暴晶強化1</t>
        </is>
      </c>
      <c r="C31" s="135" t="n">
        <v>8</v>
      </c>
      <c r="D31" s="135" t="n">
        <v>2004</v>
      </c>
      <c r="E31" s="32" t="n">
        <v>20</v>
      </c>
      <c r="F31" s="135" t="n">
        <v>1000</v>
      </c>
      <c r="G31" s="135">
        <f>G30+500</f>
        <v/>
      </c>
      <c r="H31" s="135" t="n">
        <v>0.45</v>
      </c>
    </row>
    <row r="32" ht="16.5" customHeight="1" s="142">
      <c r="A32" s="135" t="n">
        <v>702</v>
      </c>
      <c r="B32" s="8" t="inlineStr">
        <is>
          <t>暴晶強化1</t>
        </is>
      </c>
      <c r="C32" s="135" t="n">
        <v>9</v>
      </c>
      <c r="D32" s="135" t="n">
        <v>2004</v>
      </c>
      <c r="E32" s="32" t="n">
        <v>25</v>
      </c>
      <c r="F32" s="135" t="n">
        <v>1000</v>
      </c>
      <c r="G32" s="135">
        <f>G31+500</f>
        <v/>
      </c>
      <c r="H32" s="135" t="n">
        <v>0.35</v>
      </c>
    </row>
    <row r="33" ht="16.5" customHeight="1" s="142">
      <c r="A33" s="135" t="n">
        <v>702</v>
      </c>
      <c r="B33" s="8" t="inlineStr">
        <is>
          <t>暴晶強化1</t>
        </is>
      </c>
      <c r="C33" s="135" t="n">
        <v>10</v>
      </c>
      <c r="D33" s="135" t="n">
        <v>2004</v>
      </c>
      <c r="E33" s="32" t="n">
        <v>40</v>
      </c>
      <c r="F33" s="135" t="n">
        <v>1000</v>
      </c>
      <c r="G33" s="135">
        <f>G32+500</f>
        <v/>
      </c>
      <c r="H33" s="135" t="n">
        <v>0.3</v>
      </c>
    </row>
    <row r="35" ht="14.25" customHeight="1" s="142">
      <c r="A35" s="40" t="inlineStr">
        <is>
          <t>id</t>
        </is>
      </c>
      <c r="B35" s="40" t="inlineStr">
        <is>
          <t>#備註</t>
        </is>
      </c>
      <c r="C35" s="40" t="inlineStr">
        <is>
          <t>level</t>
        </is>
      </c>
      <c r="D35" s="40" t="inlineStr">
        <is>
          <t>item1_id</t>
        </is>
      </c>
      <c r="E35" s="40" t="inlineStr">
        <is>
          <t>item1_amount</t>
        </is>
      </c>
      <c r="F35" s="40" t="inlineStr">
        <is>
          <t>item2_id</t>
        </is>
      </c>
      <c r="G35" s="40" t="inlineStr">
        <is>
          <t>item2_amount</t>
        </is>
      </c>
      <c r="H35" s="40" t="inlineStr">
        <is>
          <t>rate</t>
        </is>
      </c>
    </row>
    <row r="36" ht="16.5" customHeight="1" s="142">
      <c r="A36" s="135" t="n">
        <v>800</v>
      </c>
      <c r="B36" s="8" t="inlineStr">
        <is>
          <t>裝備強化1</t>
        </is>
      </c>
      <c r="C36" s="135" t="n">
        <v>1</v>
      </c>
      <c r="D36" s="135" t="n">
        <v>2001</v>
      </c>
      <c r="E36" s="32" t="n">
        <v>1</v>
      </c>
      <c r="F36" s="135" t="n">
        <v>1000</v>
      </c>
      <c r="G36" s="135" t="n">
        <v>2000</v>
      </c>
      <c r="H36" s="135" t="n">
        <v>1</v>
      </c>
    </row>
    <row r="37" ht="16.5" customHeight="1" s="142">
      <c r="A37" s="135" t="n">
        <v>800</v>
      </c>
      <c r="B37" s="8" t="inlineStr">
        <is>
          <t>裝備強化2</t>
        </is>
      </c>
      <c r="C37" s="135" t="n">
        <v>2</v>
      </c>
      <c r="D37" s="135" t="n">
        <v>2001</v>
      </c>
      <c r="E37" s="32" t="n">
        <v>2</v>
      </c>
      <c r="F37" s="135" t="n">
        <v>1000</v>
      </c>
      <c r="G37" s="135">
        <f>G36+200</f>
        <v/>
      </c>
      <c r="H37" s="135" t="n">
        <v>1</v>
      </c>
    </row>
    <row r="38" ht="16.5" customHeight="1" s="142">
      <c r="A38" s="135" t="n">
        <v>800</v>
      </c>
      <c r="B38" s="8" t="inlineStr">
        <is>
          <t>裝備強化3</t>
        </is>
      </c>
      <c r="C38" s="135" t="n">
        <v>3</v>
      </c>
      <c r="D38" s="135" t="n">
        <v>2001</v>
      </c>
      <c r="E38" s="32" t="n">
        <v>3</v>
      </c>
      <c r="F38" s="135" t="n">
        <v>1000</v>
      </c>
      <c r="G38" s="135">
        <f>G37+200</f>
        <v/>
      </c>
      <c r="H38" s="135" t="n">
        <v>1</v>
      </c>
    </row>
    <row r="39" ht="16.5" customHeight="1" s="142">
      <c r="A39" s="135" t="n">
        <v>800</v>
      </c>
      <c r="B39" s="8" t="inlineStr">
        <is>
          <t>裝備強化4</t>
        </is>
      </c>
      <c r="C39" s="135" t="n">
        <v>4</v>
      </c>
      <c r="D39" s="135" t="n">
        <v>2001</v>
      </c>
      <c r="E39" s="32" t="n">
        <v>6</v>
      </c>
      <c r="F39" s="135" t="n">
        <v>1000</v>
      </c>
      <c r="G39" s="135">
        <f>G38+200</f>
        <v/>
      </c>
      <c r="H39" s="135" t="n">
        <v>1</v>
      </c>
    </row>
    <row r="40" ht="16.5" customHeight="1" s="142">
      <c r="A40" s="135" t="n">
        <v>800</v>
      </c>
      <c r="B40" s="8" t="inlineStr">
        <is>
          <t>裝備強化5</t>
        </is>
      </c>
      <c r="C40" s="135" t="n">
        <v>5</v>
      </c>
      <c r="D40" s="135" t="n">
        <v>2001</v>
      </c>
      <c r="E40" s="32" t="n">
        <v>10</v>
      </c>
      <c r="F40" s="135" t="n">
        <v>1000</v>
      </c>
      <c r="G40" s="135">
        <f>G39+200</f>
        <v/>
      </c>
      <c r="H40" s="135" t="n">
        <v>1</v>
      </c>
    </row>
    <row r="41" ht="16.5" customHeight="1" s="142">
      <c r="A41" s="135" t="n">
        <v>800</v>
      </c>
      <c r="B41" s="8" t="inlineStr">
        <is>
          <t>裝備強化6</t>
        </is>
      </c>
      <c r="C41" s="135" t="n">
        <v>6</v>
      </c>
      <c r="D41" s="135" t="n">
        <v>2001</v>
      </c>
      <c r="E41" s="32" t="n">
        <v>12</v>
      </c>
      <c r="F41" s="135" t="n">
        <v>1000</v>
      </c>
      <c r="G41" s="135">
        <f>G40+200</f>
        <v/>
      </c>
      <c r="H41" s="135" t="n">
        <v>1</v>
      </c>
    </row>
    <row r="42" ht="16.5" customHeight="1" s="142">
      <c r="A42" s="135" t="n">
        <v>800</v>
      </c>
      <c r="B42" s="8" t="inlineStr">
        <is>
          <t>裝備強化7</t>
        </is>
      </c>
      <c r="C42" s="135" t="n">
        <v>7</v>
      </c>
      <c r="D42" s="135" t="n">
        <v>2001</v>
      </c>
      <c r="E42" s="32" t="n">
        <v>15</v>
      </c>
      <c r="F42" s="135" t="n">
        <v>1000</v>
      </c>
      <c r="G42" s="135">
        <f>G41+200</f>
        <v/>
      </c>
      <c r="H42" s="135" t="n">
        <v>1</v>
      </c>
    </row>
    <row r="43" ht="16.5" customHeight="1" s="142">
      <c r="A43" s="135" t="n">
        <v>800</v>
      </c>
      <c r="B43" s="8" t="inlineStr">
        <is>
          <t>裝備強化8</t>
        </is>
      </c>
      <c r="C43" s="135" t="n">
        <v>8</v>
      </c>
      <c r="D43" s="135" t="n">
        <v>2001</v>
      </c>
      <c r="E43" s="32" t="n">
        <v>20</v>
      </c>
      <c r="F43" s="135" t="n">
        <v>1000</v>
      </c>
      <c r="G43" s="135">
        <f>G42+200</f>
        <v/>
      </c>
      <c r="H43" s="135" t="n">
        <v>0.9</v>
      </c>
    </row>
    <row r="44" ht="16.5" customHeight="1" s="142">
      <c r="A44" s="135" t="n">
        <v>800</v>
      </c>
      <c r="B44" s="8" t="inlineStr">
        <is>
          <t>裝備強化9</t>
        </is>
      </c>
      <c r="C44" s="135" t="n">
        <v>9</v>
      </c>
      <c r="D44" s="135" t="n">
        <v>2001</v>
      </c>
      <c r="E44" s="32" t="n">
        <v>25</v>
      </c>
      <c r="F44" s="135" t="n">
        <v>1000</v>
      </c>
      <c r="G44" s="135">
        <f>G43+200</f>
        <v/>
      </c>
      <c r="H44" s="135" t="n">
        <v>0.7</v>
      </c>
    </row>
    <row r="45" ht="16.5" customHeight="1" s="142">
      <c r="A45" s="135" t="n">
        <v>800</v>
      </c>
      <c r="B45" s="8" t="inlineStr">
        <is>
          <t>裝備強化10</t>
        </is>
      </c>
      <c r="C45" s="135" t="n">
        <v>10</v>
      </c>
      <c r="D45" s="135" t="n">
        <v>2001</v>
      </c>
      <c r="E45" s="32" t="n">
        <v>40</v>
      </c>
      <c r="F45" s="135" t="n">
        <v>1000</v>
      </c>
      <c r="G45" s="135">
        <f>G44+200</f>
        <v/>
      </c>
      <c r="H45" s="135" t="n">
        <v>0.5</v>
      </c>
    </row>
    <row r="46" ht="14.25" customHeight="1" s="142">
      <c r="K46" s="138" t="inlineStr">
        <is>
          <t>當cost表中的item_id為-1時；觸發特例狀況，其代表的含意為消耗的素材等於傳入的角色ID-900的item_id</t>
        </is>
      </c>
    </row>
    <row r="47" ht="14.25" customHeight="1" s="142">
      <c r="K47" s="7" t="inlineStr">
        <is>
          <t>ex. card 10001春正強化需要 item9101        村正的碎片；升星時，讀取refine_id=900   cost_id=900；已知增加了多少數值，但cost將會需要再找才知道是9101</t>
        </is>
      </c>
    </row>
    <row r="48" ht="14.25" customHeight="1" s="142">
      <c r="A48" s="40" t="inlineStr">
        <is>
          <t>id</t>
        </is>
      </c>
      <c r="B48" s="40" t="inlineStr">
        <is>
          <t>#備註</t>
        </is>
      </c>
      <c r="C48" s="40" t="inlineStr">
        <is>
          <t>level</t>
        </is>
      </c>
      <c r="D48" s="40" t="inlineStr">
        <is>
          <t>item1_id</t>
        </is>
      </c>
      <c r="E48" s="40" t="inlineStr">
        <is>
          <t>item1_amount</t>
        </is>
      </c>
      <c r="F48" s="40" t="inlineStr">
        <is>
          <t>item2_id</t>
        </is>
      </c>
      <c r="G48" s="40" t="inlineStr">
        <is>
          <t>item2_amount</t>
        </is>
      </c>
      <c r="H48" s="40" t="inlineStr">
        <is>
          <t>rate</t>
        </is>
      </c>
    </row>
    <row r="49" ht="16.5" customHeight="1" s="142">
      <c r="A49" s="135" t="n">
        <v>900</v>
      </c>
      <c r="B49" s="8" t="inlineStr">
        <is>
          <t>武器升星1</t>
        </is>
      </c>
      <c r="C49" s="135" t="n">
        <v>1</v>
      </c>
      <c r="D49" s="135" t="n">
        <v>-1</v>
      </c>
      <c r="E49" s="32" t="n">
        <v>20</v>
      </c>
      <c r="F49" s="135" t="n"/>
      <c r="G49" s="135" t="n"/>
      <c r="H49" s="135" t="n">
        <v>1</v>
      </c>
    </row>
    <row r="50" ht="16.5" customHeight="1" s="142">
      <c r="A50" s="135" t="n">
        <v>900</v>
      </c>
      <c r="B50" s="8" t="inlineStr">
        <is>
          <t>武器升星2</t>
        </is>
      </c>
      <c r="C50" s="135" t="n">
        <v>2</v>
      </c>
      <c r="D50" s="135" t="n">
        <v>-1</v>
      </c>
      <c r="E50" s="32" t="n">
        <v>30</v>
      </c>
      <c r="F50" s="135" t="n"/>
      <c r="G50" s="135" t="n"/>
      <c r="H50" s="135" t="n">
        <v>1</v>
      </c>
    </row>
    <row r="51" ht="16.5" customHeight="1" s="142">
      <c r="A51" s="135" t="n">
        <v>900</v>
      </c>
      <c r="B51" s="8" t="inlineStr">
        <is>
          <t>武器升星3</t>
        </is>
      </c>
      <c r="C51" s="135" t="n">
        <v>3</v>
      </c>
      <c r="D51" s="135" t="n">
        <v>-1</v>
      </c>
      <c r="E51" s="32" t="n">
        <v>40</v>
      </c>
      <c r="F51" s="135" t="n"/>
      <c r="G51" s="135" t="n"/>
      <c r="H51" s="135" t="n">
        <v>1</v>
      </c>
    </row>
    <row r="52" ht="16.5" customHeight="1" s="142">
      <c r="A52" s="135" t="n">
        <v>900</v>
      </c>
      <c r="B52" s="8" t="inlineStr">
        <is>
          <t>武器升星4</t>
        </is>
      </c>
      <c r="C52" s="135" t="n">
        <v>4</v>
      </c>
      <c r="D52" s="135" t="n">
        <v>-1</v>
      </c>
      <c r="E52" s="32">
        <f>E51+10</f>
        <v/>
      </c>
      <c r="F52" s="135" t="n"/>
      <c r="G52" s="135" t="n"/>
      <c r="H52" s="135" t="n">
        <v>1</v>
      </c>
    </row>
    <row r="53" ht="16.5" customHeight="1" s="142">
      <c r="A53" s="135" t="n">
        <v>900</v>
      </c>
      <c r="B53" s="8" t="inlineStr">
        <is>
          <t>武器升星5</t>
        </is>
      </c>
      <c r="C53" s="135" t="n">
        <v>5</v>
      </c>
      <c r="D53" s="135" t="n">
        <v>-1</v>
      </c>
      <c r="E53" s="32">
        <f>E52+10</f>
        <v/>
      </c>
      <c r="F53" s="135" t="n"/>
      <c r="G53" s="135" t="n"/>
      <c r="H53" s="135" t="n">
        <v>1</v>
      </c>
    </row>
    <row r="54" ht="16.5" customHeight="1" s="142">
      <c r="A54" s="135" t="n">
        <v>900</v>
      </c>
      <c r="B54" s="8" t="inlineStr">
        <is>
          <t>武器升星6</t>
        </is>
      </c>
      <c r="C54" s="135" t="n">
        <v>6</v>
      </c>
      <c r="D54" s="135" t="n">
        <v>-1</v>
      </c>
      <c r="E54" s="32">
        <f>E53+10</f>
        <v/>
      </c>
      <c r="F54" s="135" t="n"/>
      <c r="G54" s="135" t="n"/>
      <c r="H54" s="135" t="n">
        <v>1</v>
      </c>
    </row>
    <row r="55" ht="16.5" customHeight="1" s="142">
      <c r="A55" s="135" t="n">
        <v>900</v>
      </c>
      <c r="B55" s="8" t="inlineStr">
        <is>
          <t>武器升星7</t>
        </is>
      </c>
      <c r="C55" s="135" t="n">
        <v>7</v>
      </c>
      <c r="D55" s="135" t="n">
        <v>-1</v>
      </c>
      <c r="E55" s="32">
        <f>E54+10</f>
        <v/>
      </c>
      <c r="F55" s="135" t="n"/>
      <c r="G55" s="135" t="n"/>
      <c r="H55" s="135" t="n">
        <v>1</v>
      </c>
      <c r="K55" s="8" t="inlineStr">
        <is>
          <t>重複獲取</t>
        </is>
      </c>
      <c r="L55" s="8" t="inlineStr">
        <is>
          <t>獲取片數</t>
        </is>
      </c>
    </row>
    <row r="56" ht="16.5" customHeight="1" s="142">
      <c r="A56" s="135" t="n">
        <v>900</v>
      </c>
      <c r="B56" s="8" t="inlineStr">
        <is>
          <t>武器升星8</t>
        </is>
      </c>
      <c r="C56" s="135" t="n">
        <v>8</v>
      </c>
      <c r="D56" s="135" t="n">
        <v>-1</v>
      </c>
      <c r="E56" s="32">
        <f>E55+10</f>
        <v/>
      </c>
      <c r="F56" s="135" t="n"/>
      <c r="G56" s="135" t="n"/>
      <c r="H56" s="135" t="n">
        <v>1</v>
      </c>
      <c r="K56" s="135" t="inlineStr">
        <is>
          <t>SSR</t>
        </is>
      </c>
      <c r="L56" s="135" t="n">
        <v>30</v>
      </c>
    </row>
    <row r="57" ht="16.5" customHeight="1" s="142">
      <c r="A57" s="135" t="n">
        <v>900</v>
      </c>
      <c r="B57" s="8" t="inlineStr">
        <is>
          <t>武器升星9</t>
        </is>
      </c>
      <c r="C57" s="135" t="n">
        <v>9</v>
      </c>
      <c r="D57" s="135" t="n">
        <v>-1</v>
      </c>
      <c r="E57" s="32">
        <f>E56+10</f>
        <v/>
      </c>
      <c r="F57" s="135" t="n"/>
      <c r="G57" s="135" t="n"/>
      <c r="H57" s="135" t="n">
        <v>1</v>
      </c>
      <c r="K57" s="135" t="inlineStr">
        <is>
          <t>SR</t>
        </is>
      </c>
      <c r="L57" s="135" t="n">
        <v>10</v>
      </c>
    </row>
    <row r="58" ht="16.5" customHeight="1" s="142">
      <c r="A58" s="135" t="n">
        <v>900</v>
      </c>
      <c r="B58" s="8" t="inlineStr">
        <is>
          <t>武器升星10</t>
        </is>
      </c>
      <c r="C58" s="135" t="n">
        <v>10</v>
      </c>
      <c r="D58" s="135" t="n">
        <v>-1</v>
      </c>
      <c r="E58" s="32" t="n">
        <v>120</v>
      </c>
      <c r="F58" s="135" t="n"/>
      <c r="G58" s="135" t="n"/>
      <c r="H58" s="135" t="n">
        <v>1</v>
      </c>
      <c r="K58" s="135" t="inlineStr">
        <is>
          <t>R</t>
        </is>
      </c>
      <c r="L58" s="135" t="n">
        <v>5</v>
      </c>
    </row>
    <row r="61" ht="14.25" customHeight="1" s="142">
      <c r="A61" s="40" t="inlineStr">
        <is>
          <t>id</t>
        </is>
      </c>
      <c r="B61" s="40" t="inlineStr">
        <is>
          <t>#備註</t>
        </is>
      </c>
      <c r="C61" s="40" t="inlineStr">
        <is>
          <t>level</t>
        </is>
      </c>
      <c r="D61" s="40" t="inlineStr">
        <is>
          <t>item1_id</t>
        </is>
      </c>
      <c r="E61" s="40" t="inlineStr">
        <is>
          <t>item1_amount</t>
        </is>
      </c>
      <c r="F61" s="40" t="inlineStr">
        <is>
          <t>item2_id</t>
        </is>
      </c>
      <c r="G61" s="40" t="inlineStr">
        <is>
          <t>item2_amount</t>
        </is>
      </c>
      <c r="H61" s="40" t="inlineStr">
        <is>
          <t>rate</t>
        </is>
      </c>
    </row>
    <row r="62" ht="16.5" customHeight="1" s="142">
      <c r="A62" s="135" t="n">
        <v>910</v>
      </c>
      <c r="B62" s="8" t="inlineStr">
        <is>
          <t>魔物升星</t>
        </is>
      </c>
      <c r="C62" s="135" t="n">
        <v>1</v>
      </c>
      <c r="D62" s="135" t="n">
        <v>9000</v>
      </c>
      <c r="E62" s="32" t="n">
        <v>20</v>
      </c>
      <c r="F62" s="135" t="n"/>
      <c r="G62" s="135" t="n"/>
      <c r="H62" s="135" t="n">
        <v>1</v>
      </c>
    </row>
    <row r="63" ht="16.5" customHeight="1" s="142">
      <c r="A63" s="135" t="n">
        <v>910</v>
      </c>
      <c r="B63" s="8" t="inlineStr">
        <is>
          <t>武器升星2</t>
        </is>
      </c>
      <c r="C63" s="135" t="n">
        <v>2</v>
      </c>
      <c r="D63" s="135" t="n">
        <v>9000</v>
      </c>
      <c r="E63" s="32" t="n">
        <v>30</v>
      </c>
      <c r="F63" s="135" t="n"/>
      <c r="G63" s="135" t="n"/>
      <c r="H63" s="135" t="n">
        <v>1</v>
      </c>
    </row>
    <row r="64" ht="16.5" customHeight="1" s="142">
      <c r="A64" s="135" t="n">
        <v>910</v>
      </c>
      <c r="B64" s="8" t="inlineStr">
        <is>
          <t>武器升星3</t>
        </is>
      </c>
      <c r="C64" s="135" t="n">
        <v>3</v>
      </c>
      <c r="D64" s="135" t="n">
        <v>9000</v>
      </c>
      <c r="E64" s="32" t="n">
        <v>40</v>
      </c>
      <c r="F64" s="135" t="n"/>
      <c r="G64" s="135" t="n"/>
      <c r="H64" s="135" t="n">
        <v>1</v>
      </c>
    </row>
    <row r="65" ht="16.5" customHeight="1" s="142">
      <c r="A65" s="135" t="n">
        <v>910</v>
      </c>
      <c r="B65" s="8" t="inlineStr">
        <is>
          <t>武器升星4</t>
        </is>
      </c>
      <c r="C65" s="135" t="n">
        <v>4</v>
      </c>
      <c r="D65" s="135" t="n">
        <v>9000</v>
      </c>
      <c r="E65" s="32">
        <f>E64+10</f>
        <v/>
      </c>
      <c r="F65" s="135" t="n"/>
      <c r="G65" s="135" t="n"/>
      <c r="H65" s="135" t="n">
        <v>1</v>
      </c>
    </row>
    <row r="66" ht="16.5" customHeight="1" s="142">
      <c r="A66" s="135" t="n">
        <v>910</v>
      </c>
      <c r="B66" s="8" t="inlineStr">
        <is>
          <t>武器升星5</t>
        </is>
      </c>
      <c r="C66" s="135" t="n">
        <v>5</v>
      </c>
      <c r="D66" s="135" t="n">
        <v>9000</v>
      </c>
      <c r="E66" s="32">
        <f>E65+10</f>
        <v/>
      </c>
      <c r="F66" s="135" t="n"/>
      <c r="G66" s="135" t="n"/>
      <c r="H66" s="135" t="n">
        <v>1</v>
      </c>
    </row>
    <row r="67" ht="16.5" customHeight="1" s="142">
      <c r="A67" s="135" t="n">
        <v>910</v>
      </c>
      <c r="B67" s="8" t="inlineStr">
        <is>
          <t>武器升星6</t>
        </is>
      </c>
      <c r="C67" s="135" t="n">
        <v>6</v>
      </c>
      <c r="D67" s="135" t="n">
        <v>9000</v>
      </c>
      <c r="E67" s="32">
        <f>E66+10</f>
        <v/>
      </c>
      <c r="F67" s="135" t="n"/>
      <c r="G67" s="135" t="n"/>
      <c r="H67" s="135" t="n">
        <v>1</v>
      </c>
    </row>
    <row r="68" ht="16.5" customHeight="1" s="142">
      <c r="A68" s="135" t="n">
        <v>910</v>
      </c>
      <c r="B68" s="8" t="inlineStr">
        <is>
          <t>武器升星7</t>
        </is>
      </c>
      <c r="C68" s="135" t="n">
        <v>7</v>
      </c>
      <c r="D68" s="135" t="n">
        <v>9000</v>
      </c>
      <c r="E68" s="32">
        <f>E67+10</f>
        <v/>
      </c>
      <c r="F68" s="135" t="n"/>
      <c r="G68" s="135" t="n"/>
      <c r="H68" s="135" t="n">
        <v>1</v>
      </c>
    </row>
    <row r="69" ht="16.5" customHeight="1" s="142">
      <c r="A69" s="135" t="n">
        <v>910</v>
      </c>
      <c r="B69" s="8" t="inlineStr">
        <is>
          <t>武器升星8</t>
        </is>
      </c>
      <c r="C69" s="135" t="n">
        <v>8</v>
      </c>
      <c r="D69" s="135" t="n">
        <v>9000</v>
      </c>
      <c r="E69" s="32">
        <f>E68+10</f>
        <v/>
      </c>
      <c r="F69" s="135" t="n"/>
      <c r="G69" s="135" t="n"/>
      <c r="H69" s="135" t="n">
        <v>1</v>
      </c>
    </row>
    <row r="70" ht="16.5" customHeight="1" s="142">
      <c r="A70" s="135" t="n">
        <v>910</v>
      </c>
      <c r="B70" s="8" t="inlineStr">
        <is>
          <t>武器升星9</t>
        </is>
      </c>
      <c r="C70" s="135" t="n">
        <v>9</v>
      </c>
      <c r="D70" s="135" t="n">
        <v>9000</v>
      </c>
      <c r="E70" s="32">
        <f>E69+10</f>
        <v/>
      </c>
      <c r="F70" s="135" t="n"/>
      <c r="G70" s="135" t="n"/>
      <c r="H70" s="135" t="n">
        <v>1</v>
      </c>
    </row>
    <row r="71" ht="16.5" customHeight="1" s="142">
      <c r="A71" s="135" t="n">
        <v>910</v>
      </c>
      <c r="B71" s="8" t="inlineStr">
        <is>
          <t>武器升星10</t>
        </is>
      </c>
      <c r="C71" s="135" t="n">
        <v>10</v>
      </c>
      <c r="D71" s="135" t="n">
        <v>9000</v>
      </c>
      <c r="E71" s="32" t="n">
        <v>120</v>
      </c>
      <c r="F71" s="135" t="n"/>
      <c r="G71" s="135" t="n"/>
      <c r="H71" s="135" t="n">
        <v>1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Normal="100" workbookViewId="0">
      <selection activeCell="A1" sqref="A1"/>
    </sheetView>
  </sheetViews>
  <sheetFormatPr baseColWidth="8" defaultColWidth="12.5703125" defaultRowHeight="12.75"/>
  <cols>
    <col width="19.5703125" customWidth="1" style="142" min="3" max="3"/>
    <col width="30.28515625" customWidth="1" style="142" min="11" max="11"/>
  </cols>
  <sheetData>
    <row r="1" ht="14.25" customHeight="1" s="142">
      <c r="A1" s="40" t="inlineStr">
        <is>
          <t>id</t>
        </is>
      </c>
      <c r="B1" s="40" t="inlineStr">
        <is>
          <t>info</t>
        </is>
      </c>
      <c r="C1" s="40" t="inlineStr">
        <is>
          <t>#</t>
        </is>
      </c>
    </row>
    <row r="2" ht="15.75" customHeight="1" s="142">
      <c r="A2" s="135" t="n">
        <v>1</v>
      </c>
      <c r="B2" s="55" t="inlineStr">
        <is>
          <t>#疾風迅雷</t>
        </is>
      </c>
      <c r="C2" s="135" t="inlineStr">
        <is>
          <t>agi超過6</t>
        </is>
      </c>
    </row>
    <row r="3" ht="14.25" customHeight="1" s="142">
      <c r="A3" s="135" t="n">
        <v>2</v>
      </c>
      <c r="B3" s="135" t="inlineStr">
        <is>
          <t>#致命一擊</t>
        </is>
      </c>
      <c r="C3" s="8" t="inlineStr">
        <is>
          <t>有爆擊類技能</t>
        </is>
      </c>
    </row>
    <row r="4" ht="14.25" customHeight="1" s="142">
      <c r="A4" s="135" t="n">
        <v>3</v>
      </c>
      <c r="B4" s="135" t="inlineStr">
        <is>
          <t>#毀天滅地</t>
        </is>
      </c>
      <c r="C4" s="135" t="inlineStr">
        <is>
          <t>physical攻擊且係數超過3</t>
        </is>
      </c>
    </row>
    <row r="5" ht="15.75" customHeight="1" s="142">
      <c r="A5" s="135" t="n">
        <v>4</v>
      </c>
      <c r="B5" s="55" t="inlineStr">
        <is>
          <t>#橫掃千軍</t>
        </is>
      </c>
      <c r="C5" s="135" t="inlineStr">
        <is>
          <t>physical攻擊且目標超過3</t>
        </is>
      </c>
    </row>
    <row r="6" ht="14.25" customHeight="1" s="142">
      <c r="A6" s="135" t="n">
        <v>5</v>
      </c>
      <c r="B6" s="135" t="inlineStr">
        <is>
          <t>#奧術貫穿</t>
        </is>
      </c>
      <c r="C6" s="135" t="inlineStr">
        <is>
          <t>magic攻擊且係數超過3</t>
        </is>
      </c>
    </row>
    <row r="7" ht="14.25" customHeight="1" s="142">
      <c r="A7" s="135" t="n">
        <v>6</v>
      </c>
      <c r="B7" s="135" t="inlineStr">
        <is>
          <t>#元素狂襲</t>
        </is>
      </c>
      <c r="C7" s="135" t="inlineStr">
        <is>
          <t>magic攻擊且目標超過3</t>
        </is>
      </c>
    </row>
    <row r="8" ht="14.25" customHeight="1" s="142">
      <c r="A8" s="135" t="n">
        <v>7</v>
      </c>
      <c r="B8" s="135" t="inlineStr">
        <is>
          <t>#起死回生</t>
        </is>
      </c>
      <c r="C8" s="135" t="inlineStr">
        <is>
          <t>heal且補血細數超過3</t>
        </is>
      </c>
    </row>
    <row r="9" ht="15.75" customHeight="1" s="142">
      <c r="A9" s="135" t="n">
        <v>8</v>
      </c>
      <c r="B9" s="55" t="inlineStr">
        <is>
          <t>#生生不息</t>
        </is>
      </c>
      <c r="C9" s="135" t="inlineStr">
        <is>
          <t>heal且補血目標超過3</t>
        </is>
      </c>
    </row>
    <row r="10" ht="15.75" customHeight="1" s="142">
      <c r="A10" s="135" t="n">
        <v>9</v>
      </c>
      <c r="B10" s="55" t="inlineStr">
        <is>
          <t>#銅牆鐵壁</t>
        </is>
      </c>
      <c r="C10" s="135" t="inlineStr">
        <is>
          <t>shield且物攻係數的護盾</t>
        </is>
      </c>
      <c r="L10" s="7" t="n"/>
    </row>
    <row r="11" ht="15.75" customHeight="1" s="142">
      <c r="A11" s="135" t="n">
        <v>10</v>
      </c>
      <c r="B11" s="135" t="inlineStr">
        <is>
          <t>#靈能壁壘</t>
        </is>
      </c>
      <c r="C11" s="135" t="inlineStr">
        <is>
          <t>shield且魔攻係數的護盾</t>
        </is>
      </c>
      <c r="G11" s="85" t="n"/>
    </row>
    <row r="12" ht="15.75" customHeight="1" s="142">
      <c r="A12" s="135" t="n">
        <v>11</v>
      </c>
      <c r="B12" s="135" t="inlineStr">
        <is>
          <t>#苦難共擔</t>
        </is>
      </c>
      <c r="C12" s="8" t="inlineStr">
        <is>
          <t>有傷害分擔</t>
        </is>
      </c>
      <c r="G12" s="85" t="n"/>
    </row>
    <row r="13" ht="15.75" customHeight="1" s="142">
      <c r="A13" s="135" t="n">
        <v>12</v>
      </c>
      <c r="B13" s="135" t="inlineStr">
        <is>
          <t>#捨身取義</t>
        </is>
      </c>
      <c r="C13" s="8" t="inlineStr">
        <is>
          <t>附加受護衛效果</t>
        </is>
      </c>
      <c r="G13" s="85" t="n"/>
    </row>
    <row r="14" ht="15.75" customHeight="1" s="142">
      <c r="A14" s="135" t="n">
        <v>13</v>
      </c>
      <c r="B14" s="135" t="inlineStr">
        <is>
          <t>#輸出</t>
        </is>
      </c>
      <c r="C14" s="8" t="inlineStr">
        <is>
          <t>定位"打"</t>
        </is>
      </c>
      <c r="G14" s="85" t="n"/>
    </row>
    <row r="15" ht="15.75" customHeight="1" s="142">
      <c r="A15" s="135" t="n">
        <v>14</v>
      </c>
      <c r="B15" s="135" t="inlineStr">
        <is>
          <t>#恢復</t>
        </is>
      </c>
      <c r="C15" s="8" t="inlineStr">
        <is>
          <t>定位"補"</t>
        </is>
      </c>
      <c r="G15" s="85" t="n"/>
    </row>
    <row r="16" ht="15.75" customHeight="1" s="142">
      <c r="A16" s="135" t="n">
        <v>15</v>
      </c>
      <c r="B16" s="135" t="inlineStr">
        <is>
          <t>#守護</t>
        </is>
      </c>
      <c r="C16" s="8" t="inlineStr">
        <is>
          <t>定位"坦"</t>
        </is>
      </c>
      <c r="G16" s="85" t="n"/>
    </row>
    <row r="17" ht="15.75" customHeight="1" s="142">
      <c r="A17" s="135" t="n">
        <v>16</v>
      </c>
      <c r="B17" s="135" t="inlineStr">
        <is>
          <t>#物理</t>
        </is>
      </c>
      <c r="C17" s="8" t="inlineStr">
        <is>
          <t>攻擊是physical類的技能</t>
        </is>
      </c>
      <c r="G17" s="85" t="n"/>
    </row>
    <row r="18" ht="15.75" customHeight="1" s="142">
      <c r="A18" s="135" t="n">
        <v>17</v>
      </c>
      <c r="B18" s="135" t="inlineStr">
        <is>
          <t>#魔法</t>
        </is>
      </c>
      <c r="C18" s="8" t="inlineStr">
        <is>
          <t>攻擊是magic類的技能</t>
        </is>
      </c>
      <c r="G18" s="85" t="n"/>
    </row>
    <row r="19" ht="15.75" customHeight="1" s="142">
      <c r="A19" s="135" t="n">
        <v>18</v>
      </c>
      <c r="B19" s="135" t="inlineStr">
        <is>
          <t>#灼熱</t>
        </is>
      </c>
      <c r="C19" s="8" t="inlineStr">
        <is>
          <t>有燒傷技能</t>
        </is>
      </c>
      <c r="G19" s="85" t="n"/>
    </row>
    <row r="20" ht="15.75" customHeight="1" s="142">
      <c r="A20" s="135" t="n">
        <v>19</v>
      </c>
      <c r="B20" s="135" t="inlineStr">
        <is>
          <t>#臨寒</t>
        </is>
      </c>
      <c r="C20" s="8" t="inlineStr">
        <is>
          <t>有冰凍或凍傷技能</t>
        </is>
      </c>
      <c r="G20" s="85" t="n"/>
    </row>
    <row r="21" ht="15.75" customHeight="1" s="142">
      <c r="A21" s="135" t="n">
        <v>20</v>
      </c>
      <c r="B21" s="135" t="inlineStr">
        <is>
          <t>#弱體</t>
        </is>
      </c>
      <c r="C21" s="8" t="inlineStr">
        <is>
          <t>有削弱技能</t>
        </is>
      </c>
      <c r="G21" s="85" t="n"/>
    </row>
    <row r="22" ht="15.75" customHeight="1" s="142">
      <c r="A22" s="135" t="n">
        <v>51</v>
      </c>
      <c r="B22" s="135" t="inlineStr">
        <is>
          <t>#黑暗侵蝕</t>
        </is>
      </c>
      <c r="C22" s="8" t="inlineStr">
        <is>
          <t>聯想</t>
        </is>
      </c>
      <c r="G22" s="85" t="n"/>
    </row>
    <row r="23" ht="15.75" customHeight="1" s="142">
      <c r="A23" s="135" t="n">
        <v>52</v>
      </c>
      <c r="B23" s="135" t="inlineStr">
        <is>
          <t>#神聖庇護</t>
        </is>
      </c>
      <c r="C23" s="8" t="inlineStr">
        <is>
          <t>聯想</t>
        </is>
      </c>
      <c r="G23" s="85" t="n"/>
    </row>
    <row r="24" ht="15.75" customHeight="1" s="142">
      <c r="A24" s="135" t="n">
        <v>53</v>
      </c>
      <c r="B24" s="135" t="inlineStr">
        <is>
          <t>#自然之怒</t>
        </is>
      </c>
      <c r="C24" s="8" t="inlineStr">
        <is>
          <t>聯想</t>
        </is>
      </c>
      <c r="G24" s="85" t="n"/>
    </row>
    <row r="25" ht="15.75" customHeight="1" s="142">
      <c r="A25" s="135" t="n">
        <v>54</v>
      </c>
      <c r="B25" s="55" t="inlineStr">
        <is>
          <t>#巧奪天工</t>
        </is>
      </c>
      <c r="C25" s="8" t="inlineStr">
        <is>
          <t>聯想</t>
        </is>
      </c>
      <c r="G25" s="85" t="n"/>
    </row>
    <row r="26" ht="15.75" customHeight="1" s="142">
      <c r="A26" s="135" t="n">
        <v>55</v>
      </c>
      <c r="B26" s="55" t="inlineStr">
        <is>
          <t>#神祇恩賜</t>
        </is>
      </c>
      <c r="C26" s="8" t="inlineStr">
        <is>
          <t>聯想</t>
        </is>
      </c>
      <c r="G26" s="85" t="n"/>
    </row>
    <row r="27" ht="15.75" customHeight="1" s="142">
      <c r="A27" s="135" t="n">
        <v>56</v>
      </c>
      <c r="B27" s="135" t="inlineStr">
        <is>
          <t>#名刀</t>
        </is>
      </c>
      <c r="C27" s="8" t="inlineStr">
        <is>
          <t>形象</t>
        </is>
      </c>
      <c r="G27" s="85" t="n"/>
    </row>
    <row r="28" ht="15.75" customHeight="1" s="142">
      <c r="A28" s="135" t="n">
        <v>57</v>
      </c>
      <c r="B28" s="135" t="inlineStr">
        <is>
          <t>#寶器</t>
        </is>
      </c>
      <c r="C28" s="8" t="inlineStr">
        <is>
          <t>形象</t>
        </is>
      </c>
      <c r="G28" s="85" t="n"/>
    </row>
    <row r="29" ht="15.75" customHeight="1" s="142">
      <c r="A29" s="135" t="n">
        <v>58</v>
      </c>
      <c r="B29" s="135" t="inlineStr">
        <is>
          <t>#魔器</t>
        </is>
      </c>
      <c r="C29" s="8" t="inlineStr">
        <is>
          <t>形象</t>
        </is>
      </c>
      <c r="G29" s="85" t="n"/>
    </row>
    <row r="30" ht="14.25" customHeight="1" s="142">
      <c r="A30" s="135" t="n">
        <v>59</v>
      </c>
      <c r="B30" s="135" t="inlineStr">
        <is>
          <t>#聖物</t>
        </is>
      </c>
      <c r="C30" s="8" t="inlineStr">
        <is>
          <t>形象</t>
        </is>
      </c>
    </row>
    <row r="31" ht="15.75" customHeight="1" s="142">
      <c r="A31" s="135" t="n">
        <v>60</v>
      </c>
      <c r="B31" s="135" t="inlineStr">
        <is>
          <t>#幻具</t>
        </is>
      </c>
      <c r="C31" s="8" t="inlineStr">
        <is>
          <t>形象</t>
        </is>
      </c>
      <c r="G31" s="85" t="n"/>
    </row>
    <row r="32" ht="14.25" customHeight="1" s="142">
      <c r="A32" s="135" t="n">
        <v>61</v>
      </c>
      <c r="B32" s="135" t="inlineStr">
        <is>
          <t>#法器</t>
        </is>
      </c>
      <c r="C32" s="8" t="inlineStr">
        <is>
          <t>形象</t>
        </is>
      </c>
    </row>
    <row r="33" ht="15.75" customHeight="1" s="142">
      <c r="G33" s="85" t="n"/>
    </row>
    <row r="34">
      <c r="A34" t="n">
        <v>62</v>
      </c>
      <c r="B34" t="inlineStr">
        <is>
          <t>#野獸</t>
        </is>
      </c>
      <c r="C34" t="inlineStr">
        <is>
          <t>種族</t>
        </is>
      </c>
    </row>
    <row r="35">
      <c r="A35" t="n">
        <v>63</v>
      </c>
      <c r="B35" t="inlineStr">
        <is>
          <t>#史萊姆</t>
        </is>
      </c>
      <c r="C35" t="inlineStr">
        <is>
          <t>種族</t>
        </is>
      </c>
    </row>
    <row r="36">
      <c r="A36" t="n">
        <v>64</v>
      </c>
      <c r="B36" t="inlineStr">
        <is>
          <t>#精靈元素</t>
        </is>
      </c>
      <c r="C36" t="inlineStr">
        <is>
          <t>種族</t>
        </is>
      </c>
    </row>
    <row r="37">
      <c r="A37" t="n">
        <v>65</v>
      </c>
      <c r="B37" t="inlineStr">
        <is>
          <t>#不死亡靈</t>
        </is>
      </c>
      <c r="C37" t="inlineStr">
        <is>
          <t>種族</t>
        </is>
      </c>
    </row>
    <row r="38">
      <c r="A38" t="n">
        <v>66</v>
      </c>
      <c r="B38" t="inlineStr">
        <is>
          <t>#魔族深淵</t>
        </is>
      </c>
      <c r="C38" t="inlineStr">
        <is>
          <t>種族</t>
        </is>
      </c>
    </row>
    <row r="39">
      <c r="A39" t="n">
        <v>67</v>
      </c>
      <c r="B39" t="inlineStr">
        <is>
          <t>#構裝傀儡</t>
        </is>
      </c>
      <c r="C39" t="inlineStr">
        <is>
          <t>種族</t>
        </is>
      </c>
    </row>
    <row r="40">
      <c r="A40" t="n">
        <v>68</v>
      </c>
      <c r="B40" t="inlineStr">
        <is>
          <t>#盜賊術士</t>
        </is>
      </c>
      <c r="C40" t="inlineStr">
        <is>
          <t>種族</t>
        </is>
      </c>
    </row>
    <row r="41">
      <c r="A41" t="n">
        <v>69</v>
      </c>
      <c r="B41" t="inlineStr">
        <is>
          <t>#騎士聖光</t>
        </is>
      </c>
      <c r="C41" t="inlineStr">
        <is>
          <t>種族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135" t="inlineStr">
        <is>
          <t>group</t>
        </is>
      </c>
      <c r="B1" s="135" t="inlineStr">
        <is>
          <t>info</t>
        </is>
      </c>
      <c r="C1" s="135" t="inlineStr">
        <is>
          <t>unlock_job</t>
        </is>
      </c>
    </row>
    <row r="2" ht="14.25" customHeight="1" s="142">
      <c r="A2" s="135" t="n">
        <v>1</v>
      </c>
      <c r="B2" s="137" t="inlineStr">
        <is>
          <t>劍士天賦</t>
        </is>
      </c>
      <c r="C2" s="135" t="n">
        <v>90001</v>
      </c>
    </row>
    <row r="3" ht="14.25" customHeight="1" s="142">
      <c r="A3" s="135" t="n">
        <v>2</v>
      </c>
      <c r="B3" s="137" t="inlineStr">
        <is>
          <t>戰士天賦</t>
        </is>
      </c>
      <c r="C3" s="135">
        <f>C2+1</f>
        <v/>
      </c>
    </row>
    <row r="4" ht="14.25" customHeight="1" s="142">
      <c r="A4" s="135" t="n">
        <v>3</v>
      </c>
      <c r="B4" s="137" t="inlineStr">
        <is>
          <t>弓劍手天賦</t>
        </is>
      </c>
      <c r="C4" s="135">
        <f>C3+1</f>
        <v/>
      </c>
    </row>
    <row r="5" ht="14.25" customHeight="1" s="142">
      <c r="A5" s="135" t="n">
        <v>4</v>
      </c>
      <c r="B5" s="137" t="inlineStr">
        <is>
          <t>盜賊天賦</t>
        </is>
      </c>
      <c r="C5" s="135">
        <f>C4+1</f>
        <v/>
      </c>
    </row>
    <row r="6" ht="14.25" customHeight="1" s="142">
      <c r="A6" s="135" t="n">
        <v>5</v>
      </c>
      <c r="B6" s="137" t="inlineStr">
        <is>
          <t>魔法師天賦</t>
        </is>
      </c>
      <c r="C6" s="135">
        <f>C5+1</f>
        <v/>
      </c>
    </row>
    <row r="7" ht="14.25" customHeight="1" s="142">
      <c r="A7" s="135" t="n">
        <v>6</v>
      </c>
      <c r="B7" s="137" t="inlineStr">
        <is>
          <t>實習祭司天賦</t>
        </is>
      </c>
      <c r="C7" s="135">
        <f>C6+1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5:J95"/>
  <sheetViews>
    <sheetView zoomScaleNormal="100" workbookViewId="0">
      <selection activeCell="A1" sqref="A1"/>
    </sheetView>
  </sheetViews>
  <sheetFormatPr baseColWidth="8" defaultColWidth="12.5703125" defaultRowHeight="12.75"/>
  <cols>
    <col width="26" customWidth="1" style="142" min="3" max="3"/>
    <col width="13.85546875" customWidth="1" style="142" min="4" max="4"/>
    <col width="23" customWidth="1" style="142" min="5" max="5"/>
    <col width="14.85546875" customWidth="1" style="142" min="8" max="8"/>
    <col width="19.28515625" customWidth="1" style="142" min="10" max="10"/>
  </cols>
  <sheetData>
    <row r="5" ht="14.25" customHeight="1" s="142">
      <c r="A5" s="52" t="inlineStr">
        <is>
          <t>id</t>
        </is>
      </c>
      <c r="B5" s="52" t="inlineStr">
        <is>
          <t>group</t>
        </is>
      </c>
      <c r="C5" s="52" t="inlineStr">
        <is>
          <t>group_info</t>
        </is>
      </c>
      <c r="D5" s="52" t="inlineStr">
        <is>
          <t>front</t>
        </is>
      </c>
      <c r="E5" s="52" t="inlineStr">
        <is>
          <t>display_position</t>
        </is>
      </c>
      <c r="F5" s="52" t="inlineStr">
        <is>
          <t>cost</t>
        </is>
      </c>
      <c r="G5" s="52" t="inlineStr">
        <is>
          <t>buff_pasive</t>
        </is>
      </c>
      <c r="H5" s="52" t="inlineStr">
        <is>
          <t>role_card_unlock</t>
        </is>
      </c>
    </row>
    <row r="6" ht="114" customHeight="1" s="142">
      <c r="A6" s="52" t="n">
        <v>100</v>
      </c>
      <c r="B6" s="52" t="n">
        <v>1</v>
      </c>
      <c r="C6" s="143" t="inlineStr">
        <is>
          <t>全體上陣物理攻擊力+1%</t>
        </is>
      </c>
      <c r="D6" s="52" t="n"/>
      <c r="E6" s="125" t="inlineStr">
        <is>
          <t>{0},{0},{100},{0},{0}
{0},{101},{0},{102},{0}
{0},{103},{0},{104},{0}
{105},{0},{106},{0},{107}
{0},{108},{0},{109},{0}
{110},{112},{0},{113},{111}
{0},{0},{114},{0},{0}</t>
        </is>
      </c>
      <c r="F6" s="52" t="n">
        <v>5</v>
      </c>
      <c r="G6" s="52">
        <f>A6+7900</f>
        <v/>
      </c>
      <c r="H6" s="52" t="n"/>
    </row>
    <row r="7" ht="14.25" customHeight="1" s="142">
      <c r="A7" s="52">
        <f>A6+1</f>
        <v/>
      </c>
      <c r="B7" s="52" t="n">
        <v>1</v>
      </c>
      <c r="C7" s="143" t="inlineStr">
        <is>
          <t>全體上陣物理攻擊力+1%</t>
        </is>
      </c>
      <c r="D7" s="52" t="n">
        <v>100</v>
      </c>
      <c r="E7" s="52" t="n"/>
      <c r="F7" s="52" t="n">
        <v>7</v>
      </c>
      <c r="G7" s="52">
        <f>A7+7900</f>
        <v/>
      </c>
      <c r="H7" s="52" t="n"/>
    </row>
    <row r="8" ht="14.25" customHeight="1" s="142">
      <c r="A8" s="52">
        <f>A7+1</f>
        <v/>
      </c>
      <c r="B8" s="52" t="n">
        <v>1</v>
      </c>
      <c r="C8" s="143" t="inlineStr">
        <is>
          <t>全體上陣物理攻擊力+1%</t>
        </is>
      </c>
      <c r="D8" s="52" t="n">
        <v>100</v>
      </c>
      <c r="E8" s="52" t="n"/>
      <c r="F8" s="52">
        <f>F7+5</f>
        <v/>
      </c>
      <c r="G8" s="52">
        <f>A8+7900</f>
        <v/>
      </c>
      <c r="H8" s="52" t="n"/>
    </row>
    <row r="9" ht="14.25" customHeight="1" s="142">
      <c r="A9" s="52">
        <f>A8+1</f>
        <v/>
      </c>
      <c r="B9" s="52" t="n">
        <v>1</v>
      </c>
      <c r="C9" s="143" t="inlineStr">
        <is>
          <t>全體上陣物理攻擊力+1%</t>
        </is>
      </c>
      <c r="D9" s="52" t="n">
        <v>101</v>
      </c>
      <c r="E9" s="52" t="n"/>
      <c r="F9" s="52">
        <f>F8+5</f>
        <v/>
      </c>
      <c r="G9" s="52">
        <f>A9+7900</f>
        <v/>
      </c>
      <c r="H9" s="52" t="n"/>
      <c r="J9" s="141" t="n"/>
    </row>
    <row r="10" ht="14.25" customHeight="1" s="142">
      <c r="A10" s="52">
        <f>A9+1</f>
        <v/>
      </c>
      <c r="B10" s="52" t="n">
        <v>1</v>
      </c>
      <c r="C10" s="143" t="inlineStr">
        <is>
          <t>全體上陣物理攻擊力+1%</t>
        </is>
      </c>
      <c r="D10" s="52" t="n">
        <v>102</v>
      </c>
      <c r="E10" s="52" t="n"/>
      <c r="F10" s="52">
        <f>F9+5</f>
        <v/>
      </c>
      <c r="G10" s="52">
        <f>A10+7900</f>
        <v/>
      </c>
      <c r="H10" s="52" t="n"/>
    </row>
    <row r="11" ht="14.25" customHeight="1" s="142">
      <c r="A11" s="52">
        <f>A10+1</f>
        <v/>
      </c>
      <c r="B11" s="52" t="n">
        <v>1</v>
      </c>
      <c r="C11" s="143" t="inlineStr">
        <is>
          <t>全體上陣物理攻擊力+1%</t>
        </is>
      </c>
      <c r="D11" s="52" t="n">
        <v>103</v>
      </c>
      <c r="E11" s="52" t="n"/>
      <c r="F11" s="52">
        <f>F10+5</f>
        <v/>
      </c>
      <c r="G11" s="52">
        <f>A11+7900</f>
        <v/>
      </c>
      <c r="H11" s="52" t="n"/>
    </row>
    <row r="12" ht="14.25" customHeight="1" s="142">
      <c r="A12" s="52">
        <f>A11+1</f>
        <v/>
      </c>
      <c r="B12" s="52" t="n">
        <v>1</v>
      </c>
      <c r="C12" s="143" t="inlineStr">
        <is>
          <t>全體上陣物理攻擊力+1%</t>
        </is>
      </c>
      <c r="D12" s="52">
        <f>"103,104"</f>
        <v/>
      </c>
      <c r="E12" s="52" t="n"/>
      <c r="F12" s="52">
        <f>F11+5</f>
        <v/>
      </c>
      <c r="G12" s="52">
        <f>A12+7900</f>
        <v/>
      </c>
      <c r="H12" s="52" t="n"/>
    </row>
    <row r="13" ht="14.25" customHeight="1" s="142">
      <c r="A13" s="52">
        <f>A12+1</f>
        <v/>
      </c>
      <c r="B13" s="52" t="n">
        <v>1</v>
      </c>
      <c r="C13" s="143" t="inlineStr">
        <is>
          <t>全體上陣物理攻擊力+1%</t>
        </is>
      </c>
      <c r="D13" s="52">
        <f>"104"</f>
        <v/>
      </c>
      <c r="E13" s="52" t="n"/>
      <c r="F13" s="52">
        <f>F12+5</f>
        <v/>
      </c>
      <c r="G13" s="52">
        <f>A13+7900</f>
        <v/>
      </c>
      <c r="H13" s="52" t="n"/>
    </row>
    <row r="14" ht="14.25" customHeight="1" s="142">
      <c r="A14" s="52">
        <f>A13+1</f>
        <v/>
      </c>
      <c r="B14" s="52" t="n">
        <v>1</v>
      </c>
      <c r="C14" s="143" t="inlineStr">
        <is>
          <t>全體上陣物理攻擊力+1%</t>
        </is>
      </c>
      <c r="D14" s="52">
        <f>"105,106"</f>
        <v/>
      </c>
      <c r="E14" s="52" t="n"/>
      <c r="F14" s="52">
        <f>F13+5</f>
        <v/>
      </c>
      <c r="G14" s="52">
        <f>A14+7900</f>
        <v/>
      </c>
      <c r="H14" s="52" t="n"/>
    </row>
    <row r="15" ht="14.25" customHeight="1" s="142">
      <c r="A15" s="52">
        <f>A14+1</f>
        <v/>
      </c>
      <c r="B15" s="52" t="n">
        <v>1</v>
      </c>
      <c r="C15" s="143" t="inlineStr">
        <is>
          <t>全體上陣物理攻擊力+1%</t>
        </is>
      </c>
      <c r="D15" s="52">
        <f>"106,107"</f>
        <v/>
      </c>
      <c r="E15" s="52" t="n"/>
      <c r="F15" s="52">
        <f>F14+5</f>
        <v/>
      </c>
      <c r="G15" s="52">
        <f>A15+7900</f>
        <v/>
      </c>
      <c r="H15" s="52" t="n"/>
    </row>
    <row r="16" ht="14.25" customHeight="1" s="142">
      <c r="A16" s="52">
        <f>A15+1</f>
        <v/>
      </c>
      <c r="B16" s="52" t="n">
        <v>1</v>
      </c>
      <c r="C16" s="143" t="inlineStr">
        <is>
          <t>全體上陣物理攻擊力+1%</t>
        </is>
      </c>
      <c r="D16" s="58" t="n">
        <v>108</v>
      </c>
      <c r="E16" s="52" t="n"/>
      <c r="F16" s="52">
        <f>F15+5</f>
        <v/>
      </c>
      <c r="G16" s="52">
        <f>A16+7900</f>
        <v/>
      </c>
      <c r="H16" s="52" t="n"/>
    </row>
    <row r="17" ht="14.25" customHeight="1" s="142">
      <c r="A17" s="52">
        <f>A16+1</f>
        <v/>
      </c>
      <c r="B17" s="52" t="n">
        <v>1</v>
      </c>
      <c r="C17" s="143" t="inlineStr">
        <is>
          <t>全體上陣物理攻擊力+1%</t>
        </is>
      </c>
      <c r="D17" s="58" t="n">
        <v>109</v>
      </c>
      <c r="E17" s="52" t="n"/>
      <c r="F17" s="52">
        <f>F16+5</f>
        <v/>
      </c>
      <c r="G17" s="52">
        <f>A17+7900</f>
        <v/>
      </c>
      <c r="H17" s="52" t="n"/>
    </row>
    <row r="18" ht="14.25" customHeight="1" s="142">
      <c r="A18" s="52">
        <f>A17+1</f>
        <v/>
      </c>
      <c r="B18" s="52" t="n">
        <v>1</v>
      </c>
      <c r="C18" s="143" t="inlineStr">
        <is>
          <t>全體上陣物理攻擊力+1%</t>
        </is>
      </c>
      <c r="D18" s="58" t="n">
        <v>110</v>
      </c>
      <c r="E18" s="52" t="n"/>
      <c r="F18" s="52">
        <f>F17+5</f>
        <v/>
      </c>
      <c r="G18" s="52">
        <f>A18+7900</f>
        <v/>
      </c>
      <c r="H18" s="52" t="n"/>
    </row>
    <row r="19" ht="14.25" customHeight="1" s="142">
      <c r="A19" s="52">
        <f>A18+1</f>
        <v/>
      </c>
      <c r="B19" s="52" t="n">
        <v>1</v>
      </c>
      <c r="C19" s="143" t="inlineStr">
        <is>
          <t>全體上陣物理攻擊力+1%</t>
        </is>
      </c>
      <c r="D19" s="58" t="n">
        <v>111</v>
      </c>
      <c r="E19" s="52" t="n"/>
      <c r="F19" s="52">
        <f>F18+5</f>
        <v/>
      </c>
      <c r="G19" s="52">
        <f>A19+7900</f>
        <v/>
      </c>
      <c r="H19" s="52" t="n"/>
    </row>
    <row r="20" ht="14.25" customHeight="1" s="142">
      <c r="A20" s="52">
        <f>A19+1</f>
        <v/>
      </c>
      <c r="B20" s="52" t="n">
        <v>1</v>
      </c>
      <c r="C20" s="143" t="inlineStr">
        <is>
          <t>解鎖劍豪</t>
        </is>
      </c>
      <c r="D20" s="58">
        <f>"112,113"</f>
        <v/>
      </c>
      <c r="E20" s="52" t="n"/>
      <c r="F20" s="52">
        <f>F19+5</f>
        <v/>
      </c>
      <c r="G20" s="52">
        <f>A20+7900</f>
        <v/>
      </c>
      <c r="H20" s="52" t="n">
        <v>90008</v>
      </c>
    </row>
    <row r="21" ht="114" customHeight="1" s="142">
      <c r="A21" s="52">
        <f>A20+1</f>
        <v/>
      </c>
      <c r="B21" s="52" t="n">
        <v>2</v>
      </c>
      <c r="C21" s="143" t="inlineStr">
        <is>
          <t>全體上陣物理攻擊力+1%</t>
        </is>
      </c>
      <c r="D21" s="52" t="n"/>
      <c r="E21" s="125" t="inlineStr">
        <is>
          <t>{0},{0},{115},{0},{0}
{0},{116},{0},{117},{0}
{0},{118},{0},{119},{0}
{120},{0},{121},{0},{122}
{0},{123},{0},{124},{0}
{125},{0},{0},{0},{126}
{0},{127},{0},{128},{0}
{0},{0},{129},{0},{0}</t>
        </is>
      </c>
      <c r="F21" s="52" t="n">
        <v>5</v>
      </c>
      <c r="G21" s="52">
        <f>A21+7900</f>
        <v/>
      </c>
      <c r="H21" s="52" t="n"/>
    </row>
    <row r="22" ht="14.25" customHeight="1" s="142">
      <c r="A22" s="52">
        <f>A21+1</f>
        <v/>
      </c>
      <c r="B22" s="52" t="n">
        <v>2</v>
      </c>
      <c r="C22" s="143" t="inlineStr">
        <is>
          <t>全體上陣物理攻擊力+1%</t>
        </is>
      </c>
      <c r="D22" s="52">
        <f>D7+15</f>
        <v/>
      </c>
      <c r="E22" s="52" t="n"/>
      <c r="F22" s="52" t="n">
        <v>7</v>
      </c>
      <c r="G22" s="52">
        <f>A22+7900</f>
        <v/>
      </c>
      <c r="H22" s="52" t="n"/>
    </row>
    <row r="23" ht="14.25" customHeight="1" s="142">
      <c r="A23" s="52">
        <f>A22+1</f>
        <v/>
      </c>
      <c r="B23" s="52" t="n">
        <v>2</v>
      </c>
      <c r="C23" s="143" t="inlineStr">
        <is>
          <t>全體上陣物理攻擊力+1%</t>
        </is>
      </c>
      <c r="D23" s="52">
        <f>D8+15</f>
        <v/>
      </c>
      <c r="E23" s="52" t="n"/>
      <c r="F23" s="52">
        <f>F22+5</f>
        <v/>
      </c>
      <c r="G23" s="52">
        <f>A23+7900</f>
        <v/>
      </c>
      <c r="H23" s="52" t="n"/>
    </row>
    <row r="24" ht="14.25" customHeight="1" s="142">
      <c r="A24" s="52">
        <f>A23+1</f>
        <v/>
      </c>
      <c r="B24" s="52" t="n">
        <v>2</v>
      </c>
      <c r="C24" s="143" t="inlineStr">
        <is>
          <t>全體上陣物理攻擊力+1%</t>
        </is>
      </c>
      <c r="D24" s="52">
        <f>D9+15</f>
        <v/>
      </c>
      <c r="E24" s="52" t="n"/>
      <c r="F24" s="52">
        <f>F23+5</f>
        <v/>
      </c>
      <c r="G24" s="52">
        <f>A24+7900</f>
        <v/>
      </c>
      <c r="H24" s="52" t="n"/>
    </row>
    <row r="25" ht="14.25" customHeight="1" s="142">
      <c r="A25" s="52">
        <f>A24+1</f>
        <v/>
      </c>
      <c r="B25" s="52" t="n">
        <v>2</v>
      </c>
      <c r="C25" s="143" t="inlineStr">
        <is>
          <t>全體上陣物理攻擊力+1%</t>
        </is>
      </c>
      <c r="D25" s="52">
        <f>D10+15</f>
        <v/>
      </c>
      <c r="E25" s="52" t="n"/>
      <c r="F25" s="52">
        <f>F24+5</f>
        <v/>
      </c>
      <c r="G25" s="52">
        <f>A25+7900</f>
        <v/>
      </c>
      <c r="H25" s="52" t="n"/>
    </row>
    <row r="26" ht="14.25" customHeight="1" s="142">
      <c r="A26" s="52">
        <f>A25+1</f>
        <v/>
      </c>
      <c r="B26" s="52" t="n">
        <v>2</v>
      </c>
      <c r="C26" s="143" t="inlineStr">
        <is>
          <t>全體上陣物理攻擊力+1%</t>
        </is>
      </c>
      <c r="D26" s="52">
        <f>D11+15</f>
        <v/>
      </c>
      <c r="E26" s="52" t="n"/>
      <c r="F26" s="52">
        <f>F25+5</f>
        <v/>
      </c>
      <c r="G26" s="52">
        <f>A26+7900</f>
        <v/>
      </c>
      <c r="H26" s="52" t="n"/>
    </row>
    <row r="27" ht="14.25" customHeight="1" s="142">
      <c r="A27" s="52">
        <f>A26+1</f>
        <v/>
      </c>
      <c r="B27" s="52" t="n">
        <v>2</v>
      </c>
      <c r="C27" s="143" t="inlineStr">
        <is>
          <t>全體上陣物理攻擊力+1%</t>
        </is>
      </c>
      <c r="D27" s="52">
        <f>"118,119"</f>
        <v/>
      </c>
      <c r="E27" s="52" t="n"/>
      <c r="F27" s="52">
        <f>F26+5</f>
        <v/>
      </c>
      <c r="G27" s="52">
        <f>A27+7900</f>
        <v/>
      </c>
      <c r="H27" s="52" t="n"/>
    </row>
    <row r="28" ht="14.25" customHeight="1" s="142">
      <c r="A28" s="52">
        <f>A27+1</f>
        <v/>
      </c>
      <c r="B28" s="52" t="n">
        <v>2</v>
      </c>
      <c r="C28" s="143" t="inlineStr">
        <is>
          <t>全體上陣物理攻擊力+1%</t>
        </is>
      </c>
      <c r="D28" s="52">
        <f>D13+15</f>
        <v/>
      </c>
      <c r="E28" s="52" t="n"/>
      <c r="F28" s="52">
        <f>F27+5</f>
        <v/>
      </c>
      <c r="G28" s="52">
        <f>A28+7900</f>
        <v/>
      </c>
      <c r="H28" s="52" t="n"/>
    </row>
    <row r="29" ht="14.25" customHeight="1" s="142">
      <c r="A29" s="52">
        <f>A28+1</f>
        <v/>
      </c>
      <c r="B29" s="52" t="n">
        <v>2</v>
      </c>
      <c r="C29" s="143" t="inlineStr">
        <is>
          <t>全體上陣物理攻擊力+1%</t>
        </is>
      </c>
      <c r="D29" s="52">
        <f>"120,121"</f>
        <v/>
      </c>
      <c r="E29" s="52" t="n"/>
      <c r="F29" s="52">
        <f>F28+5</f>
        <v/>
      </c>
      <c r="G29" s="52">
        <f>A29+7900</f>
        <v/>
      </c>
      <c r="H29" s="52" t="n"/>
    </row>
    <row r="30" ht="14.25" customHeight="1" s="142">
      <c r="A30" s="52">
        <f>A29+1</f>
        <v/>
      </c>
      <c r="B30" s="52" t="n">
        <v>2</v>
      </c>
      <c r="C30" s="143" t="inlineStr">
        <is>
          <t>全體上陣物理攻擊力+1%</t>
        </is>
      </c>
      <c r="D30" s="52">
        <f>"121,122"</f>
        <v/>
      </c>
      <c r="E30" s="52" t="n"/>
      <c r="F30" s="52">
        <f>F29+5</f>
        <v/>
      </c>
      <c r="G30" s="52">
        <f>A30+7900</f>
        <v/>
      </c>
      <c r="H30" s="52" t="n"/>
    </row>
    <row r="31" ht="14.25" customHeight="1" s="142">
      <c r="A31" s="52">
        <f>A30+1</f>
        <v/>
      </c>
      <c r="B31" s="52" t="n">
        <v>2</v>
      </c>
      <c r="C31" s="143" t="inlineStr">
        <is>
          <t>全體上陣物理攻擊力+1%</t>
        </is>
      </c>
      <c r="D31" s="58">
        <f>D16+15</f>
        <v/>
      </c>
      <c r="E31" s="52" t="n"/>
      <c r="F31" s="52">
        <f>F30+5</f>
        <v/>
      </c>
      <c r="G31" s="52">
        <f>A31+7900</f>
        <v/>
      </c>
      <c r="H31" s="52" t="n"/>
    </row>
    <row r="32" ht="14.25" customHeight="1" s="142">
      <c r="A32" s="52">
        <f>A31+1</f>
        <v/>
      </c>
      <c r="B32" s="52" t="n">
        <v>2</v>
      </c>
      <c r="C32" s="143" t="inlineStr">
        <is>
          <t>全體上陣物理攻擊力+1%</t>
        </is>
      </c>
      <c r="D32" s="58">
        <f>D17+15</f>
        <v/>
      </c>
      <c r="E32" s="52" t="n"/>
      <c r="F32" s="52">
        <f>F31+5</f>
        <v/>
      </c>
      <c r="G32" s="52">
        <f>A32+7900</f>
        <v/>
      </c>
      <c r="H32" s="52" t="n"/>
    </row>
    <row r="33" ht="14.25" customHeight="1" s="142">
      <c r="A33" s="52">
        <f>A32+1</f>
        <v/>
      </c>
      <c r="B33" s="52" t="n">
        <v>2</v>
      </c>
      <c r="C33" s="143" t="inlineStr">
        <is>
          <t>全體上陣物理攻擊力+1%</t>
        </is>
      </c>
      <c r="D33" s="58">
        <f>D18+15</f>
        <v/>
      </c>
      <c r="E33" s="52" t="n"/>
      <c r="F33" s="52">
        <f>F32+5</f>
        <v/>
      </c>
      <c r="G33" s="52">
        <f>A33+7900</f>
        <v/>
      </c>
      <c r="H33" s="52" t="n"/>
    </row>
    <row r="34" ht="14.25" customHeight="1" s="142">
      <c r="A34" s="52">
        <f>A33+1</f>
        <v/>
      </c>
      <c r="B34" s="52" t="n">
        <v>2</v>
      </c>
      <c r="C34" s="143" t="inlineStr">
        <is>
          <t>全體上陣物理攻擊力+1%</t>
        </is>
      </c>
      <c r="D34" s="58">
        <f>D19+15</f>
        <v/>
      </c>
      <c r="E34" s="52" t="n"/>
      <c r="F34" s="52">
        <f>F33+5</f>
        <v/>
      </c>
      <c r="G34" s="52">
        <f>A34+7900</f>
        <v/>
      </c>
      <c r="H34" s="52" t="n"/>
    </row>
    <row r="35" ht="14.25" customHeight="1" s="142">
      <c r="A35" s="52">
        <f>A34+1</f>
        <v/>
      </c>
      <c r="B35" s="52" t="n">
        <v>2</v>
      </c>
      <c r="C35" s="143" t="inlineStr">
        <is>
          <t>解鎖狂戰士</t>
        </is>
      </c>
      <c r="D35" s="52">
        <f>"127,128"</f>
        <v/>
      </c>
      <c r="E35" s="52" t="n"/>
      <c r="F35" s="52">
        <f>F34+5</f>
        <v/>
      </c>
      <c r="G35" s="52">
        <f>A35+7900</f>
        <v/>
      </c>
      <c r="H35" s="52" t="n">
        <v>90009</v>
      </c>
    </row>
    <row r="36" ht="114" customHeight="1" s="142">
      <c r="A36" s="52">
        <f>A35+1</f>
        <v/>
      </c>
      <c r="B36" s="52" t="n">
        <v>3</v>
      </c>
      <c r="C36" s="143" t="inlineStr">
        <is>
          <t>全體上陣物理攻擊力+1%</t>
        </is>
      </c>
      <c r="D36" s="52" t="n"/>
      <c r="E36" s="125" t="inlineStr">
        <is>
          <t>{0},{0},{130},{0},{0}
{0},{131},{0},{132},{0}
{0},{133},{0},{134},{0}
{135},{0},{136},{0},{137}
{0},{138},{0},{139},{0}
{140},{0},{0},{0},{141}
{0},{142},{0},{143},{0}
{0},{0},{144},{0},{0}</t>
        </is>
      </c>
      <c r="F36" s="52" t="n">
        <v>5</v>
      </c>
      <c r="G36" s="52">
        <f>A36+7900</f>
        <v/>
      </c>
      <c r="H36" s="52" t="n"/>
    </row>
    <row r="37" ht="14.25" customHeight="1" s="142">
      <c r="A37" s="52">
        <f>A36+1</f>
        <v/>
      </c>
      <c r="B37" s="52" t="n">
        <v>3</v>
      </c>
      <c r="C37" s="143" t="inlineStr">
        <is>
          <t>全體上陣物理攻擊力+1%</t>
        </is>
      </c>
      <c r="D37" s="52" t="n">
        <v>130</v>
      </c>
      <c r="E37" s="52" t="n"/>
      <c r="F37" s="52" t="n">
        <v>7</v>
      </c>
      <c r="G37" s="52">
        <f>A37+7900</f>
        <v/>
      </c>
      <c r="H37" s="52" t="n"/>
    </row>
    <row r="38" ht="14.25" customHeight="1" s="142">
      <c r="A38" s="52">
        <f>A37+1</f>
        <v/>
      </c>
      <c r="B38" s="52" t="n">
        <v>3</v>
      </c>
      <c r="C38" s="143" t="inlineStr">
        <is>
          <t>全體上陣物理攻擊力+1%</t>
        </is>
      </c>
      <c r="D38" s="52" t="n">
        <v>130</v>
      </c>
      <c r="E38" s="52" t="n"/>
      <c r="F38" s="52">
        <f>F37+5</f>
        <v/>
      </c>
      <c r="G38" s="52">
        <f>A38+7900</f>
        <v/>
      </c>
      <c r="H38" s="52" t="n"/>
    </row>
    <row r="39" ht="14.25" customHeight="1" s="142">
      <c r="A39" s="52">
        <f>A38+1</f>
        <v/>
      </c>
      <c r="B39" s="52" t="n">
        <v>3</v>
      </c>
      <c r="C39" s="143" t="inlineStr">
        <is>
          <t>全體上陣物理攻擊力+1%</t>
        </is>
      </c>
      <c r="D39" s="52" t="n">
        <v>131</v>
      </c>
      <c r="E39" s="52" t="n"/>
      <c r="F39" s="52">
        <f>F38+5</f>
        <v/>
      </c>
      <c r="G39" s="52">
        <f>A39+7900</f>
        <v/>
      </c>
      <c r="H39" s="52" t="n"/>
    </row>
    <row r="40" ht="14.25" customHeight="1" s="142">
      <c r="A40" s="52">
        <f>A39+1</f>
        <v/>
      </c>
      <c r="B40" s="52" t="n">
        <v>3</v>
      </c>
      <c r="C40" s="143" t="inlineStr">
        <is>
          <t>全體上陣物理攻擊力+1%</t>
        </is>
      </c>
      <c r="D40" s="52" t="n">
        <v>132</v>
      </c>
      <c r="E40" s="52" t="n"/>
      <c r="F40" s="52">
        <f>F39+5</f>
        <v/>
      </c>
      <c r="G40" s="52">
        <f>A40+7900</f>
        <v/>
      </c>
      <c r="H40" s="52" t="n"/>
    </row>
    <row r="41" ht="14.25" customHeight="1" s="142">
      <c r="A41" s="52">
        <f>A40+1</f>
        <v/>
      </c>
      <c r="B41" s="52" t="n">
        <v>3</v>
      </c>
      <c r="C41" s="143" t="inlineStr">
        <is>
          <t>全體上陣物理攻擊力+1%</t>
        </is>
      </c>
      <c r="D41" s="52" t="n">
        <v>133</v>
      </c>
      <c r="E41" s="52" t="n"/>
      <c r="F41" s="52">
        <f>F40+5</f>
        <v/>
      </c>
      <c r="G41" s="52">
        <f>A41+7900</f>
        <v/>
      </c>
      <c r="H41" s="52" t="n"/>
    </row>
    <row r="42" ht="14.25" customHeight="1" s="142">
      <c r="A42" s="52">
        <f>A41+1</f>
        <v/>
      </c>
      <c r="B42" s="52" t="n">
        <v>3</v>
      </c>
      <c r="C42" s="143" t="inlineStr">
        <is>
          <t>全體上陣物理攻擊力+1%</t>
        </is>
      </c>
      <c r="D42" s="52">
        <f>"133,134"</f>
        <v/>
      </c>
      <c r="E42" s="52" t="n"/>
      <c r="F42" s="52">
        <f>F41+5</f>
        <v/>
      </c>
      <c r="G42" s="52">
        <f>A42+7900</f>
        <v/>
      </c>
      <c r="H42" s="52" t="n"/>
    </row>
    <row r="43" ht="14.25" customHeight="1" s="142">
      <c r="A43" s="52">
        <f>A42+1</f>
        <v/>
      </c>
      <c r="B43" s="52" t="n">
        <v>3</v>
      </c>
      <c r="C43" s="143" t="inlineStr">
        <is>
          <t>全體上陣物理攻擊力+1%</t>
        </is>
      </c>
      <c r="D43" s="52" t="n">
        <v>134</v>
      </c>
      <c r="E43" s="52" t="n"/>
      <c r="F43" s="52">
        <f>F42+5</f>
        <v/>
      </c>
      <c r="G43" s="52">
        <f>A43+7900</f>
        <v/>
      </c>
      <c r="H43" s="52" t="n"/>
    </row>
    <row r="44" ht="14.25" customHeight="1" s="142">
      <c r="A44" s="52">
        <f>A43+1</f>
        <v/>
      </c>
      <c r="B44" s="52" t="n">
        <v>3</v>
      </c>
      <c r="C44" s="143" t="inlineStr">
        <is>
          <t>全體上陣物理攻擊力+1%</t>
        </is>
      </c>
      <c r="D44" s="52">
        <f>"135,136"</f>
        <v/>
      </c>
      <c r="E44" s="52" t="n"/>
      <c r="F44" s="52">
        <f>F43+5</f>
        <v/>
      </c>
      <c r="G44" s="52">
        <f>A44+7900</f>
        <v/>
      </c>
      <c r="H44" s="52" t="n"/>
    </row>
    <row r="45" ht="14.25" customHeight="1" s="142">
      <c r="A45" s="52">
        <f>A44+1</f>
        <v/>
      </c>
      <c r="B45" s="52" t="n">
        <v>3</v>
      </c>
      <c r="C45" s="143" t="inlineStr">
        <is>
          <t>全體上陣物理攻擊力+1%</t>
        </is>
      </c>
      <c r="D45" s="52">
        <f>"136,137"</f>
        <v/>
      </c>
      <c r="E45" s="52" t="n"/>
      <c r="F45" s="52">
        <f>F44+5</f>
        <v/>
      </c>
      <c r="G45" s="52">
        <f>A45+7900</f>
        <v/>
      </c>
      <c r="H45" s="52" t="n"/>
    </row>
    <row r="46" ht="14.25" customHeight="1" s="142">
      <c r="A46" s="52">
        <f>A45+1</f>
        <v/>
      </c>
      <c r="B46" s="52" t="n">
        <v>3</v>
      </c>
      <c r="C46" s="143" t="inlineStr">
        <is>
          <t>全體上陣物理攻擊力+1%</t>
        </is>
      </c>
      <c r="D46" s="58" t="n">
        <v>138</v>
      </c>
      <c r="E46" s="52" t="n"/>
      <c r="F46" s="52">
        <f>F45+5</f>
        <v/>
      </c>
      <c r="G46" s="52">
        <f>A46+7900</f>
        <v/>
      </c>
      <c r="H46" s="52" t="n"/>
    </row>
    <row r="47" ht="14.25" customHeight="1" s="142">
      <c r="A47" s="52">
        <f>A46+1</f>
        <v/>
      </c>
      <c r="B47" s="52" t="n">
        <v>3</v>
      </c>
      <c r="C47" s="143" t="inlineStr">
        <is>
          <t>全體上陣物理攻擊力+1%</t>
        </is>
      </c>
      <c r="D47" s="58" t="n">
        <v>139</v>
      </c>
      <c r="E47" s="52" t="n"/>
      <c r="F47" s="52">
        <f>F46+5</f>
        <v/>
      </c>
      <c r="G47" s="52">
        <f>A47+7900</f>
        <v/>
      </c>
      <c r="H47" s="52" t="n"/>
    </row>
    <row r="48" ht="14.25" customHeight="1" s="142">
      <c r="A48" s="52">
        <f>A47+1</f>
        <v/>
      </c>
      <c r="B48" s="52" t="n">
        <v>3</v>
      </c>
      <c r="C48" s="143" t="inlineStr">
        <is>
          <t>全體上陣物理攻擊力+1%</t>
        </is>
      </c>
      <c r="D48" s="58" t="n">
        <v>140</v>
      </c>
      <c r="E48" s="52" t="n"/>
      <c r="F48" s="52">
        <f>F47+5</f>
        <v/>
      </c>
      <c r="G48" s="52">
        <f>A48+7900</f>
        <v/>
      </c>
      <c r="H48" s="52" t="n"/>
    </row>
    <row r="49" ht="14.25" customHeight="1" s="142">
      <c r="A49" s="52">
        <f>A48+1</f>
        <v/>
      </c>
      <c r="B49" s="52" t="n">
        <v>3</v>
      </c>
      <c r="C49" s="143" t="inlineStr">
        <is>
          <t>全體上陣物理攻擊力+1%</t>
        </is>
      </c>
      <c r="D49" s="58" t="n">
        <v>141</v>
      </c>
      <c r="E49" s="52" t="n"/>
      <c r="F49" s="52">
        <f>F48+5</f>
        <v/>
      </c>
      <c r="G49" s="52">
        <f>A49+7900</f>
        <v/>
      </c>
      <c r="H49" s="52" t="n"/>
    </row>
    <row r="50" ht="14.25" customHeight="1" s="142">
      <c r="A50" s="52">
        <f>A49+1</f>
        <v/>
      </c>
      <c r="B50" s="52" t="n">
        <v>3</v>
      </c>
      <c r="C50" s="143" t="inlineStr">
        <is>
          <t>解鎖神射手</t>
        </is>
      </c>
      <c r="D50" s="58">
        <f>"142,143"</f>
        <v/>
      </c>
      <c r="E50" s="52" t="n"/>
      <c r="F50" s="52">
        <f>F49+5</f>
        <v/>
      </c>
      <c r="G50" s="52">
        <f>A50+7900</f>
        <v/>
      </c>
      <c r="H50" s="52" t="n">
        <v>90010</v>
      </c>
    </row>
    <row r="51" ht="114" customHeight="1" s="142">
      <c r="A51" s="52">
        <f>A50+1</f>
        <v/>
      </c>
      <c r="B51" s="52" t="n">
        <v>4</v>
      </c>
      <c r="C51" s="143" t="inlineStr">
        <is>
          <t>全體上陣物理攻擊力+1%</t>
        </is>
      </c>
      <c r="D51" s="52" t="n"/>
      <c r="E51" s="125" t="inlineStr">
        <is>
          <t>{0},{0},{145},{0},{0}
{0},{146},{0},{147},{0}
{0},{148},{0},{149},{0}
{150},{0},{151},{0},{152}
{0},{153},{0},{154},{0}
{155},{0},{0},{0},{156}
{0},{157},{0},{158},{0}
{0},{0},{159},{0},{0}</t>
        </is>
      </c>
      <c r="F51" s="52" t="n">
        <v>5</v>
      </c>
      <c r="G51" s="52">
        <f>A51+7900</f>
        <v/>
      </c>
      <c r="H51" s="52" t="n"/>
    </row>
    <row r="52" ht="14.25" customHeight="1" s="142">
      <c r="A52" s="52">
        <f>A51+1</f>
        <v/>
      </c>
      <c r="B52" s="52" t="n">
        <v>4</v>
      </c>
      <c r="C52" s="143" t="inlineStr">
        <is>
          <t>全體上陣物理攻擊力+1%</t>
        </is>
      </c>
      <c r="D52" s="52" t="n">
        <v>145</v>
      </c>
      <c r="E52" s="52" t="n"/>
      <c r="F52" s="52" t="n">
        <v>7</v>
      </c>
      <c r="G52" s="52">
        <f>A52+7900</f>
        <v/>
      </c>
      <c r="H52" s="52" t="n"/>
    </row>
    <row r="53" ht="14.25" customHeight="1" s="142">
      <c r="A53" s="52">
        <f>A52+1</f>
        <v/>
      </c>
      <c r="B53" s="52" t="n">
        <v>4</v>
      </c>
      <c r="C53" s="143" t="inlineStr">
        <is>
          <t>全體上陣物理攻擊力+1%</t>
        </is>
      </c>
      <c r="D53" s="52" t="n">
        <v>145</v>
      </c>
      <c r="E53" s="52" t="n"/>
      <c r="F53" s="52">
        <f>F52+5</f>
        <v/>
      </c>
      <c r="G53" s="52">
        <f>A53+7900</f>
        <v/>
      </c>
      <c r="H53" s="52" t="n"/>
    </row>
    <row r="54" ht="14.25" customHeight="1" s="142">
      <c r="A54" s="52">
        <f>A53+1</f>
        <v/>
      </c>
      <c r="B54" s="52" t="n">
        <v>4</v>
      </c>
      <c r="C54" s="143" t="inlineStr">
        <is>
          <t>全體上陣物理攻擊力+1%</t>
        </is>
      </c>
      <c r="D54" s="52" t="n">
        <v>146</v>
      </c>
      <c r="E54" s="52" t="n"/>
      <c r="F54" s="52">
        <f>F53+5</f>
        <v/>
      </c>
      <c r="G54" s="52">
        <f>A54+7900</f>
        <v/>
      </c>
      <c r="H54" s="52" t="n"/>
    </row>
    <row r="55" ht="14.25" customHeight="1" s="142">
      <c r="A55" s="52">
        <f>A54+1</f>
        <v/>
      </c>
      <c r="B55" s="52" t="n">
        <v>4</v>
      </c>
      <c r="C55" s="143" t="inlineStr">
        <is>
          <t>全體上陣物理攻擊力+1%</t>
        </is>
      </c>
      <c r="D55" s="52" t="n">
        <v>147</v>
      </c>
      <c r="E55" s="52" t="n"/>
      <c r="F55" s="52">
        <f>F54+5</f>
        <v/>
      </c>
      <c r="G55" s="52">
        <f>A55+7900</f>
        <v/>
      </c>
      <c r="H55" s="52" t="n"/>
    </row>
    <row r="56" ht="14.25" customHeight="1" s="142">
      <c r="A56" s="52">
        <f>A55+1</f>
        <v/>
      </c>
      <c r="B56" s="52" t="n">
        <v>4</v>
      </c>
      <c r="C56" s="143" t="inlineStr">
        <is>
          <t>全體上陣物理攻擊力+1%</t>
        </is>
      </c>
      <c r="D56" s="52" t="n">
        <v>148</v>
      </c>
      <c r="E56" s="52" t="n"/>
      <c r="F56" s="52">
        <f>F55+5</f>
        <v/>
      </c>
      <c r="G56" s="52">
        <f>A56+7900</f>
        <v/>
      </c>
      <c r="H56" s="52" t="n"/>
    </row>
    <row r="57" ht="14.25" customHeight="1" s="142">
      <c r="A57" s="52">
        <f>A56+1</f>
        <v/>
      </c>
      <c r="B57" s="52" t="n">
        <v>4</v>
      </c>
      <c r="C57" s="143" t="inlineStr">
        <is>
          <t>全體上陣物理攻擊力+1%</t>
        </is>
      </c>
      <c r="D57" s="52">
        <f>"148,149"</f>
        <v/>
      </c>
      <c r="E57" s="52" t="n"/>
      <c r="F57" s="52">
        <f>F56+5</f>
        <v/>
      </c>
      <c r="G57" s="52">
        <f>A57+7900</f>
        <v/>
      </c>
      <c r="H57" s="52" t="n"/>
    </row>
    <row r="58" ht="14.25" customHeight="1" s="142">
      <c r="A58" s="52">
        <f>A57+1</f>
        <v/>
      </c>
      <c r="B58" s="52" t="n">
        <v>4</v>
      </c>
      <c r="C58" s="143" t="inlineStr">
        <is>
          <t>全體上陣物理攻擊力+1%</t>
        </is>
      </c>
      <c r="D58" s="52" t="n">
        <v>149</v>
      </c>
      <c r="E58" s="52" t="n"/>
      <c r="F58" s="52">
        <f>F57+5</f>
        <v/>
      </c>
      <c r="G58" s="52">
        <f>A58+7900</f>
        <v/>
      </c>
      <c r="H58" s="52" t="n"/>
    </row>
    <row r="59" ht="14.25" customHeight="1" s="142">
      <c r="A59" s="52">
        <f>A58+1</f>
        <v/>
      </c>
      <c r="B59" s="52" t="n">
        <v>4</v>
      </c>
      <c r="C59" s="143" t="inlineStr">
        <is>
          <t>全體上陣物理攻擊力+1%</t>
        </is>
      </c>
      <c r="D59" s="52">
        <f>"150,151"</f>
        <v/>
      </c>
      <c r="E59" s="52" t="n"/>
      <c r="F59" s="52">
        <f>F58+5</f>
        <v/>
      </c>
      <c r="G59" s="52">
        <f>A59+7900</f>
        <v/>
      </c>
      <c r="H59" s="52" t="n"/>
    </row>
    <row r="60" ht="14.25" customHeight="1" s="142">
      <c r="A60" s="52">
        <f>A59+1</f>
        <v/>
      </c>
      <c r="B60" s="52" t="n">
        <v>4</v>
      </c>
      <c r="C60" s="143" t="inlineStr">
        <is>
          <t>全體上陣物理攻擊力+1%</t>
        </is>
      </c>
      <c r="D60" s="52">
        <f>"151,152"</f>
        <v/>
      </c>
      <c r="E60" s="52" t="n"/>
      <c r="F60" s="52">
        <f>F59+5</f>
        <v/>
      </c>
      <c r="G60" s="52">
        <f>A60+7900</f>
        <v/>
      </c>
      <c r="H60" s="52" t="n"/>
    </row>
    <row r="61" ht="14.25" customHeight="1" s="142">
      <c r="A61" s="52">
        <f>A60+1</f>
        <v/>
      </c>
      <c r="B61" s="52" t="n">
        <v>4</v>
      </c>
      <c r="C61" s="143" t="inlineStr">
        <is>
          <t>全體上陣物理攻擊力+1%</t>
        </is>
      </c>
      <c r="D61" s="58" t="n">
        <v>153</v>
      </c>
      <c r="E61" s="52" t="n"/>
      <c r="F61" s="52">
        <f>F60+5</f>
        <v/>
      </c>
      <c r="G61" s="52">
        <f>A61+7900</f>
        <v/>
      </c>
      <c r="H61" s="52" t="n"/>
    </row>
    <row r="62" ht="14.25" customHeight="1" s="142">
      <c r="A62" s="52">
        <f>A61+1</f>
        <v/>
      </c>
      <c r="B62" s="52" t="n">
        <v>4</v>
      </c>
      <c r="C62" s="143" t="inlineStr">
        <is>
          <t>全體上陣物理攻擊力+1%</t>
        </is>
      </c>
      <c r="D62" s="58" t="n">
        <v>154</v>
      </c>
      <c r="E62" s="52" t="n"/>
      <c r="F62" s="52">
        <f>F61+5</f>
        <v/>
      </c>
      <c r="G62" s="52">
        <f>A62+7900</f>
        <v/>
      </c>
      <c r="H62" s="52" t="n"/>
    </row>
    <row r="63" ht="14.25" customHeight="1" s="142">
      <c r="A63" s="52">
        <f>A62+1</f>
        <v/>
      </c>
      <c r="B63" s="52" t="n">
        <v>4</v>
      </c>
      <c r="C63" s="143" t="inlineStr">
        <is>
          <t>全體上陣物理攻擊力+1%</t>
        </is>
      </c>
      <c r="D63" s="58" t="n">
        <v>155</v>
      </c>
      <c r="E63" s="52" t="n"/>
      <c r="F63" s="52">
        <f>F62+5</f>
        <v/>
      </c>
      <c r="G63" s="52">
        <f>A63+7900</f>
        <v/>
      </c>
      <c r="H63" s="52" t="n"/>
    </row>
    <row r="64" ht="14.25" customHeight="1" s="142">
      <c r="A64" s="52">
        <f>A63+1</f>
        <v/>
      </c>
      <c r="B64" s="52" t="n">
        <v>4</v>
      </c>
      <c r="C64" s="143" t="inlineStr">
        <is>
          <t>全體上陣物理攻擊力+1%</t>
        </is>
      </c>
      <c r="D64" s="58" t="n">
        <v>156</v>
      </c>
      <c r="E64" s="52" t="n"/>
      <c r="F64" s="52">
        <f>F63+5</f>
        <v/>
      </c>
      <c r="G64" s="52">
        <f>A64+7900</f>
        <v/>
      </c>
      <c r="H64" s="52" t="n"/>
    </row>
    <row r="65" ht="14.25" customHeight="1" s="142">
      <c r="A65" s="52">
        <f>A64+1</f>
        <v/>
      </c>
      <c r="B65" s="52" t="n">
        <v>4</v>
      </c>
      <c r="C65" s="143" t="inlineStr">
        <is>
          <t>解鎖刺客</t>
        </is>
      </c>
      <c r="D65" s="58">
        <f>"157,158"</f>
        <v/>
      </c>
      <c r="E65" s="52" t="n"/>
      <c r="F65" s="52">
        <f>F64+5</f>
        <v/>
      </c>
      <c r="G65" s="52">
        <f>A65+7900</f>
        <v/>
      </c>
      <c r="H65" s="52" t="n">
        <v>90011</v>
      </c>
    </row>
    <row r="66" ht="114" customHeight="1" s="142">
      <c r="A66" s="52">
        <f>A65+1</f>
        <v/>
      </c>
      <c r="B66" s="52" t="n">
        <v>5</v>
      </c>
      <c r="C66" s="143" t="inlineStr">
        <is>
          <t>全體上陣魔法攻擊力+1%</t>
        </is>
      </c>
      <c r="D66" s="52" t="n"/>
      <c r="E66" s="125" t="inlineStr">
        <is>
          <t>{0},{0},{160},{0},{0}
{0},{161},{0},{162},{0}
{0},{163},{0},{164},{0}
{165},{0},{166},{0},{167}
{0},{168},{0},{169},{0}
{170},{0},{0},{0},{171}
{0},{172},{0},{173},{0}
{0},{0},{174},{0},{0}</t>
        </is>
      </c>
      <c r="F66" s="52" t="n">
        <v>5</v>
      </c>
      <c r="G66" s="52">
        <f>A66+7900</f>
        <v/>
      </c>
      <c r="H66" s="52" t="n"/>
    </row>
    <row r="67" ht="14.25" customHeight="1" s="142">
      <c r="A67" s="52">
        <f>A66+1</f>
        <v/>
      </c>
      <c r="B67" s="52" t="n">
        <v>5</v>
      </c>
      <c r="C67" s="143" t="inlineStr">
        <is>
          <t>全體上陣魔法攻擊力+1%</t>
        </is>
      </c>
      <c r="D67" s="52" t="n">
        <v>160</v>
      </c>
      <c r="E67" s="52" t="n"/>
      <c r="F67" s="52" t="n">
        <v>7</v>
      </c>
      <c r="G67" s="52">
        <f>A67+7900</f>
        <v/>
      </c>
      <c r="H67" s="52" t="n"/>
    </row>
    <row r="68" ht="14.25" customHeight="1" s="142">
      <c r="A68" s="52">
        <f>A67+1</f>
        <v/>
      </c>
      <c r="B68" s="52" t="n">
        <v>5</v>
      </c>
      <c r="C68" s="143" t="inlineStr">
        <is>
          <t>全體上陣魔法攻擊力+1%</t>
        </is>
      </c>
      <c r="D68" s="52" t="n">
        <v>160</v>
      </c>
      <c r="E68" s="52" t="n"/>
      <c r="F68" s="52">
        <f>F67+5</f>
        <v/>
      </c>
      <c r="G68" s="52">
        <f>A68+7900</f>
        <v/>
      </c>
      <c r="H68" s="52" t="n"/>
    </row>
    <row r="69" ht="14.25" customHeight="1" s="142">
      <c r="A69" s="52">
        <f>A68+1</f>
        <v/>
      </c>
      <c r="B69" s="52" t="n">
        <v>5</v>
      </c>
      <c r="C69" s="143" t="inlineStr">
        <is>
          <t>全體上陣魔法攻擊力+1%</t>
        </is>
      </c>
      <c r="D69" s="52" t="n">
        <v>161</v>
      </c>
      <c r="E69" s="52" t="n"/>
      <c r="F69" s="52">
        <f>F68+5</f>
        <v/>
      </c>
      <c r="G69" s="52">
        <f>A69+7900</f>
        <v/>
      </c>
      <c r="H69" s="52" t="n"/>
    </row>
    <row r="70" ht="14.25" customHeight="1" s="142">
      <c r="A70" s="52">
        <f>A69+1</f>
        <v/>
      </c>
      <c r="B70" s="52" t="n">
        <v>5</v>
      </c>
      <c r="C70" s="143" t="inlineStr">
        <is>
          <t>全體上陣魔法攻擊力+1%</t>
        </is>
      </c>
      <c r="D70" s="52" t="n">
        <v>162</v>
      </c>
      <c r="E70" s="52" t="n"/>
      <c r="F70" s="52">
        <f>F69+5</f>
        <v/>
      </c>
      <c r="G70" s="52">
        <f>A70+7900</f>
        <v/>
      </c>
      <c r="H70" s="52" t="n"/>
    </row>
    <row r="71" ht="14.25" customHeight="1" s="142">
      <c r="A71" s="52">
        <f>A70+1</f>
        <v/>
      </c>
      <c r="B71" s="52" t="n">
        <v>5</v>
      </c>
      <c r="C71" s="143" t="inlineStr">
        <is>
          <t>全體上陣魔法攻擊力+1%</t>
        </is>
      </c>
      <c r="D71" s="52" t="n">
        <v>163</v>
      </c>
      <c r="E71" s="52" t="n"/>
      <c r="F71" s="52">
        <f>F70+5</f>
        <v/>
      </c>
      <c r="G71" s="52">
        <f>A71+7900</f>
        <v/>
      </c>
      <c r="H71" s="52" t="n"/>
    </row>
    <row r="72" ht="14.25" customHeight="1" s="142">
      <c r="A72" s="52">
        <f>A71+1</f>
        <v/>
      </c>
      <c r="B72" s="52" t="n">
        <v>5</v>
      </c>
      <c r="C72" s="143" t="inlineStr">
        <is>
          <t>全體上陣魔法攻擊力+1%</t>
        </is>
      </c>
      <c r="D72" s="52">
        <f>"163,164"</f>
        <v/>
      </c>
      <c r="E72" s="52" t="n"/>
      <c r="F72" s="52">
        <f>F71+5</f>
        <v/>
      </c>
      <c r="G72" s="52">
        <f>A72+7900</f>
        <v/>
      </c>
      <c r="H72" s="52" t="n"/>
    </row>
    <row r="73" ht="14.25" customHeight="1" s="142">
      <c r="A73" s="52">
        <f>A72+1</f>
        <v/>
      </c>
      <c r="B73" s="52" t="n">
        <v>5</v>
      </c>
      <c r="C73" s="143" t="inlineStr">
        <is>
          <t>全體上陣魔法攻擊力+1%</t>
        </is>
      </c>
      <c r="D73" s="52" t="n">
        <v>164</v>
      </c>
      <c r="E73" s="52" t="n"/>
      <c r="F73" s="52">
        <f>F72+5</f>
        <v/>
      </c>
      <c r="G73" s="52">
        <f>A73+7900</f>
        <v/>
      </c>
      <c r="H73" s="52" t="n"/>
    </row>
    <row r="74" ht="14.25" customHeight="1" s="142">
      <c r="A74" s="52">
        <f>A73+1</f>
        <v/>
      </c>
      <c r="B74" s="52" t="n">
        <v>5</v>
      </c>
      <c r="C74" s="143" t="inlineStr">
        <is>
          <t>全體上陣魔法攻擊力+1%</t>
        </is>
      </c>
      <c r="D74" s="52">
        <f>"165,166"</f>
        <v/>
      </c>
      <c r="E74" s="52" t="n"/>
      <c r="F74" s="52">
        <f>F73+5</f>
        <v/>
      </c>
      <c r="G74" s="52">
        <f>A74+7900</f>
        <v/>
      </c>
      <c r="H74" s="52" t="n"/>
    </row>
    <row r="75" ht="14.25" customHeight="1" s="142">
      <c r="A75" s="52">
        <f>A74+1</f>
        <v/>
      </c>
      <c r="B75" s="52" t="n">
        <v>5</v>
      </c>
      <c r="C75" s="143" t="inlineStr">
        <is>
          <t>全體上陣魔法攻擊力+1%</t>
        </is>
      </c>
      <c r="D75" s="52">
        <f>"166,167"</f>
        <v/>
      </c>
      <c r="E75" s="52" t="n"/>
      <c r="F75" s="52">
        <f>F74+5</f>
        <v/>
      </c>
      <c r="G75" s="52">
        <f>A75+7900</f>
        <v/>
      </c>
      <c r="H75" s="52" t="n"/>
    </row>
    <row r="76" ht="14.25" customHeight="1" s="142">
      <c r="A76" s="52">
        <f>A75+1</f>
        <v/>
      </c>
      <c r="B76" s="52" t="n">
        <v>5</v>
      </c>
      <c r="C76" s="143" t="inlineStr">
        <is>
          <t>全體上陣魔法攻擊力+1%</t>
        </is>
      </c>
      <c r="D76" s="58" t="n">
        <v>168</v>
      </c>
      <c r="E76" s="52" t="n"/>
      <c r="F76" s="52">
        <f>F75+5</f>
        <v/>
      </c>
      <c r="G76" s="52">
        <f>A76+7900</f>
        <v/>
      </c>
      <c r="H76" s="52" t="n"/>
    </row>
    <row r="77" ht="14.25" customHeight="1" s="142">
      <c r="A77" s="52">
        <f>A76+1</f>
        <v/>
      </c>
      <c r="B77" s="52" t="n">
        <v>5</v>
      </c>
      <c r="C77" s="143" t="inlineStr">
        <is>
          <t>全體上陣魔法攻擊力+1%</t>
        </is>
      </c>
      <c r="D77" s="58" t="n">
        <v>169</v>
      </c>
      <c r="E77" s="52" t="n"/>
      <c r="F77" s="52">
        <f>F76+5</f>
        <v/>
      </c>
      <c r="G77" s="52">
        <f>A77+7900</f>
        <v/>
      </c>
      <c r="H77" s="52" t="n"/>
    </row>
    <row r="78" ht="14.25" customHeight="1" s="142">
      <c r="A78" s="52">
        <f>A77+1</f>
        <v/>
      </c>
      <c r="B78" s="52" t="n">
        <v>5</v>
      </c>
      <c r="C78" s="143" t="inlineStr">
        <is>
          <t>全體上陣魔法攻擊力+1%</t>
        </is>
      </c>
      <c r="D78" s="58" t="n">
        <v>170</v>
      </c>
      <c r="E78" s="52" t="n"/>
      <c r="F78" s="52">
        <f>F77+5</f>
        <v/>
      </c>
      <c r="G78" s="52">
        <f>A78+7900</f>
        <v/>
      </c>
      <c r="H78" s="52" t="n"/>
    </row>
    <row r="79" ht="14.25" customHeight="1" s="142">
      <c r="A79" s="52">
        <f>A78+1</f>
        <v/>
      </c>
      <c r="B79" s="52" t="n">
        <v>5</v>
      </c>
      <c r="C79" s="143" t="inlineStr">
        <is>
          <t>全體上陣魔法攻擊力+1%</t>
        </is>
      </c>
      <c r="D79" s="58" t="n">
        <v>171</v>
      </c>
      <c r="E79" s="52" t="n"/>
      <c r="F79" s="52">
        <f>F78+5</f>
        <v/>
      </c>
      <c r="G79" s="52">
        <f>A79+7900</f>
        <v/>
      </c>
      <c r="H79" s="52" t="n"/>
    </row>
    <row r="80" ht="14.25" customHeight="1" s="142">
      <c r="A80" s="52">
        <f>A79+1</f>
        <v/>
      </c>
      <c r="B80" s="52" t="n">
        <v>5</v>
      </c>
      <c r="C80" s="143" t="inlineStr">
        <is>
          <t>解鎖魔導士</t>
        </is>
      </c>
      <c r="D80" s="58">
        <f>"172,173"</f>
        <v/>
      </c>
      <c r="E80" s="52" t="n"/>
      <c r="F80" s="52">
        <f>F79+5</f>
        <v/>
      </c>
      <c r="G80" s="52">
        <f>A80+7900</f>
        <v/>
      </c>
      <c r="H80" s="52" t="n">
        <v>90012</v>
      </c>
    </row>
    <row r="81" ht="114" customHeight="1" s="142">
      <c r="A81" s="52">
        <f>A80+1</f>
        <v/>
      </c>
      <c r="B81" s="52" t="n">
        <v>6</v>
      </c>
      <c r="C81" s="143" t="inlineStr">
        <is>
          <t>全體上陣魔法攻擊力+1%</t>
        </is>
      </c>
      <c r="D81" s="52" t="n"/>
      <c r="E81" s="125" t="inlineStr">
        <is>
          <t>{0},{0},{175},{0},{0}
{0},{176},{0},{177},{0}
{0},{178},{0},{179},{0}
{180},{0},{181},{0},{182}
{0},{183},{0},{184},{0}
{185},{0},{0},{0},{186}
{0},{187},{0},{188},{0}
{0},{0},{189},{0},{0}</t>
        </is>
      </c>
      <c r="F81" s="52" t="n">
        <v>5</v>
      </c>
      <c r="G81" s="52">
        <f>A81+7900</f>
        <v/>
      </c>
      <c r="H81" s="52" t="n"/>
    </row>
    <row r="82" ht="14.25" customHeight="1" s="142">
      <c r="A82" s="52">
        <f>A81+1</f>
        <v/>
      </c>
      <c r="B82" s="52" t="n">
        <v>6</v>
      </c>
      <c r="C82" s="143" t="inlineStr">
        <is>
          <t>全體上陣魔法攻擊力+1%</t>
        </is>
      </c>
      <c r="D82" s="52" t="n">
        <v>175</v>
      </c>
      <c r="E82" s="52" t="n"/>
      <c r="F82" s="52" t="n">
        <v>7</v>
      </c>
      <c r="G82" s="52">
        <f>A82+7900</f>
        <v/>
      </c>
      <c r="H82" s="52" t="n"/>
    </row>
    <row r="83" ht="14.25" customHeight="1" s="142">
      <c r="A83" s="52">
        <f>A82+1</f>
        <v/>
      </c>
      <c r="B83" s="52" t="n">
        <v>6</v>
      </c>
      <c r="C83" s="143" t="inlineStr">
        <is>
          <t>全體上陣魔法攻擊力+1%</t>
        </is>
      </c>
      <c r="D83" s="52" t="n">
        <v>175</v>
      </c>
      <c r="E83" s="52" t="n"/>
      <c r="F83" s="52">
        <f>F82+5</f>
        <v/>
      </c>
      <c r="G83" s="52">
        <f>A83+7900</f>
        <v/>
      </c>
      <c r="H83" s="52" t="n"/>
    </row>
    <row r="84" ht="14.25" customHeight="1" s="142">
      <c r="A84" s="52">
        <f>A83+1</f>
        <v/>
      </c>
      <c r="B84" s="52" t="n">
        <v>6</v>
      </c>
      <c r="C84" s="143" t="inlineStr">
        <is>
          <t>全體上陣魔法攻擊力+1%</t>
        </is>
      </c>
      <c r="D84" s="52" t="n">
        <v>176</v>
      </c>
      <c r="E84" s="52" t="n"/>
      <c r="F84" s="52">
        <f>F83+5</f>
        <v/>
      </c>
      <c r="G84" s="52">
        <f>A84+7900</f>
        <v/>
      </c>
      <c r="H84" s="52" t="n"/>
    </row>
    <row r="85" ht="14.25" customHeight="1" s="142">
      <c r="A85" s="52">
        <f>A84+1</f>
        <v/>
      </c>
      <c r="B85" s="52" t="n">
        <v>6</v>
      </c>
      <c r="C85" s="143" t="inlineStr">
        <is>
          <t>全體上陣魔法攻擊力+1%</t>
        </is>
      </c>
      <c r="D85" s="52" t="n">
        <v>177</v>
      </c>
      <c r="E85" s="52" t="n"/>
      <c r="F85" s="52">
        <f>F84+5</f>
        <v/>
      </c>
      <c r="G85" s="52">
        <f>A85+7900</f>
        <v/>
      </c>
      <c r="H85" s="52" t="n"/>
    </row>
    <row r="86" ht="14.25" customHeight="1" s="142">
      <c r="A86" s="52">
        <f>A85+1</f>
        <v/>
      </c>
      <c r="B86" s="52" t="n">
        <v>6</v>
      </c>
      <c r="C86" s="143" t="inlineStr">
        <is>
          <t>全體上陣魔法攻擊力+1%</t>
        </is>
      </c>
      <c r="D86" s="52" t="n">
        <v>178</v>
      </c>
      <c r="E86" s="52" t="n"/>
      <c r="F86" s="52">
        <f>F85+5</f>
        <v/>
      </c>
      <c r="G86" s="52">
        <f>A86+7900</f>
        <v/>
      </c>
      <c r="H86" s="52" t="n"/>
    </row>
    <row r="87" ht="14.25" customHeight="1" s="142">
      <c r="A87" s="52">
        <f>A86+1</f>
        <v/>
      </c>
      <c r="B87" s="52" t="n">
        <v>6</v>
      </c>
      <c r="C87" s="143" t="inlineStr">
        <is>
          <t>全體上陣魔法攻擊力+1%</t>
        </is>
      </c>
      <c r="D87" s="52">
        <f>"178,179"</f>
        <v/>
      </c>
      <c r="E87" s="52" t="n"/>
      <c r="F87" s="52">
        <f>F86+5</f>
        <v/>
      </c>
      <c r="G87" s="52">
        <f>A87+7900</f>
        <v/>
      </c>
      <c r="H87" s="52" t="n"/>
    </row>
    <row r="88" ht="14.25" customHeight="1" s="142">
      <c r="A88" s="52">
        <f>A87+1</f>
        <v/>
      </c>
      <c r="B88" s="52" t="n">
        <v>6</v>
      </c>
      <c r="C88" s="143" t="inlineStr">
        <is>
          <t>全體上陣魔法攻擊力+1%</t>
        </is>
      </c>
      <c r="D88" s="52" t="n">
        <v>179</v>
      </c>
      <c r="E88" s="52" t="n"/>
      <c r="F88" s="52">
        <f>F87+5</f>
        <v/>
      </c>
      <c r="G88" s="52">
        <f>A88+7900</f>
        <v/>
      </c>
      <c r="H88" s="52" t="n"/>
    </row>
    <row r="89" ht="14.25" customHeight="1" s="142">
      <c r="A89" s="52">
        <f>A88+1</f>
        <v/>
      </c>
      <c r="B89" s="52" t="n">
        <v>6</v>
      </c>
      <c r="C89" s="143" t="inlineStr">
        <is>
          <t>全體上陣魔法攻擊力+1%</t>
        </is>
      </c>
      <c r="D89" s="52">
        <f>"180,181"</f>
        <v/>
      </c>
      <c r="E89" s="52" t="n"/>
      <c r="F89" s="52">
        <f>F88+5</f>
        <v/>
      </c>
      <c r="G89" s="52">
        <f>A89+7900</f>
        <v/>
      </c>
      <c r="H89" s="52" t="n"/>
    </row>
    <row r="90" ht="14.25" customHeight="1" s="142">
      <c r="A90" s="52">
        <f>A89+1</f>
        <v/>
      </c>
      <c r="B90" s="52" t="n">
        <v>6</v>
      </c>
      <c r="C90" s="143" t="inlineStr">
        <is>
          <t>全體上陣魔法攻擊力+1%</t>
        </is>
      </c>
      <c r="D90" s="52">
        <f>"181,182"</f>
        <v/>
      </c>
      <c r="E90" s="52" t="n"/>
      <c r="F90" s="52">
        <f>F89+5</f>
        <v/>
      </c>
      <c r="G90" s="52">
        <f>A90+7900</f>
        <v/>
      </c>
      <c r="H90" s="52" t="n"/>
    </row>
    <row r="91" ht="14.25" customHeight="1" s="142">
      <c r="A91" s="52">
        <f>A90+1</f>
        <v/>
      </c>
      <c r="B91" s="52" t="n">
        <v>6</v>
      </c>
      <c r="C91" s="143" t="inlineStr">
        <is>
          <t>全體上陣魔法攻擊力+1%</t>
        </is>
      </c>
      <c r="D91" s="58" t="n">
        <v>183</v>
      </c>
      <c r="E91" s="52" t="n"/>
      <c r="F91" s="52">
        <f>F90+5</f>
        <v/>
      </c>
      <c r="G91" s="52">
        <f>A91+7900</f>
        <v/>
      </c>
      <c r="H91" s="52" t="n"/>
    </row>
    <row r="92" ht="14.25" customHeight="1" s="142">
      <c r="A92" s="52">
        <f>A91+1</f>
        <v/>
      </c>
      <c r="B92" s="52" t="n">
        <v>6</v>
      </c>
      <c r="C92" s="143" t="inlineStr">
        <is>
          <t>全體上陣魔法攻擊力+1%</t>
        </is>
      </c>
      <c r="D92" s="58" t="n">
        <v>184</v>
      </c>
      <c r="E92" s="52" t="n"/>
      <c r="F92" s="52">
        <f>F91+5</f>
        <v/>
      </c>
      <c r="G92" s="52">
        <f>A92+7900</f>
        <v/>
      </c>
      <c r="H92" s="52" t="n"/>
    </row>
    <row r="93" ht="14.25" customHeight="1" s="142">
      <c r="A93" s="52">
        <f>A92+1</f>
        <v/>
      </c>
      <c r="B93" s="52" t="n">
        <v>6</v>
      </c>
      <c r="C93" s="143" t="inlineStr">
        <is>
          <t>全體上陣魔法攻擊力+1%</t>
        </is>
      </c>
      <c r="D93" s="58" t="n">
        <v>185</v>
      </c>
      <c r="E93" s="52" t="n"/>
      <c r="F93" s="52">
        <f>F92+5</f>
        <v/>
      </c>
      <c r="G93" s="52">
        <f>A93+7900</f>
        <v/>
      </c>
      <c r="H93" s="52" t="n"/>
    </row>
    <row r="94" ht="14.25" customHeight="1" s="142">
      <c r="A94" s="52">
        <f>A93+1</f>
        <v/>
      </c>
      <c r="B94" s="52" t="n">
        <v>6</v>
      </c>
      <c r="C94" s="143" t="inlineStr">
        <is>
          <t>全體上陣魔法攻擊力+1%</t>
        </is>
      </c>
      <c r="D94" s="58" t="n">
        <v>186</v>
      </c>
      <c r="E94" s="52" t="n"/>
      <c r="F94" s="52">
        <f>F93+5</f>
        <v/>
      </c>
      <c r="G94" s="52">
        <f>A94+7900</f>
        <v/>
      </c>
      <c r="H94" s="52" t="n"/>
    </row>
    <row r="95" ht="14.25" customHeight="1" s="142">
      <c r="A95" s="52">
        <f>A94+1</f>
        <v/>
      </c>
      <c r="B95" s="52" t="n">
        <v>6</v>
      </c>
      <c r="C95" s="143" t="inlineStr">
        <is>
          <t>解鎖神官</t>
        </is>
      </c>
      <c r="D95" s="58">
        <f>"187,188"</f>
        <v/>
      </c>
      <c r="E95" s="52" t="n"/>
      <c r="F95" s="52">
        <f>F94+5</f>
        <v/>
      </c>
      <c r="G95" s="52">
        <f>A95+7900</f>
        <v/>
      </c>
      <c r="H95" s="52" t="n">
        <v>90013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01"/>
  <sheetViews>
    <sheetView zoomScaleNormal="100" workbookViewId="0">
      <selection activeCell="A1" sqref="A1"/>
    </sheetView>
  </sheetViews>
  <sheetFormatPr baseColWidth="8" defaultColWidth="12.5703125" defaultRowHeight="12.75"/>
  <cols>
    <col width="14.5703125" customWidth="1" style="142" min="2" max="2"/>
  </cols>
  <sheetData>
    <row r="1" ht="15" customHeight="1" s="142">
      <c r="A1" s="126" t="inlineStr">
        <is>
          <t>level</t>
        </is>
      </c>
      <c r="B1" s="126" t="inlineStr">
        <is>
          <t>next</t>
        </is>
      </c>
      <c r="C1" s="127" t="inlineStr">
        <is>
          <t>累计获得经验</t>
        </is>
      </c>
    </row>
    <row r="2" ht="15.75" customHeight="1" s="142">
      <c r="A2" s="128" t="n">
        <v>1</v>
      </c>
      <c r="B2" s="128" t="n"/>
      <c r="C2" s="128" t="n">
        <v>0</v>
      </c>
    </row>
    <row r="3" ht="15.75" customHeight="1" s="142">
      <c r="A3" s="128" t="n">
        <v>2</v>
      </c>
      <c r="B3" s="128" t="n">
        <v>211</v>
      </c>
      <c r="C3" s="128">
        <f>SUM(B$2:B3)</f>
        <v/>
      </c>
    </row>
    <row r="4" ht="15.75" customHeight="1" s="142">
      <c r="A4" s="128" t="n">
        <v>3</v>
      </c>
      <c r="B4" s="128" t="n">
        <v>200</v>
      </c>
      <c r="C4" s="128">
        <f>SUM(B$2:B4)</f>
        <v/>
      </c>
    </row>
    <row r="5" ht="15.75" customHeight="1" s="142">
      <c r="A5" s="128" t="n">
        <v>4</v>
      </c>
      <c r="B5" s="128" t="n">
        <v>284</v>
      </c>
      <c r="C5" s="128">
        <f>SUM(B$2:B5)</f>
        <v/>
      </c>
    </row>
    <row r="6" ht="15.75" customHeight="1" s="142">
      <c r="A6" s="128" t="n">
        <v>5</v>
      </c>
      <c r="B6" s="128" t="n">
        <v>300</v>
      </c>
      <c r="C6" s="128">
        <f>SUM(B$2:B6)</f>
        <v/>
      </c>
    </row>
    <row r="7" ht="15.75" customHeight="1" s="142">
      <c r="A7" s="128" t="n">
        <v>6</v>
      </c>
      <c r="B7" s="128" t="n">
        <v>300</v>
      </c>
      <c r="C7" s="128">
        <f>SUM(B$2:B7)</f>
        <v/>
      </c>
    </row>
    <row r="8" ht="15.75" customHeight="1" s="142">
      <c r="A8" s="128" t="n">
        <v>7</v>
      </c>
      <c r="B8" s="128" t="n">
        <v>300</v>
      </c>
      <c r="C8" s="128">
        <f>SUM(B$2:B8)</f>
        <v/>
      </c>
    </row>
    <row r="9" ht="15.75" customHeight="1" s="142">
      <c r="A9" s="128" t="n">
        <v>8</v>
      </c>
      <c r="B9" s="128" t="n">
        <v>300</v>
      </c>
      <c r="C9" s="128">
        <f>SUM(B$2:B9)</f>
        <v/>
      </c>
    </row>
    <row r="10" ht="15.75" customHeight="1" s="142">
      <c r="A10" s="128" t="n">
        <v>9</v>
      </c>
      <c r="B10" s="129" t="n">
        <v>300</v>
      </c>
      <c r="C10" s="128">
        <f>SUM(B$2:B10)</f>
        <v/>
      </c>
    </row>
    <row r="11" ht="15.75" customHeight="1" s="142">
      <c r="A11" s="128" t="n">
        <v>10</v>
      </c>
      <c r="B11" s="129" t="n">
        <v>300</v>
      </c>
      <c r="C11" s="128">
        <f>SUM(B$2:B11)</f>
        <v/>
      </c>
    </row>
    <row r="12" ht="15.75" customHeight="1" s="142">
      <c r="A12" s="128" t="n">
        <v>11</v>
      </c>
      <c r="B12" s="129" t="n">
        <v>300</v>
      </c>
      <c r="C12" s="128">
        <f>SUM(B$2:B12)</f>
        <v/>
      </c>
    </row>
    <row r="13" ht="15.75" customHeight="1" s="142">
      <c r="A13" s="128" t="n">
        <v>12</v>
      </c>
      <c r="B13" s="129" t="n">
        <v>300</v>
      </c>
      <c r="C13" s="128">
        <f>SUM(B$2:B13)</f>
        <v/>
      </c>
    </row>
    <row r="14" ht="15.75" customHeight="1" s="142">
      <c r="A14" s="128" t="n">
        <v>13</v>
      </c>
      <c r="B14" s="129" t="n">
        <v>300</v>
      </c>
      <c r="C14" s="128">
        <f>SUM(B$2:B14)</f>
        <v/>
      </c>
    </row>
    <row r="15" ht="15.75" customHeight="1" s="142">
      <c r="A15" s="128" t="n">
        <v>14</v>
      </c>
      <c r="B15" s="129" t="n">
        <v>400</v>
      </c>
      <c r="C15" s="128">
        <f>SUM(B$2:B15)</f>
        <v/>
      </c>
    </row>
    <row r="16" ht="15.75" customHeight="1" s="142">
      <c r="A16" s="128" t="n">
        <v>15</v>
      </c>
      <c r="B16" s="129" t="n">
        <v>400</v>
      </c>
      <c r="C16" s="128">
        <f>SUM(B$2:B16)</f>
        <v/>
      </c>
    </row>
    <row r="17" ht="15.75" customHeight="1" s="142">
      <c r="A17" s="128" t="n">
        <v>16</v>
      </c>
      <c r="B17" s="129" t="n">
        <v>400</v>
      </c>
      <c r="C17" s="128">
        <f>SUM(B$2:B17)</f>
        <v/>
      </c>
    </row>
    <row r="18" ht="15.75" customHeight="1" s="142">
      <c r="A18" s="128" t="n">
        <v>17</v>
      </c>
      <c r="B18" s="129" t="n">
        <v>400</v>
      </c>
      <c r="C18" s="128">
        <f>SUM(B$2:B18)</f>
        <v/>
      </c>
    </row>
    <row r="19" ht="15.75" customHeight="1" s="142">
      <c r="A19" s="128" t="n">
        <v>18</v>
      </c>
      <c r="B19" s="129" t="n">
        <v>400</v>
      </c>
      <c r="C19" s="128">
        <f>SUM(B$2:B19)</f>
        <v/>
      </c>
    </row>
    <row r="20" ht="15.75" customHeight="1" s="142">
      <c r="A20" s="128" t="n">
        <v>19</v>
      </c>
      <c r="B20" s="129" t="n">
        <v>400</v>
      </c>
      <c r="C20" s="128">
        <f>SUM(B$2:B20)</f>
        <v/>
      </c>
    </row>
    <row r="21" ht="15.75" customHeight="1" s="142">
      <c r="A21" s="128" t="n">
        <v>20</v>
      </c>
      <c r="B21" s="129" t="n">
        <v>500</v>
      </c>
      <c r="C21" s="128">
        <f>SUM(B$2:B21)</f>
        <v/>
      </c>
    </row>
    <row r="22" ht="15.75" customHeight="1" s="142">
      <c r="A22" s="128" t="n">
        <v>21</v>
      </c>
      <c r="B22" s="129" t="n">
        <v>500</v>
      </c>
      <c r="C22" s="128">
        <f>SUM(B$2:B22)</f>
        <v/>
      </c>
    </row>
    <row r="23" ht="15.75" customHeight="1" s="142">
      <c r="A23" s="128" t="n">
        <v>22</v>
      </c>
      <c r="B23" s="129" t="n">
        <v>500</v>
      </c>
      <c r="C23" s="128">
        <f>SUM(B$2:B23)</f>
        <v/>
      </c>
    </row>
    <row r="24" ht="15.75" customHeight="1" s="142">
      <c r="A24" s="128" t="n">
        <v>23</v>
      </c>
      <c r="B24" s="129" t="n">
        <v>500</v>
      </c>
      <c r="C24" s="128">
        <f>SUM(B$2:B24)</f>
        <v/>
      </c>
    </row>
    <row r="25" ht="15.75" customHeight="1" s="142">
      <c r="A25" s="128" t="n">
        <v>24</v>
      </c>
      <c r="B25" s="129" t="n">
        <v>500</v>
      </c>
      <c r="C25" s="128">
        <f>SUM(B$2:B25)</f>
        <v/>
      </c>
    </row>
    <row r="26" ht="15.75" customHeight="1" s="142">
      <c r="A26" s="128" t="n">
        <v>25</v>
      </c>
      <c r="B26" s="129" t="n">
        <v>1000</v>
      </c>
      <c r="C26" s="128">
        <f>SUM(B$2:B26)</f>
        <v/>
      </c>
    </row>
    <row r="27" ht="15.75" customHeight="1" s="142">
      <c r="A27" s="128" t="n">
        <v>26</v>
      </c>
      <c r="B27" s="129" t="n">
        <v>1000</v>
      </c>
      <c r="C27" s="128">
        <f>SUM(B$2:B27)</f>
        <v/>
      </c>
    </row>
    <row r="28" ht="15.75" customHeight="1" s="142">
      <c r="A28" s="128" t="n">
        <v>27</v>
      </c>
      <c r="B28" s="129" t="n">
        <v>1000</v>
      </c>
      <c r="C28" s="128">
        <f>SUM(B$2:B28)</f>
        <v/>
      </c>
    </row>
    <row r="29" ht="15.75" customHeight="1" s="142">
      <c r="A29" s="128" t="n">
        <v>28</v>
      </c>
      <c r="B29" s="129" t="n">
        <v>1000</v>
      </c>
      <c r="C29" s="128">
        <f>SUM(B$2:B29)</f>
        <v/>
      </c>
    </row>
    <row r="30" ht="15.75" customHeight="1" s="142">
      <c r="A30" s="128" t="n">
        <v>29</v>
      </c>
      <c r="B30" s="129" t="n">
        <v>1000</v>
      </c>
      <c r="C30" s="128">
        <f>SUM(B$2:B30)</f>
        <v/>
      </c>
    </row>
    <row r="31" ht="15.75" customHeight="1" s="142">
      <c r="A31" s="128" t="n">
        <v>30</v>
      </c>
      <c r="B31" s="129" t="n">
        <v>1000</v>
      </c>
      <c r="C31" s="128">
        <f>SUM(B$2:B31)</f>
        <v/>
      </c>
    </row>
    <row r="32" ht="15.75" customHeight="1" s="142">
      <c r="A32" s="128" t="n">
        <v>31</v>
      </c>
      <c r="B32" s="129" t="n">
        <v>1800</v>
      </c>
      <c r="C32" s="128">
        <f>SUM(B$2:B32)</f>
        <v/>
      </c>
    </row>
    <row r="33" ht="15.75" customHeight="1" s="142">
      <c r="A33" s="128" t="n">
        <v>32</v>
      </c>
      <c r="B33" s="129" t="n">
        <v>1800</v>
      </c>
      <c r="C33" s="128">
        <f>SUM(B$2:B33)</f>
        <v/>
      </c>
    </row>
    <row r="34" ht="15.75" customHeight="1" s="142">
      <c r="A34" s="128" t="n">
        <v>33</v>
      </c>
      <c r="B34" s="129" t="n">
        <v>1800</v>
      </c>
      <c r="C34" s="128">
        <f>SUM(B$2:B34)</f>
        <v/>
      </c>
    </row>
    <row r="35" ht="15.75" customHeight="1" s="142">
      <c r="A35" s="128" t="n">
        <v>34</v>
      </c>
      <c r="B35" s="129" t="n">
        <v>1800</v>
      </c>
      <c r="C35" s="128">
        <f>SUM(B$2:B35)</f>
        <v/>
      </c>
    </row>
    <row r="36" ht="15.75" customHeight="1" s="142">
      <c r="A36" s="128" t="n">
        <v>35</v>
      </c>
      <c r="B36" s="129" t="n">
        <v>1800</v>
      </c>
      <c r="C36" s="128">
        <f>SUM(B$2:B36)</f>
        <v/>
      </c>
    </row>
    <row r="37" ht="15.75" customHeight="1" s="142">
      <c r="A37" s="128" t="n">
        <v>36</v>
      </c>
      <c r="B37" s="129" t="n">
        <v>2500</v>
      </c>
      <c r="C37" s="128">
        <f>SUM(B$2:B37)</f>
        <v/>
      </c>
    </row>
    <row r="38" ht="15.75" customHeight="1" s="142">
      <c r="A38" s="128" t="n">
        <v>37</v>
      </c>
      <c r="B38" s="129" t="n">
        <v>2500</v>
      </c>
      <c r="C38" s="128">
        <f>SUM(B$2:B38)</f>
        <v/>
      </c>
    </row>
    <row r="39" ht="15.75" customHeight="1" s="142">
      <c r="A39" s="128" t="n">
        <v>38</v>
      </c>
      <c r="B39" s="129" t="n">
        <v>2500</v>
      </c>
      <c r="C39" s="128">
        <f>SUM(B$2:B39)</f>
        <v/>
      </c>
    </row>
    <row r="40" ht="15.75" customHeight="1" s="142">
      <c r="A40" s="128" t="n">
        <v>39</v>
      </c>
      <c r="B40" s="129" t="n">
        <v>2500</v>
      </c>
      <c r="C40" s="128">
        <f>SUM(B$2:B40)</f>
        <v/>
      </c>
    </row>
    <row r="41" ht="15.75" customHeight="1" s="142">
      <c r="A41" s="128" t="n">
        <v>40</v>
      </c>
      <c r="B41" s="129" t="n">
        <v>2500</v>
      </c>
      <c r="C41" s="128">
        <f>SUM(B$2:B41)</f>
        <v/>
      </c>
    </row>
    <row r="42" ht="15.75" customHeight="1" s="142">
      <c r="A42" s="128" t="n">
        <v>41</v>
      </c>
      <c r="B42" s="129" t="n">
        <v>2500</v>
      </c>
      <c r="C42" s="128">
        <f>SUM(B$2:B42)</f>
        <v/>
      </c>
    </row>
    <row r="43" ht="15.75" customHeight="1" s="142">
      <c r="A43" s="128" t="n">
        <v>42</v>
      </c>
      <c r="B43" s="129" t="n">
        <v>3562</v>
      </c>
      <c r="C43" s="128">
        <f>SUM(B$2:B43)</f>
        <v/>
      </c>
    </row>
    <row r="44" ht="15.75" customHeight="1" s="142">
      <c r="A44" s="128" t="n">
        <v>43</v>
      </c>
      <c r="B44" s="129" t="n">
        <v>2626</v>
      </c>
      <c r="C44" s="128">
        <f>SUM(B$2:B44)</f>
        <v/>
      </c>
    </row>
    <row r="45" ht="15.75" customHeight="1" s="142">
      <c r="A45" s="128" t="n">
        <v>44</v>
      </c>
      <c r="B45" s="129" t="n">
        <v>2740</v>
      </c>
      <c r="C45" s="128">
        <f>SUM(B$2:B45)</f>
        <v/>
      </c>
    </row>
    <row r="46" ht="15.75" customHeight="1" s="142">
      <c r="A46" s="128" t="n">
        <v>45</v>
      </c>
      <c r="B46" s="129" t="n">
        <v>2856</v>
      </c>
      <c r="C46" s="128">
        <f>SUM(B$2:B46)</f>
        <v/>
      </c>
    </row>
    <row r="47" ht="15.75" customHeight="1" s="142">
      <c r="A47" s="128" t="n">
        <v>46</v>
      </c>
      <c r="B47" s="129" t="n">
        <v>2974</v>
      </c>
      <c r="C47" s="128">
        <f>SUM(B$2:B47)</f>
        <v/>
      </c>
    </row>
    <row r="48" ht="15.75" customHeight="1" s="142">
      <c r="A48" s="128" t="n">
        <v>47</v>
      </c>
      <c r="B48" s="129" t="n">
        <v>3096</v>
      </c>
      <c r="C48" s="128">
        <f>SUM(B$2:B48)</f>
        <v/>
      </c>
    </row>
    <row r="49" ht="15.75" customHeight="1" s="142">
      <c r="A49" s="128" t="n">
        <v>48</v>
      </c>
      <c r="B49" s="129" t="n">
        <v>3218</v>
      </c>
      <c r="C49" s="128">
        <f>SUM(B$2:B49)</f>
        <v/>
      </c>
    </row>
    <row r="50" ht="15.75" customHeight="1" s="142">
      <c r="A50" s="128" t="n">
        <v>49</v>
      </c>
      <c r="B50" s="129" t="n">
        <v>3344</v>
      </c>
      <c r="C50" s="128">
        <f>SUM(B$2:B50)</f>
        <v/>
      </c>
    </row>
    <row r="51" ht="15.75" customHeight="1" s="142">
      <c r="A51" s="128" t="n">
        <v>50</v>
      </c>
      <c r="B51" s="129" t="n">
        <v>3472</v>
      </c>
      <c r="C51" s="128">
        <f>SUM(B$2:B51)</f>
        <v/>
      </c>
    </row>
    <row r="52" ht="15.75" customHeight="1" s="142">
      <c r="A52" s="128" t="n">
        <v>51</v>
      </c>
      <c r="B52" s="129" t="n">
        <v>3602</v>
      </c>
      <c r="C52" s="128">
        <f>SUM(B$2:B52)</f>
        <v/>
      </c>
    </row>
    <row r="53" ht="15.75" customHeight="1" s="142">
      <c r="A53" s="128" t="n">
        <v>52</v>
      </c>
      <c r="B53" s="129" t="n">
        <v>3736</v>
      </c>
      <c r="C53" s="128">
        <f>SUM(B$2:B53)</f>
        <v/>
      </c>
    </row>
    <row r="54" ht="15.75" customHeight="1" s="142">
      <c r="A54" s="128" t="n">
        <v>53</v>
      </c>
      <c r="B54" s="129" t="n">
        <v>3870</v>
      </c>
      <c r="C54" s="128">
        <f>SUM(B$2:B54)</f>
        <v/>
      </c>
    </row>
    <row r="55" ht="15.75" customHeight="1" s="142">
      <c r="A55" s="128" t="n">
        <v>54</v>
      </c>
      <c r="B55" s="129" t="n">
        <v>4008</v>
      </c>
      <c r="C55" s="128">
        <f>SUM(B$2:B55)</f>
        <v/>
      </c>
    </row>
    <row r="56" ht="15.75" customHeight="1" s="142">
      <c r="A56" s="128" t="n">
        <v>55</v>
      </c>
      <c r="B56" s="129" t="n">
        <v>4148</v>
      </c>
      <c r="C56" s="128">
        <f>SUM(B$2:B56)</f>
        <v/>
      </c>
    </row>
    <row r="57" ht="15.75" customHeight="1" s="142">
      <c r="A57" s="128" t="n">
        <v>56</v>
      </c>
      <c r="B57" s="129" t="n">
        <v>4290</v>
      </c>
      <c r="C57" s="128">
        <f>SUM(B$2:B57)</f>
        <v/>
      </c>
    </row>
    <row r="58" ht="15.75" customHeight="1" s="142">
      <c r="A58" s="128" t="n">
        <v>57</v>
      </c>
      <c r="B58" s="129" t="n">
        <v>4436</v>
      </c>
      <c r="C58" s="128">
        <f>SUM(B$2:B58)</f>
        <v/>
      </c>
    </row>
    <row r="59" ht="15.75" customHeight="1" s="142">
      <c r="A59" s="128" t="n">
        <v>58</v>
      </c>
      <c r="B59" s="129" t="n">
        <v>4582</v>
      </c>
      <c r="C59" s="128">
        <f>SUM(B$2:B59)</f>
        <v/>
      </c>
    </row>
    <row r="60" ht="15.75" customHeight="1" s="142">
      <c r="A60" s="128" t="n">
        <v>59</v>
      </c>
      <c r="B60" s="129" t="n">
        <v>4732</v>
      </c>
      <c r="C60" s="128">
        <f>SUM(B$2:B60)</f>
        <v/>
      </c>
    </row>
    <row r="61" ht="15.75" customHeight="1" s="142">
      <c r="A61" s="128" t="n">
        <v>60</v>
      </c>
      <c r="B61" s="129" t="n">
        <v>4884</v>
      </c>
      <c r="C61" s="128">
        <f>SUM(B$2:B61)</f>
        <v/>
      </c>
    </row>
    <row r="62" ht="15.75" customHeight="1" s="142">
      <c r="A62" s="128" t="n">
        <v>61</v>
      </c>
      <c r="B62" s="129" t="n">
        <v>5038</v>
      </c>
      <c r="C62" s="128">
        <f>SUM(B$2:B62)</f>
        <v/>
      </c>
    </row>
    <row r="63" ht="15.75" customHeight="1" s="142">
      <c r="A63" s="128" t="n">
        <v>62</v>
      </c>
      <c r="B63" s="129" t="n">
        <v>5196</v>
      </c>
      <c r="C63" s="128">
        <f>SUM(B$2:B63)</f>
        <v/>
      </c>
    </row>
    <row r="64" ht="15.75" customHeight="1" s="142">
      <c r="A64" s="128" t="n">
        <v>63</v>
      </c>
      <c r="B64" s="129" t="n">
        <v>5354</v>
      </c>
      <c r="C64" s="128">
        <f>SUM(B$2:B64)</f>
        <v/>
      </c>
    </row>
    <row r="65" ht="15.75" customHeight="1" s="142">
      <c r="A65" s="128" t="n">
        <v>64</v>
      </c>
      <c r="B65" s="129" t="n">
        <v>5516</v>
      </c>
      <c r="C65" s="128">
        <f>SUM(B$2:B65)</f>
        <v/>
      </c>
    </row>
    <row r="66" ht="15.75" customHeight="1" s="142">
      <c r="A66" s="128" t="n">
        <v>65</v>
      </c>
      <c r="B66" s="129" t="n">
        <v>5680</v>
      </c>
      <c r="C66" s="128">
        <f>SUM(B$2:B66)</f>
        <v/>
      </c>
    </row>
    <row r="67" ht="15.75" customHeight="1" s="142">
      <c r="A67" s="128" t="n">
        <v>66</v>
      </c>
      <c r="B67" s="129" t="n">
        <v>5846</v>
      </c>
      <c r="C67" s="128">
        <f>SUM(B$2:B67)</f>
        <v/>
      </c>
    </row>
    <row r="68" ht="15.75" customHeight="1" s="142">
      <c r="A68" s="128" t="n">
        <v>67</v>
      </c>
      <c r="B68" s="129" t="n">
        <v>6016</v>
      </c>
      <c r="C68" s="128">
        <f>SUM(B$2:B68)</f>
        <v/>
      </c>
    </row>
    <row r="69" ht="15.75" customHeight="1" s="142">
      <c r="A69" s="128" t="n">
        <v>68</v>
      </c>
      <c r="B69" s="129" t="n">
        <v>8686</v>
      </c>
      <c r="C69" s="128">
        <f>SUM(B$2:B69)</f>
        <v/>
      </c>
    </row>
    <row r="70" ht="15.75" customHeight="1" s="142">
      <c r="A70" s="128" t="n">
        <v>69</v>
      </c>
      <c r="B70" s="129" t="n">
        <v>9800</v>
      </c>
      <c r="C70" s="128">
        <f>SUM(B$2:B70)</f>
        <v/>
      </c>
    </row>
    <row r="71" ht="15.75" customHeight="1" s="142">
      <c r="A71" s="128" t="n">
        <v>70</v>
      </c>
      <c r="B71" s="129" t="n">
        <v>12603</v>
      </c>
      <c r="C71" s="128">
        <f>SUM(B$2:B71)</f>
        <v/>
      </c>
    </row>
    <row r="72" ht="15.75" customHeight="1" s="142">
      <c r="A72" s="128" t="n">
        <v>71</v>
      </c>
      <c r="B72" s="129" t="n">
        <v>18662</v>
      </c>
      <c r="C72" s="128">
        <f>SUM(B$2:B72)</f>
        <v/>
      </c>
    </row>
    <row r="73" ht="15.75" customHeight="1" s="142">
      <c r="A73" s="128" t="n">
        <v>72</v>
      </c>
      <c r="B73" s="129" t="n">
        <v>23450</v>
      </c>
      <c r="C73" s="128">
        <f>SUM(B$2:B73)</f>
        <v/>
      </c>
    </row>
    <row r="74" ht="15.75" customHeight="1" s="142">
      <c r="A74" s="128" t="n">
        <v>73</v>
      </c>
      <c r="B74" s="129" t="n">
        <v>26405</v>
      </c>
      <c r="C74" s="128">
        <f>SUM(B$2:B74)</f>
        <v/>
      </c>
    </row>
    <row r="75" ht="15.75" customHeight="1" s="142">
      <c r="A75" s="128" t="n">
        <v>74</v>
      </c>
      <c r="B75" s="129" t="n">
        <v>29431</v>
      </c>
      <c r="C75" s="128">
        <f>SUM(B$2:B75)</f>
        <v/>
      </c>
    </row>
    <row r="76" ht="15.75" customHeight="1" s="142">
      <c r="A76" s="128" t="n">
        <v>75</v>
      </c>
      <c r="B76" s="129" t="n">
        <v>32530</v>
      </c>
      <c r="C76" s="128">
        <f>SUM(B$2:B76)</f>
        <v/>
      </c>
    </row>
    <row r="77" ht="15.75" customHeight="1" s="142">
      <c r="A77" s="128" t="n">
        <v>76</v>
      </c>
      <c r="B77" s="129" t="n">
        <v>33402</v>
      </c>
      <c r="C77" s="128">
        <f>SUM(B$2:B77)</f>
        <v/>
      </c>
    </row>
    <row r="78" ht="15.75" customHeight="1" s="142">
      <c r="A78" s="128" t="n">
        <v>77</v>
      </c>
      <c r="B78" s="129" t="n">
        <v>34286</v>
      </c>
      <c r="C78" s="128">
        <f>SUM(B$2:B78)</f>
        <v/>
      </c>
    </row>
    <row r="79" ht="15.75" customHeight="1" s="142">
      <c r="A79" s="128" t="n">
        <v>78</v>
      </c>
      <c r="B79" s="129" t="n">
        <v>35181</v>
      </c>
      <c r="C79" s="128">
        <f>SUM(B$2:B79)</f>
        <v/>
      </c>
    </row>
    <row r="80" ht="15.75" customHeight="1" s="142">
      <c r="A80" s="128" t="n">
        <v>79</v>
      </c>
      <c r="B80" s="129" t="n">
        <v>36088</v>
      </c>
      <c r="C80" s="128">
        <f>SUM(B$2:B80)</f>
        <v/>
      </c>
    </row>
    <row r="81" ht="15.75" customHeight="1" s="142">
      <c r="A81" s="128" t="n">
        <v>80</v>
      </c>
      <c r="B81" s="129" t="n">
        <v>37006</v>
      </c>
      <c r="C81" s="128">
        <f>SUM(B$2:B81)</f>
        <v/>
      </c>
    </row>
    <row r="82" ht="15.75" customHeight="1" s="142">
      <c r="A82" s="128" t="n">
        <v>81</v>
      </c>
      <c r="B82" s="129" t="n">
        <v>37936</v>
      </c>
      <c r="C82" s="128">
        <f>SUM(B$2:B82)</f>
        <v/>
      </c>
    </row>
    <row r="83" ht="15.75" customHeight="1" s="142">
      <c r="A83" s="128" t="n">
        <v>82</v>
      </c>
      <c r="B83" s="129" t="n">
        <v>38878</v>
      </c>
      <c r="C83" s="128">
        <f>SUM(B$2:B83)</f>
        <v/>
      </c>
    </row>
    <row r="84" ht="15.75" customHeight="1" s="142">
      <c r="A84" s="128" t="n">
        <v>83</v>
      </c>
      <c r="B84" s="129" t="n">
        <v>39831</v>
      </c>
      <c r="C84" s="128">
        <f>SUM(B$2:B84)</f>
        <v/>
      </c>
    </row>
    <row r="85" ht="15.75" customHeight="1" s="142">
      <c r="A85" s="128" t="n">
        <v>84</v>
      </c>
      <c r="B85" s="129" t="n">
        <v>40795</v>
      </c>
      <c r="C85" s="128">
        <f>SUM(B$2:B85)</f>
        <v/>
      </c>
    </row>
    <row r="86" ht="15.75" customHeight="1" s="142">
      <c r="A86" s="128" t="n">
        <v>85</v>
      </c>
      <c r="B86" s="129" t="n">
        <v>41771</v>
      </c>
      <c r="C86" s="128">
        <f>SUM(B$2:B86)</f>
        <v/>
      </c>
    </row>
    <row r="87" ht="15.75" customHeight="1" s="142">
      <c r="A87" s="128" t="n">
        <v>86</v>
      </c>
      <c r="B87" s="129" t="n">
        <v>42759</v>
      </c>
      <c r="C87" s="128">
        <f>SUM(B$2:B87)</f>
        <v/>
      </c>
    </row>
    <row r="88" ht="15.75" customHeight="1" s="142">
      <c r="A88" s="128" t="n">
        <v>87</v>
      </c>
      <c r="B88" s="129" t="n">
        <v>43758</v>
      </c>
      <c r="C88" s="128">
        <f>SUM(B$2:B88)</f>
        <v/>
      </c>
    </row>
    <row r="89" ht="15.75" customHeight="1" s="142">
      <c r="A89" s="128" t="n">
        <v>88</v>
      </c>
      <c r="B89" s="129" t="n">
        <v>44769</v>
      </c>
      <c r="C89" s="128">
        <f>SUM(B$2:B89)</f>
        <v/>
      </c>
    </row>
    <row r="90" ht="15.75" customHeight="1" s="142">
      <c r="A90" s="128" t="n">
        <v>89</v>
      </c>
      <c r="B90" s="129" t="n">
        <v>45791</v>
      </c>
      <c r="C90" s="128">
        <f>SUM(B$2:B90)</f>
        <v/>
      </c>
    </row>
    <row r="91" ht="15.75" customHeight="1" s="142">
      <c r="A91" s="128" t="n">
        <v>90</v>
      </c>
      <c r="B91" s="129" t="n">
        <v>46825</v>
      </c>
      <c r="C91" s="128">
        <f>SUM(B$2:B91)</f>
        <v/>
      </c>
    </row>
    <row r="92" ht="15.75" customHeight="1" s="142">
      <c r="A92" s="128" t="n">
        <v>91</v>
      </c>
      <c r="B92" s="129" t="n">
        <v>47870</v>
      </c>
      <c r="C92" s="128">
        <f>SUM(B$2:B92)</f>
        <v/>
      </c>
    </row>
    <row r="93" ht="15.75" customHeight="1" s="142">
      <c r="A93" s="128" t="n">
        <v>92</v>
      </c>
      <c r="B93" s="129" t="n">
        <v>48927</v>
      </c>
      <c r="C93" s="128">
        <f>SUM(B$2:B93)</f>
        <v/>
      </c>
    </row>
    <row r="94" ht="15.75" customHeight="1" s="142">
      <c r="A94" s="128" t="n">
        <v>93</v>
      </c>
      <c r="B94" s="129" t="n">
        <v>49996</v>
      </c>
      <c r="C94" s="128">
        <f>SUM(B$2:B94)</f>
        <v/>
      </c>
    </row>
    <row r="95" ht="15.75" customHeight="1" s="142">
      <c r="A95" s="128" t="n">
        <v>94</v>
      </c>
      <c r="B95" s="129" t="n">
        <v>51076</v>
      </c>
      <c r="C95" s="128">
        <f>SUM(B$2:B95)</f>
        <v/>
      </c>
    </row>
    <row r="96" ht="15.75" customHeight="1" s="142">
      <c r="A96" s="128" t="n">
        <v>95</v>
      </c>
      <c r="B96" s="129" t="n">
        <v>52167</v>
      </c>
      <c r="C96" s="128">
        <f>SUM(B$2:B96)</f>
        <v/>
      </c>
    </row>
    <row r="97" ht="15.75" customHeight="1" s="142">
      <c r="A97" s="128" t="n">
        <v>96</v>
      </c>
      <c r="B97" s="129" t="n">
        <v>53270</v>
      </c>
      <c r="C97" s="128">
        <f>SUM(B$2:B97)</f>
        <v/>
      </c>
    </row>
    <row r="98" ht="15.75" customHeight="1" s="142">
      <c r="A98" s="128" t="n">
        <v>97</v>
      </c>
      <c r="B98" s="129" t="n">
        <v>54385</v>
      </c>
      <c r="C98" s="128">
        <f>SUM(B$2:B98)</f>
        <v/>
      </c>
    </row>
    <row r="99" ht="15.75" customHeight="1" s="142">
      <c r="A99" s="128" t="n">
        <v>98</v>
      </c>
      <c r="B99" s="129" t="n">
        <v>55511</v>
      </c>
      <c r="C99" s="128">
        <f>SUM(B$2:B99)</f>
        <v/>
      </c>
    </row>
    <row r="100" ht="15.75" customHeight="1" s="142">
      <c r="A100" s="128" t="n">
        <v>99</v>
      </c>
      <c r="B100" s="129" t="n">
        <v>56649</v>
      </c>
      <c r="C100" s="128">
        <f>SUM(B$2:B100)</f>
        <v/>
      </c>
    </row>
    <row r="101" ht="15.75" customHeight="1" s="142">
      <c r="A101" s="128" t="n">
        <v>100</v>
      </c>
      <c r="B101" s="129" t="n">
        <v>57798</v>
      </c>
      <c r="C101" s="128">
        <f>SUM(B$2:B101)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1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141" t="inlineStr">
        <is>
          <t>type</t>
        </is>
      </c>
      <c r="B1" s="141" t="inlineStr">
        <is>
          <t>level</t>
        </is>
      </c>
      <c r="C1" s="141" t="inlineStr">
        <is>
          <t>point</t>
        </is>
      </c>
      <c r="D1" s="141" t="inlineStr">
        <is>
          <t>#總點數</t>
        </is>
      </c>
    </row>
    <row r="2" ht="14.25" customHeight="1" s="142">
      <c r="A2" s="141" t="n">
        <v>1</v>
      </c>
      <c r="B2" s="141" t="n">
        <v>5</v>
      </c>
      <c r="C2" s="141" t="n">
        <v>2</v>
      </c>
      <c r="D2" s="141">
        <f>B2*C2</f>
        <v/>
      </c>
    </row>
    <row r="3" ht="14.25" customHeight="1" s="142">
      <c r="A3" s="141" t="n">
        <v>1</v>
      </c>
      <c r="B3" s="141" t="n">
        <v>10</v>
      </c>
      <c r="C3" s="141" t="n">
        <v>3</v>
      </c>
      <c r="D3" s="141">
        <f>(B3-B2)*C3</f>
        <v/>
      </c>
    </row>
    <row r="4" ht="14.25" customHeight="1" s="142">
      <c r="A4" s="141" t="n">
        <v>1</v>
      </c>
      <c r="B4" s="141" t="n">
        <v>15</v>
      </c>
      <c r="C4" s="141">
        <f>C3+2</f>
        <v/>
      </c>
      <c r="D4" s="141">
        <f>(B4-B3)*C4</f>
        <v/>
      </c>
    </row>
    <row r="5" ht="14.25" customHeight="1" s="142">
      <c r="A5" s="141" t="n">
        <v>1</v>
      </c>
      <c r="B5" s="141" t="n">
        <v>20</v>
      </c>
      <c r="C5" s="141">
        <f>C4+2</f>
        <v/>
      </c>
      <c r="D5" s="141">
        <f>(B5-B4)*C5</f>
        <v/>
      </c>
    </row>
    <row r="6" ht="14.25" customHeight="1" s="142">
      <c r="A6" s="141" t="n">
        <v>1</v>
      </c>
      <c r="B6" s="141" t="n">
        <v>25</v>
      </c>
      <c r="C6" s="141">
        <f>C5+2</f>
        <v/>
      </c>
      <c r="D6" s="141">
        <f>(B6-B5)*C6</f>
        <v/>
      </c>
    </row>
    <row r="7" ht="14.25" customHeight="1" s="142">
      <c r="A7" s="141" t="n">
        <v>1</v>
      </c>
      <c r="B7" s="141" t="n">
        <v>30</v>
      </c>
      <c r="C7" s="141">
        <f>C6+3</f>
        <v/>
      </c>
      <c r="D7" s="141">
        <f>(B7-B6)*C7</f>
        <v/>
      </c>
    </row>
    <row r="8" ht="14.25" customHeight="1" s="142">
      <c r="A8" s="141" t="n">
        <v>1</v>
      </c>
      <c r="B8" s="141" t="n">
        <v>35</v>
      </c>
      <c r="C8" s="141">
        <f>C7+3</f>
        <v/>
      </c>
      <c r="D8" s="141">
        <f>(B8-B7)*C8</f>
        <v/>
      </c>
    </row>
    <row r="9" ht="14.25" customHeight="1" s="142">
      <c r="A9" s="141" t="n">
        <v>1</v>
      </c>
      <c r="B9" s="141" t="n">
        <v>40</v>
      </c>
      <c r="C9" s="141">
        <f>C8+3</f>
        <v/>
      </c>
      <c r="D9" s="141">
        <f>(B9-B8)*C9</f>
        <v/>
      </c>
    </row>
    <row r="10" ht="14.25" customHeight="1" s="142">
      <c r="A10" s="141" t="n">
        <v>1</v>
      </c>
      <c r="B10" s="141" t="n">
        <v>45</v>
      </c>
      <c r="C10" s="141">
        <f>C9+3</f>
        <v/>
      </c>
      <c r="D10" s="141">
        <f>(B10-B9)*C10</f>
        <v/>
      </c>
    </row>
    <row r="11" ht="14.25" customHeight="1" s="142">
      <c r="A11" s="141" t="n">
        <v>1</v>
      </c>
      <c r="B11" s="141" t="n">
        <v>50</v>
      </c>
      <c r="C11" s="141">
        <f>C10+4</f>
        <v/>
      </c>
      <c r="D11" s="141">
        <f>(B11-B10)*C11</f>
        <v/>
      </c>
    </row>
    <row r="12" ht="14.25" customHeight="1" s="142">
      <c r="A12" s="141" t="n">
        <v>1</v>
      </c>
      <c r="B12" s="141" t="n">
        <v>55</v>
      </c>
      <c r="C12" s="141">
        <f>C11+4</f>
        <v/>
      </c>
      <c r="D12" s="141">
        <f>(B12-B11)*C12</f>
        <v/>
      </c>
    </row>
    <row r="13" ht="14.25" customHeight="1" s="142">
      <c r="A13" s="141" t="n">
        <v>1</v>
      </c>
      <c r="B13" s="141">
        <f>B12+5</f>
        <v/>
      </c>
      <c r="C13" s="141">
        <f>C12+4</f>
        <v/>
      </c>
      <c r="D13" s="141">
        <f>(B13-B12)*C13</f>
        <v/>
      </c>
    </row>
    <row r="14" ht="14.25" customHeight="1" s="142">
      <c r="A14" s="141" t="n">
        <v>1</v>
      </c>
      <c r="B14" s="141">
        <f>B13+5</f>
        <v/>
      </c>
      <c r="C14" s="141">
        <f>C13+4</f>
        <v/>
      </c>
      <c r="D14" s="141">
        <f>(B14-B13)*C14</f>
        <v/>
      </c>
    </row>
    <row r="15" ht="14.25" customHeight="1" s="142">
      <c r="A15" s="141" t="n">
        <v>1</v>
      </c>
      <c r="B15" s="141">
        <f>B14+5</f>
        <v/>
      </c>
      <c r="C15" s="141">
        <f>C14+4</f>
        <v/>
      </c>
      <c r="D15" s="141">
        <f>(B15-B14)*C15</f>
        <v/>
      </c>
    </row>
    <row r="16" ht="14.25" customHeight="1" s="142">
      <c r="A16" s="141" t="n">
        <v>1</v>
      </c>
      <c r="B16" s="141">
        <f>B15+5</f>
        <v/>
      </c>
      <c r="C16" s="141">
        <f>C15+5</f>
        <v/>
      </c>
      <c r="D16" s="141">
        <f>(B16-B15)*C16</f>
        <v/>
      </c>
    </row>
    <row r="17" ht="14.25" customHeight="1" s="142">
      <c r="A17" s="141" t="n">
        <v>1</v>
      </c>
      <c r="B17" s="141">
        <f>B16+5</f>
        <v/>
      </c>
      <c r="C17" s="141">
        <f>C16+5</f>
        <v/>
      </c>
      <c r="D17" s="141">
        <f>(B17-B16)*C17</f>
        <v/>
      </c>
    </row>
    <row r="18" ht="14.25" customHeight="1" s="142">
      <c r="A18" s="141" t="n">
        <v>1</v>
      </c>
      <c r="B18" s="141">
        <f>B17+5</f>
        <v/>
      </c>
      <c r="C18" s="141">
        <f>C17+5</f>
        <v/>
      </c>
      <c r="D18" s="141">
        <f>(B18-B17)*C18</f>
        <v/>
      </c>
    </row>
    <row r="19" ht="14.25" customHeight="1" s="142">
      <c r="A19" s="141" t="n">
        <v>1</v>
      </c>
      <c r="B19" s="141">
        <f>B18+5</f>
        <v/>
      </c>
      <c r="C19" s="141">
        <f>C18+5</f>
        <v/>
      </c>
      <c r="D19" s="141">
        <f>(B19-B18)*C19</f>
        <v/>
      </c>
    </row>
    <row r="20" ht="14.25" customHeight="1" s="142">
      <c r="A20" s="141" t="n">
        <v>1</v>
      </c>
      <c r="B20" s="141">
        <f>B19+5</f>
        <v/>
      </c>
      <c r="C20" s="141">
        <f>C19+5</f>
        <v/>
      </c>
      <c r="D20" s="141">
        <f>(B20-B19)*C20</f>
        <v/>
      </c>
    </row>
    <row r="21" ht="14.25" customHeight="1" s="142">
      <c r="A21" s="141" t="n">
        <v>1</v>
      </c>
      <c r="B21" s="141">
        <f>B20+5</f>
        <v/>
      </c>
      <c r="C21" s="141">
        <f>C20+5</f>
        <v/>
      </c>
      <c r="D21" s="141">
        <f>(B21-B20)*C21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D232"/>
  <sheetViews>
    <sheetView topLeftCell="A25" zoomScaleNormal="100" workbookViewId="0">
      <selection activeCell="A1" sqref="A1"/>
    </sheetView>
  </sheetViews>
  <sheetFormatPr baseColWidth="8" defaultColWidth="12.5703125" defaultRowHeight="12.75"/>
  <cols>
    <col width="14.7109375" customWidth="1" style="142" min="5" max="5"/>
  </cols>
  <sheetData>
    <row r="2" ht="14.25" customHeight="1" s="142">
      <c r="A2" s="40" t="inlineStr">
        <is>
          <t>id</t>
        </is>
      </c>
      <c r="B2" s="40" t="inlineStr">
        <is>
          <t>power</t>
        </is>
      </c>
      <c r="C2" s="40" t="inlineStr">
        <is>
          <t>id</t>
        </is>
      </c>
      <c r="D2" s="40" t="inlineStr">
        <is>
          <t>#</t>
        </is>
      </c>
    </row>
    <row r="3" ht="14.25" customHeight="1" s="142">
      <c r="A3" s="135" t="n">
        <v>100</v>
      </c>
      <c r="B3" s="135" t="n">
        <v>25</v>
      </c>
      <c r="C3" s="135" t="n">
        <v>10001</v>
      </c>
      <c r="D3" s="52" t="inlineStr">
        <is>
          <t>SSR</t>
        </is>
      </c>
    </row>
    <row r="4" ht="14.25" customHeight="1" s="142">
      <c r="A4" s="135" t="n">
        <v>100</v>
      </c>
      <c r="B4" s="135" t="n">
        <v>25</v>
      </c>
      <c r="C4" s="135">
        <f>C3+1</f>
        <v/>
      </c>
      <c r="D4" s="52" t="inlineStr">
        <is>
          <t>SSR</t>
        </is>
      </c>
    </row>
    <row r="5" ht="14.25" customHeight="1" s="142">
      <c r="A5" s="135" t="n">
        <v>100</v>
      </c>
      <c r="B5" s="135" t="n">
        <v>25</v>
      </c>
      <c r="C5" s="135">
        <f>C4+1</f>
        <v/>
      </c>
      <c r="D5" s="52" t="inlineStr">
        <is>
          <t>SSR</t>
        </is>
      </c>
    </row>
    <row r="6" ht="14.25" customHeight="1" s="142">
      <c r="A6" s="135" t="n">
        <v>100</v>
      </c>
      <c r="B6" s="135" t="n">
        <v>25</v>
      </c>
      <c r="C6" s="135">
        <f>C5+1</f>
        <v/>
      </c>
      <c r="D6" s="52" t="inlineStr">
        <is>
          <t>SSR</t>
        </is>
      </c>
    </row>
    <row r="7" ht="14.25" customHeight="1" s="142">
      <c r="A7" s="135" t="n">
        <v>100</v>
      </c>
      <c r="B7" s="135" t="n">
        <v>25</v>
      </c>
      <c r="C7" s="135">
        <f>C6+1</f>
        <v/>
      </c>
      <c r="D7" s="52" t="inlineStr">
        <is>
          <t>SSR</t>
        </is>
      </c>
    </row>
    <row r="8" ht="14.25" customHeight="1" s="142">
      <c r="A8" s="135" t="n">
        <v>100</v>
      </c>
      <c r="B8" s="135" t="n">
        <v>25</v>
      </c>
      <c r="C8" s="135">
        <f>C7+1</f>
        <v/>
      </c>
      <c r="D8" s="52" t="inlineStr">
        <is>
          <t>SSR</t>
        </is>
      </c>
    </row>
    <row r="9" ht="14.25" customHeight="1" s="142">
      <c r="A9" s="135" t="n">
        <v>100</v>
      </c>
      <c r="B9" s="135" t="n">
        <v>25</v>
      </c>
      <c r="C9" s="135">
        <f>C8+1</f>
        <v/>
      </c>
      <c r="D9" s="52" t="inlineStr">
        <is>
          <t>SSR</t>
        </is>
      </c>
    </row>
    <row r="10" ht="14.25" customHeight="1" s="142">
      <c r="A10" s="135" t="n">
        <v>100</v>
      </c>
      <c r="B10" s="135" t="n">
        <v>25</v>
      </c>
      <c r="C10" s="135" t="n">
        <v>10008</v>
      </c>
      <c r="D10" s="52" t="inlineStr">
        <is>
          <t>SSR</t>
        </is>
      </c>
    </row>
    <row r="11" ht="14.25" customHeight="1" s="142">
      <c r="A11" s="135" t="n">
        <v>100</v>
      </c>
      <c r="B11" s="135" t="n">
        <v>25</v>
      </c>
      <c r="C11" s="135" t="n">
        <v>10009</v>
      </c>
      <c r="D11" s="52" t="inlineStr">
        <is>
          <t>SSR</t>
        </is>
      </c>
    </row>
    <row r="12" ht="14.25" customHeight="1" s="142">
      <c r="A12" s="135" t="n">
        <v>100</v>
      </c>
      <c r="B12" s="135" t="n">
        <v>25</v>
      </c>
      <c r="C12" s="135" t="n">
        <v>10010</v>
      </c>
      <c r="D12" s="52" t="inlineStr">
        <is>
          <t>SSR</t>
        </is>
      </c>
    </row>
    <row r="13" ht="14.25" customHeight="1" s="142">
      <c r="A13" s="135" t="n">
        <v>100</v>
      </c>
      <c r="B13" s="135" t="n">
        <v>25</v>
      </c>
      <c r="C13" s="135" t="n">
        <v>10011</v>
      </c>
      <c r="D13" s="52" t="inlineStr">
        <is>
          <t>SSR</t>
        </is>
      </c>
    </row>
    <row r="14" ht="14.25" customHeight="1" s="142">
      <c r="A14" s="135" t="n">
        <v>100</v>
      </c>
      <c r="B14" s="135" t="n">
        <v>25</v>
      </c>
      <c r="C14" s="135" t="n">
        <v>10012</v>
      </c>
      <c r="D14" s="52" t="inlineStr">
        <is>
          <t>SSR</t>
        </is>
      </c>
    </row>
    <row r="15" ht="14.25" customHeight="1" s="142">
      <c r="A15" s="135" t="n">
        <v>100</v>
      </c>
      <c r="B15" s="135" t="n">
        <v>300</v>
      </c>
      <c r="C15" s="135" t="n">
        <v>10013</v>
      </c>
      <c r="D15" s="52" t="inlineStr">
        <is>
          <t>SR</t>
        </is>
      </c>
    </row>
    <row r="16" ht="14.25" customHeight="1" s="142">
      <c r="A16" s="135" t="n">
        <v>100</v>
      </c>
      <c r="B16" s="135" t="n">
        <v>300</v>
      </c>
      <c r="C16" s="135" t="n">
        <v>10014</v>
      </c>
      <c r="D16" s="52" t="inlineStr">
        <is>
          <t>SR</t>
        </is>
      </c>
    </row>
    <row r="17" ht="14.25" customHeight="1" s="142">
      <c r="A17" s="135" t="n">
        <v>100</v>
      </c>
      <c r="B17" s="135" t="n">
        <v>300</v>
      </c>
      <c r="C17" s="135" t="n">
        <v>10015</v>
      </c>
      <c r="D17" s="52" t="inlineStr">
        <is>
          <t>SR</t>
        </is>
      </c>
    </row>
    <row r="18" ht="14.25" customHeight="1" s="142">
      <c r="A18" s="135" t="n">
        <v>100</v>
      </c>
      <c r="B18" s="135" t="n">
        <v>300</v>
      </c>
      <c r="C18" s="135" t="n">
        <v>10016</v>
      </c>
      <c r="D18" s="52" t="inlineStr">
        <is>
          <t>SR</t>
        </is>
      </c>
    </row>
    <row r="19" ht="14.25" customHeight="1" s="142">
      <c r="A19" s="135" t="n">
        <v>100</v>
      </c>
      <c r="B19" s="135" t="n">
        <v>300</v>
      </c>
      <c r="C19" s="135" t="n">
        <v>10017</v>
      </c>
      <c r="D19" s="52" t="inlineStr">
        <is>
          <t>SR</t>
        </is>
      </c>
    </row>
    <row r="20" ht="14.25" customHeight="1" s="142">
      <c r="A20" s="135" t="n">
        <v>100</v>
      </c>
      <c r="B20" s="135" t="n">
        <v>300</v>
      </c>
      <c r="C20" s="135" t="n">
        <v>10018</v>
      </c>
      <c r="D20" s="52" t="inlineStr">
        <is>
          <t>SR</t>
        </is>
      </c>
    </row>
    <row r="21" ht="14.25" customHeight="1" s="142">
      <c r="A21" s="135" t="n">
        <v>100</v>
      </c>
      <c r="B21" s="135" t="n">
        <v>300</v>
      </c>
      <c r="C21" s="135" t="n">
        <v>10019</v>
      </c>
      <c r="D21" s="52" t="inlineStr">
        <is>
          <t>SR</t>
        </is>
      </c>
    </row>
    <row r="22" ht="14.25" customHeight="1" s="142">
      <c r="A22" s="135" t="n">
        <v>100</v>
      </c>
      <c r="B22" s="135" t="n">
        <v>300</v>
      </c>
      <c r="C22" s="135" t="n">
        <v>10020</v>
      </c>
      <c r="D22" s="52" t="inlineStr">
        <is>
          <t>SR</t>
        </is>
      </c>
    </row>
    <row r="23" ht="14.25" customHeight="1" s="142">
      <c r="A23" s="135" t="n">
        <v>100</v>
      </c>
      <c r="B23" s="135" t="n">
        <v>300</v>
      </c>
      <c r="C23" s="135" t="n">
        <v>10021</v>
      </c>
      <c r="D23" s="52" t="inlineStr">
        <is>
          <t>SR</t>
        </is>
      </c>
    </row>
    <row r="24" ht="14.25" customHeight="1" s="142">
      <c r="A24" s="135" t="n">
        <v>100</v>
      </c>
      <c r="B24" s="135" t="n">
        <v>700</v>
      </c>
      <c r="C24" s="135" t="n">
        <v>10022</v>
      </c>
      <c r="D24" s="52" t="inlineStr">
        <is>
          <t>R</t>
        </is>
      </c>
    </row>
    <row r="25" ht="14.25" customHeight="1" s="142">
      <c r="A25" s="135" t="n">
        <v>100</v>
      </c>
      <c r="B25" s="135" t="n">
        <v>700</v>
      </c>
      <c r="C25" s="135" t="n">
        <v>10023</v>
      </c>
      <c r="D25" s="52" t="inlineStr">
        <is>
          <t>R</t>
        </is>
      </c>
    </row>
    <row r="26" ht="14.25" customHeight="1" s="142">
      <c r="A26" s="135" t="n">
        <v>100</v>
      </c>
      <c r="B26" s="135" t="n">
        <v>700</v>
      </c>
      <c r="C26" s="135" t="n">
        <v>10024</v>
      </c>
      <c r="D26" s="52" t="inlineStr">
        <is>
          <t>R</t>
        </is>
      </c>
    </row>
    <row r="27" ht="14.25" customHeight="1" s="142">
      <c r="A27" s="135" t="n">
        <v>100</v>
      </c>
      <c r="B27" s="135" t="n">
        <v>700</v>
      </c>
      <c r="C27" s="135" t="n">
        <v>10025</v>
      </c>
      <c r="D27" s="52" t="inlineStr">
        <is>
          <t>R</t>
        </is>
      </c>
    </row>
    <row r="28" ht="14.25" customHeight="1" s="142">
      <c r="A28" s="135" t="n">
        <v>100</v>
      </c>
      <c r="B28" s="135" t="n">
        <v>700</v>
      </c>
      <c r="C28" s="135" t="n">
        <v>10026</v>
      </c>
      <c r="D28" s="52" t="inlineStr">
        <is>
          <t>R</t>
        </is>
      </c>
    </row>
    <row r="29" ht="14.25" customHeight="1" s="142">
      <c r="A29" s="135" t="n">
        <v>100</v>
      </c>
      <c r="B29" s="135" t="n">
        <v>700</v>
      </c>
      <c r="C29" s="135" t="n">
        <v>10027</v>
      </c>
      <c r="D29" s="52" t="inlineStr">
        <is>
          <t>R</t>
        </is>
      </c>
    </row>
    <row r="30" ht="14.25" customHeight="1" s="142">
      <c r="A30" s="135" t="n">
        <v>100</v>
      </c>
      <c r="B30" s="135" t="n">
        <v>700</v>
      </c>
      <c r="C30" s="135" t="n">
        <v>10028</v>
      </c>
      <c r="D30" s="52" t="inlineStr">
        <is>
          <t>R</t>
        </is>
      </c>
    </row>
    <row r="31" ht="14.25" customHeight="1" s="142">
      <c r="A31" s="135" t="n">
        <v>100</v>
      </c>
      <c r="B31" s="135" t="n">
        <v>700</v>
      </c>
      <c r="C31" s="135" t="n">
        <v>10029</v>
      </c>
      <c r="D31" s="52" t="inlineStr">
        <is>
          <t>R</t>
        </is>
      </c>
    </row>
    <row r="32" ht="14.25" customHeight="1" s="142">
      <c r="A32" s="135" t="n">
        <v>100</v>
      </c>
      <c r="B32" s="135" t="n">
        <v>700</v>
      </c>
      <c r="C32" s="135" t="n">
        <v>10030</v>
      </c>
      <c r="D32" s="52" t="inlineStr">
        <is>
          <t>R</t>
        </is>
      </c>
    </row>
    <row r="33" ht="14.25" customHeight="1" s="142">
      <c r="A33" s="135" t="n">
        <v>100</v>
      </c>
      <c r="B33" s="135" t="n">
        <v>700</v>
      </c>
      <c r="C33" s="135" t="n">
        <v>10031</v>
      </c>
      <c r="D33" s="52" t="inlineStr">
        <is>
          <t>R</t>
        </is>
      </c>
    </row>
    <row r="35" ht="14.25" customHeight="1" s="142">
      <c r="A35" s="40" t="inlineStr">
        <is>
          <t>id</t>
        </is>
      </c>
      <c r="B35" s="40" t="inlineStr">
        <is>
          <t>power</t>
        </is>
      </c>
      <c r="C35" s="40" t="inlineStr">
        <is>
          <t>id</t>
        </is>
      </c>
      <c r="D35" s="40" t="inlineStr">
        <is>
          <t>#</t>
        </is>
      </c>
    </row>
    <row r="36" ht="14.25" customHeight="1" s="142">
      <c r="A36" s="135" t="n">
        <v>101</v>
      </c>
      <c r="B36" s="141">
        <f>IF(D36="R",200,IF(D36="SR",45,IF(D36="SSR",5)))</f>
        <v/>
      </c>
      <c r="C36" s="141" t="n">
        <v>80001</v>
      </c>
      <c r="D36" s="135" t="inlineStr">
        <is>
          <t>R</t>
        </is>
      </c>
    </row>
    <row r="37" ht="14.25" customHeight="1" s="142">
      <c r="A37" s="135" t="n">
        <v>101</v>
      </c>
      <c r="B37" s="141">
        <f>IF(D37="R",200,IF(D37="SR",45,IF(D37="SSR",5)))</f>
        <v/>
      </c>
      <c r="C37" s="141" t="n">
        <v>81001</v>
      </c>
      <c r="D37" s="135" t="inlineStr">
        <is>
          <t>R</t>
        </is>
      </c>
    </row>
    <row r="38" ht="14.25" customHeight="1" s="142">
      <c r="A38" s="135" t="n">
        <v>101</v>
      </c>
      <c r="B38" s="141">
        <f>IF(D38="R",200,IF(D38="SR",45,IF(D38="SSR",5)))</f>
        <v/>
      </c>
      <c r="C38" s="141" t="n">
        <v>82001</v>
      </c>
      <c r="D38" s="135" t="inlineStr">
        <is>
          <t>R</t>
        </is>
      </c>
    </row>
    <row r="39" ht="14.25" customHeight="1" s="142">
      <c r="A39" s="135" t="n">
        <v>101</v>
      </c>
      <c r="B39" s="141">
        <f>IF(D39="R",200,IF(D39="SR",45,IF(D39="SSR",5)))</f>
        <v/>
      </c>
      <c r="C39" s="141" t="n">
        <v>83001</v>
      </c>
      <c r="D39" s="135" t="inlineStr">
        <is>
          <t>R</t>
        </is>
      </c>
    </row>
    <row r="40" ht="14.25" customHeight="1" s="142">
      <c r="A40" s="135" t="n">
        <v>101</v>
      </c>
      <c r="B40" s="141">
        <f>IF(D40="R",200,IF(D40="SR",45,IF(D40="SSR",5)))</f>
        <v/>
      </c>
      <c r="C40" s="141" t="n">
        <v>84001</v>
      </c>
      <c r="D40" s="135" t="inlineStr">
        <is>
          <t>R</t>
        </is>
      </c>
    </row>
    <row r="41" ht="14.25" customHeight="1" s="142">
      <c r="A41" s="135" t="n">
        <v>101</v>
      </c>
      <c r="B41" s="141">
        <f>IF(D41="R",200,IF(D41="SR",45,IF(D41="SSR",5)))</f>
        <v/>
      </c>
      <c r="C41" s="141" t="n">
        <v>85001</v>
      </c>
      <c r="D41" s="135" t="inlineStr">
        <is>
          <t>R</t>
        </is>
      </c>
    </row>
    <row r="42" ht="14.25" customHeight="1" s="142">
      <c r="A42" s="135" t="n">
        <v>101</v>
      </c>
      <c r="B42" s="141">
        <f>IF(D42="R",200,IF(D42="SR",45,IF(D42="SSR",5)))</f>
        <v/>
      </c>
      <c r="C42" s="141">
        <f>C36+1</f>
        <v/>
      </c>
      <c r="D42" s="135" t="inlineStr">
        <is>
          <t>SR</t>
        </is>
      </c>
    </row>
    <row r="43" ht="14.25" customHeight="1" s="142">
      <c r="A43" s="135" t="n">
        <v>101</v>
      </c>
      <c r="B43" s="141">
        <f>IF(D43="R",200,IF(D43="SR",45,IF(D43="SSR",5)))</f>
        <v/>
      </c>
      <c r="C43" s="141">
        <f>C37+1</f>
        <v/>
      </c>
      <c r="D43" s="135" t="inlineStr">
        <is>
          <t>SR</t>
        </is>
      </c>
    </row>
    <row r="44" ht="14.25" customHeight="1" s="142">
      <c r="A44" s="135" t="n">
        <v>101</v>
      </c>
      <c r="B44" s="141">
        <f>IF(D44="R",200,IF(D44="SR",45,IF(D44="SSR",5)))</f>
        <v/>
      </c>
      <c r="C44" s="141">
        <f>C38+1</f>
        <v/>
      </c>
      <c r="D44" s="135" t="inlineStr">
        <is>
          <t>SR</t>
        </is>
      </c>
    </row>
    <row r="45" ht="14.25" customHeight="1" s="142">
      <c r="A45" s="135" t="n">
        <v>101</v>
      </c>
      <c r="B45" s="141">
        <f>IF(D45="R",200,IF(D45="SR",45,IF(D45="SSR",5)))</f>
        <v/>
      </c>
      <c r="C45" s="141">
        <f>C39+1</f>
        <v/>
      </c>
      <c r="D45" s="135" t="inlineStr">
        <is>
          <t>SR</t>
        </is>
      </c>
    </row>
    <row r="46" ht="14.25" customHeight="1" s="142">
      <c r="A46" s="135" t="n">
        <v>101</v>
      </c>
      <c r="B46" s="141">
        <f>IF(D46="R",200,IF(D46="SR",45,IF(D46="SSR",5)))</f>
        <v/>
      </c>
      <c r="C46" s="141">
        <f>C40+1</f>
        <v/>
      </c>
      <c r="D46" s="135" t="inlineStr">
        <is>
          <t>SR</t>
        </is>
      </c>
    </row>
    <row r="47" ht="14.25" customHeight="1" s="142">
      <c r="A47" s="135" t="n">
        <v>101</v>
      </c>
      <c r="B47" s="141">
        <f>IF(D47="R",200,IF(D47="SR",45,IF(D47="SSR",5)))</f>
        <v/>
      </c>
      <c r="C47" s="141">
        <f>C41+1</f>
        <v/>
      </c>
      <c r="D47" s="135" t="inlineStr">
        <is>
          <t>SR</t>
        </is>
      </c>
    </row>
    <row r="48" ht="14.25" customHeight="1" s="142">
      <c r="A48" s="135" t="n">
        <v>101</v>
      </c>
      <c r="B48" s="141">
        <f>IF(D48="R",200,IF(D48="SR",45,IF(D48="SSR",5)))</f>
        <v/>
      </c>
      <c r="C48" s="141">
        <f>C42+1</f>
        <v/>
      </c>
      <c r="D48" s="135" t="inlineStr">
        <is>
          <t>SR</t>
        </is>
      </c>
    </row>
    <row r="49" ht="14.25" customHeight="1" s="142">
      <c r="A49" s="135" t="n">
        <v>101</v>
      </c>
      <c r="B49" s="141">
        <f>IF(D49="R",200,IF(D49="SR",45,IF(D49="SSR",5)))</f>
        <v/>
      </c>
      <c r="C49" s="141">
        <f>C43+1</f>
        <v/>
      </c>
      <c r="D49" s="135" t="inlineStr">
        <is>
          <t>SR</t>
        </is>
      </c>
    </row>
    <row r="50" ht="14.25" customHeight="1" s="142">
      <c r="A50" s="135" t="n">
        <v>101</v>
      </c>
      <c r="B50" s="141">
        <f>IF(D50="R",200,IF(D50="SR",45,IF(D50="SSR",5)))</f>
        <v/>
      </c>
      <c r="C50" s="141">
        <f>C44+1</f>
        <v/>
      </c>
      <c r="D50" s="135" t="inlineStr">
        <is>
          <t>SR</t>
        </is>
      </c>
    </row>
    <row r="51" ht="14.25" customHeight="1" s="142">
      <c r="A51" s="135" t="n">
        <v>101</v>
      </c>
      <c r="B51" s="141">
        <f>IF(D51="R",200,IF(D51="SR",45,IF(D51="SSR",5)))</f>
        <v/>
      </c>
      <c r="C51" s="141">
        <f>C45+1</f>
        <v/>
      </c>
      <c r="D51" s="135" t="inlineStr">
        <is>
          <t>SR</t>
        </is>
      </c>
    </row>
    <row r="52" ht="14.25" customHeight="1" s="142">
      <c r="A52" s="135" t="n">
        <v>101</v>
      </c>
      <c r="B52" s="141">
        <f>IF(D52="R",200,IF(D52="SR",45,IF(D52="SSR",5)))</f>
        <v/>
      </c>
      <c r="C52" s="141">
        <f>C46+1</f>
        <v/>
      </c>
      <c r="D52" s="135" t="inlineStr">
        <is>
          <t>SR</t>
        </is>
      </c>
    </row>
    <row r="53" ht="14.25" customHeight="1" s="142">
      <c r="A53" s="135" t="n">
        <v>101</v>
      </c>
      <c r="B53" s="141">
        <f>IF(D53="R",200,IF(D53="SR",45,IF(D53="SSR",5)))</f>
        <v/>
      </c>
      <c r="C53" s="141">
        <f>C47+1</f>
        <v/>
      </c>
      <c r="D53" s="135" t="inlineStr">
        <is>
          <t>SR</t>
        </is>
      </c>
    </row>
    <row r="54" ht="14.25" customHeight="1" s="142">
      <c r="A54" s="135" t="n">
        <v>101</v>
      </c>
      <c r="B54" s="141">
        <f>IF(D54="R",200,IF(D54="SR",45,IF(D54="SSR",5)))</f>
        <v/>
      </c>
      <c r="C54" s="141">
        <f>C48+1</f>
        <v/>
      </c>
      <c r="D54" s="135" t="inlineStr">
        <is>
          <t>SSR</t>
        </is>
      </c>
    </row>
    <row r="55" ht="14.25" customHeight="1" s="142">
      <c r="A55" s="135" t="n">
        <v>101</v>
      </c>
      <c r="B55" s="141">
        <f>IF(D55="R",200,IF(D55="SR",45,IF(D55="SSR",5)))</f>
        <v/>
      </c>
      <c r="C55" s="141">
        <f>C49+1</f>
        <v/>
      </c>
      <c r="D55" s="135" t="inlineStr">
        <is>
          <t>SSR</t>
        </is>
      </c>
    </row>
    <row r="56" ht="14.25" customHeight="1" s="142">
      <c r="A56" s="135" t="n">
        <v>101</v>
      </c>
      <c r="B56" s="141">
        <f>IF(D56="R",200,IF(D56="SR",45,IF(D56="SSR",5)))</f>
        <v/>
      </c>
      <c r="C56" s="141">
        <f>C50+1</f>
        <v/>
      </c>
      <c r="D56" s="135" t="inlineStr">
        <is>
          <t>SSR</t>
        </is>
      </c>
    </row>
    <row r="57" ht="14.25" customHeight="1" s="142">
      <c r="A57" s="135" t="n">
        <v>101</v>
      </c>
      <c r="B57" s="141">
        <f>IF(D57="R",200,IF(D57="SR",45,IF(D57="SSR",5)))</f>
        <v/>
      </c>
      <c r="C57" s="141">
        <f>C51+1</f>
        <v/>
      </c>
      <c r="D57" s="135" t="inlineStr">
        <is>
          <t>SSR</t>
        </is>
      </c>
    </row>
    <row r="58" ht="14.25" customHeight="1" s="142">
      <c r="A58" s="135" t="n">
        <v>101</v>
      </c>
      <c r="B58" s="141">
        <f>IF(D58="R",200,IF(D58="SR",45,IF(D58="SSR",5)))</f>
        <v/>
      </c>
      <c r="C58" s="141">
        <f>C52+1</f>
        <v/>
      </c>
      <c r="D58" s="135" t="inlineStr">
        <is>
          <t>SSR</t>
        </is>
      </c>
    </row>
    <row r="59" ht="14.25" customHeight="1" s="142">
      <c r="A59" s="135" t="n">
        <v>101</v>
      </c>
      <c r="B59" s="141">
        <f>IF(D59="R",200,IF(D59="SR",45,IF(D59="SSR",5)))</f>
        <v/>
      </c>
      <c r="C59" s="141">
        <f>C53+1</f>
        <v/>
      </c>
      <c r="D59" s="135" t="inlineStr">
        <is>
          <t>SSR</t>
        </is>
      </c>
    </row>
    <row r="60" ht="14.25" customHeight="1" s="142">
      <c r="A60" s="135" t="n">
        <v>101</v>
      </c>
      <c r="B60" s="141" t="n">
        <v>195</v>
      </c>
      <c r="C60" s="141">
        <f>C54+1</f>
        <v/>
      </c>
      <c r="D60" s="135" t="inlineStr">
        <is>
          <t>R</t>
        </is>
      </c>
    </row>
    <row r="61" ht="14.25" customHeight="1" s="142">
      <c r="A61" s="135" t="n">
        <v>101</v>
      </c>
      <c r="B61" s="141">
        <f>IF(D61="R",200,IF(D61="SR",45,IF(D61="SSR",5)))</f>
        <v/>
      </c>
      <c r="C61" s="141">
        <f>C55+1</f>
        <v/>
      </c>
      <c r="D61" s="135" t="inlineStr">
        <is>
          <t>R</t>
        </is>
      </c>
    </row>
    <row r="62" ht="14.25" customHeight="1" s="142">
      <c r="A62" s="135" t="n">
        <v>101</v>
      </c>
      <c r="B62" s="141">
        <f>IF(D62="R",200,IF(D62="SR",45,IF(D62="SSR",5)))</f>
        <v/>
      </c>
      <c r="C62" s="141">
        <f>C56+1</f>
        <v/>
      </c>
      <c r="D62" s="135" t="inlineStr">
        <is>
          <t>R</t>
        </is>
      </c>
    </row>
    <row r="63" ht="14.25" customHeight="1" s="142">
      <c r="A63" s="135" t="n">
        <v>101</v>
      </c>
      <c r="B63" s="141">
        <f>IF(D63="R",200,IF(D63="SR",45,IF(D63="SSR",5)))</f>
        <v/>
      </c>
      <c r="C63" s="141">
        <f>C57+1</f>
        <v/>
      </c>
      <c r="D63" s="135" t="inlineStr">
        <is>
          <t>R</t>
        </is>
      </c>
    </row>
    <row r="64" ht="14.25" customHeight="1" s="142">
      <c r="A64" s="135" t="n">
        <v>101</v>
      </c>
      <c r="B64" s="141">
        <f>IF(D64="R",200,IF(D64="SR",45,IF(D64="SSR",5)))</f>
        <v/>
      </c>
      <c r="C64" s="141">
        <f>C58+1</f>
        <v/>
      </c>
      <c r="D64" s="135" t="inlineStr">
        <is>
          <t>R</t>
        </is>
      </c>
    </row>
    <row r="65" ht="14.25" customHeight="1" s="142">
      <c r="A65" s="135" t="n">
        <v>101</v>
      </c>
      <c r="B65" s="141">
        <f>IF(D65="R",200,IF(D65="SR",45,IF(D65="SSR",5)))</f>
        <v/>
      </c>
      <c r="C65" s="141">
        <f>C59+1</f>
        <v/>
      </c>
      <c r="D65" s="135" t="inlineStr">
        <is>
          <t>R</t>
        </is>
      </c>
    </row>
    <row r="66" ht="14.25" customHeight="1" s="142">
      <c r="A66" s="135" t="n">
        <v>101</v>
      </c>
      <c r="B66" s="141">
        <f>IF(D66="R",200,IF(D66="SR",45,IF(D66="SSR",5)))</f>
        <v/>
      </c>
      <c r="C66" s="141">
        <f>C60+1</f>
        <v/>
      </c>
      <c r="D66" s="135" t="inlineStr">
        <is>
          <t>SR</t>
        </is>
      </c>
    </row>
    <row r="67" ht="14.25" customHeight="1" s="142">
      <c r="A67" s="135" t="n">
        <v>101</v>
      </c>
      <c r="B67" s="141">
        <f>IF(D67="R",200,IF(D67="SR",45,IF(D67="SSR",5)))</f>
        <v/>
      </c>
      <c r="C67" s="141">
        <f>C61+1</f>
        <v/>
      </c>
      <c r="D67" s="135" t="inlineStr">
        <is>
          <t>SR</t>
        </is>
      </c>
    </row>
    <row r="68" ht="14.25" customHeight="1" s="142">
      <c r="A68" s="135" t="n">
        <v>101</v>
      </c>
      <c r="B68" s="141">
        <f>IF(D68="R",200,IF(D68="SR",45,IF(D68="SSR",5)))</f>
        <v/>
      </c>
      <c r="C68" s="141">
        <f>C62+1</f>
        <v/>
      </c>
      <c r="D68" s="135" t="inlineStr">
        <is>
          <t>SR</t>
        </is>
      </c>
    </row>
    <row r="69" ht="14.25" customHeight="1" s="142">
      <c r="A69" s="135" t="n">
        <v>101</v>
      </c>
      <c r="B69" s="141">
        <f>IF(D69="R",200,IF(D69="SR",45,IF(D69="SSR",5)))</f>
        <v/>
      </c>
      <c r="C69" s="141">
        <f>C63+1</f>
        <v/>
      </c>
      <c r="D69" s="135" t="inlineStr">
        <is>
          <t>SR</t>
        </is>
      </c>
    </row>
    <row r="70" ht="14.25" customHeight="1" s="142">
      <c r="A70" s="135" t="n">
        <v>101</v>
      </c>
      <c r="B70" s="141">
        <f>IF(D70="R",200,IF(D70="SR",45,IF(D70="SSR",5)))</f>
        <v/>
      </c>
      <c r="C70" s="141">
        <f>C64+1</f>
        <v/>
      </c>
      <c r="D70" s="135" t="inlineStr">
        <is>
          <t>SR</t>
        </is>
      </c>
    </row>
    <row r="71" ht="14.25" customHeight="1" s="142">
      <c r="A71" s="135" t="n">
        <v>101</v>
      </c>
      <c r="B71" s="141">
        <f>IF(D71="R",200,IF(D71="SR",45,IF(D71="SSR",5)))</f>
        <v/>
      </c>
      <c r="C71" s="141">
        <f>C65+1</f>
        <v/>
      </c>
      <c r="D71" s="135" t="inlineStr">
        <is>
          <t>SR</t>
        </is>
      </c>
    </row>
    <row r="72" ht="14.25" customHeight="1" s="142">
      <c r="A72" s="135" t="n">
        <v>101</v>
      </c>
      <c r="B72" s="141">
        <f>IF(D72="R",200,IF(D72="SR",45,IF(D72="SSR",5)))</f>
        <v/>
      </c>
      <c r="C72" s="141">
        <f>C66+1</f>
        <v/>
      </c>
      <c r="D72" s="135" t="inlineStr">
        <is>
          <t>SR</t>
        </is>
      </c>
    </row>
    <row r="73" ht="14.25" customHeight="1" s="142">
      <c r="A73" s="135" t="n">
        <v>101</v>
      </c>
      <c r="B73" s="141">
        <f>IF(D73="R",200,IF(D73="SR",45,IF(D73="SSR",5)))</f>
        <v/>
      </c>
      <c r="C73" s="141">
        <f>C67+1</f>
        <v/>
      </c>
      <c r="D73" s="135" t="inlineStr">
        <is>
          <t>SR</t>
        </is>
      </c>
    </row>
    <row r="74" ht="14.25" customHeight="1" s="142">
      <c r="A74" s="135" t="n">
        <v>101</v>
      </c>
      <c r="B74" s="141">
        <f>IF(D74="R",200,IF(D74="SR",45,IF(D74="SSR",5)))</f>
        <v/>
      </c>
      <c r="C74" s="141">
        <f>C68+1</f>
        <v/>
      </c>
      <c r="D74" s="135" t="inlineStr">
        <is>
          <t>SR</t>
        </is>
      </c>
    </row>
    <row r="75" ht="14.25" customHeight="1" s="142">
      <c r="A75" s="135" t="n">
        <v>101</v>
      </c>
      <c r="B75" s="141">
        <f>IF(D75="R",200,IF(D75="SR",45,IF(D75="SSR",5)))</f>
        <v/>
      </c>
      <c r="C75" s="141">
        <f>C69+1</f>
        <v/>
      </c>
      <c r="D75" s="135" t="inlineStr">
        <is>
          <t>SR</t>
        </is>
      </c>
    </row>
    <row r="76" ht="14.25" customHeight="1" s="142">
      <c r="A76" s="135" t="n">
        <v>101</v>
      </c>
      <c r="B76" s="141">
        <f>IF(D76="R",200,IF(D76="SR",45,IF(D76="SSR",5)))</f>
        <v/>
      </c>
      <c r="C76" s="141">
        <f>C70+1</f>
        <v/>
      </c>
      <c r="D76" s="135" t="inlineStr">
        <is>
          <t>SR</t>
        </is>
      </c>
    </row>
    <row r="77" ht="14.25" customHeight="1" s="142">
      <c r="A77" s="135" t="n">
        <v>101</v>
      </c>
      <c r="B77" s="141">
        <f>IF(D77="R",200,IF(D77="SR",45,IF(D77="SSR",5)))</f>
        <v/>
      </c>
      <c r="C77" s="141">
        <f>C71+1</f>
        <v/>
      </c>
      <c r="D77" s="135" t="inlineStr">
        <is>
          <t>SR</t>
        </is>
      </c>
    </row>
    <row r="78" ht="14.25" customHeight="1" s="142">
      <c r="A78" s="135" t="n">
        <v>101</v>
      </c>
      <c r="B78" s="141">
        <f>IF(D78="R",200,IF(D78="SR",45,IF(D78="SSR",5)))</f>
        <v/>
      </c>
      <c r="C78" s="141">
        <f>C72+1</f>
        <v/>
      </c>
      <c r="D78" s="135" t="inlineStr">
        <is>
          <t>SSR</t>
        </is>
      </c>
    </row>
    <row r="79" ht="14.25" customHeight="1" s="142">
      <c r="A79" s="135" t="n">
        <v>101</v>
      </c>
      <c r="B79" s="141">
        <f>IF(D79="R",200,IF(D79="SR",45,IF(D79="SSR",5)))</f>
        <v/>
      </c>
      <c r="C79" s="141">
        <f>C73+1</f>
        <v/>
      </c>
      <c r="D79" s="135" t="inlineStr">
        <is>
          <t>SSR</t>
        </is>
      </c>
    </row>
    <row r="80" ht="14.25" customHeight="1" s="142">
      <c r="A80" s="135" t="n">
        <v>101</v>
      </c>
      <c r="B80" s="141">
        <f>IF(D80="R",200,IF(D80="SR",45,IF(D80="SSR",5)))</f>
        <v/>
      </c>
      <c r="C80" s="141">
        <f>C74+1</f>
        <v/>
      </c>
      <c r="D80" s="135" t="inlineStr">
        <is>
          <t>SSR</t>
        </is>
      </c>
    </row>
    <row r="81" ht="14.25" customHeight="1" s="142">
      <c r="A81" s="135" t="n">
        <v>101</v>
      </c>
      <c r="B81" s="141">
        <f>IF(D81="R",200,IF(D81="SR",45,IF(D81="SSR",5)))</f>
        <v/>
      </c>
      <c r="C81" s="141">
        <f>C75+1</f>
        <v/>
      </c>
      <c r="D81" s="135" t="inlineStr">
        <is>
          <t>SSR</t>
        </is>
      </c>
    </row>
    <row r="82" ht="14.25" customHeight="1" s="142">
      <c r="A82" s="135" t="n">
        <v>101</v>
      </c>
      <c r="B82" s="141">
        <f>IF(D82="R",200,IF(D82="SR",45,IF(D82="SSR",5)))</f>
        <v/>
      </c>
      <c r="C82" s="141">
        <f>C76+1</f>
        <v/>
      </c>
      <c r="D82" s="135" t="inlineStr">
        <is>
          <t>SSR</t>
        </is>
      </c>
    </row>
    <row r="83" ht="14.25" customHeight="1" s="142">
      <c r="A83" s="135" t="n">
        <v>101</v>
      </c>
      <c r="B83" s="141">
        <f>IF(D83="R",200,IF(D83="SR",45,IF(D83="SSR",5)))</f>
        <v/>
      </c>
      <c r="C83" s="141">
        <f>C77+1</f>
        <v/>
      </c>
      <c r="D83" s="135" t="inlineStr">
        <is>
          <t>SSR</t>
        </is>
      </c>
    </row>
    <row r="84" ht="14.25" customHeight="1" s="142">
      <c r="A84" s="135" t="n">
        <v>101</v>
      </c>
      <c r="B84" s="141">
        <f>IF(D84="R",200,IF(D84="SR",45,IF(D84="SSR",5)))</f>
        <v/>
      </c>
      <c r="C84" s="141">
        <f>C78+1</f>
        <v/>
      </c>
      <c r="D84" s="135" t="inlineStr">
        <is>
          <t>R</t>
        </is>
      </c>
    </row>
    <row r="85" ht="14.25" customHeight="1" s="142">
      <c r="A85" s="135" t="n">
        <v>101</v>
      </c>
      <c r="B85" s="141">
        <f>IF(D85="R",200,IF(D85="SR",45,IF(D85="SSR",5)))</f>
        <v/>
      </c>
      <c r="C85" s="141">
        <f>C79+1</f>
        <v/>
      </c>
      <c r="D85" s="135" t="inlineStr">
        <is>
          <t>R</t>
        </is>
      </c>
    </row>
    <row r="86" ht="14.25" customHeight="1" s="142">
      <c r="A86" s="135" t="n">
        <v>101</v>
      </c>
      <c r="B86" s="141">
        <f>IF(D86="R",200,IF(D86="SR",45,IF(D86="SSR",5)))</f>
        <v/>
      </c>
      <c r="C86" s="141">
        <f>C80+1</f>
        <v/>
      </c>
      <c r="D86" s="135" t="inlineStr">
        <is>
          <t>R</t>
        </is>
      </c>
    </row>
    <row r="87" ht="14.25" customHeight="1" s="142">
      <c r="A87" s="135" t="n">
        <v>101</v>
      </c>
      <c r="B87" s="141">
        <f>IF(D87="R",200,IF(D87="SR",45,IF(D87="SSR",5)))</f>
        <v/>
      </c>
      <c r="C87" s="141">
        <f>C81+1</f>
        <v/>
      </c>
      <c r="D87" s="135" t="inlineStr">
        <is>
          <t>R</t>
        </is>
      </c>
    </row>
    <row r="88" ht="14.25" customHeight="1" s="142">
      <c r="A88" s="135" t="n">
        <v>101</v>
      </c>
      <c r="B88" s="141">
        <f>IF(D88="R",200,IF(D88="SR",45,IF(D88="SSR",5)))</f>
        <v/>
      </c>
      <c r="C88" s="141">
        <f>C82+1</f>
        <v/>
      </c>
      <c r="D88" s="135" t="inlineStr">
        <is>
          <t>R</t>
        </is>
      </c>
    </row>
    <row r="89" ht="14.25" customHeight="1" s="142">
      <c r="A89" s="135" t="n">
        <v>101</v>
      </c>
      <c r="B89" s="141">
        <f>IF(D89="R",200,IF(D89="SR",45,IF(D89="SSR",5)))</f>
        <v/>
      </c>
      <c r="C89" s="141">
        <f>C83+1</f>
        <v/>
      </c>
      <c r="D89" s="135" t="inlineStr">
        <is>
          <t>R</t>
        </is>
      </c>
    </row>
    <row r="90" ht="14.25" customHeight="1" s="142">
      <c r="A90" s="135" t="n">
        <v>101</v>
      </c>
      <c r="B90" s="141">
        <f>IF(D90="R",200,IF(D90="SR",45,IF(D90="SSR",5)))</f>
        <v/>
      </c>
      <c r="C90" s="141">
        <f>C84+1</f>
        <v/>
      </c>
      <c r="D90" s="135" t="inlineStr">
        <is>
          <t>SR</t>
        </is>
      </c>
    </row>
    <row r="91" ht="14.25" customHeight="1" s="142">
      <c r="A91" s="135" t="n">
        <v>101</v>
      </c>
      <c r="B91" s="141">
        <f>IF(D91="R",200,IF(D91="SR",45,IF(D91="SSR",5)))</f>
        <v/>
      </c>
      <c r="C91" s="141">
        <f>C85+1</f>
        <v/>
      </c>
      <c r="D91" s="135" t="inlineStr">
        <is>
          <t>SR</t>
        </is>
      </c>
    </row>
    <row r="92" ht="14.25" customHeight="1" s="142">
      <c r="A92" s="135" t="n">
        <v>101</v>
      </c>
      <c r="B92" s="141">
        <f>IF(D92="R",200,IF(D92="SR",45,IF(D92="SSR",5)))</f>
        <v/>
      </c>
      <c r="C92" s="141">
        <f>C86+1</f>
        <v/>
      </c>
      <c r="D92" s="135" t="inlineStr">
        <is>
          <t>SR</t>
        </is>
      </c>
    </row>
    <row r="93" ht="14.25" customHeight="1" s="142">
      <c r="A93" s="135" t="n">
        <v>101</v>
      </c>
      <c r="B93" s="141">
        <f>IF(D93="R",200,IF(D93="SR",45,IF(D93="SSR",5)))</f>
        <v/>
      </c>
      <c r="C93" s="141">
        <f>C87+1</f>
        <v/>
      </c>
      <c r="D93" s="135" t="inlineStr">
        <is>
          <t>SR</t>
        </is>
      </c>
    </row>
    <row r="94" ht="14.25" customHeight="1" s="142">
      <c r="A94" s="135" t="n">
        <v>101</v>
      </c>
      <c r="B94" s="141">
        <f>IF(D94="R",200,IF(D94="SR",45,IF(D94="SSR",5)))</f>
        <v/>
      </c>
      <c r="C94" s="141">
        <f>C88+1</f>
        <v/>
      </c>
      <c r="D94" s="135" t="inlineStr">
        <is>
          <t>SR</t>
        </is>
      </c>
    </row>
    <row r="95" ht="14.25" customHeight="1" s="142">
      <c r="A95" s="135" t="n">
        <v>101</v>
      </c>
      <c r="B95" s="141">
        <f>IF(D95="R",200,IF(D95="SR",45,IF(D95="SSR",5)))</f>
        <v/>
      </c>
      <c r="C95" s="141">
        <f>C89+1</f>
        <v/>
      </c>
      <c r="D95" s="135" t="inlineStr">
        <is>
          <t>SR</t>
        </is>
      </c>
    </row>
    <row r="96" ht="14.25" customHeight="1" s="142">
      <c r="A96" s="135" t="n">
        <v>101</v>
      </c>
      <c r="B96" s="141">
        <f>IF(D96="R",200,IF(D96="SR",45,IF(D96="SSR",5)))</f>
        <v/>
      </c>
      <c r="C96" s="141">
        <f>C90+1</f>
        <v/>
      </c>
      <c r="D96" s="135" t="inlineStr">
        <is>
          <t>SR</t>
        </is>
      </c>
    </row>
    <row r="97" ht="14.25" customHeight="1" s="142">
      <c r="A97" s="135" t="n">
        <v>101</v>
      </c>
      <c r="B97" s="141">
        <f>IF(D97="R",200,IF(D97="SR",45,IF(D97="SSR",5)))</f>
        <v/>
      </c>
      <c r="C97" s="141">
        <f>C91+1</f>
        <v/>
      </c>
      <c r="D97" s="135" t="inlineStr">
        <is>
          <t>SR</t>
        </is>
      </c>
    </row>
    <row r="98" ht="14.25" customHeight="1" s="142">
      <c r="A98" s="135" t="n">
        <v>101</v>
      </c>
      <c r="B98" s="141">
        <f>IF(D98="R",200,IF(D98="SR",45,IF(D98="SSR",5)))</f>
        <v/>
      </c>
      <c r="C98" s="141">
        <f>C92+1</f>
        <v/>
      </c>
      <c r="D98" s="135" t="inlineStr">
        <is>
          <t>SR</t>
        </is>
      </c>
    </row>
    <row r="99" ht="14.25" customHeight="1" s="142">
      <c r="A99" s="135" t="n">
        <v>101</v>
      </c>
      <c r="B99" s="141">
        <f>IF(D99="R",200,IF(D99="SR",45,IF(D99="SSR",5)))</f>
        <v/>
      </c>
      <c r="C99" s="141">
        <f>C93+1</f>
        <v/>
      </c>
      <c r="D99" s="135" t="inlineStr">
        <is>
          <t>SR</t>
        </is>
      </c>
    </row>
    <row r="100" ht="14.25" customHeight="1" s="142">
      <c r="A100" s="135" t="n">
        <v>101</v>
      </c>
      <c r="B100" s="141">
        <f>IF(D100="R",200,IF(D100="SR",45,IF(D100="SSR",5)))</f>
        <v/>
      </c>
      <c r="C100" s="141">
        <f>C94+1</f>
        <v/>
      </c>
      <c r="D100" s="135" t="inlineStr">
        <is>
          <t>SR</t>
        </is>
      </c>
    </row>
    <row r="101" ht="14.25" customHeight="1" s="142">
      <c r="A101" s="135" t="n">
        <v>101</v>
      </c>
      <c r="B101" s="141">
        <f>IF(D101="R",200,IF(D101="SR",45,IF(D101="SSR",5)))</f>
        <v/>
      </c>
      <c r="C101" s="141">
        <f>C95+1</f>
        <v/>
      </c>
      <c r="D101" s="135" t="inlineStr">
        <is>
          <t>SR</t>
        </is>
      </c>
    </row>
    <row r="102" ht="14.25" customHeight="1" s="142">
      <c r="A102" s="135" t="n">
        <v>101</v>
      </c>
      <c r="B102" s="141">
        <f>IF(D102="R",200,IF(D102="SR",45,IF(D102="SSR",5)))</f>
        <v/>
      </c>
      <c r="C102" s="141">
        <f>C96+1</f>
        <v/>
      </c>
      <c r="D102" s="135" t="inlineStr">
        <is>
          <t>SSR</t>
        </is>
      </c>
    </row>
    <row r="103" ht="14.25" customHeight="1" s="142">
      <c r="A103" s="135" t="n">
        <v>101</v>
      </c>
      <c r="B103" s="141">
        <f>IF(D103="R",200,IF(D103="SR",45,IF(D103="SSR",5)))</f>
        <v/>
      </c>
      <c r="C103" s="141">
        <f>C97+1</f>
        <v/>
      </c>
      <c r="D103" s="135" t="inlineStr">
        <is>
          <t>SSR</t>
        </is>
      </c>
    </row>
    <row r="104" ht="14.25" customHeight="1" s="142">
      <c r="A104" s="135" t="n">
        <v>101</v>
      </c>
      <c r="B104" s="141">
        <f>IF(D104="R",200,IF(D104="SR",45,IF(D104="SSR",5)))</f>
        <v/>
      </c>
      <c r="C104" s="141">
        <f>C98+1</f>
        <v/>
      </c>
      <c r="D104" s="135" t="inlineStr">
        <is>
          <t>SSR</t>
        </is>
      </c>
    </row>
    <row r="105" ht="14.25" customHeight="1" s="142">
      <c r="A105" s="135" t="n">
        <v>101</v>
      </c>
      <c r="B105" s="141">
        <f>IF(D105="R",200,IF(D105="SR",45,IF(D105="SSR",5)))</f>
        <v/>
      </c>
      <c r="C105" s="141">
        <f>C99+1</f>
        <v/>
      </c>
      <c r="D105" s="135" t="inlineStr">
        <is>
          <t>SSR</t>
        </is>
      </c>
    </row>
    <row r="106" ht="14.25" customHeight="1" s="142">
      <c r="A106" s="135" t="n">
        <v>101</v>
      </c>
      <c r="B106" s="141">
        <f>IF(D106="R",200,IF(D106="SR",45,IF(D106="SSR",5)))</f>
        <v/>
      </c>
      <c r="C106" s="141">
        <f>C100+1</f>
        <v/>
      </c>
      <c r="D106" s="135" t="inlineStr">
        <is>
          <t>SSR</t>
        </is>
      </c>
    </row>
    <row r="107" ht="14.25" customHeight="1" s="142">
      <c r="A107" s="135" t="n">
        <v>101</v>
      </c>
      <c r="B107" s="141">
        <f>IF(D107="R",200,IF(D107="SR",45,IF(D107="SSR",5)))</f>
        <v/>
      </c>
      <c r="C107" s="141">
        <f>C101+1</f>
        <v/>
      </c>
      <c r="D107" s="135" t="inlineStr">
        <is>
          <t>SSR</t>
        </is>
      </c>
    </row>
    <row r="108" ht="14.25" customHeight="1" s="142">
      <c r="A108" s="135" t="n">
        <v>101</v>
      </c>
      <c r="B108" s="141">
        <f>IF(D108="R",200,IF(D108="SR",45,IF(D108="SSR",5)))</f>
        <v/>
      </c>
      <c r="C108" s="141" t="n">
        <v>88000</v>
      </c>
      <c r="D108" s="135" t="inlineStr">
        <is>
          <t>R</t>
        </is>
      </c>
    </row>
    <row r="109" ht="14.25" customHeight="1" s="142">
      <c r="A109" s="135" t="n">
        <v>101</v>
      </c>
      <c r="B109" s="141">
        <f>IF(D109="R",200,IF(D109="SR",45,IF(D109="SSR",5)))</f>
        <v/>
      </c>
      <c r="C109" s="141" t="n">
        <v>88001</v>
      </c>
      <c r="D109" s="135" t="inlineStr">
        <is>
          <t>R</t>
        </is>
      </c>
    </row>
    <row r="110" ht="14.25" customHeight="1" s="142">
      <c r="A110" s="135" t="n">
        <v>101</v>
      </c>
      <c r="B110" s="141">
        <f>IF(D110="R",200,IF(D110="SR",45,IF(D110="SSR",5)))</f>
        <v/>
      </c>
      <c r="C110" s="141" t="n">
        <v>88002</v>
      </c>
      <c r="D110" s="135" t="inlineStr">
        <is>
          <t>R</t>
        </is>
      </c>
    </row>
    <row r="111" ht="14.25" customHeight="1" s="142">
      <c r="A111" s="135" t="n">
        <v>101</v>
      </c>
      <c r="B111" s="141">
        <f>IF(D111="R",200,IF(D111="SR",45,IF(D111="SSR",5)))</f>
        <v/>
      </c>
      <c r="C111" s="141" t="n">
        <v>88003</v>
      </c>
      <c r="D111" s="135" t="inlineStr">
        <is>
          <t>R</t>
        </is>
      </c>
    </row>
    <row r="112" ht="14.25" customHeight="1" s="142">
      <c r="A112" s="135" t="n">
        <v>101</v>
      </c>
      <c r="B112" s="141">
        <f>IF(D112="R",200,IF(D112="SR",45,IF(D112="SSR",5)))</f>
        <v/>
      </c>
      <c r="C112" s="141" t="n">
        <v>88004</v>
      </c>
      <c r="D112" s="135" t="inlineStr">
        <is>
          <t>R</t>
        </is>
      </c>
    </row>
    <row r="113" ht="14.25" customHeight="1" s="142">
      <c r="A113" s="135" t="n">
        <v>101</v>
      </c>
      <c r="B113" s="141">
        <f>IF(D113="R",200,IF(D113="SR",45,IF(D113="SSR",5)))</f>
        <v/>
      </c>
      <c r="C113" s="141" t="n">
        <v>88005</v>
      </c>
      <c r="D113" s="135" t="inlineStr">
        <is>
          <t>R</t>
        </is>
      </c>
    </row>
    <row r="114" ht="14.25" customHeight="1" s="142">
      <c r="A114" s="135" t="n">
        <v>101</v>
      </c>
      <c r="B114" s="141">
        <f>IF(D114="R",200,IF(D114="SR",45,IF(D114="SSR",5)))</f>
        <v/>
      </c>
      <c r="C114" s="141" t="n">
        <v>88006</v>
      </c>
      <c r="D114" s="135" t="inlineStr">
        <is>
          <t>R</t>
        </is>
      </c>
    </row>
    <row r="115" ht="14.25" customHeight="1" s="142">
      <c r="A115" s="135" t="n">
        <v>101</v>
      </c>
      <c r="B115" s="141">
        <f>IF(D115="R",200,IF(D115="SR",45,IF(D115="SSR",5)))</f>
        <v/>
      </c>
      <c r="C115" s="141" t="n">
        <v>88007</v>
      </c>
      <c r="D115" s="135" t="inlineStr">
        <is>
          <t>R</t>
        </is>
      </c>
    </row>
    <row r="116" ht="14.25" customHeight="1" s="142">
      <c r="A116" s="135" t="n">
        <v>101</v>
      </c>
      <c r="B116" s="141">
        <f>IF(D116="R",200,IF(D116="SR",45,IF(D116="SSR",5)))</f>
        <v/>
      </c>
      <c r="C116" s="141" t="n">
        <v>88008</v>
      </c>
      <c r="D116" s="135" t="inlineStr">
        <is>
          <t>R</t>
        </is>
      </c>
    </row>
    <row r="117" ht="14.25" customHeight="1" s="142">
      <c r="A117" s="135" t="n">
        <v>101</v>
      </c>
      <c r="B117" s="141">
        <f>IF(D117="R",200,IF(D117="SR",45,IF(D117="SSR",5)))</f>
        <v/>
      </c>
      <c r="C117" s="141" t="n">
        <v>88009</v>
      </c>
      <c r="D117" s="135" t="inlineStr">
        <is>
          <t>R</t>
        </is>
      </c>
    </row>
    <row r="118" ht="14.25" customHeight="1" s="142">
      <c r="A118" s="135" t="n">
        <v>101</v>
      </c>
      <c r="B118" s="141" t="n">
        <v>110</v>
      </c>
      <c r="C118" s="141" t="n">
        <v>88010</v>
      </c>
      <c r="D118" s="135" t="inlineStr">
        <is>
          <t>R</t>
        </is>
      </c>
    </row>
    <row r="119" ht="14.25" customHeight="1" s="142">
      <c r="A119" s="135" t="n">
        <v>101</v>
      </c>
      <c r="B119" s="141">
        <f>IF(D119="R",200,IF(D119="SR",45,IF(D119="SSR",5)))</f>
        <v/>
      </c>
      <c r="C119" s="141" t="n">
        <v>88011</v>
      </c>
      <c r="D119" s="135" t="inlineStr">
        <is>
          <t>R</t>
        </is>
      </c>
    </row>
    <row r="120" ht="14.25" customHeight="1" s="142">
      <c r="A120" s="135" t="n">
        <v>101</v>
      </c>
      <c r="B120" s="141">
        <f>IF(D120="R",200,IF(D120="SR",45,IF(D120="SSR",5)))</f>
        <v/>
      </c>
      <c r="C120" s="141" t="n">
        <v>88012</v>
      </c>
      <c r="D120" s="135" t="inlineStr">
        <is>
          <t>R</t>
        </is>
      </c>
    </row>
    <row r="121" ht="14.25" customHeight="1" s="142">
      <c r="A121" s="135" t="n">
        <v>101</v>
      </c>
      <c r="B121" s="141">
        <f>IF(D121="R",200,IF(D121="SR",45,IF(D121="SSR",5)))</f>
        <v/>
      </c>
      <c r="C121" s="141" t="n">
        <v>88013</v>
      </c>
      <c r="D121" s="135" t="inlineStr">
        <is>
          <t>R</t>
        </is>
      </c>
    </row>
    <row r="122" ht="14.25" customHeight="1" s="142">
      <c r="A122" s="135" t="n">
        <v>101</v>
      </c>
      <c r="B122" s="141">
        <f>IF(D122="R",200,IF(D122="SR",45,IF(D122="SSR",5)))</f>
        <v/>
      </c>
      <c r="C122" s="141" t="n">
        <v>88014</v>
      </c>
      <c r="D122" s="135" t="inlineStr">
        <is>
          <t>R</t>
        </is>
      </c>
    </row>
    <row r="123" ht="14.25" customHeight="1" s="142">
      <c r="A123" s="135" t="n">
        <v>101</v>
      </c>
      <c r="B123" s="141">
        <f>IF(D123="R",200,IF(D123="SR",45,IF(D123="SSR",5)))</f>
        <v/>
      </c>
      <c r="C123" s="141" t="n">
        <v>88015</v>
      </c>
      <c r="D123" s="135" t="inlineStr">
        <is>
          <t>R</t>
        </is>
      </c>
    </row>
    <row r="124" ht="14.25" customHeight="1" s="142">
      <c r="A124" s="135" t="n">
        <v>101</v>
      </c>
      <c r="B124" s="141">
        <f>IF(D124="R",200,IF(D124="SR",45,IF(D124="SSR",5)))</f>
        <v/>
      </c>
      <c r="C124" s="141" t="n">
        <v>88016</v>
      </c>
      <c r="D124" s="135" t="inlineStr">
        <is>
          <t>R</t>
        </is>
      </c>
    </row>
    <row r="125" ht="14.25" customHeight="1" s="142">
      <c r="A125" s="135" t="n">
        <v>101</v>
      </c>
      <c r="B125" s="141">
        <f>IF(D125="R",200,IF(D125="SR",45,IF(D125="SSR",5)))</f>
        <v/>
      </c>
      <c r="C125" s="141" t="n">
        <v>88017</v>
      </c>
      <c r="D125" s="135" t="inlineStr">
        <is>
          <t>R</t>
        </is>
      </c>
    </row>
    <row r="126" ht="14.25" customHeight="1" s="142">
      <c r="A126" s="135" t="n">
        <v>101</v>
      </c>
      <c r="B126" s="141">
        <f>IF(D126="R",200,IF(D126="SR",45,IF(D126="SSR",5)))</f>
        <v/>
      </c>
      <c r="C126" s="141" t="n">
        <v>88018</v>
      </c>
      <c r="D126" s="135" t="inlineStr">
        <is>
          <t>R</t>
        </is>
      </c>
    </row>
    <row r="127" ht="14.25" customHeight="1" s="142">
      <c r="A127" s="135" t="n">
        <v>101</v>
      </c>
      <c r="B127" s="141">
        <f>IF(D127="R",200,IF(D127="SR",45,IF(D127="SSR",5)))</f>
        <v/>
      </c>
      <c r="C127" s="141" t="n">
        <v>88019</v>
      </c>
      <c r="D127" s="135" t="inlineStr">
        <is>
          <t>R</t>
        </is>
      </c>
    </row>
    <row r="128" ht="14.25" customHeight="1" s="142">
      <c r="A128" s="135" t="n">
        <v>101</v>
      </c>
      <c r="B128" s="141">
        <f>IF(D128="R",200,IF(D128="SR",45,IF(D128="SSR",5)))</f>
        <v/>
      </c>
      <c r="C128" s="141" t="n">
        <v>88020</v>
      </c>
      <c r="D128" s="135" t="inlineStr">
        <is>
          <t>SR</t>
        </is>
      </c>
    </row>
    <row r="129" ht="14.25" customHeight="1" s="142">
      <c r="A129" s="135" t="n">
        <v>101</v>
      </c>
      <c r="B129" s="141">
        <f>IF(D129="R",200,IF(D129="SR",45,IF(D129="SSR",5)))</f>
        <v/>
      </c>
      <c r="C129" s="141" t="n">
        <v>88021</v>
      </c>
      <c r="D129" s="135" t="inlineStr">
        <is>
          <t>SR</t>
        </is>
      </c>
    </row>
    <row r="130" ht="14.25" customHeight="1" s="142">
      <c r="A130" s="135" t="n">
        <v>101</v>
      </c>
      <c r="B130" s="141">
        <f>IF(D130="R",200,IF(D130="SR",45,IF(D130="SSR",5)))</f>
        <v/>
      </c>
      <c r="C130" s="141" t="n">
        <v>88022</v>
      </c>
      <c r="D130" s="135" t="inlineStr">
        <is>
          <t>SR</t>
        </is>
      </c>
    </row>
    <row r="131" ht="14.25" customHeight="1" s="142">
      <c r="A131" s="135" t="n">
        <v>101</v>
      </c>
      <c r="B131" s="141">
        <f>IF(D131="R",200,IF(D131="SR",45,IF(D131="SSR",5)))</f>
        <v/>
      </c>
      <c r="C131" s="141" t="n">
        <v>88023</v>
      </c>
      <c r="D131" s="135" t="inlineStr">
        <is>
          <t>SR</t>
        </is>
      </c>
    </row>
    <row r="132" ht="14.25" customHeight="1" s="142">
      <c r="A132" s="135" t="n">
        <v>101</v>
      </c>
      <c r="B132" s="141">
        <f>IF(D132="R",200,IF(D132="SR",45,IF(D132="SSR",5)))</f>
        <v/>
      </c>
      <c r="C132" s="141" t="n">
        <v>88024</v>
      </c>
      <c r="D132" s="135" t="inlineStr">
        <is>
          <t>SR</t>
        </is>
      </c>
    </row>
    <row r="133" ht="14.25" customHeight="1" s="142">
      <c r="A133" s="135" t="n">
        <v>101</v>
      </c>
      <c r="B133" s="141">
        <f>IF(D133="R",200,IF(D133="SR",45,IF(D133="SSR",5)))</f>
        <v/>
      </c>
      <c r="C133" s="141" t="n">
        <v>88025</v>
      </c>
      <c r="D133" s="135" t="inlineStr">
        <is>
          <t>SR</t>
        </is>
      </c>
    </row>
    <row r="134" ht="14.25" customHeight="1" s="142">
      <c r="A134" s="135" t="n">
        <v>101</v>
      </c>
      <c r="B134" s="141">
        <f>IF(D134="R",200,IF(D134="SR",45,IF(D134="SSR",5)))</f>
        <v/>
      </c>
      <c r="C134" s="141" t="n">
        <v>88026</v>
      </c>
      <c r="D134" s="135" t="inlineStr">
        <is>
          <t>SR</t>
        </is>
      </c>
    </row>
    <row r="135" ht="14.25" customHeight="1" s="142">
      <c r="A135" s="135" t="n">
        <v>101</v>
      </c>
      <c r="B135" s="141">
        <f>IF(D135="R",200,IF(D135="SR",45,IF(D135="SSR",5)))</f>
        <v/>
      </c>
      <c r="C135" s="141" t="n">
        <v>88027</v>
      </c>
      <c r="D135" s="135" t="inlineStr">
        <is>
          <t>SR</t>
        </is>
      </c>
    </row>
    <row r="136" ht="14.25" customHeight="1" s="142">
      <c r="A136" s="135" t="n">
        <v>101</v>
      </c>
      <c r="B136" s="141">
        <f>IF(D136="R",200,IF(D136="SR",45,IF(D136="SSR",5)))</f>
        <v/>
      </c>
      <c r="C136" s="141" t="n">
        <v>88028</v>
      </c>
      <c r="D136" s="135" t="inlineStr">
        <is>
          <t>SR</t>
        </is>
      </c>
    </row>
    <row r="137" ht="14.25" customHeight="1" s="142">
      <c r="A137" s="135" t="n">
        <v>101</v>
      </c>
      <c r="B137" s="141">
        <f>IF(D137="R",200,IF(D137="SR",45,IF(D137="SSR",5)))</f>
        <v/>
      </c>
      <c r="C137" s="141" t="n">
        <v>88029</v>
      </c>
      <c r="D137" s="135" t="inlineStr">
        <is>
          <t>SR</t>
        </is>
      </c>
    </row>
    <row r="138" ht="14.25" customHeight="1" s="142">
      <c r="A138" s="135" t="n">
        <v>101</v>
      </c>
      <c r="B138" s="141">
        <f>IF(D138="R",200,IF(D138="SR",45,IF(D138="SSR",5)))</f>
        <v/>
      </c>
      <c r="C138" s="141" t="n">
        <v>88030</v>
      </c>
      <c r="D138" s="135" t="inlineStr">
        <is>
          <t>SR</t>
        </is>
      </c>
    </row>
    <row r="139" ht="14.25" customHeight="1" s="142">
      <c r="A139" s="135" t="n">
        <v>101</v>
      </c>
      <c r="B139" s="141">
        <f>IF(D139="R",200,IF(D139="SR",45,IF(D139="SSR",5)))</f>
        <v/>
      </c>
      <c r="C139" s="141" t="n">
        <v>88031</v>
      </c>
      <c r="D139" s="135" t="inlineStr">
        <is>
          <t>SR</t>
        </is>
      </c>
    </row>
    <row r="140" ht="14.25" customHeight="1" s="142">
      <c r="A140" s="135" t="n">
        <v>101</v>
      </c>
      <c r="B140" s="141">
        <f>IF(D140="R",200,IF(D140="SR",45,IF(D140="SSR",5)))</f>
        <v/>
      </c>
      <c r="C140" s="141" t="n">
        <v>88032</v>
      </c>
      <c r="D140" s="135" t="inlineStr">
        <is>
          <t>SSR</t>
        </is>
      </c>
    </row>
    <row r="141" ht="14.25" customHeight="1" s="142">
      <c r="A141" s="135" t="n">
        <v>101</v>
      </c>
      <c r="B141" s="141">
        <f>IF(D141="R",200,IF(D141="SR",45,IF(D141="SSR",5)))</f>
        <v/>
      </c>
      <c r="C141" s="141" t="n">
        <v>88033</v>
      </c>
      <c r="D141" s="135" t="inlineStr">
        <is>
          <t>SSR</t>
        </is>
      </c>
    </row>
    <row r="142" ht="14.25" customHeight="1" s="142">
      <c r="A142" s="135" t="n">
        <v>101</v>
      </c>
      <c r="B142" s="141">
        <f>IF(D142="R",200,IF(D142="SR",45,IF(D142="SSR",5)))</f>
        <v/>
      </c>
      <c r="C142" s="141" t="n">
        <v>88034</v>
      </c>
      <c r="D142" s="135" t="inlineStr">
        <is>
          <t>SSR</t>
        </is>
      </c>
    </row>
    <row r="143" ht="14.25" customHeight="1" s="142">
      <c r="A143" s="135" t="n">
        <v>101</v>
      </c>
      <c r="B143" s="141">
        <f>IF(D143="R",200,IF(D143="SR",45,IF(D143="SSR",5)))</f>
        <v/>
      </c>
      <c r="C143" s="141" t="n">
        <v>88035</v>
      </c>
      <c r="D143" s="135" t="inlineStr">
        <is>
          <t>SSR</t>
        </is>
      </c>
    </row>
    <row r="144" ht="14.25" customHeight="1" s="142">
      <c r="A144" s="135" t="n">
        <v>101</v>
      </c>
      <c r="B144" s="141">
        <f>IF(D144="R",200,IF(D144="SR",45,IF(D144="SSR",5)))</f>
        <v/>
      </c>
      <c r="C144" s="141" t="n">
        <v>88036</v>
      </c>
      <c r="D144" s="135" t="inlineStr">
        <is>
          <t>SSR</t>
        </is>
      </c>
    </row>
    <row r="145" ht="14.25" customHeight="1" s="142">
      <c r="A145" s="135" t="n">
        <v>101</v>
      </c>
      <c r="B145" s="141">
        <f>IF(D145="R",200,IF(D145="SR",45,IF(D145="SSR",5)))</f>
        <v/>
      </c>
      <c r="C145" s="141" t="n">
        <v>88037</v>
      </c>
      <c r="D145" s="135" t="inlineStr">
        <is>
          <t>SSR</t>
        </is>
      </c>
    </row>
    <row r="146" ht="14.25" customHeight="1" s="142">
      <c r="A146" s="135" t="n">
        <v>101</v>
      </c>
      <c r="B146" s="141">
        <f>IF(D146="R",200,IF(D146="SR",45,IF(D146="SSR",5)))</f>
        <v/>
      </c>
      <c r="C146" s="141" t="n">
        <v>88038</v>
      </c>
      <c r="D146" s="135" t="inlineStr">
        <is>
          <t>SSR</t>
        </is>
      </c>
    </row>
    <row r="147" ht="14.25" customHeight="1" s="142">
      <c r="A147" s="135" t="n">
        <v>101</v>
      </c>
      <c r="B147" s="141">
        <f>IF(D147="R",200,IF(D147="SR",45,IF(D147="SSR",5)))</f>
        <v/>
      </c>
      <c r="C147" s="141" t="n">
        <v>88039</v>
      </c>
      <c r="D147" s="135" t="inlineStr">
        <is>
          <t>SSR</t>
        </is>
      </c>
    </row>
    <row r="148" ht="14.25" customHeight="1" s="142">
      <c r="A148" s="135" t="n">
        <v>101</v>
      </c>
      <c r="B148" s="141">
        <f>IF(D148="R",200,IF(D148="SR",45,IF(D148="SSR",5)))</f>
        <v/>
      </c>
      <c r="C148" s="141" t="n">
        <v>88040</v>
      </c>
      <c r="D148" s="135" t="inlineStr">
        <is>
          <t>R</t>
        </is>
      </c>
    </row>
    <row r="149" ht="14.25" customHeight="1" s="142">
      <c r="A149" s="135" t="n">
        <v>101</v>
      </c>
      <c r="B149" s="141">
        <f>IF(D149="R",200,IF(D149="SR",45,IF(D149="SSR",5)))</f>
        <v/>
      </c>
      <c r="C149" s="141" t="n">
        <v>88041</v>
      </c>
      <c r="D149" s="135" t="inlineStr">
        <is>
          <t>SSR</t>
        </is>
      </c>
    </row>
    <row r="152" ht="14.25" customHeight="1" s="142">
      <c r="A152" s="40" t="inlineStr">
        <is>
          <t>id</t>
        </is>
      </c>
      <c r="B152" s="40" t="inlineStr">
        <is>
          <t>power</t>
        </is>
      </c>
      <c r="C152" s="40" t="inlineStr">
        <is>
          <t>id</t>
        </is>
      </c>
      <c r="D152" s="40" t="inlineStr">
        <is>
          <t>#</t>
        </is>
      </c>
    </row>
    <row r="153" ht="14.25" customHeight="1" s="142">
      <c r="A153" s="135" t="n">
        <v>102</v>
      </c>
      <c r="B153" s="135" t="n">
        <v>400</v>
      </c>
      <c r="C153" s="135" t="n">
        <v>70001</v>
      </c>
      <c r="D153" s="135" t="inlineStr">
        <is>
          <t>R</t>
        </is>
      </c>
    </row>
    <row r="154" ht="14.25" customHeight="1" s="142">
      <c r="A154" s="135" t="n">
        <v>102</v>
      </c>
      <c r="B154" s="135" t="n">
        <v>400</v>
      </c>
      <c r="C154" s="135" t="n">
        <v>70002</v>
      </c>
      <c r="D154" s="135" t="inlineStr">
        <is>
          <t>R</t>
        </is>
      </c>
    </row>
    <row r="155" ht="14.25" customHeight="1" s="142">
      <c r="A155" s="135" t="n">
        <v>102</v>
      </c>
      <c r="B155" s="135" t="n">
        <v>400</v>
      </c>
      <c r="C155" s="135" t="n">
        <v>70003</v>
      </c>
      <c r="D155" s="135" t="inlineStr">
        <is>
          <t>R</t>
        </is>
      </c>
    </row>
    <row r="156" ht="14.25" customHeight="1" s="142">
      <c r="A156" s="135" t="n">
        <v>102</v>
      </c>
      <c r="B156" s="135">
        <f>IF(D156="R",300,IF(D156="SR",50,IF(D156="SSR",10)))</f>
        <v/>
      </c>
      <c r="C156" s="135" t="n">
        <v>70004</v>
      </c>
      <c r="D156" s="135" t="inlineStr">
        <is>
          <t>SR</t>
        </is>
      </c>
    </row>
    <row r="157" ht="14.25" customHeight="1" s="142">
      <c r="A157" s="135" t="n">
        <v>102</v>
      </c>
      <c r="B157" s="135">
        <f>IF(D157="R",300,IF(D157="SR",50,IF(D157="SSR",10)))</f>
        <v/>
      </c>
      <c r="C157" s="135" t="n">
        <v>70005</v>
      </c>
      <c r="D157" s="135" t="inlineStr">
        <is>
          <t>SR</t>
        </is>
      </c>
    </row>
    <row r="158" ht="14.25" customHeight="1" s="142">
      <c r="A158" s="135" t="n">
        <v>102</v>
      </c>
      <c r="B158" s="135">
        <f>IF(D158="R",300,IF(D158="SR",50,IF(D158="SSR",10)))</f>
        <v/>
      </c>
      <c r="C158" s="135" t="n">
        <v>70006</v>
      </c>
      <c r="D158" s="135" t="inlineStr">
        <is>
          <t>SR</t>
        </is>
      </c>
    </row>
    <row r="159" ht="14.25" customHeight="1" s="142">
      <c r="A159" s="135" t="n">
        <v>102</v>
      </c>
      <c r="B159" s="135">
        <f>IF(D159="R",300,IF(D159="SR",50,IF(D159="SSR",10)))</f>
        <v/>
      </c>
      <c r="C159" s="135" t="n">
        <v>70007</v>
      </c>
      <c r="D159" s="135" t="inlineStr">
        <is>
          <t>SR</t>
        </is>
      </c>
    </row>
    <row r="160" ht="14.25" customHeight="1" s="142">
      <c r="A160" s="135" t="n">
        <v>102</v>
      </c>
      <c r="B160" s="135">
        <f>IF(D160="R",300,IF(D160="SR",50,IF(D160="SSR",10)))</f>
        <v/>
      </c>
      <c r="C160" s="135" t="n">
        <v>70008</v>
      </c>
      <c r="D160" s="135" t="inlineStr">
        <is>
          <t>SSR</t>
        </is>
      </c>
    </row>
    <row r="161" ht="14.25" customHeight="1" s="142">
      <c r="A161" s="135" t="n">
        <v>102</v>
      </c>
      <c r="B161" s="135">
        <f>IF(D161="R",300,IF(D161="SR",50,IF(D161="SSR",10)))</f>
        <v/>
      </c>
      <c r="C161" s="135" t="n">
        <v>70009</v>
      </c>
      <c r="D161" s="135" t="inlineStr">
        <is>
          <t>SSR</t>
        </is>
      </c>
    </row>
    <row r="162" ht="14.25" customHeight="1" s="142">
      <c r="A162" s="135" t="n">
        <v>102</v>
      </c>
      <c r="B162" s="135">
        <f>IF(D162="R",300,IF(D162="SR",50,IF(D162="SSR",10)))</f>
        <v/>
      </c>
      <c r="C162" s="135" t="n">
        <v>70010</v>
      </c>
      <c r="D162" s="135" t="inlineStr">
        <is>
          <t>SSR</t>
        </is>
      </c>
    </row>
    <row r="163" ht="14.25" customHeight="1" s="142">
      <c r="A163" s="135" t="n">
        <v>102</v>
      </c>
      <c r="B163" s="135" t="n">
        <v>400</v>
      </c>
      <c r="C163" s="135" t="n">
        <v>70011</v>
      </c>
      <c r="D163" s="135" t="inlineStr">
        <is>
          <t>R</t>
        </is>
      </c>
    </row>
    <row r="164" ht="14.25" customHeight="1" s="142">
      <c r="A164" s="135" t="n">
        <v>102</v>
      </c>
      <c r="B164" s="135" t="n">
        <v>400</v>
      </c>
      <c r="C164" s="135" t="n">
        <v>70012</v>
      </c>
      <c r="D164" s="135" t="inlineStr">
        <is>
          <t>R</t>
        </is>
      </c>
    </row>
    <row r="165" ht="14.25" customHeight="1" s="142">
      <c r="A165" s="135" t="n">
        <v>102</v>
      </c>
      <c r="B165" s="135" t="n">
        <v>400</v>
      </c>
      <c r="C165" s="135" t="n">
        <v>70013</v>
      </c>
      <c r="D165" s="135" t="inlineStr">
        <is>
          <t>R</t>
        </is>
      </c>
    </row>
    <row r="166" ht="14.25" customHeight="1" s="142">
      <c r="A166" s="135" t="n">
        <v>102</v>
      </c>
      <c r="B166" s="135">
        <f>IF(D166="R",300,IF(D166="SR",50,IF(D166="SSR",10)))</f>
        <v/>
      </c>
      <c r="C166" s="135" t="n">
        <v>70014</v>
      </c>
      <c r="D166" s="135" t="inlineStr">
        <is>
          <t>SR</t>
        </is>
      </c>
    </row>
    <row r="167" ht="14.25" customHeight="1" s="142">
      <c r="A167" s="135" t="n">
        <v>102</v>
      </c>
      <c r="B167" s="135">
        <f>IF(D167="R",300,IF(D167="SR",50,IF(D167="SSR",10)))</f>
        <v/>
      </c>
      <c r="C167" s="135" t="n">
        <v>70015</v>
      </c>
      <c r="D167" s="135" t="inlineStr">
        <is>
          <t>SR</t>
        </is>
      </c>
    </row>
    <row r="168" ht="14.25" customHeight="1" s="142">
      <c r="A168" s="135" t="n">
        <v>102</v>
      </c>
      <c r="B168" s="135">
        <f>IF(D168="R",300,IF(D168="SR",50,IF(D168="SSR",10)))</f>
        <v/>
      </c>
      <c r="C168" s="135" t="n">
        <v>70016</v>
      </c>
      <c r="D168" s="135" t="inlineStr">
        <is>
          <t>SR</t>
        </is>
      </c>
    </row>
    <row r="169" ht="14.25" customHeight="1" s="142">
      <c r="A169" s="135" t="n">
        <v>102</v>
      </c>
      <c r="B169" s="135">
        <f>IF(D169="R",300,IF(D169="SR",50,IF(D169="SSR",10)))</f>
        <v/>
      </c>
      <c r="C169" s="135" t="n">
        <v>70017</v>
      </c>
      <c r="D169" s="135" t="inlineStr">
        <is>
          <t>SR</t>
        </is>
      </c>
    </row>
    <row r="170" ht="14.25" customHeight="1" s="142">
      <c r="A170" s="135" t="n">
        <v>102</v>
      </c>
      <c r="B170" s="135">
        <f>IF(D170="R",300,IF(D170="SR",50,IF(D170="SSR",10)))</f>
        <v/>
      </c>
      <c r="C170" s="135" t="n">
        <v>70018</v>
      </c>
      <c r="D170" s="135" t="inlineStr">
        <is>
          <t>SSR</t>
        </is>
      </c>
    </row>
    <row r="171" ht="14.25" customHeight="1" s="142">
      <c r="A171" s="135" t="n">
        <v>102</v>
      </c>
      <c r="B171" s="135">
        <f>IF(D171="R",300,IF(D171="SR",50,IF(D171="SSR",10)))</f>
        <v/>
      </c>
      <c r="C171" s="135" t="n">
        <v>70019</v>
      </c>
      <c r="D171" s="135" t="inlineStr">
        <is>
          <t>SSR</t>
        </is>
      </c>
    </row>
    <row r="172" ht="14.25" customHeight="1" s="142">
      <c r="A172" s="135" t="n">
        <v>102</v>
      </c>
      <c r="B172" s="135">
        <f>IF(D172="R",300,IF(D172="SR",50,IF(D172="SSR",10)))</f>
        <v/>
      </c>
      <c r="C172" s="135" t="n">
        <v>70020</v>
      </c>
      <c r="D172" s="135" t="inlineStr">
        <is>
          <t>SSR</t>
        </is>
      </c>
    </row>
    <row r="173" ht="14.25" customHeight="1" s="142">
      <c r="A173" s="135" t="n">
        <v>102</v>
      </c>
      <c r="B173" s="135" t="n">
        <v>400</v>
      </c>
      <c r="C173" s="135" t="n">
        <v>70021</v>
      </c>
      <c r="D173" s="135" t="inlineStr">
        <is>
          <t>R</t>
        </is>
      </c>
    </row>
    <row r="174" ht="14.25" customHeight="1" s="142">
      <c r="A174" s="135" t="n">
        <v>102</v>
      </c>
      <c r="B174" s="135" t="n">
        <v>400</v>
      </c>
      <c r="C174" s="135" t="n">
        <v>70022</v>
      </c>
      <c r="D174" s="135" t="inlineStr">
        <is>
          <t>R</t>
        </is>
      </c>
    </row>
    <row r="175" ht="14.25" customHeight="1" s="142">
      <c r="A175" s="135" t="n">
        <v>102</v>
      </c>
      <c r="B175" s="135" t="n">
        <v>400</v>
      </c>
      <c r="C175" s="135" t="n">
        <v>70023</v>
      </c>
      <c r="D175" s="135" t="inlineStr">
        <is>
          <t>R</t>
        </is>
      </c>
    </row>
    <row r="176" ht="14.25" customHeight="1" s="142">
      <c r="A176" s="135" t="n">
        <v>102</v>
      </c>
      <c r="B176" s="135">
        <f>IF(D176="R",300,IF(D176="SR",50,IF(D176="SSR",10)))</f>
        <v/>
      </c>
      <c r="C176" s="135" t="n">
        <v>70024</v>
      </c>
      <c r="D176" s="135" t="inlineStr">
        <is>
          <t>SR</t>
        </is>
      </c>
    </row>
    <row r="177" ht="14.25" customHeight="1" s="142">
      <c r="A177" s="135" t="n">
        <v>102</v>
      </c>
      <c r="B177" s="135">
        <f>IF(D177="R",300,IF(D177="SR",50,IF(D177="SSR",10)))</f>
        <v/>
      </c>
      <c r="C177" s="135" t="n">
        <v>70025</v>
      </c>
      <c r="D177" s="135" t="inlineStr">
        <is>
          <t>SR</t>
        </is>
      </c>
    </row>
    <row r="178" ht="14.25" customHeight="1" s="142">
      <c r="A178" s="135" t="n">
        <v>102</v>
      </c>
      <c r="B178" s="135">
        <f>IF(D178="R",300,IF(D178="SR",50,IF(D178="SSR",10)))</f>
        <v/>
      </c>
      <c r="C178" s="135" t="n">
        <v>70026</v>
      </c>
      <c r="D178" s="135" t="inlineStr">
        <is>
          <t>SR</t>
        </is>
      </c>
    </row>
    <row r="179" ht="14.25" customHeight="1" s="142">
      <c r="A179" s="135" t="n">
        <v>102</v>
      </c>
      <c r="B179" s="135">
        <f>IF(D179="R",300,IF(D179="SR",50,IF(D179="SSR",10)))</f>
        <v/>
      </c>
      <c r="C179" s="135" t="n">
        <v>70027</v>
      </c>
      <c r="D179" s="135" t="inlineStr">
        <is>
          <t>SR</t>
        </is>
      </c>
    </row>
    <row r="180" ht="14.25" customHeight="1" s="142">
      <c r="A180" s="135" t="n">
        <v>102</v>
      </c>
      <c r="B180" s="135">
        <f>IF(D180="R",300,IF(D180="SR",50,IF(D180="SSR",10)))</f>
        <v/>
      </c>
      <c r="C180" s="135" t="n">
        <v>70028</v>
      </c>
      <c r="D180" s="135" t="inlineStr">
        <is>
          <t>SSR</t>
        </is>
      </c>
    </row>
    <row r="181" ht="14.25" customHeight="1" s="142">
      <c r="A181" s="135" t="n">
        <v>102</v>
      </c>
      <c r="B181" s="135">
        <f>IF(D181="R",300,IF(D181="SR",50,IF(D181="SSR",10)))</f>
        <v/>
      </c>
      <c r="C181" s="135" t="n">
        <v>70029</v>
      </c>
      <c r="D181" s="135" t="inlineStr">
        <is>
          <t>SSR</t>
        </is>
      </c>
    </row>
    <row r="182" ht="14.25" customHeight="1" s="142">
      <c r="A182" s="135" t="n">
        <v>102</v>
      </c>
      <c r="B182" s="135">
        <f>IF(D182="R",300,IF(D182="SR",50,IF(D182="SSR",10)))</f>
        <v/>
      </c>
      <c r="C182" s="135" t="n">
        <v>70030</v>
      </c>
      <c r="D182" s="135" t="inlineStr">
        <is>
          <t>SSR</t>
        </is>
      </c>
    </row>
    <row r="183" ht="14.25" customHeight="1" s="142">
      <c r="A183" s="135" t="n">
        <v>102</v>
      </c>
      <c r="B183" s="135">
        <f>IF(D183="R",300,IF(D183="SR",50,IF(D183="SSR",10)))</f>
        <v/>
      </c>
      <c r="C183" s="135" t="n">
        <v>70031</v>
      </c>
      <c r="D183" s="135" t="inlineStr">
        <is>
          <t>R</t>
        </is>
      </c>
    </row>
    <row r="184" ht="14.25" customHeight="1" s="142">
      <c r="A184" s="135" t="n">
        <v>102</v>
      </c>
      <c r="B184" s="135">
        <f>IF(D184="R",300,IF(D184="SR",50,IF(D184="SSR",10)))</f>
        <v/>
      </c>
      <c r="C184" s="135" t="n">
        <v>70032</v>
      </c>
      <c r="D184" s="135" t="inlineStr">
        <is>
          <t>R</t>
        </is>
      </c>
    </row>
    <row r="185" ht="14.25" customHeight="1" s="142">
      <c r="A185" s="135" t="n">
        <v>102</v>
      </c>
      <c r="B185" s="135">
        <f>IF(D185="R",300,IF(D185="SR",50,IF(D185="SSR",10)))</f>
        <v/>
      </c>
      <c r="C185" s="135" t="n">
        <v>70033</v>
      </c>
      <c r="D185" s="135" t="inlineStr">
        <is>
          <t>R</t>
        </is>
      </c>
    </row>
    <row r="186" ht="14.25" customHeight="1" s="142">
      <c r="A186" s="135" t="n">
        <v>102</v>
      </c>
      <c r="B186" s="135">
        <f>IF(D186="R",300,IF(D186="SR",50,IF(D186="SSR",10)))</f>
        <v/>
      </c>
      <c r="C186" s="135" t="n">
        <v>70034</v>
      </c>
      <c r="D186" s="135" t="inlineStr">
        <is>
          <t>SR</t>
        </is>
      </c>
    </row>
    <row r="187" ht="14.25" customHeight="1" s="142">
      <c r="A187" s="135" t="n">
        <v>102</v>
      </c>
      <c r="B187" s="135">
        <f>IF(D187="R",300,IF(D187="SR",50,IF(D187="SSR",10)))</f>
        <v/>
      </c>
      <c r="C187" s="135" t="n">
        <v>70035</v>
      </c>
      <c r="D187" s="135" t="inlineStr">
        <is>
          <t>SR</t>
        </is>
      </c>
    </row>
    <row r="188" ht="14.25" customHeight="1" s="142">
      <c r="A188" s="135" t="n">
        <v>102</v>
      </c>
      <c r="B188" s="135">
        <f>IF(D188="R",300,IF(D188="SR",50,IF(D188="SSR",10)))</f>
        <v/>
      </c>
      <c r="C188" s="135" t="n">
        <v>70036</v>
      </c>
      <c r="D188" s="135" t="inlineStr">
        <is>
          <t>SR</t>
        </is>
      </c>
    </row>
    <row r="189" ht="14.25" customHeight="1" s="142">
      <c r="A189" s="135" t="n">
        <v>102</v>
      </c>
      <c r="B189" s="135">
        <f>IF(D189="R",300,IF(D189="SR",50,IF(D189="SSR",10)))</f>
        <v/>
      </c>
      <c r="C189" s="135" t="n">
        <v>70037</v>
      </c>
      <c r="D189" s="135" t="inlineStr">
        <is>
          <t>SR</t>
        </is>
      </c>
    </row>
    <row r="190" ht="14.25" customHeight="1" s="142">
      <c r="A190" s="135" t="n">
        <v>102</v>
      </c>
      <c r="B190" s="135">
        <f>IF(D190="R",300,IF(D190="SR",50,IF(D190="SSR",10)))</f>
        <v/>
      </c>
      <c r="C190" s="135" t="n">
        <v>70038</v>
      </c>
      <c r="D190" s="135" t="inlineStr">
        <is>
          <t>SSR</t>
        </is>
      </c>
    </row>
    <row r="191" ht="14.25" customHeight="1" s="142">
      <c r="A191" s="135" t="n">
        <v>102</v>
      </c>
      <c r="B191" s="135">
        <f>IF(D191="R",300,IF(D191="SR",50,IF(D191="SSR",10)))</f>
        <v/>
      </c>
      <c r="C191" s="135" t="n">
        <v>70039</v>
      </c>
      <c r="D191" s="135" t="inlineStr">
        <is>
          <t>SSR</t>
        </is>
      </c>
    </row>
    <row r="192" ht="14.25" customHeight="1" s="142">
      <c r="A192" s="135" t="n">
        <v>102</v>
      </c>
      <c r="B192" s="135">
        <f>IF(D192="R",300,IF(D192="SR",50,IF(D192="SSR",10)))</f>
        <v/>
      </c>
      <c r="C192" s="135" t="n">
        <v>70040</v>
      </c>
      <c r="D192" s="135" t="inlineStr">
        <is>
          <t>SSR</t>
        </is>
      </c>
    </row>
    <row r="193" ht="14.25" customHeight="1" s="142">
      <c r="A193" s="135" t="n">
        <v>102</v>
      </c>
      <c r="B193" s="135">
        <f>IF(D193="R",300,IF(D193="SR",50,IF(D193="SSR",10)))</f>
        <v/>
      </c>
      <c r="C193" s="135" t="n">
        <v>70041</v>
      </c>
      <c r="D193" s="135" t="inlineStr">
        <is>
          <t>R</t>
        </is>
      </c>
    </row>
    <row r="194" ht="14.25" customHeight="1" s="142">
      <c r="A194" s="135" t="n">
        <v>102</v>
      </c>
      <c r="B194" s="135">
        <f>IF(D194="R",300,IF(D194="SR",50,IF(D194="SSR",10)))</f>
        <v/>
      </c>
      <c r="C194" s="135" t="n">
        <v>70042</v>
      </c>
      <c r="D194" s="135" t="inlineStr">
        <is>
          <t>R</t>
        </is>
      </c>
    </row>
    <row r="195" ht="14.25" customHeight="1" s="142">
      <c r="A195" s="135" t="n">
        <v>102</v>
      </c>
      <c r="B195" s="135">
        <f>IF(D195="R",300,IF(D195="SR",50,IF(D195="SSR",10)))</f>
        <v/>
      </c>
      <c r="C195" s="135" t="n">
        <v>70043</v>
      </c>
      <c r="D195" s="135" t="inlineStr">
        <is>
          <t>R</t>
        </is>
      </c>
    </row>
    <row r="196" ht="14.25" customHeight="1" s="142">
      <c r="A196" s="135" t="n">
        <v>102</v>
      </c>
      <c r="B196" s="135">
        <f>IF(D196="R",300,IF(D196="SR",50,IF(D196="SSR",10)))</f>
        <v/>
      </c>
      <c r="C196" s="135" t="n">
        <v>70044</v>
      </c>
      <c r="D196" s="135" t="inlineStr">
        <is>
          <t>SR</t>
        </is>
      </c>
    </row>
    <row r="197" ht="14.25" customHeight="1" s="142">
      <c r="A197" s="135" t="n">
        <v>102</v>
      </c>
      <c r="B197" s="135">
        <f>IF(D197="R",300,IF(D197="SR",50,IF(D197="SSR",10)))</f>
        <v/>
      </c>
      <c r="C197" s="135" t="n">
        <v>70045</v>
      </c>
      <c r="D197" s="135" t="inlineStr">
        <is>
          <t>SR</t>
        </is>
      </c>
    </row>
    <row r="198" ht="14.25" customHeight="1" s="142">
      <c r="A198" s="135" t="n">
        <v>102</v>
      </c>
      <c r="B198" s="135">
        <f>IF(D198="R",300,IF(D198="SR",50,IF(D198="SSR",10)))</f>
        <v/>
      </c>
      <c r="C198" s="135" t="n">
        <v>70046</v>
      </c>
      <c r="D198" s="135" t="inlineStr">
        <is>
          <t>SR</t>
        </is>
      </c>
    </row>
    <row r="199" ht="14.25" customHeight="1" s="142">
      <c r="A199" s="135" t="n">
        <v>102</v>
      </c>
      <c r="B199" s="135">
        <f>IF(D199="R",300,IF(D199="SR",50,IF(D199="SSR",10)))</f>
        <v/>
      </c>
      <c r="C199" s="135" t="n">
        <v>70047</v>
      </c>
      <c r="D199" s="135" t="inlineStr">
        <is>
          <t>SR</t>
        </is>
      </c>
    </row>
    <row r="200" ht="14.25" customHeight="1" s="142">
      <c r="A200" s="135" t="n">
        <v>102</v>
      </c>
      <c r="B200" s="135">
        <f>IF(D200="R",300,IF(D200="SR",50,IF(D200="SSR",10)))</f>
        <v/>
      </c>
      <c r="C200" s="135" t="n">
        <v>70048</v>
      </c>
      <c r="D200" s="135" t="inlineStr">
        <is>
          <t>SSR</t>
        </is>
      </c>
    </row>
    <row r="201" ht="14.25" customHeight="1" s="142">
      <c r="A201" s="135" t="n">
        <v>102</v>
      </c>
      <c r="B201" s="135">
        <f>IF(D201="R",300,IF(D201="SR",50,IF(D201="SSR",10)))</f>
        <v/>
      </c>
      <c r="C201" s="135" t="n">
        <v>70049</v>
      </c>
      <c r="D201" s="135" t="inlineStr">
        <is>
          <t>SSR</t>
        </is>
      </c>
    </row>
    <row r="202" ht="14.25" customHeight="1" s="142">
      <c r="A202" s="135" t="n">
        <v>102</v>
      </c>
      <c r="B202" s="135">
        <f>IF(D202="R",300,IF(D202="SR",50,IF(D202="SSR",10)))</f>
        <v/>
      </c>
      <c r="C202" s="135" t="n">
        <v>70050</v>
      </c>
      <c r="D202" s="135" t="inlineStr">
        <is>
          <t>SSR</t>
        </is>
      </c>
    </row>
    <row r="203" ht="14.25" customHeight="1" s="142">
      <c r="A203" s="135" t="n">
        <v>102</v>
      </c>
      <c r="B203" s="135">
        <f>IF(D203="R",300,IF(D203="SR",50,IF(D203="SSR",10)))</f>
        <v/>
      </c>
      <c r="C203" s="135" t="n">
        <v>70051</v>
      </c>
      <c r="D203" s="135" t="inlineStr">
        <is>
          <t>R</t>
        </is>
      </c>
    </row>
    <row r="204" ht="14.25" customHeight="1" s="142">
      <c r="A204" s="135" t="n">
        <v>102</v>
      </c>
      <c r="B204" s="135">
        <f>IF(D204="R",300,IF(D204="SR",50,IF(D204="SSR",10)))</f>
        <v/>
      </c>
      <c r="C204" s="135" t="n">
        <v>70052</v>
      </c>
      <c r="D204" s="135" t="inlineStr">
        <is>
          <t>R</t>
        </is>
      </c>
    </row>
    <row r="205" ht="14.25" customHeight="1" s="142">
      <c r="A205" s="135" t="n">
        <v>102</v>
      </c>
      <c r="B205" s="135">
        <f>IF(D205="R",300,IF(D205="SR",50,IF(D205="SSR",10)))</f>
        <v/>
      </c>
      <c r="C205" s="135" t="n">
        <v>70053</v>
      </c>
      <c r="D205" s="135" t="inlineStr">
        <is>
          <t>R</t>
        </is>
      </c>
    </row>
    <row r="206" ht="14.25" customHeight="1" s="142">
      <c r="A206" s="135" t="n">
        <v>102</v>
      </c>
      <c r="B206" s="135">
        <f>IF(D206="R",300,IF(D206="SR",50,IF(D206="SSR",10)))</f>
        <v/>
      </c>
      <c r="C206" s="135" t="n">
        <v>70054</v>
      </c>
      <c r="D206" s="135" t="inlineStr">
        <is>
          <t>SR</t>
        </is>
      </c>
    </row>
    <row r="207" ht="14.25" customHeight="1" s="142">
      <c r="A207" s="135" t="n">
        <v>102</v>
      </c>
      <c r="B207" s="135">
        <f>IF(D207="R",300,IF(D207="SR",50,IF(D207="SSR",10)))</f>
        <v/>
      </c>
      <c r="C207" s="135" t="n">
        <v>70055</v>
      </c>
      <c r="D207" s="135" t="inlineStr">
        <is>
          <t>SR</t>
        </is>
      </c>
    </row>
    <row r="208" ht="14.25" customHeight="1" s="142">
      <c r="A208" s="135" t="n">
        <v>102</v>
      </c>
      <c r="B208" s="135">
        <f>IF(D208="R",300,IF(D208="SR",50,IF(D208="SSR",10)))</f>
        <v/>
      </c>
      <c r="C208" s="135" t="n">
        <v>70056</v>
      </c>
      <c r="D208" s="135" t="inlineStr">
        <is>
          <t>SR</t>
        </is>
      </c>
    </row>
    <row r="209" ht="14.25" customHeight="1" s="142">
      <c r="A209" s="135" t="n">
        <v>102</v>
      </c>
      <c r="B209" s="135">
        <f>IF(D209="R",300,IF(D209="SR",50,IF(D209="SSR",10)))</f>
        <v/>
      </c>
      <c r="C209" s="135" t="n">
        <v>70057</v>
      </c>
      <c r="D209" s="135" t="inlineStr">
        <is>
          <t>SR</t>
        </is>
      </c>
    </row>
    <row r="210" ht="14.25" customHeight="1" s="142">
      <c r="A210" s="135" t="n">
        <v>102</v>
      </c>
      <c r="B210" s="135">
        <f>IF(D210="R",300,IF(D210="SR",50,IF(D210="SSR",10)))</f>
        <v/>
      </c>
      <c r="C210" s="135" t="n">
        <v>70058</v>
      </c>
      <c r="D210" s="135" t="inlineStr">
        <is>
          <t>SSR</t>
        </is>
      </c>
    </row>
    <row r="211" ht="14.25" customHeight="1" s="142">
      <c r="A211" s="135" t="n">
        <v>102</v>
      </c>
      <c r="B211" s="135">
        <f>IF(D211="R",300,IF(D211="SR",50,IF(D211="SSR",10)))</f>
        <v/>
      </c>
      <c r="C211" s="135" t="n">
        <v>70059</v>
      </c>
      <c r="D211" s="135" t="inlineStr">
        <is>
          <t>SSR</t>
        </is>
      </c>
    </row>
    <row r="212" ht="14.25" customHeight="1" s="142">
      <c r="A212" s="135" t="n">
        <v>102</v>
      </c>
      <c r="B212" s="135">
        <f>IF(D212="R",300,IF(D212="SR",50,IF(D212="SSR",10)))</f>
        <v/>
      </c>
      <c r="C212" s="135" t="n">
        <v>70060</v>
      </c>
      <c r="D212" s="135" t="inlineStr">
        <is>
          <t>SSR</t>
        </is>
      </c>
    </row>
    <row r="213" ht="14.25" customHeight="1" s="142">
      <c r="A213" s="135" t="n">
        <v>102</v>
      </c>
      <c r="B213" s="135">
        <f>IF(D213="R",300,IF(D213="SR",50,IF(D213="SSR",10)))</f>
        <v/>
      </c>
      <c r="C213" s="135" t="n">
        <v>70061</v>
      </c>
      <c r="D213" s="135" t="inlineStr">
        <is>
          <t>R</t>
        </is>
      </c>
    </row>
    <row r="214" ht="14.25" customHeight="1" s="142">
      <c r="A214" s="135" t="n">
        <v>102</v>
      </c>
      <c r="B214" s="135">
        <f>IF(D214="R",300,IF(D214="SR",50,IF(D214="SSR",10)))</f>
        <v/>
      </c>
      <c r="C214" s="135" t="n">
        <v>70062</v>
      </c>
      <c r="D214" s="135" t="inlineStr">
        <is>
          <t>R</t>
        </is>
      </c>
    </row>
    <row r="215" ht="14.25" customHeight="1" s="142">
      <c r="A215" s="135" t="n">
        <v>102</v>
      </c>
      <c r="B215" s="135">
        <f>IF(D215="R",300,IF(D215="SR",50,IF(D215="SSR",10)))</f>
        <v/>
      </c>
      <c r="C215" s="135" t="n">
        <v>70063</v>
      </c>
      <c r="D215" s="135" t="inlineStr">
        <is>
          <t>R</t>
        </is>
      </c>
    </row>
    <row r="216" ht="14.25" customHeight="1" s="142">
      <c r="A216" s="135" t="n">
        <v>102</v>
      </c>
      <c r="B216" s="135">
        <f>IF(D216="R",300,IF(D216="SR",50,IF(D216="SSR",10)))</f>
        <v/>
      </c>
      <c r="C216" s="135" t="n">
        <v>70064</v>
      </c>
      <c r="D216" s="135" t="inlineStr">
        <is>
          <t>SR</t>
        </is>
      </c>
    </row>
    <row r="217" ht="14.25" customHeight="1" s="142">
      <c r="A217" s="135" t="n">
        <v>102</v>
      </c>
      <c r="B217" s="135">
        <f>IF(D217="R",300,IF(D217="SR",50,IF(D217="SSR",10)))</f>
        <v/>
      </c>
      <c r="C217" s="135" t="n">
        <v>70065</v>
      </c>
      <c r="D217" s="135" t="inlineStr">
        <is>
          <t>SR</t>
        </is>
      </c>
    </row>
    <row r="218" ht="14.25" customHeight="1" s="142">
      <c r="A218" s="135" t="n">
        <v>102</v>
      </c>
      <c r="B218" s="135">
        <f>IF(D218="R",300,IF(D218="SR",50,IF(D218="SSR",10)))</f>
        <v/>
      </c>
      <c r="C218" s="135" t="n">
        <v>70066</v>
      </c>
      <c r="D218" s="135" t="inlineStr">
        <is>
          <t>SR</t>
        </is>
      </c>
    </row>
    <row r="219" ht="14.25" customHeight="1" s="142">
      <c r="A219" s="135" t="n">
        <v>102</v>
      </c>
      <c r="B219" s="135">
        <f>IF(D219="R",300,IF(D219="SR",50,IF(D219="SSR",10)))</f>
        <v/>
      </c>
      <c r="C219" s="135" t="n">
        <v>70067</v>
      </c>
      <c r="D219" s="135" t="inlineStr">
        <is>
          <t>SR</t>
        </is>
      </c>
    </row>
    <row r="220" ht="14.25" customHeight="1" s="142">
      <c r="A220" s="135" t="n">
        <v>102</v>
      </c>
      <c r="B220" s="135">
        <f>IF(D220="R",300,IF(D220="SR",50,IF(D220="SSR",10)))</f>
        <v/>
      </c>
      <c r="C220" s="135" t="n">
        <v>70068</v>
      </c>
      <c r="D220" s="135" t="inlineStr">
        <is>
          <t>SSR</t>
        </is>
      </c>
    </row>
    <row r="221" ht="14.25" customHeight="1" s="142">
      <c r="A221" s="135" t="n">
        <v>102</v>
      </c>
      <c r="B221" s="135">
        <f>IF(D221="R",300,IF(D221="SR",50,IF(D221="SSR",10)))</f>
        <v/>
      </c>
      <c r="C221" s="135" t="n">
        <v>70069</v>
      </c>
      <c r="D221" s="135" t="inlineStr">
        <is>
          <t>SSR</t>
        </is>
      </c>
    </row>
    <row r="222" ht="14.25" customHeight="1" s="142">
      <c r="A222" s="135" t="n">
        <v>102</v>
      </c>
      <c r="B222" s="135">
        <f>IF(D222="R",300,IF(D222="SR",50,IF(D222="SSR",10)))</f>
        <v/>
      </c>
      <c r="C222" s="135" t="n">
        <v>70070</v>
      </c>
      <c r="D222" s="135" t="inlineStr">
        <is>
          <t>SSR</t>
        </is>
      </c>
    </row>
    <row r="223" ht="14.25" customHeight="1" s="142">
      <c r="A223" s="135" t="n">
        <v>102</v>
      </c>
      <c r="B223" s="135" t="n">
        <v>360</v>
      </c>
      <c r="C223" s="135" t="n">
        <v>70071</v>
      </c>
      <c r="D223" s="135" t="inlineStr">
        <is>
          <t>R</t>
        </is>
      </c>
    </row>
    <row r="224" ht="14.25" customHeight="1" s="142">
      <c r="A224" s="135" t="n">
        <v>102</v>
      </c>
      <c r="B224" s="135">
        <f>IF(D224="R",300,IF(D224="SR",50,IF(D224="SSR",10)))</f>
        <v/>
      </c>
      <c r="C224" s="135" t="n">
        <v>70072</v>
      </c>
      <c r="D224" s="135" t="inlineStr">
        <is>
          <t>R</t>
        </is>
      </c>
    </row>
    <row r="225" ht="14.25" customHeight="1" s="142">
      <c r="A225" s="135" t="n">
        <v>102</v>
      </c>
      <c r="B225" s="135">
        <f>IF(D225="R",300,IF(D225="SR",50,IF(D225="SSR",10)))</f>
        <v/>
      </c>
      <c r="C225" s="135" t="n">
        <v>70073</v>
      </c>
      <c r="D225" s="135" t="inlineStr">
        <is>
          <t>R</t>
        </is>
      </c>
    </row>
    <row r="226" ht="14.25" customHeight="1" s="142">
      <c r="A226" s="135" t="n">
        <v>102</v>
      </c>
      <c r="B226" s="135">
        <f>IF(D226="R",300,IF(D226="SR",50,IF(D226="SSR",10)))</f>
        <v/>
      </c>
      <c r="C226" s="135" t="n">
        <v>70074</v>
      </c>
      <c r="D226" s="135" t="inlineStr">
        <is>
          <t>SR</t>
        </is>
      </c>
    </row>
    <row r="227" ht="14.25" customHeight="1" s="142">
      <c r="A227" s="135" t="n">
        <v>102</v>
      </c>
      <c r="B227" s="135">
        <f>IF(D227="R",300,IF(D227="SR",50,IF(D227="SSR",10)))</f>
        <v/>
      </c>
      <c r="C227" s="135" t="n">
        <v>70075</v>
      </c>
      <c r="D227" s="135" t="inlineStr">
        <is>
          <t>SR</t>
        </is>
      </c>
    </row>
    <row r="228" ht="14.25" customHeight="1" s="142">
      <c r="A228" s="135" t="n">
        <v>102</v>
      </c>
      <c r="B228" s="135">
        <f>IF(D228="R",300,IF(D228="SR",50,IF(D228="SSR",10)))</f>
        <v/>
      </c>
      <c r="C228" s="135" t="n">
        <v>70076</v>
      </c>
      <c r="D228" s="135" t="inlineStr">
        <is>
          <t>SR</t>
        </is>
      </c>
    </row>
    <row r="229" ht="14.25" customHeight="1" s="142">
      <c r="A229" s="135" t="n">
        <v>102</v>
      </c>
      <c r="B229" s="135">
        <f>IF(D229="R",300,IF(D229="SR",50,IF(D229="SSR",10)))</f>
        <v/>
      </c>
      <c r="C229" s="135" t="n">
        <v>70077</v>
      </c>
      <c r="D229" s="135" t="inlineStr">
        <is>
          <t>SR</t>
        </is>
      </c>
    </row>
    <row r="230" ht="14.25" customHeight="1" s="142">
      <c r="A230" s="135" t="n">
        <v>102</v>
      </c>
      <c r="B230" s="135">
        <f>IF(D230="R",300,IF(D230="SR",50,IF(D230="SSR",10)))</f>
        <v/>
      </c>
      <c r="C230" s="135" t="n">
        <v>70078</v>
      </c>
      <c r="D230" s="135" t="inlineStr">
        <is>
          <t>SSR</t>
        </is>
      </c>
    </row>
    <row r="231" ht="14.25" customHeight="1" s="142">
      <c r="A231" s="135" t="n">
        <v>102</v>
      </c>
      <c r="B231" s="135">
        <f>IF(D231="R",300,IF(D231="SR",50,IF(D231="SSR",10)))</f>
        <v/>
      </c>
      <c r="C231" s="135" t="n">
        <v>70079</v>
      </c>
      <c r="D231" s="135" t="inlineStr">
        <is>
          <t>SSR</t>
        </is>
      </c>
    </row>
    <row r="232" ht="14.25" customHeight="1" s="142">
      <c r="A232" s="135" t="n">
        <v>102</v>
      </c>
      <c r="B232" s="135">
        <f>IF(D232="R",300,IF(D232="SR",50,IF(D232="SSR",10)))</f>
        <v/>
      </c>
      <c r="C232" s="135" t="n">
        <v>70080</v>
      </c>
      <c r="D232" s="135" t="inlineStr">
        <is>
          <t>SSR</t>
        </is>
      </c>
    </row>
  </sheetData>
  <dataValidations count="2">
    <dataValidation sqref="D3:D33" showDropDown="0" showInputMessage="0" showErrorMessage="1" allowBlank="1" type="list">
      <formula1>"SSR,SR,R"</formula1>
      <formula2>0</formula2>
    </dataValidation>
    <dataValidation sqref="D36:D149 D153:D232" showDropDown="0" showInputMessage="0" showErrorMessage="1" allowBlank="1" type="list">
      <formula1>"R,SR,SSR"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H5"/>
  <sheetViews>
    <sheetView tabSelected="1" zoomScaleNormal="100" workbookViewId="0">
      <selection activeCell="I23" sqref="I23"/>
    </sheetView>
  </sheetViews>
  <sheetFormatPr baseColWidth="8" defaultColWidth="12.5703125" defaultRowHeight="12.75"/>
  <sheetData>
    <row r="2" ht="14.25" customHeight="1" s="142">
      <c r="A2" s="40" t="inlineStr">
        <is>
          <t>id</t>
        </is>
      </c>
      <c r="B2" s="40" t="inlineStr">
        <is>
          <t>info</t>
        </is>
      </c>
      <c r="C2" s="40" t="inlineStr">
        <is>
          <t>cost1_id</t>
        </is>
      </c>
      <c r="D2" s="40" t="inlineStr">
        <is>
          <t>cost1_amount</t>
        </is>
      </c>
      <c r="E2" s="40" t="inlineStr">
        <is>
          <t>cost10_id</t>
        </is>
      </c>
      <c r="F2" s="40" t="inlineStr">
        <is>
          <t>cost10_amount</t>
        </is>
      </c>
      <c r="G2" s="40" t="inlineStr">
        <is>
          <t>begin_time</t>
        </is>
      </c>
      <c r="H2" s="40" t="inlineStr">
        <is>
          <t>end_time</t>
        </is>
      </c>
    </row>
    <row r="3" ht="14.25" customHeight="1" s="142">
      <c r="A3" s="135" t="n">
        <v>100</v>
      </c>
      <c r="B3" s="8" t="inlineStr">
        <is>
          <t>武器轉蛋</t>
        </is>
      </c>
      <c r="C3" s="135" t="n">
        <v>1001</v>
      </c>
      <c r="D3" s="135" t="n">
        <v>300</v>
      </c>
      <c r="E3" s="135" t="n">
        <v>1001</v>
      </c>
      <c r="F3" s="135" t="n">
        <v>3000</v>
      </c>
      <c r="G3" s="155" t="n">
        <v>46245.99930555555</v>
      </c>
      <c r="H3" s="155" t="n">
        <v>46610.99930555555</v>
      </c>
    </row>
    <row r="4" ht="14.25" customHeight="1" s="142">
      <c r="A4" s="135" t="n">
        <v>101</v>
      </c>
      <c r="B4" s="8" t="inlineStr">
        <is>
          <t>裝備轉蛋</t>
        </is>
      </c>
      <c r="C4" s="135" t="n">
        <v>1001</v>
      </c>
      <c r="D4" s="135" t="n">
        <v>300</v>
      </c>
      <c r="E4" s="135" t="n">
        <v>1001</v>
      </c>
      <c r="F4" s="135" t="n">
        <v>3000</v>
      </c>
      <c r="G4" s="155" t="n">
        <v>46245.99930555555</v>
      </c>
      <c r="H4" s="155" t="n">
        <v>46610.99930555555</v>
      </c>
    </row>
    <row r="5" ht="14.25" customHeight="1" s="142">
      <c r="A5" s="135" t="n">
        <v>102</v>
      </c>
      <c r="B5" s="8" t="inlineStr">
        <is>
          <t>寶石轉蛋</t>
        </is>
      </c>
      <c r="C5" s="135" t="n">
        <v>1001</v>
      </c>
      <c r="D5" s="135" t="n">
        <v>300</v>
      </c>
      <c r="E5" s="135" t="n">
        <v>1001</v>
      </c>
      <c r="F5" s="135" t="n">
        <v>3000</v>
      </c>
      <c r="G5" s="155" t="n">
        <v>46245.99930555555</v>
      </c>
      <c r="H5" s="155" t="n">
        <v>46610.99930555555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2026-09-08T12:53:19Z</dcterms:created>
  <dcterms:modified xmlns:dcterms="http://purl.org/dc/terms/" xmlns:xsi="http://www.w3.org/2001/XMLSchema-instance" xsi:type="dcterms:W3CDTF">2026-09-09T05:46:08Z</dcterms:modified>
  <cp:lastModifiedBy>思诶 張</cp:lastModifiedBy>
  <cp:revision>0</cp:revision>
</cp:coreProperties>
</file>