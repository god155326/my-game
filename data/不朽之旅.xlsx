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977A2781-7659-48F1-BCE6-AE0D29CAC549}" xr6:coauthVersionLast="47" xr6:coauthVersionMax="47" xr10:uidLastSave="{00000000-0000-0000-0000-000000000000}"/>
  <bookViews>
    <workbookView xWindow="-120" yWindow="-120" windowWidth="29040" windowHeight="15720" firstSheet="7" activeTab="10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dungeonprefeb" sheetId="14" r:id="rId14"/>
    <sheet name="text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charset val="1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charset val="1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charset val="1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charset val="1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charset val="1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charset val="1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charset val="1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charset val="1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charset val="1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charset val="1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charset val="1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charset val="1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charset val="1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charset val="1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charset val="1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charset val="1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charset val="1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charset val="1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charset val="1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charset val="1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charset val="1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charset val="1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charset val="1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charset val="1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charset val="1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charset val="1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charset val="1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charset val="1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charset val="1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charset val="1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charset val="1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charset val="1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charset val="1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charset val="1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charset val="1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charset val="1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charset val="1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charset val="1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charset val="1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charset val="1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charset val="1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<sst xmlns="http://schemas.openxmlformats.org/spreadsheetml/2006/main" count="14594" uniqueCount="4551">
  <si>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</si>
  <si>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</si>
  <si>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</si>
  <si>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</si>
  <si>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</si>
  <si>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</si>
  <si>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</si>
  <si>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</si>
  <si>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</si>
  <si>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</si>
  <si>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</si>
  <si>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</si>
  <si>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</si>
  <si>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</si>
  <si>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</si>
  <si>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</si>
  <si>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</si>
  <si>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</si>
  <si>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</si>
  <si>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</si>
  <si>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</si>
  <si>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</si>
  <si>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</si>
  <si>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</si>
  <si>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</si>
  <si>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</si>
  <si>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</si>
  <si>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</si>
  <si>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</si>
  <si>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</si>
  <si>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</si>
  <si>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</si>
  <si>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</si>
  <si>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</si>
  <si>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</si>
  <si>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</si>
  <si>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</si>
  <si>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</si>
  <si>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</si>
  <si>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</si>
  <si>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</si>
  <si>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</si>
  <si>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</si>
  <si>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</si>
  <si>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</si>
  <si>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</si>
  <si>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</si>
  <si>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</si>
  <si>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</si>
  <si>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</si>
  <si>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</si>
  <si>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</si>
  <si>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</si>
  <si>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</si>
  <si>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</si>
  <si>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</si>
  <si>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</si>
  <si>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</si>
  <si>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</si>
  <si>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</si>
  <si>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</si>
  <si>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</si>
  <si>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</si>
  <si>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</si>
  <si>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</si>
  <si>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</si>
  <si>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</si>
  <si>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</si>
  <si>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</si>
  <si>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</si>
  <si>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</si>
  <si>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</si>
  <si>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</si>
  <si>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</si>
  <si>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</si>
  <si>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</si>
  <si>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</si>
  <si>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</si>
  <si>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</si>
  <si>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</si>
  <si>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</si>
  <si>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</si>
  <si>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</si>
  <si>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</si>
  <si>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</si>
  <si>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</si>
  <si>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</si>
  <si>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</si>
  <si>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</si>
  <si>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</si>
  <si>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</si>
  <si>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</si>
  <si>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</si>
  <si>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</si>
  <si>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</si>
  <si>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</si>
  <si>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</si>
  <si>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</si>
  <si>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</si>
  <si>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</si>
  <si>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</si>
  <si>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</si>
  <si>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</si>
  <si>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</si>
  <si>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</si>
  <si>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</si>
  <si>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</si>
  <si>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</si>
  <si>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</si>
  <si>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</si>
  <si>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</si>
  <si>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</si>
  <si>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</si>
  <si>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</si>
  <si>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</si>
  <si>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</si>
  <si>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</si>
  <si>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</si>
  <si>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</si>
  <si>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</si>
  <si>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</si>
  <si>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</si>
  <si>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</si>
  <si>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</si>
  <si>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</si>
  <si>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</si>
  <si>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</si>
  <si>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</si>
  <si>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</si>
  <si>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</si>
  <si>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</si>
  <si>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</si>
  <si>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</si>
  <si>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</si>
  <si>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</si>
  <si>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</si>
  <si>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</si>
  <si>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</si>
  <si>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</si>
  <si>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</si>
  <si>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</si>
  <si>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</si>
  <si>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</si>
  <si>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</si>
  <si>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</si>
  <si>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</si>
  <si>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</si>
  <si>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</si>
  <si>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</si>
  <si>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</si>
  <si>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</si>
  <si>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</si>
  <si>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</si>
  <si>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</si>
  <si>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</si>
  <si>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</si>
  <si>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</si>
  <si>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</si>
  <si>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</si>
  <si>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</si>
  <si>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</si>
  <si>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</si>
  <si>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</si>
  <si>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</si>
  <si>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</si>
  <si>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</si>
  <si>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</si>
  <si>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</si>
  <si>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</si>
  <si>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</si>
  <si>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</si>
  <si>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</si>
  <si>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</si>
  <si>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</si>
  <si>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</si>
  <si>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</si>
  <si>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</si>
  <si>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</si>
  <si>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</si>
  <si>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</si>
  <si>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</si>
  <si>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</si>
  <si>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</si>
  <si>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</si>
  <si>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</si>
  <si>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</si>
  <si>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</si>
  <si>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</si>
  <si>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</si>
  <si>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</si>
  <si>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</si>
  <si>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</si>
  <si>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</si>
  <si>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</si>
  <si>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</si>
  <si>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</si>
  <si>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</si>
  <si>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</si>
  <si>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</si>
  <si>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</si>
  <si>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</si>
  <si>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</si>
  <si>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</si>
  <si>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</si>
  <si>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</si>
  <si>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</si>
  <si>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</si>
  <si>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</si>
  <si>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</si>
  <si>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</si>
  <si>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</si>
  <si>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</si>
  <si>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</si>
  <si>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</si>
  <si>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</si>
  <si>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</si>
  <si>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</si>
  <si>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</si>
  <si>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</si>
  <si>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</si>
  <si>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</si>
  <si>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</si>
  <si>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</si>
  <si>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</si>
  <si>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</si>
  <si>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</si>
  <si>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</si>
  <si>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</si>
  <si>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</si>
  <si>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</si>
  <si>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</si>
  <si>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</si>
  <si>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</si>
  <si>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</si>
  <si>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</si>
  <si>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</si>
  <si>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</si>
  <si>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</si>
  <si>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</si>
  <si>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</si>
  <si>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</si>
  <si>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</si>
  <si>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</si>
  <si>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</si>
  <si>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</si>
  <si>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</si>
  <si>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</si>
  <si>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</si>
  <si>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</si>
  <si>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</si>
  <si>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</si>
  <si>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</si>
  <si>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</si>
  <si>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</si>
  <si>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</si>
  <si>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</si>
  <si>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</si>
  <si>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</si>
  <si>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</si>
  <si>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</si>
  <si>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</si>
  <si>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</si>
  <si>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</si>
  <si>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</si>
  <si>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</si>
  <si>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</si>
  <si>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</si>
  <si>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</si>
  <si>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</si>
  <si>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</si>
  <si>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</si>
  <si>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</si>
  <si>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</si>
  <si>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</si>
  <si>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</si>
  <si>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</si>
  <si>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</si>
  <si>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</si>
  <si>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</si>
  <si>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</si>
  <si>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</si>
  <si>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</si>
  <si>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</si>
  <si>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</si>
  <si>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</si>
  <si>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</si>
  <si>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</si>
  <si>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</si>
  <si>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</si>
  <si>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</si>
  <si>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</si>
  <si>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</si>
  <si>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</si>
  <si>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</si>
  <si>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</si>
  <si>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</si>
  <si>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</si>
  <si>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</si>
  <si>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</si>
  <si>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</si>
  <si>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</si>
  <si>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</si>
  <si>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</si>
  <si>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</si>
  <si>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</si>
  <si>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</si>
  <si>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</si>
  <si>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</si>
  <si>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</si>
  <si>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</si>
  <si>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</si>
  <si>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</si>
  <si>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</si>
  <si>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</si>
  <si>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</si>
  <si>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</si>
  <si>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</si>
  <si>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</si>
  <si>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</si>
  <si>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</si>
  <si>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</si>
  <si>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</si>
  <si>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</si>
  <si>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</si>
  <si>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</si>
  <si>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</si>
  <si>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</si>
  <si>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</si>
  <si>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</si>
  <si>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</si>
  <si>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</si>
  <si>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</si>
  <si>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</si>
  <si>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</si>
  <si>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</si>
  <si>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</si>
  <si>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</si>
  <si>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</si>
  <si>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</si>
  <si>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</si>
  <si>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</si>
  <si>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</si>
  <si>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</si>
  <si>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</si>
  <si>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</si>
  <si>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</si>
  <si>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</si>
  <si>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</si>
  <si>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</si>
  <si>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</si>
  <si>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</si>
  <si>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</si>
  <si>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</si>
  <si>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</si>
  <si>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</si>
  <si>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</si>
  <si>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</si>
  <si>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</si>
  <si>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</si>
  <si>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</si>
  <si>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</si>
  <si>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</si>
  <si>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</si>
  <si>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</si>
  <si>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</si>
  <si>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</si>
  <si>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</si>
  <si>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</si>
  <si>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</si>
  <si>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</si>
  <si>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</si>
  <si>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</si>
  <si>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</si>
  <si>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</si>
  <si>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</si>
  <si>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</si>
  <si>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</si>
  <si>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</si>
  <si>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</si>
  <si>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</si>
  <si>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</si>
  <si>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</si>
  <si>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</si>
  <si>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</si>
  <si>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</si>
  <si>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</si>
  <si>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</si>
  <si>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</si>
  <si>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</si>
  <si>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</si>
  <si>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</si>
  <si>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</si>
  <si>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</si>
  <si>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</si>
  <si>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</si>
  <si>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</si>
  <si>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</si>
  <si>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</si>
  <si>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</si>
  <si>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</si>
  <si>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</si>
  <si>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</si>
  <si>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</si>
  <si>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</si>
  <si>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</si>
  <si>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</si>
  <si>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</si>
  <si>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</si>
  <si>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</si>
  <si>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</si>
  <si>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</si>
  <si>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</si>
  <si>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</si>
  <si>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</si>
  <si>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</si>
  <si>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</si>
  <si>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</si>
  <si>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</si>
  <si>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</si>
  <si>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</si>
  <si>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</si>
  <si>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</si>
  <si>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</si>
  <si>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</si>
  <si>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</si>
  <si>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</si>
  <si>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</si>
  <si>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</si>
  <si>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</si>
  <si>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</si>
  <si>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</si>
  <si>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</si>
  <si>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</si>
  <si>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</si>
  <si>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</si>
  <si>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</si>
  <si>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</si>
  <si>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</si>
  <si>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</si>
  <si>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</si>
  <si>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</si>
  <si>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</si>
  <si>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</si>
  <si>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</si>
  <si>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</si>
  <si>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</si>
  <si>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</si>
  <si>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</si>
  <si>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</si>
  <si>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</si>
  <si>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</si>
  <si>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</si>
  <si>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</si>
  <si>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</si>
  <si>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</si>
  <si>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</si>
  <si>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</si>
  <si>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</si>
  <si>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</si>
  <si>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</si>
  <si>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</si>
  <si>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</si>
  <si>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</si>
  <si>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</si>
  <si>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</si>
  <si>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</si>
  <si>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</si>
  <si>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</si>
  <si>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</si>
  <si>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</si>
  <si>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</si>
  <si>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</si>
  <si>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</si>
  <si>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</si>
  <si>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</si>
  <si>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</si>
  <si>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</si>
  <si>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</si>
  <si>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</si>
  <si>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</si>
  <si>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</si>
  <si>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</si>
  <si>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</si>
  <si>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</si>
  <si>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</si>
  <si>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</si>
  <si>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</si>
  <si>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</si>
  <si>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</si>
  <si>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</si>
  <si>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</si>
  <si>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</si>
  <si>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</si>
  <si>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</si>
  <si>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</si>
  <si>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</si>
  <si>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</si>
  <si>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</si>
  <si>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</si>
  <si>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</si>
  <si>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</si>
  <si>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</si>
  <si>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</si>
  <si>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</si>
  <si>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</si>
  <si>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</si>
  <si>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</si>
  <si>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</si>
  <si>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</si>
  <si>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</si>
  <si>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</si>
  <si>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</si>
  <si>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</si>
  <si>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</si>
  <si>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</si>
  <si>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</si>
  <si>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</si>
  <si>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</si>
  <si>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</si>
  <si>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</si>
  <si>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</si>
  <si>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</si>
  <si>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</si>
  <si>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</si>
  <si>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</si>
  <si>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</si>
  <si>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</si>
  <si>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</si>
  <si>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</si>
  <si>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</si>
  <si>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</si>
  <si>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</si>
  <si>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</si>
  <si>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</si>
  <si>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</si>
  <si>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</si>
  <si>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</si>
  <si>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</si>
  <si>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</si>
  <si>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</si>
  <si>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</si>
  <si>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</si>
  <si>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</si>
  <si>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</si>
  <si>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</si>
  <si>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</si>
  <si>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</si>
  <si>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</si>
  <si>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</si>
  <si>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</si>
  <si>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</si>
  <si>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</si>
  <si>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</si>
  <si>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</si>
  <si>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</si>
  <si>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</si>
  <si>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</si>
  <si>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</si>
  <si>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</si>
  <si>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</si>
  <si>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</si>
  <si>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</si>
  <si>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</si>
  <si>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</si>
  <si>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</si>
  <si>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</si>
  <si>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</si>
  <si>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</si>
  <si>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</si>
  <si>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</si>
  <si>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</si>
  <si>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</si>
  <si>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</si>
  <si>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</si>
  <si>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</si>
  <si>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</si>
  <si>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</si>
  <si>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</si>
  <si>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</si>
  <si>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</si>
  <si>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</si>
  <si>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</si>
  <si>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</si>
  <si>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</si>
  <si>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</si>
  <si>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</si>
  <si>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</si>
  <si>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</si>
  <si>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</si>
  <si>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</si>
  <si>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</si>
  <si>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</si>
  <si>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</si>
  <si>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</si>
  <si>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</si>
  <si>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</si>
  <si>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</si>
  <si>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</si>
  <si>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</si>
  <si>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</si>
  <si>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</si>
  <si>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</si>
  <si>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</si>
  <si>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</si>
  <si>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</si>
  <si>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</si>
  <si>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</si>
  <si>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</si>
  <si>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</si>
  <si>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</si>
  <si>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</si>
  <si>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</si>
  <si>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</si>
  <si>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</si>
  <si>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</si>
  <si>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</si>
  <si>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</si>
  <si>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</si>
  <si>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</si>
  <si>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</si>
  <si>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</si>
  <si>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</si>
  <si>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</si>
  <si>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</si>
  <si>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</si>
  <si>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</si>
  <si>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</si>
  <si>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</si>
  <si>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</si>
  <si>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</si>
  <si>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</si>
  <si>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</si>
  <si>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</si>
  <si>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</si>
  <si>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</si>
  <si>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</si>
  <si>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</si>
  <si>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</si>
  <si>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</si>
  <si>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</si>
  <si>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</si>
  <si>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</si>
  <si>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</si>
  <si>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</si>
  <si>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</si>
  <si>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</si>
  <si>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</si>
  <si>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</si>
  <si>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</si>
  <si>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</si>
  <si>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</si>
  <si>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</si>
  <si>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</si>
  <si>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</si>
  <si>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</si>
  <si>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</si>
  <si>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</si>
  <si>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</si>
  <si>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</si>
  <si>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</si>
  <si>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</si>
  <si>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</si>
  <si>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</si>
  <si>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</si>
  <si>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</si>
  <si>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</si>
  <si>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</si>
  <si>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</si>
  <si>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</si>
  <si>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</si>
  <si>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</si>
  <si>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</si>
  <si>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</si>
  <si>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</si>
  <si>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</si>
  <si>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</si>
  <si>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</si>
  <si>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</si>
  <si>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</si>
  <si>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</si>
  <si>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</si>
  <si>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</si>
  <si>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</si>
  <si>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</si>
  <si>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</si>
  <si>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</si>
  <si>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</si>
  <si>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</si>
  <si>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</si>
  <si>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</si>
  <si>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</si>
  <si>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</si>
  <si>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</si>
  <si>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</si>
  <si>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</si>
  <si>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</si>
  <si>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</si>
  <si>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</si>
  <si>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</si>
  <si>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</si>
  <si>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</si>
  <si>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</si>
  <si>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</si>
  <si>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</si>
  <si>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</si>
  <si>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</si>
  <si>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</si>
  <si>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</si>
  <si>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</si>
  <si>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</si>
  <si>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</si>
  <si>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</si>
  <si>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</si>
  <si>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</si>
  <si>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</si>
  <si>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</si>
  <si>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</si>
  <si>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</si>
  <si>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</si>
  <si>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</si>
  <si>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</si>
  <si>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</si>
  <si>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</si>
  <si>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</si>
  <si>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</si>
  <si>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</si>
  <si>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</si>
  <si>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</si>
  <si>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</si>
  <si>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</si>
  <si>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</si>
  <si>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</si>
  <si>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</si>
  <si>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</si>
  <si>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</si>
  <si>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</si>
  <si>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</si>
  <si>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</si>
  <si>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</si>
  <si>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</si>
  <si>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</si>
  <si>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</si>
  <si>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</si>
  <si>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</si>
  <si>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</si>
  <si>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</si>
  <si>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</si>
  <si>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</si>
  <si>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</si>
  <si>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</si>
  <si>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</si>
  <si>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</si>
  <si>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</si>
  <si>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</si>
  <si>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</si>
  <si>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</si>
  <si>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</si>
  <si>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</si>
  <si>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</si>
  <si>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</si>
  <si>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</si>
  <si>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</si>
  <si>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</si>
  <si>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</si>
  <si>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</si>
  <si>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</si>
  <si>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</si>
  <si>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</si>
  <si>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</si>
  <si>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</si>
  <si>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</si>
  <si>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</si>
  <si>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</si>
  <si>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</si>
  <si>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</si>
  <si>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</si>
  <si>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</si>
  <si>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</si>
  <si>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</si>
  <si>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</si>
  <si>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</si>
  <si>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</si>
  <si>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</si>
  <si>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</si>
  <si>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</si>
  <si>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</si>
  <si>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</si>
  <si>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</si>
  <si>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</si>
  <si>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</si>
  <si>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</si>
  <si>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</si>
  <si>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</si>
  <si>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</si>
  <si>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</si>
  <si>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</si>
  <si>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</si>
  <si>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</si>
  <si>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</si>
  <si>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</si>
  <si>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</si>
  <si>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</si>
  <si>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</si>
  <si>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</si>
  <si>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</si>
  <si>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</si>
  <si>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</si>
  <si>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</si>
  <si>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</si>
  <si>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</si>
  <si>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</si>
  <si>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</si>
  <si>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</si>
  <si>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</si>
  <si>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</si>
  <si>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</si>
  <si>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</si>
  <si>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</si>
  <si>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</si>
  <si>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</si>
  <si>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</si>
  <si>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</si>
  <si>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</si>
  <si>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</si>
  <si>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</si>
  <si>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</si>
  <si>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</si>
  <si>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</si>
  <si>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</si>
  <si>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</si>
  <si>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</si>
  <si>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</si>
  <si>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</si>
  <si>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</si>
  <si>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</si>
  <si>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</si>
  <si>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</si>
  <si>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</si>
  <si>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</si>
  <si>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</si>
  <si>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</si>
  <si>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</si>
  <si>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</si>
  <si>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</si>
  <si>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</si>
  <si>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</si>
  <si>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</si>
  <si>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</si>
  <si>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</si>
  <si>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</si>
  <si>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</si>
  <si>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</si>
  <si>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</si>
  <si>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</si>
  <si>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</si>
  <si>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</si>
  <si>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</si>
  <si>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</si>
  <si>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</si>
  <si>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</si>
  <si>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</si>
  <si>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</si>
  <si>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</si>
  <si>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</si>
  <si>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</si>
  <si>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</si>
  <si>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</si>
  <si>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</si>
  <si>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</si>
  <si>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</si>
  <si>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</si>
  <si>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</si>
  <si>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</si>
  <si>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</si>
  <si>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</si>
  <si>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</si>
  <si>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</si>
  <si>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</si>
  <si>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</si>
  <si>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</si>
  <si>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</si>
  <si>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</si>
  <si>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</si>
  <si>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</si>
  <si>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</si>
  <si>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</si>
  <si>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</si>
  <si>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</si>
  <si>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</si>
  <si>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</si>
  <si>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</si>
  <si>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</si>
  <si>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</si>
  <si>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</si>
  <si>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</si>
  <si>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</si>
  <si>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</si>
  <si>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</si>
  <si>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</si>
  <si>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</si>
  <si>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</si>
  <si>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</si>
  <si>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</si>
  <si>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</si>
  <si>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</si>
  <si>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</si>
  <si>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</si>
  <si>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</si>
  <si>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</si>
  <si>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</si>
  <si>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</si>
  <si>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</si>
  <si>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</si>
  <si>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</si>
  <si>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</si>
  <si>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</si>
  <si>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</si>
  <si>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</si>
  <si>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</si>
  <si>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</si>
  <si>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</si>
  <si>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</si>
  <si>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</si>
  <si>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</si>
  <si>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</si>
  <si>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</si>
  <si>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</si>
  <si>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</si>
  <si>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</si>
  <si>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</si>
  <si>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</si>
  <si>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</si>
  <si>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</si>
  <si>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</si>
  <si>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</si>
  <si>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</si>
  <si>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</si>
  <si>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</si>
  <si>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</si>
  <si>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</si>
  <si>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</si>
  <si>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</si>
  <si>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</si>
  <si>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</si>
  <si>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</si>
  <si>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</si>
  <si>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</si>
  <si>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</si>
  <si>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</si>
  <si>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</si>
  <si>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</si>
  <si>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</si>
  <si>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</si>
  <si>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</si>
  <si>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</si>
  <si>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</si>
  <si>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</si>
  <si>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</si>
  <si>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</si>
  <si>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</si>
  <si>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</si>
  <si>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</si>
  <si>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</si>
  <si>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</si>
  <si>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</si>
  <si>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</si>
  <si>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</si>
  <si>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</si>
  <si>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</si>
  <si>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</si>
  <si>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</si>
  <si>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</si>
  <si>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</si>
  <si>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</si>
  <si>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</si>
  <si>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</si>
  <si>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</si>
  <si>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</si>
  <si>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</si>
  <si>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</si>
  <si>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</si>
  <si>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</si>
  <si>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</si>
  <si>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</si>
  <si>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</si>
  <si>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</si>
  <si>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</si>
  <si>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</si>
  <si>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</si>
  <si>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</si>
  <si>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</si>
  <si>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</si>
  <si>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</si>
  <si>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</si>
  <si>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</si>
  <si>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</si>
  <si>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</si>
  <si>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</si>
  <si>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</si>
  <si>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</si>
  <si>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</si>
  <si>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</si>
  <si>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</si>
  <si>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</si>
  <si>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</si>
  <si>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</si>
  <si>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</si>
  <si>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</si>
  <si>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</si>
  <si>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</si>
  <si>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</si>
  <si>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</si>
  <si>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</si>
  <si>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</si>
  <si>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</si>
  <si>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</si>
  <si>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</si>
  <si>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</si>
  <si>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</si>
  <si>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</si>
  <si>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</si>
  <si>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</si>
  <si>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</si>
  <si>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</si>
  <si>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</si>
  <si>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</si>
  <si>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</si>
  <si>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</si>
  <si>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</si>
  <si>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</si>
  <si>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</si>
  <si>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</si>
  <si>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</si>
  <si>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</si>
  <si>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</si>
  <si>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</si>
  <si>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</si>
  <si>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</si>
  <si>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</si>
  <si>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</si>
  <si>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</si>
  <si>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</si>
  <si>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</si>
  <si>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</si>
  <si>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</si>
  <si>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</si>
  <si>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</si>
  <si>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</si>
  <si>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</si>
  <si>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</si>
  <si>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</si>
  <si>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</si>
  <si>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</si>
  <si>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</si>
  <si>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</si>
  <si>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</si>
  <si>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</si>
  <si>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</si>
  <si>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</si>
  <si>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</si>
  <si>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</si>
  <si>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</si>
  <si>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</si>
  <si>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</si>
  <si>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</si>
  <si>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</si>
  <si>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</si>
  <si>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</si>
  <si>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</si>
  <si>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</si>
  <si>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</si>
  <si>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</si>
  <si>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</si>
  <si>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</si>
  <si>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</si>
  <si>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</si>
  <si>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</si>
  <si>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</si>
  <si>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</si>
  <si>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</si>
  <si>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</si>
  <si>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</si>
  <si>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</si>
  <si>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</si>
  <si>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</si>
  <si>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</si>
  <si>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</si>
  <si>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</si>
  <si>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</si>
  <si>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</si>
  <si>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</si>
  <si>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</si>
  <si>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</si>
  <si>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</si>
  <si>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</si>
  <si>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</si>
  <si>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</si>
  <si>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</si>
  <si>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</si>
  <si>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</si>
  <si>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</si>
  <si>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</si>
  <si>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</si>
  <si>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</si>
  <si>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</si>
  <si>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</si>
  <si>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</si>
  <si>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</si>
  <si>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</si>
  <si>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</si>
  <si>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</si>
  <si>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</si>
  <si>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</si>
  <si>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</si>
  <si>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</si>
  <si>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</si>
  <si>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</si>
  <si>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</si>
  <si>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</si>
  <si>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</si>
  <si>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</si>
  <si>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</si>
  <si>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</si>
  <si>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</si>
  <si>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</si>
  <si>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</si>
  <si>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</si>
  <si>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</si>
  <si>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</si>
  <si>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</si>
  <si>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</si>
  <si>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</si>
  <si>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</si>
  <si>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</si>
  <si>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</si>
  <si>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</si>
  <si>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</si>
  <si>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</si>
  <si>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</si>
  <si>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</si>
  <si>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</si>
  <si>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</si>
  <si>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</si>
  <si>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</si>
  <si>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</si>
  <si>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</si>
  <si>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</si>
  <si>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</si>
  <si>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</si>
  <si>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</si>
  <si>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</si>
  <si>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</si>
  <si>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</si>
  <si>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</si>
  <si>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</si>
  <si>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</si>
  <si>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</si>
  <si>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</si>
  <si>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</si>
  <si>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</si>
  <si>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</si>
  <si>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</si>
  <si>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</si>
  <si>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</si>
  <si>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</si>
  <si>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</si>
  <si>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</si>
  <si>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</si>
  <si>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</si>
  <si>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</si>
  <si>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</si>
  <si>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</si>
  <si>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</si>
  <si>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</si>
  <si>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</si>
  <si>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</si>
  <si>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</si>
  <si>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</si>
  <si>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</si>
  <si>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</si>
  <si>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</si>
  <si>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</si>
  <si>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</si>
  <si>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</si>
  <si>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</si>
  <si>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</si>
  <si>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</si>
  <si>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</si>
  <si>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</si>
  <si>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</si>
  <si>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</si>
  <si>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</si>
  <si>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</si>
  <si>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</si>
  <si>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</si>
  <si>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</si>
  <si>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</si>
  <si>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</si>
  <si>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</si>
  <si>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</si>
  <si>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</si>
  <si>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</si>
  <si>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</si>
  <si>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</si>
  <si>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</si>
  <si>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</si>
  <si>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</si>
  <si>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</si>
  <si>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</si>
  <si>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</si>
  <si>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</si>
  <si>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</si>
  <si>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</si>
  <si>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</si>
  <si>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</si>
  <si>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</si>
  <si>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</si>
  <si>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</si>
  <si>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</si>
  <si>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</si>
  <si>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</si>
  <si>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</si>
  <si>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</si>
  <si>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</si>
  <si>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</si>
  <si>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</si>
  <si>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</si>
  <si>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</si>
  <si>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</si>
  <si>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</si>
  <si>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</si>
  <si>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</si>
  <si>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</si>
  <si>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</si>
  <si>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</si>
  <si>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</si>
  <si>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</si>
  <si>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</si>
  <si>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</si>
  <si>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</si>
  <si>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</si>
  <si>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</si>
  <si>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</si>
  <si>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</si>
  <si>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</si>
  <si>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</si>
  <si>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</si>
  <si>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</si>
  <si>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</si>
  <si>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</si>
  <si>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</si>
  <si>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</si>
  <si>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</si>
  <si>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</si>
  <si>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</si>
  <si>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</si>
  <si>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</si>
  <si>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</si>
  <si>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</si>
  <si>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</si>
  <si>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</si>
  <si>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</si>
  <si>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</si>
  <si>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</si>
  <si>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</si>
  <si>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</si>
  <si>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</si>
  <si>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</si>
  <si>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</si>
  <si>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</si>
  <si>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</si>
  <si>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</si>
  <si>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</si>
  <si>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</si>
  <si>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</si>
  <si>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</si>
  <si>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</si>
  <si>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</si>
  <si>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</si>
  <si>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</si>
  <si>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</si>
  <si>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</si>
  <si>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</si>
  <si>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</si>
  <si>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</si>
  <si>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</si>
  <si>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</si>
  <si>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</si>
  <si>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</si>
  <si>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</si>
  <si>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</si>
  <si>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</si>
  <si>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</si>
  <si>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</si>
  <si>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</si>
  <si>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</si>
  <si>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</si>
  <si>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</si>
  <si>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</si>
  <si>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</si>
  <si>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</si>
  <si>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</si>
  <si>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</si>
  <si>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</si>
  <si>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</si>
  <si>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</si>
  <si>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</si>
  <si>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</si>
  <si>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</si>
  <si>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</si>
  <si>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</si>
  <si>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</si>
  <si>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</si>
  <si>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</si>
  <si>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</si>
  <si>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</si>
  <si>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</si>
  <si>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</si>
  <si>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</si>
  <si>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</si>
  <si>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</si>
  <si>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</si>
  <si>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</si>
  <si>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</si>
  <si>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</si>
  <si>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</si>
  <si>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</si>
  <si>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</si>
  <si>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</si>
  <si>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</si>
  <si>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</si>
  <si>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</si>
  <si>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</si>
  <si>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</si>
  <si>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</si>
  <si>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</si>
  <si>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</si>
  <si>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</si>
  <si>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</si>
  <si>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</si>
  <si>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</si>
  <si>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</si>
  <si>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</si>
  <si>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</si>
  <si>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</si>
  <si>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</si>
  <si>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</si>
  <si>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</si>
  <si>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</si>
  <si>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</si>
  <si>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</si>
  <si>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</si>
  <si>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</si>
  <si>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</si>
  <si>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</si>
  <si>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</si>
  <si>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</si>
  <si>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</si>
  <si>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</si>
  <si>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</si>
  <si>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</si>
  <si>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</si>
  <si>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</si>
  <si>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</si>
  <si>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</si>
  <si>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</si>
  <si>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</si>
  <si>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</si>
  <si>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</si>
  <si>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</si>
  <si>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</si>
  <si>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</si>
  <si>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</si>
  <si>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</si>
  <si>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</si>
  <si>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</si>
  <si>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</si>
  <si>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</si>
  <si>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</si>
  <si>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</si>
  <si>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</si>
  <si>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</si>
  <si>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</si>
  <si>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</si>
  <si>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</si>
  <si>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</si>
  <si>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</si>
  <si>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</si>
  <si>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</si>
  <si>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</si>
  <si>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</si>
  <si>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</si>
  <si>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</si>
  <si>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</si>
  <si>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</si>
  <si>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</si>
  <si>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</si>
  <si>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</si>
  <si>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</si>
  <si>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</si>
  <si>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</si>
  <si>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</si>
  <si>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</si>
  <si>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</si>
  <si>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</si>
  <si>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</si>
  <si>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</si>
  <si>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</si>
  <si>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</si>
  <si>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</si>
  <si>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</si>
  <si>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</si>
  <si>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</si>
  <si>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</si>
  <si>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</si>
  <si>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</si>
  <si>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</si>
  <si>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</si>
  <si>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</si>
  <si>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</si>
  <si>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</si>
  <si>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</si>
  <si>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</si>
  <si>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</si>
  <si>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</si>
  <si>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</si>
  <si>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</si>
  <si>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</si>
  <si>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</si>
  <si>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</si>
  <si>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</si>
  <si>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</si>
  <si>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</si>
  <si>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</si>
  <si>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</si>
  <si>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</si>
  <si>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</si>
  <si>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</si>
  <si>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</si>
  <si>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</si>
  <si>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</si>
  <si>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</si>
  <si>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</si>
  <si>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</si>
  <si>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</si>
  <si>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</si>
  <si>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</si>
  <si>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</si>
  <si>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</si>
  <si>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</si>
  <si>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</si>
  <si>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</si>
  <si>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</si>
  <si>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</si>
  <si>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</si>
  <si>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</si>
  <si>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</si>
  <si>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</si>
  <si>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</si>
  <si>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</si>
  <si>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</si>
  <si>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</si>
  <si>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</si>
  <si>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</si>
  <si>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</si>
  <si>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</si>
  <si>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</si>
  <si>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</si>
  <si>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</si>
  <si>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</si>
  <si>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</si>
  <si>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</si>
  <si>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</si>
  <si>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</si>
  <si>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</si>
  <si>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</si>
  <si>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</si>
  <si>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</si>
  <si>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</si>
  <si>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</si>
  <si>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</si>
  <si>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</si>
  <si>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</si>
  <si>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</si>
  <si>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</si>
  <si>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</si>
  <si>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</si>
  <si>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</si>
  <si>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</si>
  <si>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</si>
  <si>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</si>
  <si>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</si>
  <si>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</si>
  <si>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</si>
  <si>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</si>
  <si>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</si>
  <si>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</si>
  <si>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</si>
  <si>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</si>
  <si>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</si>
  <si>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</si>
  <si>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</si>
  <si>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</si>
  <si>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</si>
  <si>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</si>
  <si>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</si>
  <si>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</si>
  <si>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</si>
  <si>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</si>
  <si>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</si>
  <si>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</si>
  <si>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</si>
  <si>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</si>
  <si>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</si>
  <si>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</si>
  <si>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</si>
  <si>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</si>
  <si>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</si>
  <si>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</si>
  <si>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</si>
  <si>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</si>
  <si>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</si>
  <si>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</si>
  <si>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</si>
  <si>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</si>
  <si>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</si>
  <si>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</si>
  <si>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</si>
  <si>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</si>
  <si>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</si>
  <si>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</si>
  <si>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</si>
  <si>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</si>
  <si>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</si>
  <si>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</si>
  <si>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</si>
  <si>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</si>
  <si>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</si>
  <si>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</si>
  <si>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</si>
  <si>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</si>
  <si>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</si>
  <si>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</si>
  <si>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</si>
  <si>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</si>
  <si>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</si>
  <si>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</si>
  <si>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</si>
  <si>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</si>
  <si>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</si>
  <si>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</si>
  <si>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</si>
  <si>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</si>
  <si>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</si>
  <si>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</si>
  <si>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</si>
  <si>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</si>
  <si>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</si>
  <si>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</si>
  <si>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</si>
  <si>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</si>
  <si>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</si>
  <si>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</si>
  <si>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</si>
  <si>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</si>
  <si>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</si>
  <si>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</si>
  <si>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</si>
  <si>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</si>
  <si>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</si>
  <si>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</si>
  <si>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</si>
  <si>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</si>
  <si>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</si>
  <si>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</si>
  <si>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</si>
  <si>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</si>
  <si>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</si>
  <si>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</si>
  <si>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</si>
  <si>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</si>
  <si>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</si>
  <si>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</si>
  <si>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</si>
  <si>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</si>
  <si>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</si>
  <si>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</si>
  <si>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</si>
  <si>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</si>
  <si>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</si>
  <si>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</si>
  <si>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</si>
  <si>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</si>
  <si>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</si>
  <si>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</si>
  <si>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</si>
  <si>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</si>
  <si>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</si>
  <si>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</si>
  <si>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</si>
  <si>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</si>
  <si>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</si>
  <si>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</si>
  <si>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</si>
  <si>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</si>
  <si>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</si>
  <si>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</si>
  <si>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</si>
  <si>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</si>
  <si>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</si>
  <si>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</si>
  <si>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</si>
  <si>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</si>
  <si>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</si>
  <si>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</si>
  <si>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</si>
  <si>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</si>
  <si>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</si>
  <si>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</si>
  <si>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</si>
  <si>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</si>
  <si>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</si>
  <si>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</si>
  <si>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</si>
  <si>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</si>
  <si>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</si>
  <si>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</si>
  <si>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</si>
  <si>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</si>
  <si>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</si>
  <si>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</si>
  <si>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</si>
  <si>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</si>
  <si>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</si>
  <si>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</si>
  <si>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</si>
  <si>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</si>
  <si>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</si>
  <si>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</si>
  <si>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</si>
  <si>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</si>
  <si>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</si>
  <si>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</si>
  <si>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</si>
  <si>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</si>
  <si>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</si>
  <si>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</si>
  <si>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</si>
  <si>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</si>
  <si>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</si>
  <si>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</si>
  <si>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</si>
  <si>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</si>
  <si>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</si>
  <si>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</si>
  <si>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</si>
  <si>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</si>
  <si>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</si>
  <si>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</si>
  <si>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</si>
  <si>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</si>
  <si>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</si>
  <si>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</si>
  <si>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</si>
  <si>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</si>
  <si>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</si>
  <si>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</si>
  <si>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</si>
  <si>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</si>
  <si>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</si>
  <si>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</si>
  <si>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</si>
  <si>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</si>
  <si>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</si>
  <si>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</si>
  <si>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</si>
  <si>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</si>
  <si>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</si>
  <si>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</si>
  <si>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</si>
  <si>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</si>
  <si>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</si>
  <si>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</si>
  <si>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</si>
  <si>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</si>
  <si>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</si>
  <si>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</si>
  <si>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</si>
  <si>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</si>
  <si>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</si>
  <si>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</si>
  <si>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</si>
  <si>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</si>
  <si>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</si>
  <si>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</si>
  <si>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</si>
  <si>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</si>
  <si>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</si>
  <si>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</si>
  <si>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</si>
  <si>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</si>
  <si>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</si>
  <si>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</si>
  <si>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</si>
  <si>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</si>
  <si>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</si>
  <si>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</si>
  <si>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</si>
  <si>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</si>
  <si>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</si>
  <si>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</si>
  <si>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</si>
  <si>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</si>
  <si>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</si>
  <si>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</si>
  <si>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</si>
  <si>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</si>
  <si>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</si>
  <si>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</si>
  <si>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</si>
  <si>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</si>
  <si>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</si>
  <si>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</si>
  <si>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</si>
  <si>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</si>
  <si>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</si>
  <si>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</si>
  <si>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</si>
  <si>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</si>
  <si>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</si>
  <si>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</si>
  <si>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</si>
  <si>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</si>
  <si>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</si>
  <si>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</si>
  <si>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</si>
  <si>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</si>
  <si>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</si>
  <si>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</si>
  <si>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</si>
  <si>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</si>
  <si>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</si>
  <si>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</si>
  <si>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</si>
  <si>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</si>
  <si>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</si>
  <si>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</si>
  <si>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</si>
  <si>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</si>
  <si>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</si>
  <si>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</si>
  <si>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</si>
  <si>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</si>
  <si>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</si>
  <si>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</si>
  <si>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</si>
  <si>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</si>
  <si>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</si>
  <si>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</si>
  <si>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</si>
  <si>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</si>
  <si>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</si>
  <si>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</si>
  <si>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</si>
  <si>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</si>
  <si>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</si>
  <si>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</si>
  <si>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</si>
  <si>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</si>
  <si>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</si>
  <si>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</si>
  <si>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</si>
  <si>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</si>
  <si>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</si>
  <si>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</si>
  <si>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</si>
  <si>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</si>
  <si>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</si>
  <si>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</si>
  <si>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</si>
  <si>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</si>
  <si>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</si>
  <si>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</si>
  <si>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</si>
  <si>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</si>
  <si>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</si>
  <si>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</si>
  <si>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</si>
  <si>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</si>
  <si>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</si>
  <si>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</si>
  <si>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</si>
  <si>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</si>
  <si>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</si>
  <si>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</si>
  <si>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</si>
  <si>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</si>
  <si>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</si>
  <si>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</si>
  <si>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</si>
  <si>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</si>
  <si>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</si>
  <si>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</si>
  <si>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</si>
  <si>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</si>
  <si>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</si>
  <si>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</si>
  <si>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</si>
  <si>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</si>
  <si>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</si>
  <si>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</si>
  <si>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</si>
  <si>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</si>
  <si>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</si>
  <si>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</si>
  <si>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</si>
  <si>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</si>
  <si>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</si>
  <si>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</si>
  <si>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</si>
  <si>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</si>
  <si>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</si>
  <si>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</si>
  <si>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</si>
  <si>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</si>
  <si>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</si>
  <si>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</si>
  <si>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</si>
  <si>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</si>
  <si>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</si>
  <si>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</si>
  <si>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</si>
  <si>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</si>
  <si>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</si>
  <si>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</si>
  <si>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</si>
  <si>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</si>
  <si>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</si>
  <si>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</si>
  <si>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</si>
  <si>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</si>
  <si>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</si>
  <si>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</si>
  <si>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</si>
  <si>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</si>
  <si>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</si>
  <si>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</si>
  <si>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</si>
  <si>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</si>
  <si>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</si>
  <si>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</si>
  <si>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</si>
  <si>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</si>
  <si>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</si>
  <si>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</si>
  <si>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</si>
  <si>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</si>
  <si>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</si>
  <si>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</si>
  <si>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</si>
  <si>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</si>
  <si>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</si>
  <si>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</si>
  <si>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</si>
  <si>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</si>
  <si>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</si>
  <si>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</si>
  <si>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</si>
  <si>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</si>
  <si>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</si>
  <si>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</si>
  <si>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</si>
  <si>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</si>
  <si>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</si>
  <si>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</si>
  <si>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</si>
  <si>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</si>
  <si>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</si>
  <si>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</si>
  <si>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</si>
  <si>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</si>
  <si>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</si>
  <si>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</si>
  <si>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</si>
  <si>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</si>
  <si>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</si>
  <si>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</si>
  <si>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</si>
  <si>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</si>
  <si>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</si>
  <si>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</si>
  <si>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</si>
  <si>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</si>
  <si>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</si>
  <si>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</si>
  <si>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</si>
  <si>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</si>
  <si>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</si>
  <si>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</si>
  <si>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</si>
  <si>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</si>
  <si>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</si>
  <si>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</si>
  <si>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</si>
  <si>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</si>
  <si>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</si>
  <si>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</si>
  <si>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</si>
  <si>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</si>
  <si>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</si>
  <si>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</si>
  <si>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</si>
  <si>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</si>
  <si>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</si>
  <si>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</si>
  <si>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</si>
  <si>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</si>
  <si>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</si>
  <si>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</si>
  <si>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</si>
  <si>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</si>
  <si>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</si>
  <si>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</si>
  <si>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</si>
  <si>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</si>
  <si>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</si>
  <si>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</si>
  <si>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</si>
  <si>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</si>
  <si>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</si>
  <si>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</si>
  <si>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</si>
  <si>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</si>
  <si>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</si>
  <si>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</si>
  <si>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</si>
  <si>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</si>
  <si>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</si>
  <si>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</si>
  <si>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</si>
  <si>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</si>
  <si>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</si>
  <si>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</si>
  <si>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</si>
  <si>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</si>
  <si>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</si>
  <si>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</si>
  <si>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</si>
  <si>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</si>
  <si>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</si>
  <si>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</si>
  <si>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</si>
  <si>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</si>
  <si>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</si>
  <si>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</si>
  <si>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</si>
  <si>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</si>
  <si>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</si>
  <si>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</si>
  <si>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</si>
  <si>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</si>
  <si>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</si>
  <si>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</si>
  <si>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</si>
  <si>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</si>
  <si>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</si>
  <si>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</si>
  <si>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</si>
  <si>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</si>
  <si>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</si>
  <si>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</si>
  <si>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</si>
  <si>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</si>
  <si>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</si>
  <si>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</si>
  <si>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</si>
  <si>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</si>
  <si>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</si>
  <si>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</si>
  <si>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</si>
  <si>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</si>
  <si>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</si>
  <si>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</si>
  <si>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</si>
  <si>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</si>
  <si>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</si>
  <si>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</si>
  <si>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</si>
  <si>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</si>
  <si>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</si>
  <si>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</si>
  <si>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</si>
  <si>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</si>
  <si>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</si>
  <si>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</si>
  <si>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</si>
  <si>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</si>
  <si>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</si>
  <si>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</si>
  <si>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</si>
  <si>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</si>
  <si>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</si>
  <si>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</si>
  <si>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</si>
  <si>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</si>
  <si>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</si>
  <si>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</si>
  <si>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</si>
  <si>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</si>
  <si>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</si>
  <si>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</si>
  <si>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</si>
  <si>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</si>
  <si>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</si>
  <si>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</si>
  <si>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</si>
  <si>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</si>
  <si>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</si>
  <si>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</si>
  <si>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</si>
  <si>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</si>
  <si>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</si>
  <si>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</si>
  <si>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</si>
  <si>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</si>
  <si>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</si>
  <si>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</si>
  <si>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</si>
  <si>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</si>
  <si>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</si>
  <si>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</si>
  <si>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</si>
  <si>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</si>
  <si>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</si>
  <si>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</si>
  <si>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</si>
  <si>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</si>
  <si>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</si>
  <si>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</si>
  <si>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</si>
  <si>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</si>
  <si>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</si>
  <si>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</si>
  <si>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</si>
  <si>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</si>
  <si>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</si>
  <si>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</si>
  <si>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</si>
  <si>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</si>
  <si>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</si>
  <si>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</si>
  <si>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</si>
  <si>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</si>
  <si>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</si>
  <si>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</si>
  <si>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</si>
  <si>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</si>
  <si>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</si>
  <si>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</si>
  <si>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</si>
  <si>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</si>
  <si>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</si>
  <si>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</si>
  <si>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</si>
  <si>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</si>
  <si>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</si>
  <si>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</si>
  <si>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</si>
  <si>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</si>
  <si>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</si>
  <si>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</si>
  <si>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</si>
  <si>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</si>
  <si>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</si>
  <si>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</si>
  <si>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</si>
  <si>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</si>
  <si>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</si>
  <si>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</si>
  <si>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</si>
  <si>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</si>
  <si>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</si>
  <si>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</si>
  <si>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</si>
  <si>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</si>
  <si>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</si>
  <si>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</si>
  <si>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</si>
  <si>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</si>
  <si>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</si>
  <si>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</si>
  <si>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</si>
  <si>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</si>
  <si>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</si>
  <si>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</si>
  <si>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</si>
  <si>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</si>
  <si>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</si>
  <si>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</si>
  <si>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</si>
  <si>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</si>
  <si>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</si>
  <si>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</si>
  <si>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</si>
  <si>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</si>
  <si>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</si>
  <si>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</si>
  <si>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</si>
  <si>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</si>
  <si>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</si>
  <si>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</si>
  <si>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</si>
  <si>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</si>
  <si>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</si>
  <si>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</si>
  <si>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</si>
  <si>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</si>
  <si>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</si>
  <si>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</si>
  <si>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</si>
  <si>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</si>
  <si>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</si>
  <si>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</si>
  <si>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</si>
  <si>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</si>
  <si>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</si>
  <si>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</si>
  <si>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</si>
  <si>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</si>
  <si>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</si>
  <si>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</si>
  <si>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</si>
  <si>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</si>
  <si>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</si>
  <si>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</si>
  <si>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</si>
  <si>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</si>
  <si>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</si>
  <si>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</si>
  <si>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</si>
  <si>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</si>
  <si>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</si>
  <si>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</si>
  <si>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</si>
  <si>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</si>
  <si>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</si>
  <si>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</si>
  <si>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</si>
  <si>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</si>
  <si>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</si>
  <si>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</si>
  <si>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</si>
  <si>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</si>
  <si>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</si>
  <si>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</si>
  <si>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</si>
  <si>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</si>
  <si>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</si>
  <si>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</si>
  <si>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</si>
  <si>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</si>
  <si>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</si>
  <si>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</si>
  <si>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</si>
  <si>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</si>
  <si>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</si>
  <si>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</si>
  <si>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</si>
  <si>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</si>
  <si>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</si>
  <si>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</si>
  <si>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</si>
  <si>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</si>
  <si>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</si>
  <si>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</si>
  <si>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</si>
  <si>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</si>
  <si>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</si>
  <si>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</si>
  <si>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</si>
  <si>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</si>
  <si>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</si>
  <si>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</si>
  <si>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</si>
  <si>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</si>
  <si>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</si>
  <si>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</si>
  <si>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</si>
  <si>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</si>
  <si>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</si>
  <si>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</si>
  <si>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</si>
  <si>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</si>
  <si>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</si>
  <si>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</si>
  <si>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</si>
  <si>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</si>
  <si>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</si>
  <si>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</si>
  <si>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</si>
  <si>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</si>
  <si>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</si>
  <si>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</si>
  <si>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</si>
  <si>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</si>
  <si>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</si>
  <si>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</si>
  <si>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</si>
  <si>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</si>
  <si>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</si>
  <si>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</si>
  <si>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</si>
  <si>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</si>
  <si>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</si>
  <si>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</si>
  <si>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</si>
  <si>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</si>
  <si>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</si>
  <si>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</si>
  <si>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</si>
  <si>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</si>
  <si>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</si>
  <si>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</si>
  <si>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</si>
  <si>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</si>
  <si>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</si>
  <si>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</si>
  <si>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</si>
  <si>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</si>
  <si>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</si>
  <si>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</si>
  <si>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</si>
  <si>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</si>
  <si>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</si>
  <si>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</si>
  <si>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</si>
  <si>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</si>
  <si>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</si>
  <si>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</si>
  <si>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</si>
  <si>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</si>
  <si>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</si>
  <si>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</si>
  <si>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</si>
  <si>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</si>
  <si>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</si>
  <si>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</si>
  <si>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</si>
  <si>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</si>
  <si>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</si>
  <si>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</si>
  <si>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</si>
  <si>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</si>
  <si>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</si>
  <si>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</si>
  <si>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</si>
  <si>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</si>
  <si>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</si>
  <si>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</si>
  <si>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</si>
  <si>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</si>
  <si>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</si>
  <si>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</si>
  <si>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</si>
  <si>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</si>
  <si>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</si>
  <si>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</si>
  <si>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</si>
  <si>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</si>
  <si>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</si>
  <si>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</si>
  <si>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</si>
  <si>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</si>
  <si>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</si>
  <si>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</si>
  <si>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</si>
  <si>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</si>
  <si>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</si>
  <si>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</si>
  <si>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</si>
  <si>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</si>
  <si>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</si>
  <si>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</si>
  <si>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</si>
  <si>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</si>
  <si>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</si>
  <si>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</si>
  <si>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</si>
  <si>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</si>
  <si>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</si>
  <si>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</si>
  <si>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</si>
  <si>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</si>
  <si>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</si>
  <si>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</si>
  <si>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</si>
  <si>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</si>
  <si>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</si>
  <si>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</si>
  <si>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</si>
  <si>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</si>
  <si>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</si>
  <si>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</si>
  <si>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</si>
  <si>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</si>
  <si>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</si>
  <si>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</si>
  <si>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</si>
  <si>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</si>
  <si>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</si>
  <si>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</si>
  <si>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</si>
  <si>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</si>
  <si>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</si>
  <si>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</si>
  <si>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</si>
  <si>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</si>
  <si>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</si>
  <si>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</si>
  <si>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</si>
  <si>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</si>
  <si>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</si>
  <si>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</si>
  <si>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</si>
  <si>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</si>
  <si>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</si>
  <si>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</si>
  <si>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</si>
  <si>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</si>
  <si>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</si>
  <si>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</si>
  <si>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</si>
  <si>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</si>
  <si>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</si>
  <si>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</si>
  <si>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</si>
  <si>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</si>
  <si>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</si>
  <si>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</si>
  <si>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</si>
  <si>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</si>
  <si>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</si>
  <si>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</si>
  <si>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</si>
  <si>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</si>
  <si>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</si>
  <si>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</si>
  <si>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</si>
  <si>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</si>
  <si>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</si>
  <si>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</si>
  <si>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</si>
  <si>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</si>
  <si>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</si>
  <si>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</si>
  <si>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</si>
  <si>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</si>
  <si>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</si>
  <si>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</si>
  <si>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</si>
  <si>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</si>
  <si>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</si>
  <si>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</si>
  <si>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</si>
  <si>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</si>
  <si>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</si>
  <si>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</si>
  <si>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</si>
  <si>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</si>
  <si>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</si>
  <si>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</si>
  <si>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</si>
  <si>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</si>
  <si>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</si>
  <si>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</si>
  <si>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</si>
  <si>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</si>
  <si>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</si>
  <si>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</si>
  <si>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</si>
  <si>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</si>
  <si>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</si>
  <si>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</si>
  <si>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</si>
  <si>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</si>
  <si>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</si>
  <si>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</si>
  <si>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</si>
  <si>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</si>
  <si>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</si>
  <si>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</si>
  <si>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</si>
  <si>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</si>
  <si>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</si>
  <si>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</si>
  <si>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</si>
  <si>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</si>
  <si>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</si>
  <si>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</si>
  <si>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</si>
  <si>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</si>
  <si>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</si>
  <si>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</si>
  <si>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</si>
  <si>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</si>
  <si>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</si>
  <si>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</si>
  <si>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</si>
  <si>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</si>
  <si>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</si>
  <si>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</si>
  <si>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</si>
  <si>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</si>
  <si>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</si>
  <si>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</si>
  <si>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</si>
  <si>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</si>
  <si>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</si>
  <si>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</si>
  <si>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</si>
  <si>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</si>
  <si>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</si>
  <si>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</si>
  <si>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</si>
  <si>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</si>
  <si>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</si>
  <si>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</si>
  <si>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</si>
  <si>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</si>
  <si>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</si>
  <si>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</si>
  <si>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</si>
  <si>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</si>
  <si>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</si>
  <si>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</si>
  <si>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</si>
  <si>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</si>
  <si>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</si>
  <si>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</si>
  <si>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</si>
  <si>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</si>
  <si>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</si>
  <si>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</si>
  <si>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</si>
  <si>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</si>
  <si>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</si>
  <si>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</si>
  <si>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</si>
  <si>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</si>
  <si>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</si>
  <si>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</si>
  <si>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</si>
  <si>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</si>
  <si>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</si>
  <si>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</si>
  <si>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</si>
  <si>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</si>
  <si>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</si>
  <si>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</si>
  <si>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</si>
  <si>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</si>
  <si>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</si>
  <si>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</si>
  <si>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</si>
  <si>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</si>
  <si>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</si>
  <si>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</si>
  <si>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</si>
  <si>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</si>
  <si>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</si>
  <si>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</si>
  <si>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</si>
  <si>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</si>
  <si>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</si>
  <si>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</si>
  <si>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</si>
  <si>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</si>
  <si>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</si>
  <si>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</si>
  <si>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</si>
  <si>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</si>
  <si>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</si>
  <si>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</si>
  <si>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</si>
  <si>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</si>
  <si>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</si>
  <si>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</si>
  <si>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</si>
  <si>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</si>
  <si>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</si>
  <si>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</si>
  <si>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</si>
  <si>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</si>
  <si>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</si>
  <si>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</si>
  <si>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</si>
  <si>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</si>
  <si>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</si>
  <si>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</si>
  <si>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</si>
  <si>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</si>
  <si>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</si>
  <si>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</si>
  <si>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</si>
  <si>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</si>
  <si>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</si>
  <si>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</si>
  <si>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</si>
  <si>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</si>
  <si>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</si>
  <si>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</si>
  <si>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</si>
  <si>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</si>
  <si>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</si>
  <si>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</si>
  <si>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</si>
  <si>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</si>
  <si>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</si>
  <si>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</si>
  <si>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</si>
  <si>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</si>
  <si>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</si>
  <si>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</si>
  <si>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</si>
  <si>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</si>
  <si>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</si>
  <si>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</si>
  <si>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</si>
  <si>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</si>
  <si>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</si>
  <si>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</si>
  <si>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</si>
  <si>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</si>
  <si>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</si>
  <si>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</si>
  <si>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</si>
  <si>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</si>
  <si>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</si>
  <si>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</si>
  <si>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</si>
  <si>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</si>
  <si>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</si>
  <si>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</si>
  <si>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</si>
  <si>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</si>
  <si>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</si>
  <si>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</si>
  <si>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</si>
  <si>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</si>
  <si>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</si>
  <si>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</si>
  <si>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</si>
  <si>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</si>
  <si>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</si>
  <si>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</si>
  <si>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</si>
  <si>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</si>
  <si>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</si>
  <si>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</si>
  <si>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</si>
  <si>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</si>
  <si>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</si>
  <si>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</si>
  <si>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</si>
  <si>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</si>
  <si>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</si>
  <si>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</si>
  <si>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</si>
  <si>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</si>
  <si>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</si>
  <si>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</si>
  <si>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</si>
  <si>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</si>
  <si>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</si>
  <si>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</si>
  <si>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</si>
  <si>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</si>
  <si>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</si>
  <si>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</si>
  <si>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</si>
  <si>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</si>
  <si>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</si>
  <si>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</si>
  <si>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</si>
  <si>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</si>
  <si>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</si>
  <si>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</si>
  <si>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</si>
  <si>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</si>
  <si>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</si>
  <si>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</si>
  <si>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</si>
  <si>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</si>
  <si>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</si>
  <si>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</si>
  <si>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</si>
  <si>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</si>
  <si>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</si>
  <si>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</si>
  <si>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</si>
  <si>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</si>
  <si>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</si>
  <si>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</si>
  <si>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</si>
  <si>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</si>
  <si>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</si>
  <si>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</si>
  <si>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</si>
  <si>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</si>
  <si>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</si>
  <si>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</si>
  <si>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</si>
  <si>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</si>
  <si>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</si>
  <si>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</si>
  <si>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</si>
  <si>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</si>
  <si>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</si>
  <si>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</si>
  <si>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</si>
  <si>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</si>
  <si>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</si>
  <si>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</si>
  <si>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</si>
  <si>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</si>
  <si>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</si>
  <si>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</si>
  <si>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</si>
  <si>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</si>
  <si>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</si>
  <si>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</si>
  <si>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</si>
  <si>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</si>
  <si>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</si>
  <si>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</si>
  <si>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</si>
  <si>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</si>
  <si>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</si>
  <si>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</si>
  <si>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</si>
  <si>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</si>
  <si>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</si>
  <si>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</si>
  <si>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</si>
  <si>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</si>
  <si>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</si>
  <si>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</si>
  <si>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</si>
  <si>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</si>
  <si>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</si>
  <si>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</si>
  <si>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</si>
  <si>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</si>
  <si>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</si>
  <si>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</si>
  <si>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</si>
  <si>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</si>
  <si>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</si>
  <si>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</si>
  <si>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</si>
  <si>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</si>
  <si>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</si>
  <si>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</si>
  <si>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</si>
  <si>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</si>
  <si>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</si>
  <si>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</si>
  <si>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</si>
  <si>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</si>
  <si>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</si>
  <si>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</si>
  <si>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</si>
  <si>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</si>
  <si>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</si>
  <si>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</si>
  <si>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</si>
  <si>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</si>
  <si>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</si>
  <si>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</si>
  <si>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</si>
  <si>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</si>
  <si>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</si>
  <si>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</si>
  <si>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</si>
  <si>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</si>
  <si>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</si>
  <si>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</si>
  <si>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</si>
  <si>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</si>
  <si>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</si>
  <si>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</si>
  <si>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</si>
  <si>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</si>
  <si>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</si>
  <si>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</si>
  <si>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</si>
  <si>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</si>
  <si>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</si>
  <si>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</si>
  <si>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</si>
  <si>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</si>
  <si>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</si>
  <si>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</si>
  <si>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</si>
  <si>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</si>
  <si>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</si>
  <si>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</si>
  <si>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</si>
  <si>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</si>
  <si>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</si>
  <si>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</si>
  <si>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</si>
  <si>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</si>
  <si>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</si>
  <si>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</si>
  <si>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</si>
  <si>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</si>
  <si>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</si>
  <si>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</si>
  <si>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</si>
  <si>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</si>
  <si>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</si>
  <si>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</si>
  <si>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</si>
  <si>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</si>
  <si>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</si>
  <si>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</si>
  <si>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</si>
  <si>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</si>
  <si>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</si>
  <si>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</si>
  <si>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</si>
  <si>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</si>
  <si>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</si>
  <si>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</si>
  <si>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</si>
  <si>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</si>
  <si>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</si>
  <si>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</si>
  <si>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</si>
  <si>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</si>
  <si>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</si>
  <si>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</si>
  <si>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</si>
  <si>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</si>
  <si>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</si>
  <si>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</si>
  <si>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</si>
  <si>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</si>
  <si>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</si>
  <si>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</si>
  <si>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</si>
  <si>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</si>
  <si>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</si>
  <si>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</si>
  <si>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</si>
  <si>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</si>
  <si>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</si>
  <si>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</si>
  <si>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</si>
  <si>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</si>
  <si>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</si>
  <si>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</si>
  <si>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</si>
  <si>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</si>
  <si>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</si>
  <si>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</si>
  <si>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</si>
  <si>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</si>
  <si>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</si>
  <si>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</si>
  <si>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</si>
  <si>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</si>
  <si>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</si>
  <si>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</si>
  <si>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</si>
  <si>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</si>
  <si>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</si>
  <si>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</si>
  <si>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</si>
  <si>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</si>
  <si>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</si>
  <si>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</si>
  <si>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</si>
  <si>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</si>
  <si>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</si>
  <si>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</si>
  <si>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</si>
  <si>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</si>
  <si>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</si>
  <si>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</si>
  <si>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</si>
  <si>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</si>
  <si>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</si>
  <si>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</si>
  <si>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</si>
  <si>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</si>
  <si>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</si>
  <si>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</si>
  <si>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</si>
  <si>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</si>
  <si>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</si>
  <si>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</si>
  <si>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</si>
  <si>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</si>
  <si>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</si>
  <si>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</si>
  <si>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</si>
  <si>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</si>
  <si>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</si>
  <si>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</si>
  <si>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</si>
  <si>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</si>
  <si>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</si>
  <si>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</si>
  <si>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</si>
  <si>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</si>
  <si>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</si>
  <si>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</si>
  <si>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</si>
  <si>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</si>
  <si>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</si>
  <si>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</si>
  <si>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</si>
  <si>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</si>
  <si>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</si>
  <si>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</si>
  <si>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</si>
  <si>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</si>
  <si>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</si>
  <si>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</si>
  <si>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</si>
  <si>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</si>
  <si>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</si>
  <si>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</si>
  <si>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</si>
  <si>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</si>
  <si>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</si>
  <si>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</si>
  <si>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</si>
  <si>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</si>
  <si>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</si>
  <si>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</si>
  <si>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</si>
  <si>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</si>
  <si>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</si>
  <si>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</si>
  <si>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</si>
  <si>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</si>
  <si>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</si>
  <si>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</si>
  <si>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</si>
  <si>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</si>
  <si>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</si>
  <si>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</si>
  <si>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</si>
  <si>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</si>
  <si>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</si>
  <si>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</si>
  <si>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</si>
  <si>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</si>
  <si>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</si>
  <si>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</si>
  <si>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</si>
  <si>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</si>
  <si>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</si>
  <si>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</si>
  <si>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</si>
  <si>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</si>
  <si>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</si>
  <si>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</si>
  <si>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</si>
  <si>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</si>
  <si>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</si>
  <si>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</si>
  <si>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</si>
  <si>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</si>
  <si>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</si>
  <si>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</si>
  <si>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</si>
  <si>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</si>
  <si>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</si>
  <si>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</si>
  <si>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</si>
  <si>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</si>
  <si>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</si>
  <si>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</si>
  <si>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</si>
  <si>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</si>
  <si>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</si>
  <si>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</si>
  <si>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</si>
  <si>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</si>
  <si>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</si>
  <si>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</si>
  <si>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</si>
  <si>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</si>
  <si>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</si>
  <si>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</si>
  <si>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</si>
  <si>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</si>
  <si>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</si>
  <si>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</si>
  <si>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</si>
  <si>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</si>
  <si>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</si>
  <si>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</si>
  <si>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</si>
  <si>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</si>
  <si>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</si>
  <si>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</si>
  <si>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</si>
  <si>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</si>
  <si>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</si>
  <si>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</si>
  <si>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</si>
  <si>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</si>
  <si>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</si>
  <si>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</si>
  <si>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</si>
  <si>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</si>
  <si>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</si>
  <si>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</si>
  <si>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</si>
  <si>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</si>
  <si>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</si>
  <si>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</si>
  <si>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</si>
  <si>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</si>
  <si>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</si>
  <si>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</si>
  <si>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</si>
  <si>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</si>
  <si>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</si>
  <si>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</si>
  <si>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</si>
  <si>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</si>
  <si>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</si>
  <si>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</si>
  <si>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</si>
  <si>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</si>
  <si>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</si>
  <si>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</si>
  <si>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</si>
  <si>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</si>
  <si>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</si>
  <si>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</si>
  <si>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</si>
  <si>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</si>
  <si>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</si>
  <si>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</si>
  <si>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</si>
  <si>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</si>
  <si>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</si>
  <si>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</si>
  <si>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</si>
  <si>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</si>
  <si>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</si>
  <si>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</si>
  <si>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</si>
  <si>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</si>
  <si>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</si>
  <si>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</si>
  <si>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</si>
  <si>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</si>
  <si>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</si>
  <si>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</si>
  <si>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</si>
  <si>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</si>
  <si>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</si>
  <si>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</si>
  <si>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</si>
  <si>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</si>
  <si>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</si>
  <si>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</si>
  <si>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</si>
  <si>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</si>
  <si>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</si>
  <si>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</si>
  <si>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</si>
  <si>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</si>
  <si>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</si>
  <si>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</si>
  <si>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</si>
  <si>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</si>
  <si>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</si>
  <si>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</si>
  <si>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</si>
  <si>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</si>
  <si>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</si>
  <si>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</si>
  <si>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</si>
  <si>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</si>
  <si>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</si>
  <si>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</si>
  <si>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</si>
  <si>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</si>
  <si>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</si>
  <si>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</si>
  <si>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</si>
  <si>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</si>
  <si>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</si>
  <si>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</si>
  <si>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</si>
  <si>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</si>
  <si>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</si>
  <si>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</si>
  <si>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</si>
  <si>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</si>
  <si>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</si>
  <si>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</si>
  <si>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</si>
  <si>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</si>
  <si>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</si>
  <si>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</si>
  <si>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</si>
  <si>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</si>
  <si>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</si>
  <si>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</si>
  <si>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</si>
  <si>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</si>
  <si>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</si>
  <si>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</si>
  <si>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</si>
  <si>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</si>
  <si>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</si>
  <si>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</si>
  <si>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</si>
  <si>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</si>
  <si>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</si>
  <si>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</si>
  <si>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</si>
  <si>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</si>
  <si>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</si>
  <si>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</si>
  <si>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</si>
  <si>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</si>
  <si>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</si>
  <si>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</si>
  <si>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</si>
  <si>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</si>
  <si>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</si>
  <si>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</si>
  <si>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</si>
  <si>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</si>
  <si>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</si>
  <si>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</si>
  <si>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</si>
  <si>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</si>
  <si>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</si>
  <si>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</si>
  <si>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</si>
  <si>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</si>
  <si>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</si>
  <si>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</si>
  <si>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</si>
  <si>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</si>
  <si>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</si>
  <si>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</si>
  <si>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</si>
  <si>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</si>
  <si>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</si>
  <si>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</si>
  <si>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</si>
  <si>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</si>
  <si>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</si>
  <si>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</si>
  <si>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</si>
  <si>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</si>
  <si>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</si>
  <si>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</si>
  <si>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</si>
  <si>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</si>
  <si>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</si>
  <si>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</si>
  <si>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</si>
  <si>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</si>
  <si>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</si>
  <si>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</si>
  <si>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</si>
  <si>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</si>
  <si>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</si>
  <si>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</si>
  <si>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</si>
  <si>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</si>
  <si>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</si>
  <si>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</si>
  <si>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</si>
  <si>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</si>
  <si>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</si>
  <si>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</si>
  <si>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</si>
  <si>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</si>
  <si>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</si>
  <si>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</si>
  <si>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</si>
  <si>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</si>
  <si>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</si>
  <si>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</si>
  <si>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</si>
  <si>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</si>
  <si>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</si>
  <si>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</si>
  <si>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</si>
  <si>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</si>
  <si>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</si>
  <si>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</si>
  <si>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</si>
  <si>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</si>
  <si>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</si>
  <si>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</si>
  <si>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</si>
  <si>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</si>
  <si>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</si>
  <si>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</si>
  <si>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</si>
  <si>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</si>
  <si>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</si>
  <si>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</si>
  <si>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</si>
  <si>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</si>
  <si>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</si>
  <si>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</si>
  <si>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</si>
  <si>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</si>
  <si>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</si>
  <si>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</si>
  <si>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</si>
  <si>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</si>
  <si>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</si>
  <si>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</si>
  <si>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</si>
  <si>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</si>
  <si>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</si>
  <si>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</si>
  <si>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</si>
  <si>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</si>
  <si>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</si>
  <si>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</si>
  <si>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</si>
  <si>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</si>
  <si>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</si>
  <si>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</si>
  <si>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</si>
  <si>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</si>
  <si>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</si>
  <si>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</si>
  <si>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</si>
  <si>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</si>
  <si>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</si>
  <si>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</si>
  <si>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</si>
  <si>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</si>
  <si>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</si>
  <si>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</si>
  <si>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</si>
  <si>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</si>
  <si>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</si>
  <si>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</si>
  <si>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</si>
  <si>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</si>
  <si>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</si>
  <si>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</si>
  <si>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</si>
  <si>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</si>
  <si>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</si>
  <si>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</si>
  <si>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</si>
  <si>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</si>
  <si>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</si>
  <si>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</si>
  <si>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</si>
  <si>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</si>
  <si>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</si>
  <si>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</si>
  <si>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</si>
  <si>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</si>
  <si>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</si>
  <si>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</si>
  <si>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</si>
  <si>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</si>
  <si>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</si>
  <si>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</si>
  <si>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</si>
  <si>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</si>
  <si>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</si>
  <si>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</si>
  <si>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</si>
  <si>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</si>
  <si>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</si>
  <si>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</si>
  <si>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</si>
  <si>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</si>
  <si>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</si>
  <si>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</si>
  <si>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</si>
  <si>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</si>
  <si>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</si>
  <si>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</si>
  <si>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</si>
  <si>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</si>
  <si>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</si>
  <si>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</si>
  <si>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</si>
  <si>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</si>
  <si>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</si>
  <si>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</si>
  <si>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</si>
  <si>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</si>
  <si>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</si>
  <si>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</si>
  <si>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</si>
  <si>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</si>
  <si>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</si>
  <si>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</si>
  <si>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</si>
  <si>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</si>
  <si>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</si>
  <si>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</si>
  <si>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</si>
  <si>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</si>
  <si>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</si>
  <si>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</si>
  <si>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</si>
  <si>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</si>
  <si>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</si>
  <si>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</si>
  <si>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</si>
  <si>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</si>
  <si>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</si>
  <si>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</si>
  <si>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</si>
  <si>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</si>
  <si>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</si>
  <si>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</si>
  <si>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</si>
  <si>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</si>
  <si>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</si>
  <si>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</si>
  <si>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</si>
  <si>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</si>
  <si>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</si>
  <si>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</si>
  <si>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</si>
  <si>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</si>
  <si>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</si>
  <si>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</si>
  <si>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</si>
  <si>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</si>
  <si>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</si>
  <si>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</si>
  <si>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</si>
  <si>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</si>
  <si>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</si>
  <si>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</si>
  <si>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</si>
  <si>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</si>
  <si>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</si>
  <si>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</si>
  <si>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</si>
  <si>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</si>
  <si>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</si>
  <si>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</si>
  <si>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</si>
  <si>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</si>
  <si>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</si>
  <si>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</si>
  <si>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</si>
  <si>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</si>
  <si>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</si>
  <si>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</si>
  <si>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</si>
  <si>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</si>
  <si>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</si>
  <si>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</si>
  <si>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</si>
  <si>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</si>
  <si>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</si>
  <si>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</si>
  <si>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</si>
  <si>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</si>
  <si>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</si>
  <si>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</si>
  <si>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</si>
  <si>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</si>
  <si>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</si>
  <si>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</si>
  <si>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</si>
  <si>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</si>
  <si>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</si>
  <si>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</si>
  <si>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</si>
  <si>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</si>
  <si>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</si>
  <si>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</si>
  <si>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</si>
  <si>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</si>
  <si>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</si>
  <si>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</si>
  <si>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</si>
  <si>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</si>
  <si>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</si>
  <si>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</si>
  <si>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</si>
  <si>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</si>
  <si>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</si>
  <si>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</si>
  <si>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</si>
  <si>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</si>
  <si>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</si>
  <si>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</si>
  <si>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</si>
  <si>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</si>
  <si>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</si>
  <si>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</si>
  <si>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</si>
  <si>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</si>
  <si>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</si>
  <si>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</si>
  <si>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</si>
  <si>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</si>
  <si>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</si>
  <si>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</si>
  <si>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</si>
  <si>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</si>
  <si>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</si>
  <si>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</si>
  <si>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</si>
  <si>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</si>
  <si>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</si>
  <si>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</si>
  <si>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</si>
  <si>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</si>
  <si>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</si>
  <si>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</si>
  <si>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</si>
  <si>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</si>
  <si>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</si>
  <si>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</si>
  <si>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</si>
  <si>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</si>
  <si>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</si>
  <si>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</si>
  <si>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</si>
  <si>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</si>
  <si>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</si>
  <si>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</si>
  <si>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</si>
  <si>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</si>
  <si>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</si>
  <si>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</si>
  <si>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</si>
  <si>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</si>
  <si>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</si>
  <si>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</si>
  <si>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</si>
  <si>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</si>
  <si>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</si>
  <si>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</si>
  <si>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</si>
  <si>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</si>
  <si>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</si>
  <si>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</si>
  <si>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</si>
  <si>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</si>
  <si>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</si>
  <si>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</si>
  <si>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</si>
  <si>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</si>
  <si>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</si>
  <si>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</si>
  <si>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</si>
  <si>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</si>
  <si>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</si>
  <si>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</si>
  <si>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</si>
  <si>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</si>
  <si>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</si>
  <si>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</si>
  <si>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</si>
  <si>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</si>
  <si>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</si>
  <si>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</si>
  <si>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</si>
  <si>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</si>
  <si>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</si>
  <si>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</si>
  <si>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</si>
  <si>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</si>
  <si>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</si>
  <si>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</si>
  <si>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</si>
  <si>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</si>
  <si>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</si>
  <si>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</si>
  <si>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</si>
  <si>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</si>
  <si>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</si>
  <si>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</si>
  <si>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</si>
  <si>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</si>
  <si>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</si>
  <si>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</si>
  <si>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</si>
  <si>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</si>
  <si>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</si>
  <si>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</si>
  <si>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</si>
  <si>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</si>
  <si>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</si>
  <si>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</si>
  <si>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</si>
  <si>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</si>
  <si>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</si>
  <si>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</si>
  <si>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</si>
  <si>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</si>
  <si>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</si>
  <si>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</si>
  <si>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</si>
  <si>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</si>
  <si>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</si>
  <si>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</si>
  <si>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</si>
  <si>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</si>
  <si>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</si>
  <si>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</si>
  <si>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</si>
  <si>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</si>
  <si>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</si>
  <si>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</si>
  <si>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</si>
  <si>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</si>
  <si>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</si>
  <si>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</si>
  <si>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</si>
  <si>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</si>
  <si>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</si>
  <si>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</si>
  <si>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</si>
  <si>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</si>
  <si>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</si>
  <si>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</si>
  <si>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</si>
  <si>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</si>
  <si>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</si>
  <si>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</si>
  <si>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</si>
  <si>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</si>
  <si>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</si>
  <si>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</si>
  <si>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</si>
  <si>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</si>
  <si>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</si>
  <si>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</si>
  <si>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</si>
  <si>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</si>
  <si>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</si>
  <si>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</si>
  <si>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</si>
  <si>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</si>
  <si>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</si>
  <si>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</si>
  <si>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</si>
  <si>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</si>
  <si>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</si>
  <si>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</si>
  <si>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</si>
  <si>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</si>
  <si>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</si>
  <si>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</si>
  <si>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</si>
  <si>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</si>
  <si>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</si>
  <si>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</si>
  <si>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</si>
  <si>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</si>
  <si>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</si>
  <si>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</si>
  <si>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</si>
  <si>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</si>
  <si>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</si>
  <si>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</si>
  <si>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</si>
  <si>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</si>
  <si>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</si>
  <si>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</si>
  <si>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</si>
  <si>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</si>
  <si>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</si>
  <si>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</si>
  <si>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</si>
  <si>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</si>
  <si>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</si>
  <si>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</si>
  <si>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</si>
  <si>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</si>
  <si>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</si>
  <si>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</si>
  <si>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</si>
  <si>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</si>
  <si>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</si>
  <si>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</si>
  <si>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</si>
  <si>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</si>
  <si>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{start_gift}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</si>
  <si>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</si>
  <si>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</si>
  <si>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</si>
  <si>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</si>
  <si>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</si>
  <si>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{battle}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</si>
  <si>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</si>
  <si>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</si>
  <si>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</si>
  <si>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</si>
  <si>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</si>
  <si>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</si>
  <si>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{name}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</si>
  <si>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</si>
  <si>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</si>
  <si>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</si>
  <si>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</si>
  <si>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</si>
  <si>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</si>
  <si>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{arrangement}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</si>
  <si>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</si>
  <si>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</si>
  <si>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</si>
  <si>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</si>
  <si>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</si>
  <si>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</si>
  <si>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</si>
  <si>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</si>
  <si>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</si>
  <si>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</si>
  <si>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</si>
  <si>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</si>
  <si>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</si>
  <si>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</si>
  <si>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</si>
  <si>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</si>
  <si>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</si>
  <si>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</si>
  <si>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</si>
  <si>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</si>
  <si>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</si>
  <si>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</si>
  <si>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</si>
  <si>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</si>
  <si>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</si>
  <si>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</si>
  <si>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</si>
  <si>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</si>
  <si>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</si>
  <si>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</si>
  <si>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</si>
  <si>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</si>
  <si>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</si>
  <si>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</si>
  <si>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</si>
  <si>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</si>
  <si>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</si>
  <si>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</si>
  <si>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</si>
  <si>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</si>
  <si>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</si>
  <si>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</si>
  <si>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</si>
  <si>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</si>
  <si>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</si>
  <si>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</si>
  <si>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</si>
  <si>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</si>
  <si>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</si>
  <si>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</si>
  <si>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</si>
  <si>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</si>
  <si>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</si>
  <si>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</si>
  <si>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</si>
  <si>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</si>
  <si>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</si>
  <si>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</si>
  <si>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</si>
  <si>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</si>
  <si>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</si>
  <si>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</si>
  <si>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</si>
  <si>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</si>
  <si>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</si>
  <si>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</si>
  <si>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</si>
  <si>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</si>
  <si>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</si>
  <si>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</si>
  <si>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</si>
  <si>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</si>
  <si>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</si>
  <si>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</si>
  <si>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</si>
  <si>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</si>
  <si>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</si>
  <si>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</si>
  <si>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</si>
  <si>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</si>
  <si>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</si>
  <si>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</si>
  <si>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</si>
  <si>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</si>
  <si>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</si>
  <si>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</si>
  <si>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</si>
  <si>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</si>
  <si>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</si>
  <si>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</si>
  <si>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</si>
  <si>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</si>
  <si>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</si>
  <si>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</si>
  <si>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</si>
  <si>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</si>
  <si>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</si>
  <si>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</si>
  <si>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</si>
  <si>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</si>
  <si>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</si>
  <si>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</si>
  <si>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</si>
  <si>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</si>
  <si>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</si>
  <si>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</si>
  <si>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</si>
  <si>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</si>
  <si>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</si>
  <si>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</si>
  <si>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</si>
  <si>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</si>
  <si>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</si>
  <si>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</si>
  <si>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</si>
  <si>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</si>
  <si>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</si>
  <si>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</si>
  <si>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</si>
  <si>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</si>
  <si>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</si>
  <si>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</si>
  <si>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</si>
  <si>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「無限地城」開放了！挑戰LV.10~50的地城，逐層突破取得裝備與洗鍊石獎勵，通關整座地城才會一次發放獎勵。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</si>
  <si>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</si>
  <si>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</si>
  <si>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</si>
  <si>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</si>
  <si>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</si>
  <si>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</si>
  <si>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</si>
  <si>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</si>
  <si>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</si>
  <si>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</si>
  <si>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</si>
  <si>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</si>
  <si>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</si>
  <si>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</si>
  <si>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</si>
  <si>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</si>
  <si>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</si>
  <si>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</si>
  <si>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</si>
  <si>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</si>
  <si>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</si>
  <si>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</si>
  <si>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</si>
  <si>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</si>
  <si>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</si>
  <si>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</si>
  <si>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</si>
  <si>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</si>
  <si>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</si>
  <si>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</si>
  <si>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</si>
  <si>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</si>
  <si>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</si>
  <si>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</si>
  <si>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</si>
  <si>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</si>
  <si>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</si>
  <si>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</si>
  <si>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</si>
  <si>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</si>
  <si>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</si>
  <si>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</si>
  <si>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</si>
  <si>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</si>
  <si>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</si>
  <si>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</si>
  <si>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</si>
  <si>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</si>
  <si>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</si>
  <si>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</si>
  <si>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</si>
  <si>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</si>
  <si>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</si>
  <si>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</si>
  <si>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</si>
  <si>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</si>
  <si>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</si>
  <si>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</si>
  <si>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</si>
  <si>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</si>
  <si>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</si>
  <si>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</si>
  <si>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</si>
  <si>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</si>
  <si>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</si>
  <si>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</si>
  <si>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</si>
  <si>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</si>
  <si>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</si>
  <si>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</si>
  <si>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</si>
  <si>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</si>
  <si>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</si>
  <si>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</si>
  <si>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</si>
  <si>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</si>
  <si>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</si>
  <si>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</si>
  <si>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</si>
  <si>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</si>
  <si>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</si>
  <si>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</si>
  <si>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</si>
  <si>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</si>
  <si>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</si>
  <si>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</si>
  <si>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</si>
  <si>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</si>
  <si>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</si>
  <si>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</si>
  <si>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</si>
  <si>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</si>
  <si>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</si>
  <si>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</si>
  <si>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</si>
  <si>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</si>
  <si>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</si>
  <si>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</si>
  <si>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</si>
  <si>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</si>
  <si>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</si>
  <si>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</si>
  <si>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</si>
  <si>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</si>
  <si>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</si>
  <si>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</si>
  <si>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</si>
  <si>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</si>
  <si>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</si>
  <si>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</si>
  <si>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</si>
  <si>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</si>
  <si>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</si>
  <si>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</si>
  <si>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</si>
  <si>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</si>
  <si>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</si>
  <si>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</si>
  <si>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</si>
  <si>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</si>
  <si>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</si>
  <si>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</si>
  <si>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</si>
  <si>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</si>
  <si>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</si>
  <si>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</si>
  <si>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</si>
  <si>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</si>
  <si>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</si>
  <si>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</si>
  <si>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</si>
  <si>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</si>
  <si>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</si>
  <si>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</si>
  <si>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</si>
  <si>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</si>
  <si>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</si>
  <si>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</si>
  <si>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</si>
  <si>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</si>
  <si>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</si>
  <si>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</si>
  <si>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</si>
  <si>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</si>
  <si>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</si>
  <si>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</si>
  <si>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</si>
  <si>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</si>
  <si>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</si>
  <si>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</si>
  <si>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</si>
  <si>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</si>
  <si>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</si>
  <si>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</si>
  <si>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</si>
  <si>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</si>
  <si>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</si>
  <si>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</si>
  <si>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</si>
  <si>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</si>
  <si>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</si>
  <si>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</si>
  <si>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</si>
  <si>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</si>
  <si>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</si>
  <si>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</si>
  <si>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</si>
  <si>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</si>
  <si>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</si>
  <si>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</si>
  <si>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</si>
  <si>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</si>
  <si>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</si>
  <si>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</si>
  <si>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</si>
  <si>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</si>
  <si>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</si>
  <si>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</si>
  <si>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</si>
  <si>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</si>
  <si>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</si>
  <si>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</si>
  <si>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</si>
  <si>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</si>
  <si>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</si>
  <si>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</si>
  <si>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</si>
  <si>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</si>
  <si>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</si>
  <si>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</si>
  <si>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</si>
  <si>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</si>
  <si>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</si>
  <si>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</si>
  <si>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</si>
  <si>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</si>
  <si>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</si>
  <si>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</si>
  <si>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</si>
  <si>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</si>
  <si>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</si>
  <si>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</si>
  <si>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</si>
  <si>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</si>
  <si>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</si>
  <si>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</si>
  <si>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</si>
  <si>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</si>
  <si>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</si>
  <si>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</si>
  <si>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</si>
  <si>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</si>
  <si>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</si>
  <si>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</si>
  <si>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</si>
  <si>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</si>
  <si>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</si>
  <si>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</si>
  <si>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</si>
  <si>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</si>
  <si>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</si>
  <si>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</si>
  <si>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</si>
  <si>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</si>
  <si>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</si>
  <si>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</si>
  <si>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</si>
  <si>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</si>
  <si>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</si>
  <si>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</si>
  <si>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</si>
  <si>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</si>
  <si>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</si>
  <si>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</si>
  <si>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</si>
  <si>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</si>
  <si>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</si>
  <si>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</si>
  <si>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</si>
  <si>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</si>
  <si>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</si>
  <si>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</si>
  <si>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</si>
  <si>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</si>
  <si>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</si>
  <si>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</si>
  <si>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</si>
  <si>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</si>
  <si>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</si>
  <si>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</si>
  <si>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</si>
  <si>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</si>
  <si>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</si>
  <si>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</si>
  <si>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</si>
  <si>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</si>
  <si>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</si>
  <si>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</si>
  <si>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</si>
  <si>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</si>
  <si>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</si>
  <si>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</si>
  <si>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</si>
  <si>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</si>
  <si>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</si>
  <si>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</si>
  <si>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</si>
  <si>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</si>
  <si>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</si>
  <si>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</si>
  <si>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</si>
  <si>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</si>
  <si>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</si>
  <si>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</si>
  <si>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</si>
  <si>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</si>
  <si>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</si>
  <si>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</si>
  <si>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</si>
  <si>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</si>
  <si>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</si>
  <si>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</si>
  <si>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</si>
  <si>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</si>
  <si>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</si>
  <si>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</si>
  <si>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</si>
  <si>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</si>
  <si>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</si>
  <si>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</si>
  <si>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</si>
  <si>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</si>
  <si>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</si>
  <si>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</si>
  <si>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</si>
  <si>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</si>
  <si>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</si>
  <si>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</si>
  <si>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</si>
  <si>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</si>
  <si>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</si>
  <si>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</si>
  <si>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</si>
  <si>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</si>
  <si>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</si>
  <si>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</si>
  <si>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</si>
  <si>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</si>
  <si>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</si>
  <si>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</si>
  <si>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</si>
  <si>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</si>
  <si>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</si>
  <si>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</si>
  <si>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</si>
  <si>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</si>
  <si>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</si>
  <si>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</si>
  <si>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</si>
  <si>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</si>
  <si>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</si>
  <si>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</si>
  <si>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</si>
  <si>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</si>
  <si>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</si>
  <si>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</si>
  <si>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</si>
  <si>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</si>
  <si>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</si>
  <si>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</si>
  <si>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</si>
  <si>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</si>
  <si>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</si>
  <si>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</si>
  <si>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</si>
  <si>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</si>
  <si>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</si>
  <si>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</si>
  <si>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</si>
  <si>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</si>
  <si>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</si>
  <si>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</si>
  <si>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</si>
  <si>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</si>
  <si>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</si>
  <si>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</si>
  <si>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</si>
  <si>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</si>
  <si>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</si>
  <si>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</si>
  <si>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</si>
  <si>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</si>
  <si>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</si>
  <si>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</si>
  <si>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</si>
  <si>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</si>
  <si>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</si>
  <si>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</si>
  <si>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</si>
  <si>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</si>
  <si>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</si>
  <si>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</si>
  <si>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</si>
  <si>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</si>
  <si>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</si>
  <si>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</si>
  <si>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</si>
  <si>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</si>
  <si>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</si>
  <si>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</si>
  <si>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</si>
  <si>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</si>
  <si>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</si>
  <si>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</si>
  <si>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</si>
  <si>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</si>
  <si>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</si>
  <si>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</si>
  <si>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</si>
  <si>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</si>
  <si>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</si>
  <si>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</si>
  <si>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</si>
  <si>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</si>
  <si>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</si>
  <si>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</si>
  <si>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</si>
  <si>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</si>
  <si>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</si>
  <si>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</si>
  <si>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</si>
  <si>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</si>
  <si>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</si>
  <si>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</si>
  <si>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</si>
  <si>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</si>
  <si>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</si>
  <si>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</si>
  <si>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</si>
  <si>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</si>
  <si>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</si>
  <si>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</si>
  <si>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</si>
  <si>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</si>
  <si>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</si>
  <si>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</si>
  <si>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</si>
  <si>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</si>
  <si>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</si>
  <si>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</si>
  <si>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</si>
  <si>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</si>
  <si>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</si>
  <si>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</si>
  <si>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</si>
  <si>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</si>
  <si>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</si>
  <si>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</si>
  <si>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</si>
  <si>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</si>
  <si>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</si>
  <si>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</si>
  <si>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</si>
  <si>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</si>
  <si>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</si>
  <si>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</si>
  <si>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</si>
  <si>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</si>
  <si>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</si>
  <si>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</si>
  <si>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</si>
  <si>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</si>
  <si>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</si>
  <si>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</si>
  <si>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</si>
  <si>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</si>
  <si>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</si>
  <si>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</si>
  <si>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</si>
  <si>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</si>
  <si>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</si>
  <si>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</si>
  <si>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</si>
  <si>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</si>
  <si>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</si>
  <si>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</si>
  <si>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</si>
  <si>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</si>
  <si>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</si>
  <si>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</si>
  <si>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</si>
  <si>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</si>
  <si>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</si>
  <si>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</si>
  <si>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</si>
  <si>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</si>
  <si>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</si>
  <si>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</si>
  <si>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</si>
  <si>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</si>
  <si>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</si>
  <si>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</si>
  <si>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</si>
  <si>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</si>
  <si>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</si>
  <si>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</si>
  <si>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</si>
  <si>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</si>
  <si>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</si>
  <si>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</si>
  <si>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</si>
  <si>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</si>
  <si>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</si>
  <si>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</si>
  <si>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</si>
  <si>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</si>
  <si>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</si>
  <si>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</si>
  <si>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</si>
  <si>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</si>
  <si>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</si>
  <si>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</si>
  <si>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</si>
  <si>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</si>
  <si>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</si>
  <si>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</si>
  <si>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</si>
  <si>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</si>
  <si>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</si>
  <si>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</si>
  <si>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</si>
  <si>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</si>
  <si>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</si>
  <si>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</si>
  <si>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</si>
  <si>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</si>
  <si>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</si>
  <si>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</si>
  <si>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</si>
  <si>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</si>
  <si>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</si>
  <si>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</si>
  <si>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</si>
  <si>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</si>
  <si>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</si>
  <si>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</si>
  <si>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</si>
  <si>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</si>
  <si>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</si>
  <si>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</si>
  <si>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</si>
  <si>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</si>
  <si>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</si>
  <si>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</si>
  <si>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</si>
  <si>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</si>
  <si>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</si>
  <si>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</si>
  <si>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</si>
  <si>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</si>
  <si>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</si>
  <si>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</si>
  <si>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</si>
  <si>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</si>
  <si>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</si>
  <si>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</si>
  <si>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</si>
  <si>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</si>
  <si>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</si>
  <si>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</si>
  <si>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</si>
  <si>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</si>
  <si>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</si>
  <si>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</si>
  <si>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</si>
  <si>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</si>
  <si>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</si>
  <si>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</si>
  <si>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</si>
  <si>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</si>
  <si>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</si>
  <si>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</si>
  <si>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</si>
  <si>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</si>
  <si>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</si>
  <si>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</si>
  <si>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</si>
  <si>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</si>
  <si>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</si>
  <si>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</si>
  <si>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</si>
  <si>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</si>
  <si>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</si>
  <si>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</si>
  <si>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</si>
  <si>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</si>
  <si>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</si>
  <si>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</si>
  <si>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</si>
  <si>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</si>
  <si>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</si>
  <si>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</si>
  <si>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</si>
  <si>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</si>
  <si>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</si>
  <si>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</si>
  <si>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</si>
  <si>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</si>
  <si>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</si>
  <si>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</si>
  <si>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</si>
  <si>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</si>
  <si>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</si>
  <si>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</si>
  <si>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</si>
  <si>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</si>
  <si>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</si>
  <si>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</si>
  <si>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</si>
  <si>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</si>
  <si>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</si>
  <si>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</si>
  <si>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</si>
  <si>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</si>
  <si>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</si>
  <si>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</si>
  <si>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</si>
  <si>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</si>
  <si>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</si>
  <si>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</si>
  <si>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</si>
  <si>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</si>
  <si>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</si>
  <si>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</si>
  <si>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</si>
  <si>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</si>
  <si>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</si>
  <si>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</si>
  <si>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</si>
  <si>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</si>
  <si>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</si>
  <si>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</si>
  <si>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</si>
  <si>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</si>
  <si>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</si>
  <si>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</si>
  <si>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</si>
  <si>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</si>
  <si>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</si>
  <si>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</si>
  <si>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</si>
  <si>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</si>
  <si>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</si>
  <si>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</si>
  <si>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</si>
  <si>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</si>
  <si>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</si>
  <si>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</si>
  <si>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</si>
  <si>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</si>
  <si>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</si>
  <si>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</si>
  <si>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</si>
  <si>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</si>
  <si>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</si>
  <si>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</si>
  <si>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</si>
  <si>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</si>
  <si>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</si>
  <si>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</si>
  <si>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</si>
  <si>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</si>
  <si>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</si>
  <si>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</si>
  <si>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</si>
  <si>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</si>
  <si>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</si>
  <si>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</si>
  <si>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</si>
  <si>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</si>
  <si>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</si>
  <si>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</si>
  <si>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</si>
  <si>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</si>
  <si>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</si>
  <si>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</si>
  <si>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</si>
  <si>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</si>
  <si>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</si>
  <si>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</si>
  <si>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</si>
  <si>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</si>
  <si>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</si>
  <si>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</si>
  <si>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</si>
  <si>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</si>
  <si>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</si>
  <si>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</si>
  <si>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</si>
  <si>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</si>
  <si>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</si>
  <si>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</si>
  <si>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</si>
  <si>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</si>
  <si>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</si>
  <si>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</si>
  <si>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</si>
  <si>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</si>
  <si>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</si>
  <si>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</si>
  <si>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</si>
  <si>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</si>
  <si>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</si>
  <si>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</si>
  <si>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</si>
  <si>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</si>
  <si>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</si>
  <si>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</si>
  <si>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</si>
  <si>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</si>
  <si>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</si>
  <si>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</si>
  <si>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</si>
  <si>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</si>
  <si>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</si>
  <si>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</si>
  <si>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</si>
  <si>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</si>
  <si>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</si>
  <si>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</si>
  <si>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</si>
  <si>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</si>
  <si>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</si>
  <si>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</si>
  <si>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</si>
  <si>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</si>
  <si>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</si>
  <si>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</si>
  <si>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</si>
  <si>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</si>
  <si>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</si>
  <si>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</si>
  <si>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</si>
  <si>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</si>
  <si>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</si>
  <si>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</si>
  <si>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</si>
  <si>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</si>
  <si>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</si>
  <si>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</si>
  <si>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</si>
  <si>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</si>
  <si>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</si>
  <si>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</si>
  <si>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</si>
  <si>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</si>
  <si>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</si>
  <si>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</si>
  <si>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</si>
  <si>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</si>
  <si>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</si>
  <si>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</si>
  <si>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</si>
  <si>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</si>
  <si>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</si>
  <si>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</si>
  <si>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</si>
  <si>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</si>
  <si>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</si>
  <si>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</si>
  <si>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</si>
  <si>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</si>
  <si>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</si>
  <si>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</si>
  <si>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</si>
  <si>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</si>
  <si>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</si>
  <si>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</si>
  <si>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</si>
  <si>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</si>
  <si>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</si>
  <si>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</si>
  <si>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</si>
  <si>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</si>
  <si>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</si>
  <si>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</si>
  <si>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</si>
  <si>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</si>
  <si>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</si>
  <si>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</si>
  <si>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</si>
  <si>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</si>
  <si>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</si>
  <si>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</si>
  <si>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</si>
  <si>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</si>
  <si>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</si>
  <si>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</si>
  <si>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</si>
  <si>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</si>
  <si>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</si>
  <si>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</si>
  <si>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</si>
  <si>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</si>
  <si>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</si>
  <si>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</si>
  <si>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</si>
  <si>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</si>
  <si>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</si>
  <si>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</si>
  <si>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</si>
  <si>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</si>
  <si>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</si>
  <si>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</si>
  <si>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</si>
  <si>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</si>
  <si>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</si>
  <si>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</si>
  <si>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</si>
  <si>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</si>
  <si>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</si>
  <si>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</si>
  <si>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</si>
  <si>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</si>
  <si>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</si>
  <si>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</si>
  <si>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</si>
  <si>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</si>
  <si>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</si>
  <si>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</si>
  <si>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</si>
  <si>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</si>
  <si>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</si>
  <si>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</si>
  <si>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</si>
  <si>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</si>
  <si>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</si>
  <si>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</si>
  <si>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</si>
  <si>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</si>
  <si>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</si>
  <si>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</si>
  <si>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</si>
  <si>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</si>
  <si>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</si>
  <si>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</si>
  <si>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</si>
  <si>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</si>
  <si>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</si>
  <si>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</si>
  <si>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</si>
  <si>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</si>
  <si>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</si>
  <si>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</si>
  <si>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</si>
  <si>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</si>
  <si>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</si>
  <si>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</si>
  <si>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</si>
  <si>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</si>
  <si>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</si>
  <si>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</si>
  <si>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</si>
  <si>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</si>
  <si>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</si>
  <si>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</si>
  <si>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</si>
  <si>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</si>
  <si>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</si>
  <si>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</si>
  <si>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</si>
  <si>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</si>
  <si>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</si>
  <si>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</si>
  <si>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</si>
  <si>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</si>
  <si>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</si>
  <si>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</si>
  <si>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</si>
  <si>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</si>
  <si>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</si>
  <si>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</si>
  <si>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</si>
  <si>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</si>
  <si>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</si>
  <si>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</si>
  <si>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</si>
  <si>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</si>
  <si>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</si>
  <si>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</si>
  <si>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</si>
  <si>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</si>
  <si>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</si>
  <si>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</si>
  <si>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</si>
  <si>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</si>
  <si>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</si>
  <si>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</si>
  <si>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</si>
  <si>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</si>
  <si>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</si>
  <si>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</si>
  <si>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</si>
  <si>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</si>
  <si>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</si>
  <si>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</si>
  <si>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</si>
  <si>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</si>
  <si>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</si>
  <si>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</si>
  <si>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</si>
  <si>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</si>
  <si>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</si>
  <si>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</si>
  <si>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</si>
  <si>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</si>
  <si>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</si>
  <si>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</si>
  <si>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</si>
  <si>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</si>
  <si>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</si>
  <si>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</si>
  <si>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</si>
  <si>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</si>
  <si>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</si>
  <si>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</si>
  <si>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9" type="noConversion"/>
  </si>
  <si>
    <t>根源之力</t>
    <phoneticPr fontId="29" type="noConversion"/>
  </si>
  <si>
    <t>攻擊精進</t>
    <phoneticPr fontId="29" type="noConversion"/>
  </si>
  <si>
    <t>守禦意志</t>
    <phoneticPr fontId="29" type="noConversion"/>
  </si>
  <si>
    <t>攻擊精進1</t>
    <phoneticPr fontId="29" type="noConversion"/>
  </si>
  <si>
    <t>守禦意志1</t>
    <phoneticPr fontId="29" type="noConversion"/>
  </si>
  <si>
    <t>攻擊精進2</t>
    <phoneticPr fontId="29" type="noConversion"/>
  </si>
  <si>
    <t>守禦意志2</t>
    <phoneticPr fontId="29" type="noConversion"/>
  </si>
  <si>
    <t>{0},{0},{100},{0},{0}
{0},{101},{0},{102},{0}
{0},{103},{0},{104},{0}
{0},{105},{0},{106},{0},
{0},{0},{107},{0},{0},
{0},{108},{0},{109},{0},</t>
    <phoneticPr fontId="29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</si>
  <si>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9" type="noConversion"/>
  </si>
  <si>
    <t>持續修練2</t>
    <phoneticPr fontId="29" type="noConversion"/>
  </si>
  <si>
    <t>{role:-1},
{id:-1},{id:-1},{id:-1},{id:-1},{id:-1}
{id:50002,atk:70},{id:40012},{id:40016},{id:40014},{id:40013}</t>
    <phoneticPr fontId="29" type="noConversion"/>
  </si>
  <si>
    <t>初階職業</t>
    <phoneticPr fontId="29" type="noConversion"/>
  </si>
  <si>
    <t>中階職業</t>
    <phoneticPr fontId="29" type="noConversion"/>
  </si>
  <si>
    <t>高階職業</t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</si>
</sst>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3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  <font>
      <sz val="10"/>
      <color rgb="FF000000"/>
      <name val="Microsoft JhengHei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1" fillId="0" borderId="0" xfId="0" applyFont="1" applyAlignment="1">
      <alignment wrapText="1"/>
    </xf>
    <xf numFmtId="0" fontId="27" fillId="0" borderId="0" xfId="0" applyFont="1"/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30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9" xfId="0" applyFont="1" applyBorder="1"/>
    <xf numFmtId="0" fontId="2" fillId="0" borderId="1" xfId="0" applyFont="1" applyBorder="1" applyAlignment="1">
      <alignment horizontal="left"/>
    </xf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28" fillId="0" borderId="0" xfId="0" applyFont="1" applyAlignment="1">
      <alignment wrapText="1"/>
    </xf>
    <xf numFmtId="0" fontId="32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35" t="s">
        <v>12</v>
      </c>
      <c r="C6" s="136"/>
      <c r="D6" s="136"/>
      <c r="E6" s="136"/>
      <c r="F6" s="137"/>
    </row>
    <row r="7" spans="1:6">
      <c r="B7" s="138"/>
      <c r="C7" s="139"/>
      <c r="D7" s="139"/>
      <c r="E7" s="139"/>
      <c r="F7" s="140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35" t="s">
        <v>12</v>
      </c>
      <c r="C14" s="136"/>
      <c r="D14" s="136"/>
      <c r="E14" s="136"/>
      <c r="F14" s="137"/>
    </row>
    <row r="15" spans="1:6">
      <c r="B15" s="138"/>
      <c r="C15" s="139"/>
      <c r="D15" s="139"/>
      <c r="E15" s="139"/>
      <c r="F15" s="140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41" t="s">
        <v>27</v>
      </c>
      <c r="B4" s="142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43" t="s">
        <v>36</v>
      </c>
      <c r="B11" s="142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43" t="s">
        <v>52</v>
      </c>
      <c r="B22" s="142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44" t="s">
        <v>67</v>
      </c>
      <c r="B45" s="145"/>
      <c r="C45" s="145"/>
      <c r="D45" s="145"/>
      <c r="E45" s="145"/>
      <c r="F45" s="145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41" t="s">
        <v>173</v>
      </c>
      <c r="E3" s="146"/>
      <c r="F3" s="146"/>
      <c r="G3" s="142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44" t="s">
        <v>222</v>
      </c>
      <c r="B24" s="3" t="s">
        <v>8</v>
      </c>
    </row>
    <row r="25" spans="1:6" ht="14.25" customHeight="1">
      <c r="A25" s="145"/>
      <c r="B25" s="3" t="s">
        <v>223</v>
      </c>
    </row>
    <row r="26" spans="1:6" ht="14.25" customHeight="1">
      <c r="A26" s="145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47" t="s">
        <v>489</v>
      </c>
      <c r="D39" s="145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47" t="s">
        <v>489</v>
      </c>
      <c r="D69" s="145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41" t="s">
        <v>746</v>
      </c>
      <c r="AA2" s="146"/>
      <c r="AB2" s="146"/>
      <c r="AC2" s="146"/>
      <c r="AD2" s="142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43" t="s">
        <v>748</v>
      </c>
      <c r="AA3" s="146"/>
      <c r="AB3" s="146"/>
      <c r="AC3" s="146"/>
      <c r="AD3" s="142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43" t="s">
        <v>751</v>
      </c>
      <c r="AA4" s="146"/>
      <c r="AB4" s="146"/>
      <c r="AC4" s="146"/>
      <c r="AD4" s="142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43" t="s">
        <v>753</v>
      </c>
      <c r="AA5" s="146"/>
      <c r="AB5" s="146"/>
      <c r="AC5" s="146"/>
      <c r="AD5" s="142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43" t="s">
        <v>755</v>
      </c>
      <c r="AA6" s="146"/>
      <c r="AB6" s="146"/>
      <c r="AC6" s="146"/>
      <c r="AD6" s="142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49" t="s">
        <v>166</v>
      </c>
      <c r="AA7" s="139"/>
      <c r="AB7" s="139"/>
      <c r="AC7" s="139"/>
      <c r="AD7" s="140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43" t="s">
        <v>759</v>
      </c>
      <c r="AA8" s="146"/>
      <c r="AB8" s="146"/>
      <c r="AC8" s="146"/>
      <c r="AD8" s="142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43" t="s">
        <v>761</v>
      </c>
      <c r="AA9" s="146"/>
      <c r="AB9" s="146"/>
      <c r="AC9" s="146"/>
      <c r="AD9" s="142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43" t="s">
        <v>763</v>
      </c>
      <c r="AA10" s="146"/>
      <c r="AB10" s="146"/>
      <c r="AC10" s="146"/>
      <c r="AD10" s="142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41" t="s">
        <v>746</v>
      </c>
      <c r="AA12" s="146"/>
      <c r="AB12" s="146"/>
      <c r="AC12" s="146"/>
      <c r="AD12" s="142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43" t="s">
        <v>279</v>
      </c>
      <c r="AA13" s="146"/>
      <c r="AB13" s="146"/>
      <c r="AC13" s="146"/>
      <c r="AD13" s="142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43" t="s">
        <v>304</v>
      </c>
      <c r="AA14" s="146"/>
      <c r="AB14" s="146"/>
      <c r="AC14" s="146"/>
      <c r="AD14" s="142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43" t="s">
        <v>323</v>
      </c>
      <c r="AA15" s="146"/>
      <c r="AB15" s="146"/>
      <c r="AC15" s="146"/>
      <c r="AD15" s="142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43" t="s">
        <v>342</v>
      </c>
      <c r="AA16" s="146"/>
      <c r="AB16" s="146"/>
      <c r="AC16" s="146"/>
      <c r="AD16" s="142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43" t="s">
        <v>355</v>
      </c>
      <c r="AA17" s="146"/>
      <c r="AB17" s="146"/>
      <c r="AC17" s="146"/>
      <c r="AD17" s="142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43" t="s">
        <v>371</v>
      </c>
      <c r="AA18" s="146"/>
      <c r="AB18" s="146"/>
      <c r="AC18" s="146"/>
      <c r="AD18" s="142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43" t="s">
        <v>388</v>
      </c>
      <c r="AA19" s="146"/>
      <c r="AB19" s="146"/>
      <c r="AC19" s="146"/>
      <c r="AD19" s="142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43" t="s">
        <v>404</v>
      </c>
      <c r="AA20" s="146"/>
      <c r="AB20" s="146"/>
      <c r="AC20" s="146"/>
      <c r="AD20" s="142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43" t="s">
        <v>770</v>
      </c>
      <c r="AA21" s="146"/>
      <c r="AB21" s="146"/>
      <c r="AC21" s="146"/>
      <c r="AD21" s="142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43" t="s">
        <v>771</v>
      </c>
      <c r="AA22" s="146"/>
      <c r="AB22" s="146"/>
      <c r="AC22" s="146"/>
      <c r="AD22" s="142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43" t="s">
        <v>772</v>
      </c>
      <c r="AA23" s="146"/>
      <c r="AB23" s="146"/>
      <c r="AC23" s="146"/>
      <c r="AD23" s="142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43" t="s">
        <v>462</v>
      </c>
      <c r="AA24" s="146"/>
      <c r="AB24" s="146"/>
      <c r="AC24" s="146"/>
      <c r="AD24" s="142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43" t="s">
        <v>492</v>
      </c>
      <c r="AA25" s="146"/>
      <c r="AB25" s="146"/>
      <c r="AC25" s="146"/>
      <c r="AD25" s="142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43" t="s">
        <v>774</v>
      </c>
      <c r="AA26" s="146"/>
      <c r="AB26" s="146"/>
      <c r="AC26" s="146"/>
      <c r="AD26" s="142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43" t="s">
        <v>775</v>
      </c>
      <c r="AA27" s="146"/>
      <c r="AB27" s="146"/>
      <c r="AC27" s="146"/>
      <c r="AD27" s="142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43" t="s">
        <v>517</v>
      </c>
      <c r="AA28" s="146"/>
      <c r="AB28" s="146"/>
      <c r="AC28" s="146"/>
      <c r="AD28" s="142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43" t="s">
        <v>776</v>
      </c>
      <c r="AA29" s="146"/>
      <c r="AB29" s="146"/>
      <c r="AC29" s="146"/>
      <c r="AD29" s="142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43" t="s">
        <v>533</v>
      </c>
      <c r="AA30" s="146"/>
      <c r="AB30" s="146"/>
      <c r="AC30" s="146"/>
      <c r="AD30" s="142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43" t="s">
        <v>538</v>
      </c>
      <c r="AA31" s="146"/>
      <c r="AB31" s="146"/>
      <c r="AC31" s="146"/>
      <c r="AD31" s="142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43" t="s">
        <v>544</v>
      </c>
      <c r="AA32" s="146"/>
      <c r="AB32" s="146"/>
      <c r="AC32" s="146"/>
      <c r="AD32" s="142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43" t="s">
        <v>552</v>
      </c>
      <c r="AA33" s="146"/>
      <c r="AB33" s="146"/>
      <c r="AC33" s="146"/>
      <c r="AD33" s="142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43" t="s">
        <v>569</v>
      </c>
      <c r="AA34" s="146"/>
      <c r="AB34" s="146"/>
      <c r="AC34" s="146"/>
      <c r="AD34" s="142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43" t="s">
        <v>575</v>
      </c>
      <c r="AA35" s="146"/>
      <c r="AB35" s="146"/>
      <c r="AC35" s="146"/>
      <c r="AD35" s="142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43" t="s">
        <v>583</v>
      </c>
      <c r="AA36" s="146"/>
      <c r="AB36" s="146"/>
      <c r="AC36" s="146"/>
      <c r="AD36" s="142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43" t="s">
        <v>589</v>
      </c>
      <c r="AA37" s="146"/>
      <c r="AB37" s="146"/>
      <c r="AC37" s="146"/>
      <c r="AD37" s="142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43" t="s">
        <v>595</v>
      </c>
      <c r="AA38" s="146"/>
      <c r="AB38" s="146"/>
      <c r="AC38" s="146"/>
      <c r="AD38" s="142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43" t="s">
        <v>601</v>
      </c>
      <c r="AA39" s="146"/>
      <c r="AB39" s="146"/>
      <c r="AC39" s="146"/>
      <c r="AD39" s="142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43" t="s">
        <v>781</v>
      </c>
      <c r="AA40" s="146"/>
      <c r="AB40" s="146"/>
      <c r="AC40" s="146"/>
      <c r="AD40" s="142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43" t="s">
        <v>614</v>
      </c>
      <c r="AA41" s="146"/>
      <c r="AB41" s="146"/>
      <c r="AC41" s="146"/>
      <c r="AD41" s="142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43" t="s">
        <v>619</v>
      </c>
      <c r="AA42" s="146"/>
      <c r="AB42" s="146"/>
      <c r="AC42" s="146"/>
      <c r="AD42" s="142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43" t="s">
        <v>626</v>
      </c>
      <c r="AA43" s="146"/>
      <c r="AB43" s="146"/>
      <c r="AC43" s="146"/>
      <c r="AD43" s="142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41" t="s">
        <v>746</v>
      </c>
      <c r="AA45" s="146"/>
      <c r="AB45" s="146"/>
      <c r="AC45" s="146"/>
      <c r="AD45" s="142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43" t="s">
        <v>783</v>
      </c>
      <c r="AA46" s="146"/>
      <c r="AB46" s="146"/>
      <c r="AC46" s="146"/>
      <c r="AD46" s="142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43" t="s">
        <v>784</v>
      </c>
      <c r="AA47" s="146"/>
      <c r="AB47" s="146"/>
      <c r="AC47" s="146"/>
      <c r="AD47" s="142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43" t="s">
        <v>785</v>
      </c>
      <c r="AA48" s="146"/>
      <c r="AB48" s="146"/>
      <c r="AC48" s="146"/>
      <c r="AD48" s="142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43" t="s">
        <v>786</v>
      </c>
      <c r="AA49" s="146"/>
      <c r="AB49" s="146"/>
      <c r="AC49" s="146"/>
      <c r="AD49" s="142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43" t="s">
        <v>789</v>
      </c>
      <c r="AA50" s="146"/>
      <c r="AB50" s="146"/>
      <c r="AC50" s="146"/>
      <c r="AD50" s="142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43" t="s">
        <v>791</v>
      </c>
      <c r="AA51" s="146"/>
      <c r="AB51" s="146"/>
      <c r="AC51" s="146"/>
      <c r="AD51" s="142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43" t="s">
        <v>792</v>
      </c>
      <c r="AA52" s="146"/>
      <c r="AB52" s="146"/>
      <c r="AC52" s="146"/>
      <c r="AD52" s="142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43" t="s">
        <v>411</v>
      </c>
      <c r="AA53" s="146"/>
      <c r="AB53" s="146"/>
      <c r="AC53" s="146"/>
      <c r="AD53" s="142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43" t="s">
        <v>793</v>
      </c>
      <c r="AA54" s="146"/>
      <c r="AB54" s="146"/>
      <c r="AC54" s="146"/>
      <c r="AD54" s="142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43" t="s">
        <v>794</v>
      </c>
      <c r="AA55" s="146"/>
      <c r="AB55" s="146"/>
      <c r="AC55" s="146"/>
      <c r="AD55" s="142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43" t="s">
        <v>795</v>
      </c>
      <c r="AA56" s="146"/>
      <c r="AB56" s="146"/>
      <c r="AC56" s="146"/>
      <c r="AD56" s="142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43" t="s">
        <v>796</v>
      </c>
      <c r="AA57" s="146"/>
      <c r="AB57" s="146"/>
      <c r="AC57" s="146"/>
      <c r="AD57" s="142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43" t="s">
        <v>797</v>
      </c>
      <c r="AA58" s="146"/>
      <c r="AB58" s="146"/>
      <c r="AC58" s="146"/>
      <c r="AD58" s="142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43" t="s">
        <v>798</v>
      </c>
      <c r="AA59" s="146"/>
      <c r="AB59" s="146"/>
      <c r="AC59" s="146"/>
      <c r="AD59" s="142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43" t="s">
        <v>799</v>
      </c>
      <c r="AA60" s="146"/>
      <c r="AB60" s="146"/>
      <c r="AC60" s="146"/>
      <c r="AD60" s="142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43" t="s">
        <v>800</v>
      </c>
      <c r="AA61" s="146"/>
      <c r="AB61" s="146"/>
      <c r="AC61" s="146"/>
      <c r="AD61" s="142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44" t="s">
        <v>801</v>
      </c>
      <c r="AA62" s="145"/>
      <c r="AB62" s="145"/>
      <c r="AC62" s="145"/>
      <c r="AD62" s="145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43" t="s">
        <v>802</v>
      </c>
      <c r="AA63" s="146"/>
      <c r="AB63" s="146"/>
      <c r="AC63" s="146"/>
      <c r="AD63" s="142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43" t="s">
        <v>803</v>
      </c>
      <c r="AA64" s="146"/>
      <c r="AB64" s="146"/>
      <c r="AC64" s="146"/>
      <c r="AD64" s="142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43" t="s">
        <v>805</v>
      </c>
      <c r="AA65" s="146"/>
      <c r="AB65" s="146"/>
      <c r="AC65" s="146"/>
      <c r="AD65" s="142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43" t="s">
        <v>807</v>
      </c>
      <c r="AA66" s="146"/>
      <c r="AB66" s="146"/>
      <c r="AC66" s="146"/>
      <c r="AD66" s="142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43" t="s">
        <v>808</v>
      </c>
      <c r="AA67" s="146"/>
      <c r="AB67" s="146"/>
      <c r="AC67" s="146"/>
      <c r="AD67" s="142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43" t="s">
        <v>809</v>
      </c>
      <c r="AA68" s="146"/>
      <c r="AB68" s="146"/>
      <c r="AC68" s="146"/>
      <c r="AD68" s="142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43" t="s">
        <v>810</v>
      </c>
      <c r="AA69" s="146"/>
      <c r="AB69" s="146"/>
      <c r="AC69" s="146"/>
      <c r="AD69" s="142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43" t="s">
        <v>323</v>
      </c>
      <c r="AA70" s="146"/>
      <c r="AB70" s="146"/>
      <c r="AC70" s="146"/>
      <c r="AD70" s="142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43" t="s">
        <v>598</v>
      </c>
      <c r="AA71" s="146"/>
      <c r="AB71" s="146"/>
      <c r="AC71" s="146"/>
      <c r="AD71" s="142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43" t="s">
        <v>812</v>
      </c>
      <c r="AA72" s="146"/>
      <c r="AB72" s="146"/>
      <c r="AC72" s="146"/>
      <c r="AD72" s="142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43" t="s">
        <v>611</v>
      </c>
      <c r="AA73" s="146"/>
      <c r="AB73" s="146"/>
      <c r="AC73" s="146"/>
      <c r="AD73" s="142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43" t="s">
        <v>813</v>
      </c>
      <c r="AA74" s="146"/>
      <c r="AB74" s="146"/>
      <c r="AC74" s="146"/>
      <c r="AD74" s="142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43" t="s">
        <v>815</v>
      </c>
      <c r="AA75" s="146"/>
      <c r="AB75" s="146"/>
      <c r="AC75" s="146"/>
      <c r="AD75" s="142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48" t="s">
        <v>816</v>
      </c>
      <c r="AA76" s="146"/>
      <c r="AB76" s="146"/>
      <c r="AC76" s="146"/>
      <c r="AD76" s="142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41" t="s">
        <v>746</v>
      </c>
      <c r="AA78" s="146"/>
      <c r="AB78" s="146"/>
      <c r="AC78" s="146"/>
      <c r="AD78" s="142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43" t="s">
        <v>817</v>
      </c>
      <c r="AA79" s="146"/>
      <c r="AB79" s="146"/>
      <c r="AC79" s="146"/>
      <c r="AD79" s="142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43" t="s">
        <v>819</v>
      </c>
      <c r="AA80" s="146"/>
      <c r="AB80" s="146"/>
      <c r="AC80" s="146"/>
      <c r="AD80" s="142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43" t="s">
        <v>820</v>
      </c>
      <c r="AA81" s="146"/>
      <c r="AB81" s="146"/>
      <c r="AC81" s="146"/>
      <c r="AD81" s="142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43" t="s">
        <v>821</v>
      </c>
      <c r="AA82" s="146"/>
      <c r="AB82" s="146"/>
      <c r="AC82" s="146"/>
      <c r="AD82" s="142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43" t="s">
        <v>822</v>
      </c>
      <c r="AA83" s="146"/>
      <c r="AB83" s="146"/>
      <c r="AC83" s="146"/>
      <c r="AD83" s="142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43" t="s">
        <v>824</v>
      </c>
      <c r="AA84" s="146"/>
      <c r="AB84" s="146"/>
      <c r="AC84" s="146"/>
      <c r="AD84" s="142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43" t="s">
        <v>168</v>
      </c>
      <c r="AA85" s="146"/>
      <c r="AB85" s="146"/>
      <c r="AC85" s="146"/>
      <c r="AD85" s="142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45"/>
      <c r="AA86" s="145"/>
      <c r="AB86" s="145"/>
      <c r="AC86" s="145"/>
      <c r="AD86" s="145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41" t="s">
        <v>746</v>
      </c>
      <c r="AA87" s="146"/>
      <c r="AB87" s="146"/>
      <c r="AC87" s="146"/>
      <c r="AD87" s="142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43" t="s">
        <v>826</v>
      </c>
      <c r="AA88" s="146"/>
      <c r="AB88" s="146"/>
      <c r="AC88" s="146"/>
      <c r="AD88" s="142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43" t="s">
        <v>828</v>
      </c>
      <c r="AA89" s="146"/>
      <c r="AB89" s="146"/>
      <c r="AC89" s="146"/>
      <c r="AD89" s="142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43" t="s">
        <v>830</v>
      </c>
      <c r="AA90" s="146"/>
      <c r="AB90" s="146"/>
      <c r="AC90" s="146"/>
      <c r="AD90" s="142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43" t="s">
        <v>832</v>
      </c>
      <c r="AA91" s="146"/>
      <c r="AB91" s="146"/>
      <c r="AC91" s="146"/>
      <c r="AD91" s="142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43" t="s">
        <v>834</v>
      </c>
      <c r="AA92" s="146"/>
      <c r="AB92" s="146"/>
      <c r="AC92" s="146"/>
      <c r="AD92" s="142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43" t="s">
        <v>836</v>
      </c>
      <c r="AA93" s="146"/>
      <c r="AB93" s="146"/>
      <c r="AC93" s="146"/>
      <c r="AD93" s="142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43" t="s">
        <v>837</v>
      </c>
      <c r="AA94" s="146"/>
      <c r="AB94" s="146"/>
      <c r="AC94" s="146"/>
      <c r="AD94" s="142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41" t="s">
        <v>746</v>
      </c>
      <c r="AA96" s="146"/>
      <c r="AB96" s="146"/>
      <c r="AC96" s="146"/>
      <c r="AD96" s="142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43" t="s">
        <v>840</v>
      </c>
      <c r="AA97" s="146"/>
      <c r="AB97" s="146"/>
      <c r="AC97" s="146"/>
      <c r="AD97" s="142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43" t="s">
        <v>842</v>
      </c>
      <c r="AA98" s="146"/>
      <c r="AB98" s="146"/>
      <c r="AC98" s="146"/>
      <c r="AD98" s="142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43" t="s">
        <v>844</v>
      </c>
      <c r="AA99" s="146"/>
      <c r="AB99" s="146"/>
      <c r="AC99" s="146"/>
      <c r="AD99" s="142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43" t="s">
        <v>846</v>
      </c>
      <c r="AA100" s="146"/>
      <c r="AB100" s="146"/>
      <c r="AC100" s="146"/>
      <c r="AD100" s="142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43" t="s">
        <v>848</v>
      </c>
      <c r="AA101" s="146"/>
      <c r="AB101" s="146"/>
      <c r="AC101" s="146"/>
      <c r="AD101" s="142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43" t="s">
        <v>850</v>
      </c>
      <c r="AA102" s="146"/>
      <c r="AB102" s="146"/>
      <c r="AC102" s="146"/>
      <c r="AD102" s="142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43" t="s">
        <v>852</v>
      </c>
      <c r="AA103" s="146"/>
      <c r="AB103" s="146"/>
      <c r="AC103" s="146"/>
      <c r="AD103" s="142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43" t="s">
        <v>854</v>
      </c>
      <c r="AA104" s="146"/>
      <c r="AB104" s="146"/>
      <c r="AC104" s="146"/>
      <c r="AD104" s="142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43" t="s">
        <v>856</v>
      </c>
      <c r="AA105" s="146"/>
      <c r="AB105" s="146"/>
      <c r="AC105" s="146"/>
      <c r="AD105" s="142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43" t="s">
        <v>858</v>
      </c>
      <c r="AA106" s="146"/>
      <c r="AB106" s="146"/>
      <c r="AC106" s="146"/>
      <c r="AD106" s="142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43" t="s">
        <v>860</v>
      </c>
      <c r="AA107" s="146"/>
      <c r="AB107" s="146"/>
      <c r="AC107" s="146"/>
      <c r="AD107" s="142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43" t="s">
        <v>862</v>
      </c>
      <c r="AA108" s="146"/>
      <c r="AB108" s="146"/>
      <c r="AC108" s="146"/>
      <c r="AD108" s="142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43" t="s">
        <v>864</v>
      </c>
      <c r="AA109" s="146"/>
      <c r="AB109" s="146"/>
      <c r="AC109" s="146"/>
      <c r="AD109" s="142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43" t="s">
        <v>866</v>
      </c>
      <c r="AA110" s="146"/>
      <c r="AB110" s="146"/>
      <c r="AC110" s="146"/>
      <c r="AD110" s="142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43" t="s">
        <v>868</v>
      </c>
      <c r="AA111" s="146"/>
      <c r="AB111" s="146"/>
      <c r="AC111" s="146"/>
      <c r="AD111" s="142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43" t="s">
        <v>870</v>
      </c>
      <c r="AA112" s="146"/>
      <c r="AB112" s="146"/>
      <c r="AC112" s="146"/>
      <c r="AD112" s="142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43" t="s">
        <v>872</v>
      </c>
      <c r="AA113" s="146"/>
      <c r="AB113" s="146"/>
      <c r="AC113" s="146"/>
      <c r="AD113" s="142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43" t="s">
        <v>874</v>
      </c>
      <c r="AA114" s="146"/>
      <c r="AB114" s="146"/>
      <c r="AC114" s="146"/>
      <c r="AD114" s="142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43" t="s">
        <v>876</v>
      </c>
      <c r="AA115" s="146"/>
      <c r="AB115" s="146"/>
      <c r="AC115" s="146"/>
      <c r="AD115" s="142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43" t="s">
        <v>878</v>
      </c>
      <c r="AA116" s="146"/>
      <c r="AB116" s="146"/>
      <c r="AC116" s="146"/>
      <c r="AD116" s="142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43" t="s">
        <v>880</v>
      </c>
      <c r="AA117" s="146"/>
      <c r="AB117" s="146"/>
      <c r="AC117" s="146"/>
      <c r="AD117" s="142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43" t="s">
        <v>882</v>
      </c>
      <c r="AA118" s="146"/>
      <c r="AB118" s="146"/>
      <c r="AC118" s="146"/>
      <c r="AD118" s="142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43" t="s">
        <v>884</v>
      </c>
      <c r="AA119" s="146"/>
      <c r="AB119" s="146"/>
      <c r="AC119" s="146"/>
      <c r="AD119" s="142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43" t="s">
        <v>884</v>
      </c>
      <c r="AA120" s="146"/>
      <c r="AB120" s="146"/>
      <c r="AC120" s="146"/>
      <c r="AD120" s="142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43" t="s">
        <v>887</v>
      </c>
      <c r="AA121" s="146"/>
      <c r="AB121" s="146"/>
      <c r="AC121" s="146"/>
      <c r="AD121" s="142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43" t="s">
        <v>889</v>
      </c>
      <c r="AA122" s="146"/>
      <c r="AB122" s="146"/>
      <c r="AC122" s="146"/>
      <c r="AD122" s="142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43" t="s">
        <v>891</v>
      </c>
      <c r="AA123" s="146"/>
      <c r="AB123" s="146"/>
      <c r="AC123" s="146"/>
      <c r="AD123" s="142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43" t="s">
        <v>893</v>
      </c>
      <c r="AA124" s="146"/>
      <c r="AB124" s="146"/>
      <c r="AC124" s="146"/>
      <c r="AD124" s="142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43" t="s">
        <v>895</v>
      </c>
      <c r="AA125" s="146"/>
      <c r="AB125" s="146"/>
      <c r="AC125" s="146"/>
      <c r="AD125" s="142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43" t="s">
        <v>897</v>
      </c>
      <c r="AA126" s="146"/>
      <c r="AB126" s="146"/>
      <c r="AC126" s="146"/>
      <c r="AD126" s="142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43" t="s">
        <v>899</v>
      </c>
      <c r="AA127" s="146"/>
      <c r="AB127" s="146"/>
      <c r="AC127" s="146"/>
      <c r="AD127" s="142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43" t="s">
        <v>901</v>
      </c>
      <c r="AA128" s="146"/>
      <c r="AB128" s="146"/>
      <c r="AC128" s="146"/>
      <c r="AD128" s="142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43" t="s">
        <v>903</v>
      </c>
      <c r="AA129" s="146"/>
      <c r="AB129" s="146"/>
      <c r="AC129" s="146"/>
      <c r="AD129" s="142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43" t="s">
        <v>905</v>
      </c>
      <c r="AA130" s="146"/>
      <c r="AB130" s="146"/>
      <c r="AC130" s="146"/>
      <c r="AD130" s="142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43" t="s">
        <v>907</v>
      </c>
      <c r="AA131" s="146"/>
      <c r="AB131" s="146"/>
      <c r="AC131" s="146"/>
      <c r="AD131" s="142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43" t="s">
        <v>909</v>
      </c>
      <c r="AA132" s="146"/>
      <c r="AB132" s="146"/>
      <c r="AC132" s="146"/>
      <c r="AD132" s="142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43" t="s">
        <v>911</v>
      </c>
      <c r="AA133" s="146"/>
      <c r="AB133" s="146"/>
      <c r="AC133" s="146"/>
      <c r="AD133" s="142"/>
    </row>
    <row r="134" spans="1:30" ht="15.75" customHeight="1">
      <c r="A134" s="6">
        <f t="shared" ref="A134:A165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43" t="s">
        <v>913</v>
      </c>
      <c r="AA134" s="146"/>
      <c r="AB134" s="146"/>
      <c r="AC134" s="146"/>
      <c r="AD134" s="142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43" t="s">
        <v>915</v>
      </c>
      <c r="AA135" s="146"/>
      <c r="AB135" s="146"/>
      <c r="AC135" s="146"/>
      <c r="AD135" s="142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43" t="s">
        <v>917</v>
      </c>
      <c r="AA136" s="146"/>
      <c r="AB136" s="146"/>
      <c r="AC136" s="146"/>
      <c r="AD136" s="142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43" t="s">
        <v>919</v>
      </c>
      <c r="AA137" s="146"/>
      <c r="AB137" s="146"/>
      <c r="AC137" s="146"/>
      <c r="AD137" s="142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43" t="s">
        <v>921</v>
      </c>
      <c r="AA138" s="146"/>
      <c r="AB138" s="146"/>
      <c r="AC138" s="146"/>
      <c r="AD138" s="142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43" t="s">
        <v>922</v>
      </c>
      <c r="AA139" s="146"/>
      <c r="AB139" s="146"/>
      <c r="AC139" s="146"/>
      <c r="AD139" s="142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43" t="s">
        <v>923</v>
      </c>
      <c r="AA140" s="146"/>
      <c r="AB140" s="146"/>
      <c r="AC140" s="146"/>
      <c r="AD140" s="142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43" t="s">
        <v>925</v>
      </c>
      <c r="AA141" s="146"/>
      <c r="AB141" s="146"/>
      <c r="AC141" s="146"/>
      <c r="AD141" s="142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43" t="s">
        <v>927</v>
      </c>
      <c r="AA142" s="146"/>
      <c r="AB142" s="146"/>
      <c r="AC142" s="146"/>
      <c r="AD142" s="142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43" t="s">
        <v>929</v>
      </c>
      <c r="AA143" s="146"/>
      <c r="AB143" s="146"/>
      <c r="AC143" s="146"/>
      <c r="AD143" s="142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43" t="s">
        <v>931</v>
      </c>
      <c r="AA144" s="146"/>
      <c r="AB144" s="146"/>
      <c r="AC144" s="146"/>
      <c r="AD144" s="142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43" t="s">
        <v>933</v>
      </c>
      <c r="AA145" s="146"/>
      <c r="AB145" s="146"/>
      <c r="AC145" s="146"/>
      <c r="AD145" s="142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43" t="s">
        <v>935</v>
      </c>
      <c r="AA146" s="146"/>
      <c r="AB146" s="146"/>
      <c r="AC146" s="146"/>
      <c r="AD146" s="142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43" t="s">
        <v>937</v>
      </c>
      <c r="AA147" s="146"/>
      <c r="AB147" s="146"/>
      <c r="AC147" s="146"/>
      <c r="AD147" s="142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43" t="s">
        <v>938</v>
      </c>
      <c r="AA148" s="146"/>
      <c r="AB148" s="146"/>
      <c r="AC148" s="146"/>
      <c r="AD148" s="142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43" t="s">
        <v>939</v>
      </c>
      <c r="AA149" s="146"/>
      <c r="AB149" s="146"/>
      <c r="AC149" s="146"/>
      <c r="AD149" s="142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43" t="s">
        <v>939</v>
      </c>
      <c r="AA150" s="146"/>
      <c r="AB150" s="146"/>
      <c r="AC150" s="146"/>
      <c r="AD150" s="142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43" t="s">
        <v>941</v>
      </c>
      <c r="AA151" s="146"/>
      <c r="AB151" s="146"/>
      <c r="AC151" s="146"/>
      <c r="AD151" s="142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43" t="s">
        <v>462</v>
      </c>
      <c r="AA152" s="146"/>
      <c r="AB152" s="146"/>
      <c r="AC152" s="146"/>
      <c r="AD152" s="142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43" t="s">
        <v>462</v>
      </c>
      <c r="AA153" s="146"/>
      <c r="AB153" s="146"/>
      <c r="AC153" s="146"/>
      <c r="AD153" s="142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43" t="s">
        <v>462</v>
      </c>
      <c r="AA154" s="146"/>
      <c r="AB154" s="146"/>
      <c r="AC154" s="146"/>
      <c r="AD154" s="142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43" t="s">
        <v>462</v>
      </c>
      <c r="AA155" s="146"/>
      <c r="AB155" s="146"/>
      <c r="AC155" s="146"/>
      <c r="AD155" s="142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43" t="s">
        <v>462</v>
      </c>
      <c r="AA156" s="146"/>
      <c r="AB156" s="146"/>
      <c r="AC156" s="146"/>
      <c r="AD156" s="142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48"/>
      <c r="AA157" s="146"/>
      <c r="AB157" s="146"/>
      <c r="AC157" s="146"/>
      <c r="AD157" s="142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48"/>
      <c r="AA158" s="146"/>
      <c r="AB158" s="146"/>
      <c r="AC158" s="146"/>
      <c r="AD158" s="142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48"/>
      <c r="AA159" s="146"/>
      <c r="AB159" s="146"/>
      <c r="AC159" s="146"/>
      <c r="AD159" s="142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48"/>
      <c r="AA160" s="146"/>
      <c r="AB160" s="146"/>
      <c r="AC160" s="146"/>
      <c r="AD160" s="142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48"/>
      <c r="AA161" s="146"/>
      <c r="AB161" s="146"/>
      <c r="AC161" s="146"/>
      <c r="AD161" s="142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41" t="s">
        <v>746</v>
      </c>
      <c r="AA163" s="146"/>
      <c r="AB163" s="146"/>
      <c r="AC163" s="146"/>
      <c r="AD163" s="142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43" t="s">
        <v>783</v>
      </c>
      <c r="AA164" s="146"/>
      <c r="AB164" s="146"/>
      <c r="AC164" s="146"/>
      <c r="AD164" s="142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43" t="s">
        <v>949</v>
      </c>
      <c r="AA165" s="146"/>
      <c r="AB165" s="146"/>
      <c r="AC165" s="146"/>
      <c r="AD165" s="142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43" t="s">
        <v>783</v>
      </c>
      <c r="AA166" s="146"/>
      <c r="AB166" s="146"/>
      <c r="AC166" s="146"/>
      <c r="AD166" s="142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43" t="s">
        <v>783</v>
      </c>
      <c r="AA167" s="146"/>
      <c r="AB167" s="146"/>
      <c r="AC167" s="146"/>
      <c r="AD167" s="142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43" t="s">
        <v>953</v>
      </c>
      <c r="AA168" s="146"/>
      <c r="AB168" s="146"/>
      <c r="AC168" s="146"/>
      <c r="AD168" s="142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43" t="s">
        <v>784</v>
      </c>
      <c r="AA169" s="146"/>
      <c r="AB169" s="146"/>
      <c r="AC169" s="146"/>
      <c r="AD169" s="142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43" t="s">
        <v>958</v>
      </c>
      <c r="AA170" s="146"/>
      <c r="AB170" s="146"/>
      <c r="AC170" s="146"/>
      <c r="AD170" s="142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43" t="s">
        <v>958</v>
      </c>
      <c r="AA171" s="146"/>
      <c r="AB171" s="146"/>
      <c r="AC171" s="146"/>
      <c r="AD171" s="142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43" t="s">
        <v>958</v>
      </c>
      <c r="AA172" s="146"/>
      <c r="AB172" s="146"/>
      <c r="AC172" s="146"/>
      <c r="AD172" s="142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43" t="s">
        <v>962</v>
      </c>
      <c r="AA173" s="146"/>
      <c r="AB173" s="146"/>
      <c r="AC173" s="146"/>
      <c r="AD173" s="142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43" t="s">
        <v>785</v>
      </c>
      <c r="AA174" s="146"/>
      <c r="AB174" s="146"/>
      <c r="AC174" s="146"/>
      <c r="AD174" s="142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43" t="s">
        <v>965</v>
      </c>
      <c r="AA175" s="146"/>
      <c r="AB175" s="146"/>
      <c r="AC175" s="146"/>
      <c r="AD175" s="142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43" t="s">
        <v>965</v>
      </c>
      <c r="AA176" s="146"/>
      <c r="AB176" s="146"/>
      <c r="AC176" s="146"/>
      <c r="AD176" s="142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43" t="s">
        <v>965</v>
      </c>
      <c r="AA177" s="146"/>
      <c r="AB177" s="146"/>
      <c r="AC177" s="146"/>
      <c r="AD177" s="142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43" t="s">
        <v>969</v>
      </c>
      <c r="AA178" s="146"/>
      <c r="AB178" s="146"/>
      <c r="AC178" s="146"/>
      <c r="AD178" s="142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43" t="s">
        <v>786</v>
      </c>
      <c r="AA179" s="146"/>
      <c r="AB179" s="146"/>
      <c r="AC179" s="146"/>
      <c r="AD179" s="142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43" t="s">
        <v>786</v>
      </c>
      <c r="AA180" s="146"/>
      <c r="AB180" s="146"/>
      <c r="AC180" s="146"/>
      <c r="AD180" s="142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43" t="s">
        <v>973</v>
      </c>
      <c r="AA181" s="146"/>
      <c r="AB181" s="146"/>
      <c r="AC181" s="146"/>
      <c r="AD181" s="142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43" t="s">
        <v>973</v>
      </c>
      <c r="AA182" s="146"/>
      <c r="AB182" s="146"/>
      <c r="AC182" s="146"/>
      <c r="AD182" s="142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43" t="s">
        <v>973</v>
      </c>
      <c r="AA183" s="146"/>
      <c r="AB183" s="146"/>
      <c r="AC183" s="146"/>
      <c r="AD183" s="142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43" t="s">
        <v>977</v>
      </c>
      <c r="AA184" s="146"/>
      <c r="AB184" s="146"/>
      <c r="AC184" s="146"/>
      <c r="AD184" s="142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43" t="s">
        <v>977</v>
      </c>
      <c r="AA185" s="146"/>
      <c r="AB185" s="146"/>
      <c r="AC185" s="146"/>
      <c r="AD185" s="142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43" t="s">
        <v>980</v>
      </c>
      <c r="AA186" s="146"/>
      <c r="AB186" s="146"/>
      <c r="AC186" s="146"/>
      <c r="AD186" s="142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43" t="s">
        <v>980</v>
      </c>
      <c r="AA187" s="146"/>
      <c r="AB187" s="146"/>
      <c r="AC187" s="146"/>
      <c r="AD187" s="142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43" t="s">
        <v>980</v>
      </c>
      <c r="AA188" s="146"/>
      <c r="AB188" s="146"/>
      <c r="AC188" s="146"/>
      <c r="AD188" s="142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43" t="s">
        <v>791</v>
      </c>
      <c r="AA189" s="146"/>
      <c r="AB189" s="146"/>
      <c r="AC189" s="146"/>
      <c r="AD189" s="142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43" t="s">
        <v>985</v>
      </c>
      <c r="AA190" s="146"/>
      <c r="AB190" s="146"/>
      <c r="AC190" s="146"/>
      <c r="AD190" s="142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43" t="s">
        <v>985</v>
      </c>
      <c r="AA191" s="146"/>
      <c r="AB191" s="146"/>
      <c r="AC191" s="146"/>
      <c r="AD191" s="142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43" t="s">
        <v>985</v>
      </c>
      <c r="AA192" s="146"/>
      <c r="AB192" s="146"/>
      <c r="AC192" s="146"/>
      <c r="AD192" s="142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43" t="s">
        <v>989</v>
      </c>
      <c r="AA193" s="146"/>
      <c r="AB193" s="146"/>
      <c r="AC193" s="146"/>
      <c r="AD193" s="142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43" t="s">
        <v>792</v>
      </c>
      <c r="AA194" s="146"/>
      <c r="AB194" s="146"/>
      <c r="AC194" s="146"/>
      <c r="AD194" s="142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43" t="s">
        <v>992</v>
      </c>
      <c r="AA195" s="146"/>
      <c r="AB195" s="146"/>
      <c r="AC195" s="146"/>
      <c r="AD195" s="142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43" t="s">
        <v>992</v>
      </c>
      <c r="AA196" s="146"/>
      <c r="AB196" s="146"/>
      <c r="AC196" s="146"/>
      <c r="AD196" s="142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43" t="s">
        <v>992</v>
      </c>
      <c r="AA197" s="146"/>
      <c r="AB197" s="146"/>
      <c r="AC197" s="146"/>
      <c r="AD197" s="142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43" t="s">
        <v>996</v>
      </c>
      <c r="AA198" s="146"/>
      <c r="AB198" s="146"/>
      <c r="AC198" s="146"/>
      <c r="AD198" s="142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43" t="s">
        <v>411</v>
      </c>
      <c r="AA199" s="146"/>
      <c r="AB199" s="146"/>
      <c r="AC199" s="146"/>
      <c r="AD199" s="142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43" t="s">
        <v>999</v>
      </c>
      <c r="AA200" s="146"/>
      <c r="AB200" s="146"/>
      <c r="AC200" s="146"/>
      <c r="AD200" s="142"/>
    </row>
    <row r="201" spans="1:35" ht="15.75" customHeight="1">
      <c r="A201" s="6">
        <f t="shared" ref="A201:A232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43" t="s">
        <v>999</v>
      </c>
      <c r="AA201" s="146"/>
      <c r="AB201" s="146"/>
      <c r="AC201" s="146"/>
      <c r="AD201" s="142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43" t="s">
        <v>999</v>
      </c>
      <c r="AA202" s="146"/>
      <c r="AB202" s="146"/>
      <c r="AC202" s="146"/>
      <c r="AD202" s="142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43" t="s">
        <v>1003</v>
      </c>
      <c r="AA203" s="146"/>
      <c r="AB203" s="146"/>
      <c r="AC203" s="146"/>
      <c r="AD203" s="142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43" t="s">
        <v>793</v>
      </c>
      <c r="AA204" s="146"/>
      <c r="AB204" s="146"/>
      <c r="AC204" s="146"/>
      <c r="AD204" s="142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43" t="s">
        <v>1006</v>
      </c>
      <c r="AA205" s="146"/>
      <c r="AB205" s="146"/>
      <c r="AC205" s="146"/>
      <c r="AD205" s="142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43" t="s">
        <v>1006</v>
      </c>
      <c r="AA206" s="146"/>
      <c r="AB206" s="146"/>
      <c r="AC206" s="146"/>
      <c r="AD206" s="142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43" t="s">
        <v>1006</v>
      </c>
      <c r="AA207" s="146"/>
      <c r="AB207" s="146"/>
      <c r="AC207" s="146"/>
      <c r="AD207" s="142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43" t="s">
        <v>1010</v>
      </c>
      <c r="AA208" s="146"/>
      <c r="AB208" s="146"/>
      <c r="AC208" s="146"/>
      <c r="AD208" s="142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43" t="s">
        <v>794</v>
      </c>
      <c r="AA209" s="146"/>
      <c r="AB209" s="146"/>
      <c r="AC209" s="146"/>
      <c r="AD209" s="142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43" t="s">
        <v>1013</v>
      </c>
      <c r="AA210" s="146"/>
      <c r="AB210" s="146"/>
      <c r="AC210" s="146"/>
      <c r="AD210" s="142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43" t="s">
        <v>1013</v>
      </c>
      <c r="AA211" s="146"/>
      <c r="AB211" s="146"/>
      <c r="AC211" s="146"/>
      <c r="AD211" s="142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43" t="s">
        <v>1013</v>
      </c>
      <c r="AA212" s="146"/>
      <c r="AB212" s="146"/>
      <c r="AC212" s="146"/>
      <c r="AD212" s="142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43" t="s">
        <v>1017</v>
      </c>
      <c r="AA213" s="146"/>
      <c r="AB213" s="146"/>
      <c r="AC213" s="146"/>
      <c r="AD213" s="142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43" t="s">
        <v>795</v>
      </c>
      <c r="AA214" s="146"/>
      <c r="AB214" s="146"/>
      <c r="AC214" s="146"/>
      <c r="AD214" s="142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43" t="s">
        <v>1020</v>
      </c>
      <c r="AA215" s="146"/>
      <c r="AB215" s="146"/>
      <c r="AC215" s="146"/>
      <c r="AD215" s="142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43" t="s">
        <v>1020</v>
      </c>
      <c r="AA216" s="146"/>
      <c r="AB216" s="146"/>
      <c r="AC216" s="146"/>
      <c r="AD216" s="142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43" t="s">
        <v>1020</v>
      </c>
      <c r="AA217" s="146"/>
      <c r="AB217" s="146"/>
      <c r="AC217" s="146"/>
      <c r="AD217" s="142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43" t="s">
        <v>1024</v>
      </c>
      <c r="AA218" s="146"/>
      <c r="AB218" s="146"/>
      <c r="AC218" s="146"/>
      <c r="AD218" s="142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43" t="s">
        <v>796</v>
      </c>
      <c r="AA219" s="146"/>
      <c r="AB219" s="146"/>
      <c r="AC219" s="146"/>
      <c r="AD219" s="142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43" t="s">
        <v>1027</v>
      </c>
      <c r="AA220" s="146"/>
      <c r="AB220" s="146"/>
      <c r="AC220" s="146"/>
      <c r="AD220" s="142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43" t="s">
        <v>1027</v>
      </c>
      <c r="AA221" s="146"/>
      <c r="AB221" s="146"/>
      <c r="AC221" s="146"/>
      <c r="AD221" s="142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43" t="s">
        <v>1027</v>
      </c>
      <c r="AA222" s="146"/>
      <c r="AB222" s="146"/>
      <c r="AC222" s="146"/>
      <c r="AD222" s="142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43" t="s">
        <v>1031</v>
      </c>
      <c r="AA223" s="146"/>
      <c r="AB223" s="146"/>
      <c r="AC223" s="146"/>
      <c r="AD223" s="142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48"/>
      <c r="AA224" s="146"/>
      <c r="AB224" s="146"/>
      <c r="AC224" s="146"/>
      <c r="AD224" s="142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48"/>
      <c r="AA225" s="146"/>
      <c r="AB225" s="146"/>
      <c r="AC225" s="146"/>
      <c r="AD225" s="142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48"/>
      <c r="AA226" s="146"/>
      <c r="AB226" s="146"/>
      <c r="AC226" s="146"/>
      <c r="AD226" s="142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48"/>
      <c r="AA227" s="146"/>
      <c r="AB227" s="146"/>
      <c r="AC227" s="146"/>
      <c r="AD227" s="142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48"/>
      <c r="AA228" s="146"/>
      <c r="AB228" s="146"/>
      <c r="AC228" s="146"/>
      <c r="AD228" s="142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41" t="s">
        <v>746</v>
      </c>
      <c r="AA230" s="146"/>
      <c r="AB230" s="146"/>
      <c r="AC230" s="146"/>
      <c r="AD230" s="142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43" t="s">
        <v>1033</v>
      </c>
      <c r="AA231" s="146"/>
      <c r="AB231" s="146"/>
      <c r="AC231" s="146"/>
      <c r="AD231" s="142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43" t="s">
        <v>771</v>
      </c>
      <c r="AA232" s="146"/>
      <c r="AB232" s="146"/>
      <c r="AC232" s="146"/>
      <c r="AD232" s="142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43" t="s">
        <v>1036</v>
      </c>
      <c r="AA233" s="146"/>
      <c r="AB233" s="146"/>
      <c r="AC233" s="146"/>
      <c r="AD233" s="142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43" t="s">
        <v>1038</v>
      </c>
      <c r="AA234" s="146"/>
      <c r="AB234" s="146"/>
      <c r="AC234" s="146"/>
      <c r="AD234" s="142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43" t="s">
        <v>1040</v>
      </c>
      <c r="AA235" s="146"/>
      <c r="AB235" s="146"/>
      <c r="AC235" s="146"/>
      <c r="AD235" s="142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43" t="s">
        <v>1042</v>
      </c>
      <c r="AA236" s="146"/>
      <c r="AB236" s="146"/>
      <c r="AC236" s="146"/>
      <c r="AD236" s="142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43" t="s">
        <v>1044</v>
      </c>
      <c r="AA237" s="146"/>
      <c r="AB237" s="146"/>
      <c r="AC237" s="146"/>
      <c r="AD237" s="142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43" t="s">
        <v>1046</v>
      </c>
      <c r="AA238" s="146"/>
      <c r="AB238" s="146"/>
      <c r="AC238" s="146"/>
      <c r="AD238" s="142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43" t="s">
        <v>1048</v>
      </c>
      <c r="AA239" s="146"/>
      <c r="AB239" s="146"/>
      <c r="AC239" s="146"/>
      <c r="AD239" s="142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43" t="s">
        <v>1050</v>
      </c>
      <c r="AA240" s="146"/>
      <c r="AB240" s="146"/>
      <c r="AC240" s="146"/>
      <c r="AD240" s="142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43" t="s">
        <v>1052</v>
      </c>
      <c r="AA241" s="146"/>
      <c r="AB241" s="146"/>
      <c r="AC241" s="146"/>
      <c r="AD241" s="142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43" t="s">
        <v>1054</v>
      </c>
      <c r="AA242" s="146"/>
      <c r="AB242" s="146"/>
      <c r="AC242" s="146"/>
      <c r="AD242" s="142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43" t="s">
        <v>1056</v>
      </c>
      <c r="AA243" s="146"/>
      <c r="AB243" s="146"/>
      <c r="AC243" s="146"/>
      <c r="AD243" s="142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43" t="s">
        <v>1058</v>
      </c>
      <c r="AA244" s="146"/>
      <c r="AB244" s="146"/>
      <c r="AC244" s="146"/>
      <c r="AD244" s="142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43" t="s">
        <v>1060</v>
      </c>
      <c r="AA245" s="146"/>
      <c r="AB245" s="146"/>
      <c r="AC245" s="146"/>
      <c r="AD245" s="142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43" t="s">
        <v>1062</v>
      </c>
      <c r="AA246" s="146"/>
      <c r="AB246" s="146"/>
      <c r="AC246" s="146"/>
      <c r="AD246" s="142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43" t="s">
        <v>1064</v>
      </c>
      <c r="AA247" s="146"/>
      <c r="AB247" s="146"/>
      <c r="AC247" s="146"/>
      <c r="AD247" s="142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43" t="s">
        <v>1066</v>
      </c>
      <c r="AA248" s="146"/>
      <c r="AB248" s="146"/>
      <c r="AC248" s="146"/>
      <c r="AD248" s="142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43" t="s">
        <v>1040</v>
      </c>
      <c r="AA249" s="146"/>
      <c r="AB249" s="146"/>
      <c r="AC249" s="146"/>
      <c r="AD249" s="142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43" t="s">
        <v>1040</v>
      </c>
      <c r="AA250" s="146"/>
      <c r="AB250" s="146"/>
      <c r="AC250" s="146"/>
      <c r="AD250" s="142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43" t="s">
        <v>1070</v>
      </c>
      <c r="AA251" s="146"/>
      <c r="AB251" s="146"/>
      <c r="AC251" s="146"/>
      <c r="AD251" s="142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43" t="s">
        <v>1072</v>
      </c>
      <c r="AA252" s="146"/>
      <c r="AB252" s="146"/>
      <c r="AC252" s="146"/>
      <c r="AD252" s="142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43" t="s">
        <v>1074</v>
      </c>
      <c r="AA253" s="146"/>
      <c r="AB253" s="146"/>
      <c r="AC253" s="146"/>
      <c r="AD253" s="142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43" t="s">
        <v>1076</v>
      </c>
      <c r="AA254" s="146"/>
      <c r="AB254" s="146"/>
      <c r="AC254" s="146"/>
      <c r="AD254" s="142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43" t="s">
        <v>1078</v>
      </c>
      <c r="AA255" s="146"/>
      <c r="AB255" s="146"/>
      <c r="AC255" s="146"/>
      <c r="AD255" s="142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43" t="s">
        <v>1080</v>
      </c>
      <c r="AA256" s="146"/>
      <c r="AB256" s="146"/>
      <c r="AC256" s="146"/>
      <c r="AD256" s="142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43" t="s">
        <v>1082</v>
      </c>
      <c r="AA257" s="146"/>
      <c r="AB257" s="146"/>
      <c r="AC257" s="146"/>
      <c r="AD257" s="142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43" t="s">
        <v>1084</v>
      </c>
      <c r="AA258" s="146"/>
      <c r="AB258" s="146"/>
      <c r="AC258" s="146"/>
      <c r="AD258" s="142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43" t="s">
        <v>1086</v>
      </c>
      <c r="AA259" s="146"/>
      <c r="AB259" s="146"/>
      <c r="AC259" s="146"/>
      <c r="AD259" s="142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43" t="s">
        <v>1088</v>
      </c>
      <c r="AA260" s="146"/>
      <c r="AB260" s="146"/>
      <c r="AC260" s="146"/>
      <c r="AD260" s="142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43" t="s">
        <v>1090</v>
      </c>
      <c r="AA261" s="146"/>
      <c r="AB261" s="146"/>
      <c r="AC261" s="146"/>
      <c r="AD261" s="142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43" t="s">
        <v>1092</v>
      </c>
      <c r="AA262" s="146"/>
      <c r="AB262" s="146"/>
      <c r="AC262" s="146"/>
      <c r="AD262" s="142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43" t="s">
        <v>1094</v>
      </c>
      <c r="AA263" s="146"/>
      <c r="AB263" s="146"/>
      <c r="AC263" s="146"/>
      <c r="AD263" s="142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43" t="s">
        <v>1096</v>
      </c>
      <c r="AA264" s="146"/>
      <c r="AB264" s="146"/>
      <c r="AC264" s="146"/>
      <c r="AD264" s="142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43" t="s">
        <v>1098</v>
      </c>
      <c r="AA265" s="146"/>
      <c r="AB265" s="146"/>
      <c r="AC265" s="146"/>
      <c r="AD265" s="142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43" t="s">
        <v>1100</v>
      </c>
      <c r="AA266" s="146"/>
      <c r="AB266" s="146"/>
      <c r="AC266" s="146"/>
      <c r="AD266" s="142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43" t="s">
        <v>1102</v>
      </c>
      <c r="AA267" s="146"/>
      <c r="AB267" s="146"/>
      <c r="AC267" s="146"/>
      <c r="AD267" s="142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43" t="s">
        <v>1104</v>
      </c>
      <c r="AA268" s="146"/>
      <c r="AB268" s="146"/>
      <c r="AC268" s="146"/>
      <c r="AD268" s="142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43" t="s">
        <v>1106</v>
      </c>
      <c r="AA269" s="146"/>
      <c r="AB269" s="146"/>
      <c r="AC269" s="146"/>
      <c r="AD269" s="142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41" t="s">
        <v>746</v>
      </c>
      <c r="AA271" s="146"/>
      <c r="AB271" s="146"/>
      <c r="AC271" s="146"/>
      <c r="AD271" s="142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43" t="s">
        <v>1108</v>
      </c>
      <c r="AA272" s="146"/>
      <c r="AB272" s="146"/>
      <c r="AC272" s="146"/>
      <c r="AD272" s="142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43" t="s">
        <v>1110</v>
      </c>
      <c r="AA273" s="146"/>
      <c r="AB273" s="146"/>
      <c r="AC273" s="146"/>
      <c r="AD273" s="142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43" t="s">
        <v>1112</v>
      </c>
      <c r="AA274" s="146"/>
      <c r="AB274" s="146"/>
      <c r="AC274" s="146"/>
      <c r="AD274" s="142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43" t="s">
        <v>1114</v>
      </c>
      <c r="AA275" s="146"/>
      <c r="AB275" s="146"/>
      <c r="AC275" s="146"/>
      <c r="AD275" s="142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43" t="s">
        <v>1116</v>
      </c>
      <c r="AA276" s="146"/>
      <c r="AB276" s="146"/>
      <c r="AC276" s="146"/>
      <c r="AD276" s="142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43" t="s">
        <v>1118</v>
      </c>
      <c r="AA277" s="146"/>
      <c r="AB277" s="146"/>
      <c r="AC277" s="146"/>
      <c r="AD277" s="142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43" t="s">
        <v>1120</v>
      </c>
      <c r="AA278" s="146"/>
      <c r="AB278" s="146"/>
      <c r="AC278" s="146"/>
      <c r="AD278" s="142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43" t="s">
        <v>1122</v>
      </c>
      <c r="AA279" s="146"/>
      <c r="AB279" s="146"/>
      <c r="AC279" s="146"/>
      <c r="AD279" s="142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43" t="s">
        <v>1124</v>
      </c>
      <c r="AA280" s="146"/>
      <c r="AB280" s="146"/>
      <c r="AC280" s="146"/>
      <c r="AD280" s="142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43" t="s">
        <v>1126</v>
      </c>
      <c r="AA281" s="146"/>
      <c r="AB281" s="146"/>
      <c r="AC281" s="146"/>
      <c r="AD281" s="142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43" t="s">
        <v>1116</v>
      </c>
      <c r="AA282" s="146"/>
      <c r="AB282" s="146"/>
      <c r="AC282" s="146"/>
      <c r="AD282" s="142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43" t="s">
        <v>1129</v>
      </c>
      <c r="AA283" s="146"/>
      <c r="AB283" s="146"/>
      <c r="AC283" s="146"/>
      <c r="AD283" s="142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43" t="s">
        <v>1131</v>
      </c>
      <c r="AA284" s="146"/>
      <c r="AB284" s="146"/>
      <c r="AC284" s="146"/>
      <c r="AD284" s="142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50" t="s">
        <v>1133</v>
      </c>
      <c r="AA285" s="146"/>
      <c r="AB285" s="146"/>
      <c r="AC285" s="146"/>
      <c r="AD285" s="142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43" t="s">
        <v>1135</v>
      </c>
      <c r="AA286" s="146"/>
      <c r="AB286" s="146"/>
      <c r="AC286" s="146"/>
      <c r="AD286" s="142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43" t="s">
        <v>1137</v>
      </c>
      <c r="AA287" s="146"/>
      <c r="AB287" s="146"/>
      <c r="AC287" s="146"/>
      <c r="AD287" s="142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43" t="s">
        <v>1139</v>
      </c>
      <c r="AA288" s="146"/>
      <c r="AB288" s="146"/>
      <c r="AC288" s="146"/>
      <c r="AD288" s="142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43" t="s">
        <v>1141</v>
      </c>
      <c r="AA289" s="146"/>
      <c r="AB289" s="146"/>
      <c r="AC289" s="146"/>
      <c r="AD289" s="142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43" t="s">
        <v>1143</v>
      </c>
      <c r="AA290" s="146"/>
      <c r="AB290" s="146"/>
      <c r="AC290" s="146"/>
      <c r="AD290" s="142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43" t="s">
        <v>1145</v>
      </c>
      <c r="AA291" s="146"/>
      <c r="AB291" s="146"/>
      <c r="AC291" s="146"/>
      <c r="AD291" s="142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43" t="s">
        <v>1147</v>
      </c>
      <c r="AA292" s="146"/>
      <c r="AB292" s="146"/>
      <c r="AC292" s="146"/>
      <c r="AD292" s="142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43" t="s">
        <v>1149</v>
      </c>
      <c r="AA293" s="146"/>
      <c r="AB293" s="146"/>
      <c r="AC293" s="146"/>
      <c r="AD293" s="142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43" t="s">
        <v>1151</v>
      </c>
      <c r="AA294" s="146"/>
      <c r="AB294" s="146"/>
      <c r="AC294" s="146"/>
      <c r="AD294" s="142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43" t="s">
        <v>1153</v>
      </c>
      <c r="AA295" s="146"/>
      <c r="AB295" s="146"/>
      <c r="AC295" s="146"/>
      <c r="AD295" s="142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43" t="s">
        <v>1155</v>
      </c>
      <c r="AA296" s="146"/>
      <c r="AB296" s="146"/>
      <c r="AC296" s="146"/>
      <c r="AD296" s="142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43" t="s">
        <v>1157</v>
      </c>
      <c r="AA297" s="146"/>
      <c r="AB297" s="146"/>
      <c r="AC297" s="146"/>
      <c r="AD297" s="142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43" t="s">
        <v>1159</v>
      </c>
      <c r="AA298" s="146"/>
      <c r="AB298" s="146"/>
      <c r="AC298" s="146"/>
      <c r="AD298" s="142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43" t="s">
        <v>1161</v>
      </c>
      <c r="AA299" s="146"/>
      <c r="AB299" s="146"/>
      <c r="AC299" s="146"/>
      <c r="AD299" s="142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43" t="s">
        <v>1163</v>
      </c>
      <c r="AA300" s="146"/>
      <c r="AB300" s="146"/>
      <c r="AC300" s="146"/>
      <c r="AD300" s="142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43" t="s">
        <v>1165</v>
      </c>
      <c r="AA301" s="146"/>
      <c r="AB301" s="146"/>
      <c r="AC301" s="146"/>
      <c r="AD301" s="142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43" t="s">
        <v>1167</v>
      </c>
      <c r="AA302" s="146"/>
      <c r="AB302" s="146"/>
      <c r="AC302" s="146"/>
      <c r="AD302" s="142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254:AD254"/>
    <mergeCell ref="Z165:AD165"/>
    <mergeCell ref="Z52:AD52"/>
    <mergeCell ref="Z248:AD248"/>
    <mergeCell ref="Z263:AD263"/>
    <mergeCell ref="Z92:AD92"/>
    <mergeCell ref="Z39:AD39"/>
    <mergeCell ref="Z297:AD297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48:AD48"/>
    <mergeCell ref="Z88:AD88"/>
    <mergeCell ref="Z153:AD153"/>
    <mergeCell ref="Z63:AD63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293:AD293"/>
    <mergeCell ref="Z206:AD206"/>
    <mergeCell ref="Z35:AD35"/>
    <mergeCell ref="Z215:AD215"/>
    <mergeCell ref="Z138:AD138"/>
    <mergeCell ref="Z107:AD107"/>
    <mergeCell ref="Z190:AD190"/>
    <mergeCell ref="Z34:AD34"/>
    <mergeCell ref="Z261:AD261"/>
    <mergeCell ref="Z172:AD172"/>
    <mergeCell ref="Z199:AD199"/>
    <mergeCell ref="Z143:AD143"/>
    <mergeCell ref="Z99:AD99"/>
    <mergeCell ref="Z279:AD279"/>
    <mergeCell ref="Z207:AD207"/>
    <mergeCell ref="Z149:AD149"/>
    <mergeCell ref="Z36:AD36"/>
    <mergeCell ref="Z232:AD232"/>
    <mergeCell ref="Z45:AD45"/>
    <mergeCell ref="Z101:AD101"/>
    <mergeCell ref="Z124:AD124"/>
    <mergeCell ref="Z281:AD281"/>
    <mergeCell ref="Z112:AD112"/>
    <mergeCell ref="Z282:AD282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58:AD58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114:AD114"/>
    <mergeCell ref="Z259:AD259"/>
    <mergeCell ref="Z26:AD26"/>
    <mergeCell ref="Z268:AD268"/>
    <mergeCell ref="Z97:AD97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25:AD25"/>
    <mergeCell ref="Z267:AD267"/>
    <mergeCell ref="Z174:AD174"/>
    <mergeCell ref="Z214:AD214"/>
    <mergeCell ref="Z156:AD156"/>
    <mergeCell ref="Z183:AD183"/>
    <mergeCell ref="Z43:AD43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187:AD187"/>
    <mergeCell ref="Z69:AD69"/>
    <mergeCell ref="Z196:AD196"/>
    <mergeCell ref="Z280:AD280"/>
    <mergeCell ref="Z152:AD152"/>
    <mergeCell ref="Z103:AD103"/>
    <mergeCell ref="Z27:AD27"/>
    <mergeCell ref="Z197:AD197"/>
    <mergeCell ref="Z154:AD154"/>
    <mergeCell ref="Z41:AD41"/>
    <mergeCell ref="Z212:AD212"/>
    <mergeCell ref="Z163:AD163"/>
    <mergeCell ref="Z277:AD277"/>
    <mergeCell ref="Z286:AD286"/>
    <mergeCell ref="Z91:AD91"/>
    <mergeCell ref="Z180:AD180"/>
    <mergeCell ref="Z47:AD47"/>
    <mergeCell ref="Z96:AD96"/>
    <mergeCell ref="Z56:AD56"/>
    <mergeCell ref="Z167:AD167"/>
    <mergeCell ref="Z272:AD272"/>
    <mergeCell ref="Z127:AD127"/>
    <mergeCell ref="Z219:AD219"/>
    <mergeCell ref="Z210:AD210"/>
    <mergeCell ref="Z161:AD161"/>
    <mergeCell ref="Z200:AD200"/>
    <mergeCell ref="Z111:AD111"/>
    <mergeCell ref="Z209:AD209"/>
    <mergeCell ref="Z38:AD38"/>
    <mergeCell ref="Z147:AD147"/>
    <mergeCell ref="Z177:AD177"/>
    <mergeCell ref="Z148:AD148"/>
    <mergeCell ref="Z105:AD105"/>
    <mergeCell ref="Z192:AD192"/>
    <mergeCell ref="Z275:AD275"/>
    <mergeCell ref="Z228:AD228"/>
    <mergeCell ref="Z284:AD284"/>
    <mergeCell ref="Z222:AD222"/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76:AD276"/>
    <mergeCell ref="Z245:AD245"/>
    <mergeCell ref="Z250:AD250"/>
    <mergeCell ref="Z273:AD273"/>
  </mergeCells>
  <phoneticPr fontId="29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abSelected="1" topLeftCell="A26" zoomScaleNormal="100" workbookViewId="0">
      <selection activeCell="G49" sqref="G49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52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53" t="s">
        <v>1429</v>
      </c>
      <c r="J2" s="153" t="s">
        <v>1430</v>
      </c>
      <c r="K2" s="153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54">
        <v>110012</v>
      </c>
      <c r="J3" s="154">
        <f t="shared" ref="J3:J9" si="1">A3+200000</f>
        <v>210001</v>
      </c>
      <c r="K3" s="154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54">
        <v>110011</v>
      </c>
      <c r="J4" s="154">
        <f t="shared" si="1"/>
        <v>210002</v>
      </c>
      <c r="K4" s="154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54">
        <v>110011</v>
      </c>
      <c r="J5" s="154">
        <f t="shared" si="1"/>
        <v>210003</v>
      </c>
      <c r="K5" s="154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54">
        <v>110002</v>
      </c>
      <c r="J6" s="154">
        <f t="shared" si="1"/>
        <v>210004</v>
      </c>
      <c r="K6" s="154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54">
        <v>110001</v>
      </c>
      <c r="J7" s="154">
        <f t="shared" si="1"/>
        <v>210005</v>
      </c>
      <c r="K7" s="154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54">
        <v>110012</v>
      </c>
      <c r="J8" s="154">
        <f t="shared" si="1"/>
        <v>210006</v>
      </c>
      <c r="K8" s="154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54">
        <v>110011</v>
      </c>
      <c r="J9" s="154">
        <f t="shared" si="1"/>
        <v>210007</v>
      </c>
      <c r="K9" s="154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54">
        <v>110012</v>
      </c>
      <c r="J10" s="154">
        <v>210008</v>
      </c>
      <c r="K10" s="154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54">
        <v>110001</v>
      </c>
      <c r="J11" s="154">
        <v>210009</v>
      </c>
      <c r="K11" s="154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54">
        <v>110001</v>
      </c>
      <c r="J12" s="154">
        <v>210010</v>
      </c>
      <c r="K12" s="154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54">
        <v>110001</v>
      </c>
      <c r="J13" s="154">
        <v>210011</v>
      </c>
      <c r="K13" s="154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54">
        <v>110012</v>
      </c>
      <c r="J14" s="154">
        <v>210012</v>
      </c>
      <c r="K14" s="154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54">
        <v>110002</v>
      </c>
      <c r="J15" s="154">
        <v>210013</v>
      </c>
      <c r="K15" s="154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54">
        <v>110002</v>
      </c>
      <c r="J16" s="154">
        <v>210014</v>
      </c>
      <c r="K16" s="154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54">
        <v>110011</v>
      </c>
      <c r="J17" s="154">
        <v>210015</v>
      </c>
      <c r="K17" s="154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54">
        <v>110011</v>
      </c>
      <c r="J18" s="154">
        <f t="shared" ref="J18:J33" si="23">J17+1</f>
        <v>210016</v>
      </c>
      <c r="K18" s="154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54">
        <v>110012</v>
      </c>
      <c r="J19" s="154">
        <f t="shared" si="23"/>
        <v>210017</v>
      </c>
      <c r="K19" s="154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54">
        <v>110012</v>
      </c>
      <c r="J20" s="154">
        <f t="shared" si="23"/>
        <v>210018</v>
      </c>
      <c r="K20" s="154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54">
        <v>110011</v>
      </c>
      <c r="J21" s="154">
        <f t="shared" si="23"/>
        <v>210019</v>
      </c>
      <c r="K21" s="154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54">
        <v>110011</v>
      </c>
      <c r="J22" s="154">
        <f t="shared" si="23"/>
        <v>210020</v>
      </c>
      <c r="K22" s="154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54">
        <v>110002</v>
      </c>
      <c r="J23" s="154">
        <f t="shared" si="23"/>
        <v>210021</v>
      </c>
      <c r="K23" s="154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54">
        <v>110001</v>
      </c>
      <c r="J24" s="154">
        <f t="shared" si="23"/>
        <v>210022</v>
      </c>
      <c r="K24" s="154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54">
        <v>110002</v>
      </c>
      <c r="J25" s="154">
        <f t="shared" si="23"/>
        <v>210023</v>
      </c>
      <c r="K25" s="154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54">
        <v>110011</v>
      </c>
      <c r="J26" s="154">
        <f t="shared" si="23"/>
        <v>210024</v>
      </c>
      <c r="K26" s="154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54">
        <v>110011</v>
      </c>
      <c r="J27" s="154">
        <f t="shared" si="23"/>
        <v>210025</v>
      </c>
      <c r="K27" s="154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54">
        <v>110002</v>
      </c>
      <c r="J28" s="154">
        <f t="shared" si="23"/>
        <v>210026</v>
      </c>
      <c r="K28" s="154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54">
        <v>110001</v>
      </c>
      <c r="J29" s="154">
        <f t="shared" si="23"/>
        <v>210027</v>
      </c>
      <c r="K29" s="154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54">
        <v>110011</v>
      </c>
      <c r="J30" s="154">
        <f t="shared" si="23"/>
        <v>210028</v>
      </c>
      <c r="K30" s="154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54">
        <v>110001</v>
      </c>
      <c r="J31" s="154">
        <f t="shared" si="23"/>
        <v>210029</v>
      </c>
      <c r="K31" s="154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54">
        <v>110012</v>
      </c>
      <c r="J32" s="154">
        <f t="shared" si="23"/>
        <v>210030</v>
      </c>
      <c r="K32" s="154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54">
        <v>110001</v>
      </c>
      <c r="J33" s="154">
        <f t="shared" si="23"/>
        <v>210031</v>
      </c>
      <c r="K33" s="154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53" t="s">
        <v>1429</v>
      </c>
      <c r="J35" s="153" t="s">
        <v>1430</v>
      </c>
      <c r="K35" s="153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>
        <v>21</v>
      </c>
      <c r="H36" s="72" t="str">
        <f t="shared" ref="H36:H48" si="25">"1001,1002,1003,1004,1005,2001,2002,2003,2004,2005,1997"</f>
        <v>1001,1002,1003,1004,1005,2001,2002,2003,2004,2005,1997</v>
      </c>
      <c r="I36" s="154">
        <v>110001</v>
      </c>
      <c r="J36" s="154">
        <f t="shared" ref="J36:J42" si="26">A36+800000</f>
        <v>890001</v>
      </c>
      <c r="K36" s="154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>
        <v>21</v>
      </c>
      <c r="H37" s="72" t="str">
        <f t="shared" si="25"/>
        <v>1001,1002,1003,1004,1005,2001,2002,2003,2004,2005,1997</v>
      </c>
      <c r="I37" s="154">
        <v>110001</v>
      </c>
      <c r="J37" s="154">
        <f t="shared" si="26"/>
        <v>890002</v>
      </c>
      <c r="K37" s="154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>
        <v>21</v>
      </c>
      <c r="H38" s="72" t="str">
        <f t="shared" si="25"/>
        <v>1001,1002,1003,1004,1005,2001,2002,2003,2004,2005,1997</v>
      </c>
      <c r="I38" s="154">
        <v>110001</v>
      </c>
      <c r="J38" s="154">
        <f t="shared" si="26"/>
        <v>890003</v>
      </c>
      <c r="K38" s="154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>
        <v>21</v>
      </c>
      <c r="H39" s="72" t="str">
        <f t="shared" si="25"/>
        <v>1001,1002,1003,1004,1005,2001,2002,2003,2004,2005,1997</v>
      </c>
      <c r="I39" s="154">
        <v>110001</v>
      </c>
      <c r="J39" s="154">
        <f t="shared" si="26"/>
        <v>890004</v>
      </c>
      <c r="K39" s="154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>
        <v>21</v>
      </c>
      <c r="H40" s="72" t="str">
        <f t="shared" si="25"/>
        <v>1001,1002,1003,1004,1005,2001,2002,2003,2004,2005,1997</v>
      </c>
      <c r="I40" s="154">
        <v>110011</v>
      </c>
      <c r="J40" s="154">
        <f t="shared" si="26"/>
        <v>890005</v>
      </c>
      <c r="K40" s="154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>
        <v>21</v>
      </c>
      <c r="H41" s="72" t="str">
        <f t="shared" si="25"/>
        <v>1001,1002,1003,1004,1005,2001,2002,2003,2004,2005,1997</v>
      </c>
      <c r="I41" s="154">
        <v>110011</v>
      </c>
      <c r="J41" s="154">
        <f t="shared" si="26"/>
        <v>890006</v>
      </c>
      <c r="K41" s="154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>
        <v>23</v>
      </c>
      <c r="H42" s="75" t="str">
        <f t="shared" si="25"/>
        <v>1001,1002,1003,1004,1005,2001,2002,2003,2004,2005,1997</v>
      </c>
      <c r="I42" s="155">
        <v>110004</v>
      </c>
      <c r="J42" s="155">
        <f t="shared" si="26"/>
        <v>890007</v>
      </c>
      <c r="K42" s="155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>
        <v>22</v>
      </c>
      <c r="H43" s="72" t="str">
        <f t="shared" si="25"/>
        <v>1001,1002,1003,1004,1005,2001,2002,2003,2004,2005,1997</v>
      </c>
      <c r="I43" s="154">
        <v>110001</v>
      </c>
      <c r="J43" s="154">
        <v>890001</v>
      </c>
      <c r="K43" s="154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>
        <v>22</v>
      </c>
      <c r="H44" s="72" t="str">
        <f t="shared" si="25"/>
        <v>1001,1002,1003,1004,1005,2001,2002,2003,2004,2005,1997</v>
      </c>
      <c r="I44" s="154">
        <v>110001</v>
      </c>
      <c r="J44" s="154">
        <v>890002</v>
      </c>
      <c r="K44" s="154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>
        <v>22</v>
      </c>
      <c r="H45" s="72" t="str">
        <f t="shared" si="25"/>
        <v>1001,1002,1003,1004,1005,2001,2002,2003,2004,2005,1997</v>
      </c>
      <c r="I45" s="154">
        <v>110001</v>
      </c>
      <c r="J45" s="154">
        <v>890003</v>
      </c>
      <c r="K45" s="154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>
        <v>22</v>
      </c>
      <c r="H46" s="72" t="str">
        <f t="shared" si="25"/>
        <v>1001,1002,1003,1004,1005,2001,2002,2003,2004,2005,1997</v>
      </c>
      <c r="I46" s="154">
        <v>110001</v>
      </c>
      <c r="J46" s="154">
        <v>890004</v>
      </c>
      <c r="K46" s="154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>
        <v>22</v>
      </c>
      <c r="H47" s="72" t="str">
        <f t="shared" si="25"/>
        <v>1001,1002,1003,1004,1005,2001,2002,2003,2004,2005,1997</v>
      </c>
      <c r="I47" s="154">
        <v>110011</v>
      </c>
      <c r="J47" s="154">
        <v>890005</v>
      </c>
      <c r="K47" s="154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>
        <v>22</v>
      </c>
      <c r="H48" s="72" t="str">
        <f t="shared" si="25"/>
        <v>1001,1002,1003,1004,1005,2001,2002,2003,2004,2005,1997</v>
      </c>
      <c r="I48" s="154">
        <v>110011</v>
      </c>
      <c r="J48" s="154">
        <v>890006</v>
      </c>
      <c r="K48" s="154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53" t="s">
        <v>1429</v>
      </c>
      <c r="J53" s="153" t="s">
        <v>1430</v>
      </c>
      <c r="K53" s="153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54">
        <v>110002</v>
      </c>
      <c r="J54" s="154">
        <v>400001</v>
      </c>
      <c r="K54" s="154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54">
        <v>110002</v>
      </c>
      <c r="J55" s="154">
        <v>400002</v>
      </c>
      <c r="K55" s="154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54">
        <v>110001</v>
      </c>
      <c r="J56" s="154">
        <v>400003</v>
      </c>
      <c r="K56" s="154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54">
        <v>110002</v>
      </c>
      <c r="J57" s="154">
        <v>400004</v>
      </c>
      <c r="K57" s="154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54">
        <v>110011</v>
      </c>
      <c r="J58" s="154">
        <v>400005</v>
      </c>
      <c r="K58" s="154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54">
        <v>110001</v>
      </c>
      <c r="J59" s="154">
        <v>400006</v>
      </c>
      <c r="K59" s="154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54">
        <v>110012</v>
      </c>
      <c r="J60" s="154">
        <v>400007</v>
      </c>
      <c r="K60" s="154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54">
        <v>110002</v>
      </c>
      <c r="J61" s="154">
        <v>400008</v>
      </c>
      <c r="K61" s="154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54">
        <v>110011</v>
      </c>
      <c r="J62" s="154">
        <v>400009</v>
      </c>
      <c r="K62" s="154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54">
        <v>110012</v>
      </c>
      <c r="J63" s="154">
        <v>400010</v>
      </c>
      <c r="K63" s="154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54">
        <v>110012</v>
      </c>
      <c r="J64" s="154">
        <v>400011</v>
      </c>
      <c r="K64" s="154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54">
        <v>110012</v>
      </c>
      <c r="J65" s="154">
        <v>400011</v>
      </c>
      <c r="K65" s="154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54">
        <v>110012</v>
      </c>
      <c r="J66" s="154">
        <v>400013</v>
      </c>
      <c r="K66" s="154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54">
        <v>110012</v>
      </c>
      <c r="J67" s="154">
        <v>400012</v>
      </c>
      <c r="K67" s="154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54">
        <v>110011</v>
      </c>
      <c r="J68" s="154">
        <v>400014</v>
      </c>
      <c r="K68" s="154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54">
        <v>110001</v>
      </c>
      <c r="J69" s="154">
        <v>400015</v>
      </c>
      <c r="K69" s="154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54">
        <v>110011</v>
      </c>
      <c r="J70" s="154">
        <v>400011</v>
      </c>
      <c r="K70" s="154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54">
        <v>110012</v>
      </c>
      <c r="J71" s="154">
        <v>400012</v>
      </c>
      <c r="K71" s="154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54">
        <v>110011</v>
      </c>
      <c r="J72" s="154">
        <v>400013</v>
      </c>
      <c r="K72" s="154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54">
        <v>110012</v>
      </c>
      <c r="J73" s="154">
        <v>400019</v>
      </c>
      <c r="K73" s="154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54">
        <v>110001</v>
      </c>
      <c r="J74" s="154">
        <v>400001</v>
      </c>
      <c r="K74" s="154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54">
        <v>110001</v>
      </c>
      <c r="J75" s="154">
        <v>400004</v>
      </c>
      <c r="K75" s="154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54">
        <v>110001</v>
      </c>
      <c r="J76" s="154">
        <v>400008</v>
      </c>
      <c r="K76" s="154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54">
        <v>110002</v>
      </c>
      <c r="J77" s="154">
        <v>400008</v>
      </c>
      <c r="K77" s="154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54">
        <v>110002</v>
      </c>
      <c r="J78" s="154">
        <v>400002</v>
      </c>
      <c r="K78" s="154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54">
        <v>110002</v>
      </c>
      <c r="J79" s="154">
        <v>400008</v>
      </c>
      <c r="K79" s="154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54">
        <v>110011</v>
      </c>
      <c r="J80" s="154">
        <v>400011</v>
      </c>
      <c r="K80" s="154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54">
        <v>110012</v>
      </c>
      <c r="J81" s="154">
        <v>400005</v>
      </c>
      <c r="K81" s="154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54">
        <v>110002</v>
      </c>
      <c r="J82" s="154">
        <v>400014</v>
      </c>
      <c r="K82" s="154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54">
        <v>110011</v>
      </c>
      <c r="J83" s="154">
        <v>400007</v>
      </c>
      <c r="K83" s="154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54">
        <v>110002</v>
      </c>
      <c r="J84" s="154">
        <v>400004</v>
      </c>
      <c r="K84" s="154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54">
        <v>110001</v>
      </c>
      <c r="J85" s="154">
        <v>400002</v>
      </c>
      <c r="K85" s="154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54">
        <v>110001</v>
      </c>
      <c r="J86" s="154">
        <v>400001</v>
      </c>
      <c r="K86" s="154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54">
        <v>110012</v>
      </c>
      <c r="J87" s="154">
        <v>400012</v>
      </c>
      <c r="K87" s="154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54">
        <v>110011</v>
      </c>
      <c r="J88" s="154">
        <v>400019</v>
      </c>
      <c r="K88" s="154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54">
        <v>110001</v>
      </c>
      <c r="J89" s="154">
        <v>400001</v>
      </c>
      <c r="K89" s="154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54">
        <v>110012</v>
      </c>
      <c r="J90" s="154">
        <v>400019</v>
      </c>
      <c r="K90" s="154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54">
        <v>110011</v>
      </c>
      <c r="J91" s="154">
        <v>400012</v>
      </c>
      <c r="K91" s="154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54">
        <v>110012</v>
      </c>
      <c r="J92" s="154">
        <v>400013</v>
      </c>
      <c r="K92" s="154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54">
        <v>110011</v>
      </c>
      <c r="J93" s="154">
        <v>400015</v>
      </c>
      <c r="K93" s="154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54">
        <v>110012</v>
      </c>
      <c r="J94" s="154">
        <v>400018</v>
      </c>
      <c r="K94" s="154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54">
        <v>110011</v>
      </c>
      <c r="J95" s="154">
        <v>400020</v>
      </c>
      <c r="K95" s="154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54">
        <v>110012</v>
      </c>
      <c r="J96" s="154">
        <v>400018</v>
      </c>
      <c r="K96" s="154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54">
        <v>110001</v>
      </c>
      <c r="J97" s="154">
        <v>400023</v>
      </c>
      <c r="K97" s="154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54">
        <v>110002</v>
      </c>
      <c r="J98" s="154">
        <v>400022</v>
      </c>
      <c r="K98" s="154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54">
        <v>110011</v>
      </c>
      <c r="J99" s="154">
        <v>400012</v>
      </c>
      <c r="K99" s="154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54">
        <v>110001</v>
      </c>
      <c r="J100" s="154">
        <v>400002</v>
      </c>
      <c r="K100" s="154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54">
        <v>110012</v>
      </c>
      <c r="J101" s="154">
        <v>400011</v>
      </c>
      <c r="K101" s="154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54">
        <v>110002</v>
      </c>
      <c r="J102" s="154">
        <v>400022</v>
      </c>
      <c r="K102" s="154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54">
        <v>110011</v>
      </c>
      <c r="J103" s="154">
        <v>400015</v>
      </c>
      <c r="K103" s="154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54">
        <v>110012</v>
      </c>
      <c r="J104" s="154">
        <v>400013</v>
      </c>
      <c r="K104" s="154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54">
        <v>110001</v>
      </c>
      <c r="J105" s="154">
        <v>400029</v>
      </c>
      <c r="K105" s="154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54">
        <v>110011</v>
      </c>
      <c r="J106" s="154">
        <v>400009</v>
      </c>
      <c r="K106" s="154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54">
        <v>110002</v>
      </c>
      <c r="J107" s="154">
        <v>400022</v>
      </c>
      <c r="K107" s="154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54">
        <v>110012</v>
      </c>
      <c r="J108" s="154">
        <v>400009</v>
      </c>
      <c r="K108" s="154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54">
        <v>110001</v>
      </c>
      <c r="J109" s="154">
        <v>400016</v>
      </c>
      <c r="K109" s="154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54">
        <v>110011</v>
      </c>
      <c r="J110" s="154">
        <v>400018</v>
      </c>
      <c r="K110" s="154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54">
        <v>110001</v>
      </c>
      <c r="J111" s="154">
        <v>400008</v>
      </c>
      <c r="K111" s="154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54">
        <v>110002</v>
      </c>
      <c r="J112" s="154">
        <v>400002</v>
      </c>
      <c r="K112" s="154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54">
        <v>110011</v>
      </c>
      <c r="J113" s="154">
        <v>400009</v>
      </c>
      <c r="K113" s="154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54">
        <v>110001</v>
      </c>
      <c r="J114" s="154">
        <v>400002</v>
      </c>
      <c r="K114" s="154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54">
        <v>110012</v>
      </c>
      <c r="J115" s="154">
        <v>400013</v>
      </c>
      <c r="K115" s="154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54">
        <v>110001</v>
      </c>
      <c r="J116" s="154">
        <v>400001</v>
      </c>
      <c r="K116" s="154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54">
        <v>110002</v>
      </c>
      <c r="J117" s="154">
        <v>400001</v>
      </c>
      <c r="K117" s="154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54">
        <v>110001</v>
      </c>
      <c r="J118" s="154">
        <v>400034</v>
      </c>
      <c r="K118" s="154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54">
        <v>110011</v>
      </c>
      <c r="J119" s="154">
        <v>400009</v>
      </c>
      <c r="K119" s="154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54">
        <v>110002</v>
      </c>
      <c r="J120" s="154">
        <v>400036</v>
      </c>
      <c r="K120" s="154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54">
        <v>110012</v>
      </c>
      <c r="J121" s="154">
        <v>400007</v>
      </c>
      <c r="K121" s="154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54">
        <v>110001</v>
      </c>
      <c r="J122" s="154">
        <v>400008</v>
      </c>
      <c r="K122" s="154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54">
        <v>110002</v>
      </c>
      <c r="J123" s="154">
        <v>400002</v>
      </c>
      <c r="K123" s="154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54">
        <v>110011</v>
      </c>
      <c r="J124" s="154">
        <v>400019</v>
      </c>
      <c r="K124" s="154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54">
        <v>110001</v>
      </c>
      <c r="J125" s="154">
        <v>400023</v>
      </c>
      <c r="K125" s="154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54">
        <v>110011</v>
      </c>
      <c r="J126" s="154">
        <v>400021</v>
      </c>
      <c r="K126" s="154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54">
        <v>110012</v>
      </c>
      <c r="J127" s="154">
        <v>400024</v>
      </c>
      <c r="K127" s="154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54">
        <v>110011</v>
      </c>
      <c r="J128" s="154">
        <v>400012</v>
      </c>
      <c r="K128" s="154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54">
        <v>110012</v>
      </c>
      <c r="J129" s="154">
        <v>400028</v>
      </c>
      <c r="K129" s="154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54">
        <v>110001</v>
      </c>
      <c r="J130" s="154">
        <v>400002</v>
      </c>
      <c r="K130" s="154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54">
        <v>110002</v>
      </c>
      <c r="J131" s="154">
        <v>400004</v>
      </c>
      <c r="K131" s="154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54">
        <v>110011</v>
      </c>
      <c r="J132" s="154">
        <v>400009</v>
      </c>
      <c r="K132" s="154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54">
        <v>110001</v>
      </c>
      <c r="J133" s="154">
        <v>400016</v>
      </c>
      <c r="K133" s="154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54">
        <v>110001</v>
      </c>
      <c r="J134" s="154">
        <v>400034</v>
      </c>
      <c r="K134" s="154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54">
        <v>110002</v>
      </c>
      <c r="J135" s="154">
        <v>400002</v>
      </c>
      <c r="K135" s="154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54">
        <v>110001</v>
      </c>
      <c r="J136" s="154">
        <v>400031</v>
      </c>
      <c r="K136" s="154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54">
        <v>110002</v>
      </c>
      <c r="J137" s="154">
        <v>400002</v>
      </c>
      <c r="K137" s="154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54">
        <v>110001</v>
      </c>
      <c r="J138" s="154">
        <v>400026</v>
      </c>
      <c r="K138" s="154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54">
        <v>110011</v>
      </c>
      <c r="J139" s="154">
        <v>400007</v>
      </c>
      <c r="K139" s="154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54">
        <v>110002</v>
      </c>
      <c r="J140" s="154">
        <v>400036</v>
      </c>
      <c r="K140" s="154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56"/>
      <c r="J141" s="156"/>
      <c r="K141" s="156"/>
      <c r="L141" s="45"/>
      <c r="M141" s="47"/>
      <c r="N141" s="47"/>
      <c r="O141" s="47"/>
      <c r="P141" s="47"/>
      <c r="Q141" s="47"/>
      <c r="R141" s="47"/>
      <c r="S141" s="47"/>
      <c r="T141" s="47"/>
      <c r="U141" s="132"/>
      <c r="V141" s="133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56"/>
      <c r="J142" s="156"/>
      <c r="K142" s="156"/>
      <c r="L142" s="45"/>
      <c r="M142" s="47"/>
      <c r="N142" s="47"/>
      <c r="O142" s="47"/>
      <c r="P142" s="47"/>
      <c r="Q142" s="47"/>
      <c r="R142" s="47"/>
      <c r="S142" s="47"/>
      <c r="T142" s="47"/>
      <c r="U142" s="132"/>
      <c r="V142" s="133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56"/>
      <c r="J143" s="156"/>
      <c r="K143" s="156"/>
      <c r="L143" s="45"/>
      <c r="M143" s="47"/>
      <c r="N143" s="47"/>
      <c r="O143" s="47"/>
      <c r="P143" s="47"/>
      <c r="Q143" s="47"/>
      <c r="R143" s="47"/>
      <c r="S143" s="47"/>
      <c r="T143" s="47"/>
      <c r="U143" s="132"/>
      <c r="V143" s="133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53" t="s">
        <v>1429</v>
      </c>
      <c r="J144" s="153" t="s">
        <v>1430</v>
      </c>
      <c r="K144" s="153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4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54">
        <v>110011</v>
      </c>
      <c r="J145" s="157">
        <v>400017</v>
      </c>
      <c r="K145" s="157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54">
        <v>110001</v>
      </c>
      <c r="J146" s="157">
        <v>400016</v>
      </c>
      <c r="K146" s="157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54">
        <v>110001</v>
      </c>
      <c r="J147" s="157">
        <v>400017</v>
      </c>
      <c r="K147" s="157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54">
        <v>110001</v>
      </c>
      <c r="J148" s="157">
        <v>400031</v>
      </c>
      <c r="K148" s="157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54">
        <v>110001</v>
      </c>
      <c r="J149" s="157">
        <v>400026</v>
      </c>
      <c r="K149" s="157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54">
        <v>110001</v>
      </c>
      <c r="J150" s="157">
        <v>400027</v>
      </c>
      <c r="K150" s="157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54">
        <v>110011</v>
      </c>
      <c r="J151" s="157">
        <v>400007</v>
      </c>
      <c r="K151" s="157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54">
        <v>110011</v>
      </c>
      <c r="J152" s="157">
        <v>400028</v>
      </c>
      <c r="K152" s="157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54">
        <v>110012</v>
      </c>
      <c r="J153" s="157">
        <v>400030</v>
      </c>
      <c r="K153" s="157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54">
        <v>110001</v>
      </c>
      <c r="J154" s="157">
        <v>400029</v>
      </c>
      <c r="K154" s="157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54">
        <v>110011</v>
      </c>
      <c r="J155" s="157">
        <v>400040</v>
      </c>
      <c r="K155" s="157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54">
        <v>110001</v>
      </c>
      <c r="J156" s="157">
        <v>400029</v>
      </c>
      <c r="K156" s="157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54">
        <v>110001</v>
      </c>
      <c r="J157" s="157">
        <v>400034</v>
      </c>
      <c r="K157" s="157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54">
        <v>110011</v>
      </c>
      <c r="J158" s="157">
        <v>400037</v>
      </c>
      <c r="K158" s="157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54">
        <v>110012</v>
      </c>
      <c r="J159" s="157">
        <v>400013</v>
      </c>
      <c r="K159" s="157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54">
        <v>110011</v>
      </c>
      <c r="J160" s="157">
        <v>400028</v>
      </c>
      <c r="K160" s="157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54">
        <v>110011</v>
      </c>
      <c r="J161" s="157">
        <v>400017</v>
      </c>
      <c r="K161" s="157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53" t="s">
        <v>1429</v>
      </c>
      <c r="J163" s="153" t="s">
        <v>1430</v>
      </c>
      <c r="K163" s="153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58"/>
      <c r="J164" s="158"/>
      <c r="K164" s="158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58"/>
      <c r="J165" s="158"/>
      <c r="K165" s="158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58"/>
      <c r="J166" s="158"/>
      <c r="K166" s="158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58"/>
      <c r="J167" s="158"/>
      <c r="K167" s="158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58"/>
      <c r="J168" s="158"/>
      <c r="K168" s="158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58"/>
      <c r="J169" s="158"/>
      <c r="K169" s="158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58"/>
      <c r="J170" s="158"/>
      <c r="K170" s="158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58"/>
      <c r="J171" s="158"/>
      <c r="K171" s="158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58"/>
      <c r="J172" s="158"/>
      <c r="K172" s="158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58"/>
      <c r="J173" s="158"/>
      <c r="K173" s="158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58"/>
      <c r="J174" s="158"/>
      <c r="K174" s="158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58"/>
      <c r="J175" s="158"/>
      <c r="K175" s="158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9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9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4"/>
  <sheetViews>
    <sheetView zoomScaleNormal="100" workbookViewId="0">
      <pane ySplit="1" topLeftCell="A159" activePane="bottomLeft" state="frozen"/>
      <selection pane="bottomLeft" activeCell="G169" sqref="G169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110.25" customHeight="1">
      <c r="A105" s="7">
        <v>100</v>
      </c>
      <c r="B105" s="7" t="s">
        <v>1959</v>
      </c>
      <c r="D105" s="3" t="s">
        <v>1960</v>
      </c>
      <c r="E105" s="7">
        <v>100</v>
      </c>
      <c r="F105" s="101"/>
      <c r="G105" s="102" t="s">
        <v>1961</v>
      </c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6"/>
      <c r="W105" s="7"/>
    </row>
    <row r="106" spans="1:33" ht="47.25" customHeight="1">
      <c r="A106" s="7">
        <v>1000</v>
      </c>
      <c r="B106" s="7" t="s">
        <v>1959</v>
      </c>
      <c r="C106">
        <v>1</v>
      </c>
      <c r="D106" s="7" t="s">
        <v>1962</v>
      </c>
      <c r="E106" s="7">
        <v>1</v>
      </c>
      <c r="F106" s="101"/>
      <c r="G106" s="102" t="s">
        <v>1963</v>
      </c>
      <c r="H106" s="47">
        <v>1</v>
      </c>
      <c r="I106" s="47">
        <v>1220</v>
      </c>
      <c r="J106" s="83" t="s">
        <v>1964</v>
      </c>
      <c r="K106" s="47" t="s">
        <v>767</v>
      </c>
      <c r="L106" s="47">
        <v>9002</v>
      </c>
      <c r="M106" s="47" t="s">
        <v>1780</v>
      </c>
      <c r="N106" s="47"/>
      <c r="O106" s="47">
        <v>0.6</v>
      </c>
      <c r="P106" s="83" t="s">
        <v>1965</v>
      </c>
      <c r="Q106" s="47" t="s">
        <v>769</v>
      </c>
      <c r="R106" s="47">
        <v>9010</v>
      </c>
      <c r="S106" s="47" t="s">
        <v>1734</v>
      </c>
      <c r="T106" s="47"/>
      <c r="U106" s="47">
        <v>0.8</v>
      </c>
      <c r="V106" s="6">
        <v>70001</v>
      </c>
      <c r="W106" s="7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50</v>
      </c>
      <c r="AD106">
        <v>1</v>
      </c>
      <c r="AE106">
        <v>8000</v>
      </c>
      <c r="AF106">
        <v>20</v>
      </c>
      <c r="AG106">
        <v>1</v>
      </c>
    </row>
    <row r="107" spans="1:33" ht="47.25" customHeight="1">
      <c r="A107" s="7">
        <v>1001</v>
      </c>
      <c r="B107" s="7" t="s">
        <v>1959</v>
      </c>
      <c r="C107">
        <v>1</v>
      </c>
      <c r="D107" s="7" t="s">
        <v>1966</v>
      </c>
      <c r="E107" s="7">
        <v>1</v>
      </c>
      <c r="F107" s="101"/>
      <c r="G107" s="97" t="s">
        <v>1967</v>
      </c>
      <c r="H107" s="47"/>
      <c r="I107" s="47">
        <v>1345</v>
      </c>
      <c r="J107" s="83" t="s">
        <v>1964</v>
      </c>
      <c r="K107" s="47" t="s">
        <v>767</v>
      </c>
      <c r="L107" s="47">
        <v>9001</v>
      </c>
      <c r="M107" s="47" t="s">
        <v>1968</v>
      </c>
      <c r="N107" s="47"/>
      <c r="O107" s="47">
        <v>0.8</v>
      </c>
      <c r="P107" s="83" t="s">
        <v>1965</v>
      </c>
      <c r="Q107" s="47" t="s">
        <v>769</v>
      </c>
      <c r="R107" s="47">
        <v>9003</v>
      </c>
      <c r="S107" s="47" t="s">
        <v>1969</v>
      </c>
      <c r="T107" s="47"/>
      <c r="U107" s="47">
        <v>0.3</v>
      </c>
      <c r="V107" s="6">
        <v>70001</v>
      </c>
      <c r="W107" s="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50</v>
      </c>
      <c r="AD107">
        <v>1</v>
      </c>
      <c r="AE107">
        <v>8000</v>
      </c>
      <c r="AF107">
        <v>20</v>
      </c>
      <c r="AG107">
        <v>1</v>
      </c>
    </row>
    <row r="108" spans="1:33" ht="47.25" customHeight="1">
      <c r="A108" s="7">
        <v>1002</v>
      </c>
      <c r="B108" s="7" t="s">
        <v>1959</v>
      </c>
      <c r="C108">
        <v>1</v>
      </c>
      <c r="D108" s="7" t="s">
        <v>1970</v>
      </c>
      <c r="E108" s="7">
        <v>2</v>
      </c>
      <c r="F108" s="101"/>
      <c r="G108" s="88" t="s">
        <v>1971</v>
      </c>
      <c r="H108" s="47"/>
      <c r="I108" s="47">
        <v>1470</v>
      </c>
      <c r="J108" s="83" t="s">
        <v>1964</v>
      </c>
      <c r="K108" s="47" t="s">
        <v>767</v>
      </c>
      <c r="L108" s="47">
        <v>9005</v>
      </c>
      <c r="M108" s="47" t="s">
        <v>1972</v>
      </c>
      <c r="N108" s="47"/>
      <c r="O108" s="47">
        <v>0.5</v>
      </c>
      <c r="P108" s="83" t="s">
        <v>1965</v>
      </c>
      <c r="Q108" s="47" t="s">
        <v>769</v>
      </c>
      <c r="R108" s="47">
        <v>9003</v>
      </c>
      <c r="S108" s="47" t="s">
        <v>1973</v>
      </c>
      <c r="T108" s="47"/>
      <c r="U108" s="47">
        <v>0.9</v>
      </c>
      <c r="V108" s="6">
        <v>70001</v>
      </c>
      <c r="W108" s="7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50</v>
      </c>
      <c r="AD108">
        <v>1</v>
      </c>
      <c r="AE108">
        <v>8000</v>
      </c>
      <c r="AF108">
        <v>20</v>
      </c>
      <c r="AG108">
        <v>1</v>
      </c>
    </row>
    <row r="109" spans="1:33" ht="47.25" customHeight="1">
      <c r="A109" s="7">
        <v>1003</v>
      </c>
      <c r="B109" s="7" t="s">
        <v>1959</v>
      </c>
      <c r="C109">
        <v>1</v>
      </c>
      <c r="D109" s="7" t="s">
        <v>1974</v>
      </c>
      <c r="E109" s="7">
        <v>2</v>
      </c>
      <c r="F109" s="101"/>
      <c r="G109" s="88" t="s">
        <v>1975</v>
      </c>
      <c r="H109" s="47"/>
      <c r="I109" s="47">
        <v>1595</v>
      </c>
      <c r="J109" s="80" t="s">
        <v>1964</v>
      </c>
      <c r="K109" s="47" t="s">
        <v>767</v>
      </c>
      <c r="L109" s="47">
        <v>9002</v>
      </c>
      <c r="M109" s="47" t="s">
        <v>1696</v>
      </c>
      <c r="N109" s="47"/>
      <c r="O109" s="47">
        <v>0.9</v>
      </c>
      <c r="P109" s="83" t="s">
        <v>1965</v>
      </c>
      <c r="Q109" s="47" t="s">
        <v>769</v>
      </c>
      <c r="R109" s="47">
        <v>9007</v>
      </c>
      <c r="S109" s="47">
        <v>3</v>
      </c>
      <c r="T109" s="47"/>
      <c r="U109" s="47">
        <v>0.6</v>
      </c>
      <c r="V109" s="6">
        <v>70001</v>
      </c>
      <c r="W109" s="7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50</v>
      </c>
      <c r="AD109">
        <v>1</v>
      </c>
      <c r="AE109">
        <v>8000</v>
      </c>
      <c r="AF109">
        <v>20</v>
      </c>
      <c r="AG109">
        <v>1</v>
      </c>
    </row>
    <row r="110" spans="1:33" ht="47.25" customHeight="1">
      <c r="A110" s="7">
        <v>1004</v>
      </c>
      <c r="B110" s="7" t="s">
        <v>1959</v>
      </c>
      <c r="C110">
        <v>1</v>
      </c>
      <c r="D110" s="7" t="s">
        <v>1976</v>
      </c>
      <c r="E110" s="7">
        <v>3</v>
      </c>
      <c r="F110" s="101"/>
      <c r="G110" s="102" t="s">
        <v>1977</v>
      </c>
      <c r="H110" s="47"/>
      <c r="I110" s="47">
        <v>1720</v>
      </c>
      <c r="J110" s="83" t="s">
        <v>1964</v>
      </c>
      <c r="K110" s="47" t="s">
        <v>767</v>
      </c>
      <c r="L110" s="47">
        <v>9008</v>
      </c>
      <c r="M110" s="47">
        <v>9</v>
      </c>
      <c r="N110" s="47"/>
      <c r="O110" s="47">
        <v>0.1</v>
      </c>
      <c r="P110" s="83" t="s">
        <v>1965</v>
      </c>
      <c r="Q110" s="47" t="s">
        <v>769</v>
      </c>
      <c r="R110" s="47">
        <v>9004</v>
      </c>
      <c r="S110" s="47" t="s">
        <v>1978</v>
      </c>
      <c r="T110" s="47"/>
      <c r="U110" s="47">
        <v>0.4</v>
      </c>
      <c r="V110" s="6">
        <v>70001</v>
      </c>
      <c r="W110" s="7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50</v>
      </c>
      <c r="AD110">
        <v>1</v>
      </c>
      <c r="AE110">
        <v>8000</v>
      </c>
      <c r="AF110">
        <v>20</v>
      </c>
      <c r="AG110">
        <v>1</v>
      </c>
    </row>
    <row r="111" spans="1:33" ht="47.25" customHeight="1">
      <c r="A111" s="7">
        <v>1005</v>
      </c>
      <c r="B111" s="7" t="s">
        <v>1959</v>
      </c>
      <c r="C111">
        <v>1</v>
      </c>
      <c r="D111" s="7" t="s">
        <v>1979</v>
      </c>
      <c r="E111" s="7">
        <v>3</v>
      </c>
      <c r="F111" s="101"/>
      <c r="G111" s="88" t="s">
        <v>1980</v>
      </c>
      <c r="H111" s="47"/>
      <c r="I111" s="47">
        <v>1845</v>
      </c>
      <c r="J111" s="83" t="s">
        <v>1964</v>
      </c>
      <c r="K111" s="47" t="s">
        <v>767</v>
      </c>
      <c r="L111" s="47">
        <v>9006</v>
      </c>
      <c r="M111" s="47" t="s">
        <v>1981</v>
      </c>
      <c r="N111" s="47"/>
      <c r="O111" s="47">
        <v>0.8</v>
      </c>
      <c r="P111" s="83" t="s">
        <v>1965</v>
      </c>
      <c r="Q111" s="47" t="s">
        <v>769</v>
      </c>
      <c r="R111" s="47">
        <v>9003</v>
      </c>
      <c r="S111" s="47" t="s">
        <v>1982</v>
      </c>
      <c r="T111" s="47"/>
      <c r="U111" s="47">
        <v>0.8</v>
      </c>
      <c r="V111" s="6">
        <v>70001</v>
      </c>
      <c r="W111" s="7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50</v>
      </c>
      <c r="AD111">
        <v>1</v>
      </c>
      <c r="AE111">
        <v>8000</v>
      </c>
      <c r="AF111">
        <v>20</v>
      </c>
      <c r="AG111">
        <v>1</v>
      </c>
    </row>
    <row r="112" spans="1:33" ht="47.25" customHeight="1">
      <c r="A112" s="7">
        <v>1006</v>
      </c>
      <c r="B112" s="7" t="s">
        <v>1959</v>
      </c>
      <c r="C112">
        <v>1</v>
      </c>
      <c r="D112" s="7" t="s">
        <v>1983</v>
      </c>
      <c r="E112" s="7">
        <v>4</v>
      </c>
      <c r="F112" s="101"/>
      <c r="G112" s="88" t="s">
        <v>1984</v>
      </c>
      <c r="H112" s="47"/>
      <c r="I112" s="47">
        <v>1970</v>
      </c>
      <c r="J112" s="80" t="s">
        <v>1964</v>
      </c>
      <c r="K112" s="47" t="s">
        <v>767</v>
      </c>
      <c r="L112" s="47">
        <v>9005</v>
      </c>
      <c r="M112" s="47" t="s">
        <v>1955</v>
      </c>
      <c r="N112" s="47"/>
      <c r="O112" s="47">
        <v>0.3</v>
      </c>
      <c r="P112" s="83" t="s">
        <v>1965</v>
      </c>
      <c r="Q112" s="47" t="s">
        <v>769</v>
      </c>
      <c r="R112" s="47">
        <v>9003</v>
      </c>
      <c r="S112" s="47" t="s">
        <v>1802</v>
      </c>
      <c r="T112" s="47"/>
      <c r="U112" s="47">
        <v>0.2</v>
      </c>
      <c r="V112" s="6">
        <v>70001</v>
      </c>
      <c r="W112" s="7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50</v>
      </c>
      <c r="AD112">
        <v>1</v>
      </c>
      <c r="AE112">
        <v>8000</v>
      </c>
      <c r="AF112">
        <v>20</v>
      </c>
      <c r="AG112">
        <v>1</v>
      </c>
    </row>
    <row r="113" spans="1:33" ht="47.25" customHeight="1">
      <c r="A113" s="7">
        <v>1007</v>
      </c>
      <c r="B113" s="7" t="s">
        <v>1959</v>
      </c>
      <c r="C113">
        <v>1</v>
      </c>
      <c r="D113" s="7" t="s">
        <v>1985</v>
      </c>
      <c r="E113" s="7">
        <v>4</v>
      </c>
      <c r="F113" s="101"/>
      <c r="G113" s="102" t="s">
        <v>1986</v>
      </c>
      <c r="H113" s="47"/>
      <c r="I113" s="47">
        <v>2095</v>
      </c>
      <c r="J113" s="83" t="s">
        <v>1964</v>
      </c>
      <c r="K113" s="47" t="s">
        <v>767</v>
      </c>
      <c r="L113" s="47">
        <v>9008</v>
      </c>
      <c r="M113" s="47">
        <v>10</v>
      </c>
      <c r="N113" s="47"/>
      <c r="O113" s="47">
        <v>0.5</v>
      </c>
      <c r="P113" s="83" t="s">
        <v>1965</v>
      </c>
      <c r="Q113" s="47" t="s">
        <v>769</v>
      </c>
      <c r="R113" s="47">
        <v>9003</v>
      </c>
      <c r="S113" s="47" t="s">
        <v>1849</v>
      </c>
      <c r="T113" s="47"/>
      <c r="U113" s="47">
        <v>0.8</v>
      </c>
      <c r="V113" s="6">
        <v>70001</v>
      </c>
      <c r="W113" s="7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50</v>
      </c>
      <c r="AD113">
        <v>1</v>
      </c>
      <c r="AE113">
        <v>8000</v>
      </c>
      <c r="AF113">
        <v>20</v>
      </c>
      <c r="AG113">
        <v>1</v>
      </c>
    </row>
    <row r="114" spans="1:33" ht="42.75" customHeight="1">
      <c r="A114" s="7">
        <v>1008</v>
      </c>
      <c r="B114" s="7" t="s">
        <v>1959</v>
      </c>
      <c r="C114" s="7">
        <v>1</v>
      </c>
      <c r="D114" s="7" t="s">
        <v>1987</v>
      </c>
      <c r="E114" s="7">
        <v>5</v>
      </c>
      <c r="F114" s="7"/>
      <c r="G114" s="82" t="s">
        <v>1988</v>
      </c>
      <c r="H114" s="7"/>
      <c r="I114" s="7">
        <v>2220</v>
      </c>
      <c r="J114" s="3" t="s">
        <v>1964</v>
      </c>
      <c r="K114" s="7" t="s">
        <v>767</v>
      </c>
      <c r="L114" s="7">
        <v>9011</v>
      </c>
      <c r="M114" s="7" t="s">
        <v>1989</v>
      </c>
      <c r="N114" s="7"/>
      <c r="O114" s="7">
        <v>0.2</v>
      </c>
      <c r="P114" s="3" t="s">
        <v>1965</v>
      </c>
      <c r="Q114" s="7" t="s">
        <v>769</v>
      </c>
      <c r="R114" s="7">
        <v>9007</v>
      </c>
      <c r="S114" s="7">
        <v>5</v>
      </c>
      <c r="T114" s="7"/>
      <c r="U114" s="7">
        <v>0.3</v>
      </c>
      <c r="V114" s="7">
        <v>70001</v>
      </c>
      <c r="W114" s="7">
        <v>1</v>
      </c>
      <c r="X114" s="7">
        <v>1</v>
      </c>
      <c r="Y114" s="7">
        <v>70002</v>
      </c>
      <c r="Z114" s="7">
        <v>1</v>
      </c>
      <c r="AA114" s="7">
        <v>1</v>
      </c>
      <c r="AB114">
        <v>1001</v>
      </c>
      <c r="AC114">
        <v>50</v>
      </c>
      <c r="AD114">
        <v>1</v>
      </c>
      <c r="AE114">
        <v>8000</v>
      </c>
      <c r="AF114">
        <v>20</v>
      </c>
      <c r="AG114">
        <v>1</v>
      </c>
    </row>
    <row r="115" spans="1:33" ht="42.75" customHeight="1">
      <c r="A115" s="7">
        <v>1009</v>
      </c>
      <c r="B115" s="7" t="s">
        <v>1959</v>
      </c>
      <c r="C115" s="7">
        <v>1</v>
      </c>
      <c r="D115" s="7" t="s">
        <v>1990</v>
      </c>
      <c r="E115" s="7">
        <v>5</v>
      </c>
      <c r="F115" s="7"/>
      <c r="G115" s="82" t="s">
        <v>1991</v>
      </c>
      <c r="H115" s="7"/>
      <c r="I115" s="7">
        <v>2345</v>
      </c>
      <c r="J115" s="3" t="s">
        <v>1964</v>
      </c>
      <c r="K115" s="7" t="s">
        <v>767</v>
      </c>
      <c r="L115" s="7">
        <v>9002</v>
      </c>
      <c r="M115" s="7">
        <v>2</v>
      </c>
      <c r="N115" s="7"/>
      <c r="O115" s="7">
        <v>0.3</v>
      </c>
      <c r="P115" s="3" t="s">
        <v>1965</v>
      </c>
      <c r="Q115" s="7" t="s">
        <v>769</v>
      </c>
      <c r="R115" s="7">
        <v>9003</v>
      </c>
      <c r="S115" s="7">
        <v>12</v>
      </c>
      <c r="T115" s="7"/>
      <c r="U115" s="7">
        <v>0.9</v>
      </c>
      <c r="V115" s="7">
        <v>70001</v>
      </c>
      <c r="W115" s="7">
        <v>1</v>
      </c>
      <c r="X115" s="7">
        <v>1</v>
      </c>
      <c r="Y115" s="7">
        <v>70002</v>
      </c>
      <c r="Z115" s="7">
        <v>1</v>
      </c>
      <c r="AA115" s="7">
        <v>1</v>
      </c>
      <c r="AB115">
        <v>1001</v>
      </c>
      <c r="AC115">
        <v>50</v>
      </c>
      <c r="AD115">
        <v>1</v>
      </c>
      <c r="AE115">
        <v>8000</v>
      </c>
      <c r="AF115">
        <v>20</v>
      </c>
      <c r="AG115">
        <v>1</v>
      </c>
    </row>
    <row r="116" spans="1:33" ht="42.75" customHeight="1">
      <c r="A116" s="7">
        <v>1010</v>
      </c>
      <c r="B116" s="7" t="s">
        <v>1959</v>
      </c>
      <c r="C116" s="7">
        <v>1</v>
      </c>
      <c r="D116" s="7" t="s">
        <v>1992</v>
      </c>
      <c r="E116" s="7">
        <v>6</v>
      </c>
      <c r="F116" s="7"/>
      <c r="G116" s="82" t="s">
        <v>1993</v>
      </c>
      <c r="H116" s="7"/>
      <c r="I116" s="7">
        <v>2470</v>
      </c>
      <c r="J116" s="3" t="s">
        <v>1964</v>
      </c>
      <c r="K116" s="7" t="s">
        <v>767</v>
      </c>
      <c r="L116" s="7">
        <v>9002</v>
      </c>
      <c r="M116" s="7">
        <v>4</v>
      </c>
      <c r="N116" s="7"/>
      <c r="O116" s="7">
        <v>0.6</v>
      </c>
      <c r="P116" s="3" t="s">
        <v>1965</v>
      </c>
      <c r="Q116" s="7" t="s">
        <v>769</v>
      </c>
      <c r="R116" s="7">
        <v>9008</v>
      </c>
      <c r="S116" s="7" t="s">
        <v>1790</v>
      </c>
      <c r="T116" s="7"/>
      <c r="U116" s="7">
        <v>0.7</v>
      </c>
      <c r="V116" s="7">
        <v>70001</v>
      </c>
      <c r="W116" s="7">
        <v>1</v>
      </c>
      <c r="X116" s="7">
        <v>1</v>
      </c>
      <c r="Y116" s="7">
        <v>70002</v>
      </c>
      <c r="Z116" s="7">
        <v>1</v>
      </c>
      <c r="AA116" s="7">
        <v>1</v>
      </c>
      <c r="AB116">
        <v>1001</v>
      </c>
      <c r="AC116">
        <v>50</v>
      </c>
      <c r="AD116">
        <v>1</v>
      </c>
      <c r="AE116">
        <v>8000</v>
      </c>
      <c r="AF116">
        <v>20</v>
      </c>
      <c r="AG116">
        <v>1</v>
      </c>
    </row>
    <row r="117" spans="1:33" ht="42.75" customHeight="1">
      <c r="A117" s="7">
        <v>1011</v>
      </c>
      <c r="B117" s="7" t="s">
        <v>1959</v>
      </c>
      <c r="C117" s="7">
        <v>1</v>
      </c>
      <c r="D117" s="7" t="s">
        <v>1994</v>
      </c>
      <c r="E117" s="7">
        <v>6</v>
      </c>
      <c r="F117" s="7"/>
      <c r="G117" s="82" t="s">
        <v>1995</v>
      </c>
      <c r="H117" s="7"/>
      <c r="I117" s="7">
        <v>2595</v>
      </c>
      <c r="J117" s="3" t="s">
        <v>1964</v>
      </c>
      <c r="K117" s="7" t="s">
        <v>767</v>
      </c>
      <c r="L117" s="7">
        <v>9006</v>
      </c>
      <c r="M117" s="7" t="s">
        <v>1996</v>
      </c>
      <c r="N117" s="7"/>
      <c r="O117" s="7">
        <v>0.6</v>
      </c>
      <c r="P117" s="3" t="s">
        <v>1965</v>
      </c>
      <c r="Q117" s="7" t="s">
        <v>769</v>
      </c>
      <c r="R117" s="7">
        <v>9011</v>
      </c>
      <c r="S117" s="7">
        <v>3</v>
      </c>
      <c r="T117" s="7"/>
      <c r="U117" s="7">
        <v>0.4</v>
      </c>
      <c r="V117" s="7">
        <v>70001</v>
      </c>
      <c r="W117" s="7">
        <v>1</v>
      </c>
      <c r="X117" s="7">
        <v>1</v>
      </c>
      <c r="Y117" s="7">
        <v>70002</v>
      </c>
      <c r="Z117" s="7">
        <v>1</v>
      </c>
      <c r="AA117" s="7">
        <v>1</v>
      </c>
      <c r="AB117">
        <v>1001</v>
      </c>
      <c r="AC117">
        <v>50</v>
      </c>
      <c r="AD117">
        <v>1</v>
      </c>
      <c r="AE117">
        <v>8000</v>
      </c>
      <c r="AF117">
        <v>20</v>
      </c>
      <c r="AG117">
        <v>1</v>
      </c>
    </row>
    <row r="118" spans="1:33" ht="42.75" customHeight="1">
      <c r="A118" s="7">
        <v>1012</v>
      </c>
      <c r="B118" s="7" t="s">
        <v>1959</v>
      </c>
      <c r="C118" s="7">
        <v>1</v>
      </c>
      <c r="D118" s="7" t="s">
        <v>1997</v>
      </c>
      <c r="E118" s="7">
        <v>7</v>
      </c>
      <c r="F118" s="7"/>
      <c r="G118" s="82" t="s">
        <v>1998</v>
      </c>
      <c r="H118" s="7"/>
      <c r="I118" s="7">
        <v>2720</v>
      </c>
      <c r="J118" s="3" t="s">
        <v>1964</v>
      </c>
      <c r="K118" s="7" t="s">
        <v>767</v>
      </c>
      <c r="L118" s="7">
        <v>9002</v>
      </c>
      <c r="M118" s="7" t="s">
        <v>1745</v>
      </c>
      <c r="N118" s="7"/>
      <c r="O118" s="7">
        <v>0.5</v>
      </c>
      <c r="P118" s="3" t="s">
        <v>1965</v>
      </c>
      <c r="Q118" s="7" t="s">
        <v>769</v>
      </c>
      <c r="R118" s="7">
        <v>9007</v>
      </c>
      <c r="S118" s="7" t="s">
        <v>1786</v>
      </c>
      <c r="T118" s="7"/>
      <c r="U118" s="7">
        <v>0.2</v>
      </c>
      <c r="V118" s="7">
        <v>70001</v>
      </c>
      <c r="W118" s="7">
        <v>1</v>
      </c>
      <c r="X118" s="7">
        <v>1</v>
      </c>
      <c r="Y118" s="7">
        <v>70002</v>
      </c>
      <c r="Z118" s="7">
        <v>1</v>
      </c>
      <c r="AA118" s="7">
        <v>1</v>
      </c>
      <c r="AB118">
        <v>1001</v>
      </c>
      <c r="AC118">
        <v>50</v>
      </c>
      <c r="AD118">
        <v>1</v>
      </c>
      <c r="AE118">
        <v>8000</v>
      </c>
      <c r="AF118">
        <v>20</v>
      </c>
      <c r="AG118">
        <v>1</v>
      </c>
    </row>
    <row r="119" spans="1:33" ht="42.75" customHeight="1">
      <c r="A119" s="7">
        <v>1013</v>
      </c>
      <c r="B119" s="7" t="s">
        <v>1959</v>
      </c>
      <c r="C119" s="7">
        <v>1</v>
      </c>
      <c r="D119" s="7" t="s">
        <v>1999</v>
      </c>
      <c r="E119" s="7">
        <v>7</v>
      </c>
      <c r="F119" s="7"/>
      <c r="G119" s="82" t="s">
        <v>2000</v>
      </c>
      <c r="H119" s="7"/>
      <c r="I119" s="7">
        <v>2845</v>
      </c>
      <c r="J119" s="3" t="s">
        <v>1964</v>
      </c>
      <c r="K119" s="7" t="s">
        <v>767</v>
      </c>
      <c r="L119" s="7">
        <v>9008</v>
      </c>
      <c r="M119" s="7" t="s">
        <v>2001</v>
      </c>
      <c r="N119" s="7"/>
      <c r="O119" s="7">
        <v>0.2</v>
      </c>
      <c r="P119" s="3" t="s">
        <v>1965</v>
      </c>
      <c r="Q119" s="7" t="s">
        <v>769</v>
      </c>
      <c r="R119" s="7">
        <v>9011</v>
      </c>
      <c r="S119" s="7" t="s">
        <v>2002</v>
      </c>
      <c r="T119" s="7"/>
      <c r="U119" s="7">
        <v>0.6</v>
      </c>
      <c r="V119" s="7">
        <v>70001</v>
      </c>
      <c r="W119" s="7">
        <v>1</v>
      </c>
      <c r="X119" s="7">
        <v>1</v>
      </c>
      <c r="Y119" s="7">
        <v>70002</v>
      </c>
      <c r="Z119" s="7">
        <v>1</v>
      </c>
      <c r="AA119" s="7">
        <v>1</v>
      </c>
      <c r="AB119">
        <v>1001</v>
      </c>
      <c r="AC119">
        <v>50</v>
      </c>
      <c r="AD119">
        <v>1</v>
      </c>
      <c r="AE119">
        <v>8000</v>
      </c>
      <c r="AF119">
        <v>20</v>
      </c>
      <c r="AG119">
        <v>1</v>
      </c>
    </row>
    <row r="120" spans="1:33" ht="42.75" customHeight="1">
      <c r="A120" s="7">
        <v>1014</v>
      </c>
      <c r="B120" s="7" t="s">
        <v>1959</v>
      </c>
      <c r="C120" s="7">
        <v>1</v>
      </c>
      <c r="D120" s="7" t="s">
        <v>2003</v>
      </c>
      <c r="E120" s="7">
        <v>8</v>
      </c>
      <c r="F120" s="7"/>
      <c r="G120" s="82" t="s">
        <v>2004</v>
      </c>
      <c r="H120" s="7"/>
      <c r="I120" s="7">
        <v>2970</v>
      </c>
      <c r="J120" s="3" t="s">
        <v>1964</v>
      </c>
      <c r="K120" s="7" t="s">
        <v>767</v>
      </c>
      <c r="L120" s="7">
        <v>9002</v>
      </c>
      <c r="M120" s="7" t="s">
        <v>1845</v>
      </c>
      <c r="N120" s="7"/>
      <c r="O120" s="7">
        <v>0.6</v>
      </c>
      <c r="P120" s="3" t="s">
        <v>1965</v>
      </c>
      <c r="Q120" s="7" t="s">
        <v>769</v>
      </c>
      <c r="R120" s="7">
        <v>9010</v>
      </c>
      <c r="S120" s="7" t="s">
        <v>2005</v>
      </c>
      <c r="T120" s="7"/>
      <c r="U120" s="7">
        <v>0.9</v>
      </c>
      <c r="V120" s="7">
        <v>70001</v>
      </c>
      <c r="W120" s="7">
        <v>1</v>
      </c>
      <c r="X120" s="7">
        <v>1</v>
      </c>
      <c r="Y120" s="7">
        <v>70002</v>
      </c>
      <c r="Z120" s="7">
        <v>1</v>
      </c>
      <c r="AA120" s="7">
        <v>1</v>
      </c>
      <c r="AB120">
        <v>1001</v>
      </c>
      <c r="AC120">
        <v>50</v>
      </c>
      <c r="AD120">
        <v>1</v>
      </c>
      <c r="AE120">
        <v>8000</v>
      </c>
      <c r="AF120">
        <v>20</v>
      </c>
      <c r="AG120">
        <v>1</v>
      </c>
    </row>
    <row r="121" spans="1:33" ht="42.75" customHeight="1">
      <c r="A121" s="7">
        <v>1015</v>
      </c>
      <c r="B121" s="7" t="s">
        <v>1959</v>
      </c>
      <c r="C121" s="7">
        <v>1</v>
      </c>
      <c r="D121" s="7" t="s">
        <v>2006</v>
      </c>
      <c r="E121" s="7">
        <v>8</v>
      </c>
      <c r="F121" s="7"/>
      <c r="G121" s="82" t="s">
        <v>2007</v>
      </c>
      <c r="H121" s="7"/>
      <c r="I121" s="7">
        <v>3095</v>
      </c>
      <c r="J121" s="3" t="s">
        <v>1964</v>
      </c>
      <c r="K121" s="7" t="s">
        <v>767</v>
      </c>
      <c r="L121" s="7">
        <v>9005</v>
      </c>
      <c r="M121" s="7">
        <v>9</v>
      </c>
      <c r="N121" s="7"/>
      <c r="O121" s="7">
        <v>0.5</v>
      </c>
      <c r="P121" s="3" t="s">
        <v>1965</v>
      </c>
      <c r="Q121" s="7" t="s">
        <v>769</v>
      </c>
      <c r="R121" s="7">
        <v>9004</v>
      </c>
      <c r="S121" s="7" t="s">
        <v>2008</v>
      </c>
      <c r="T121" s="7"/>
      <c r="U121" s="7">
        <v>0.5</v>
      </c>
      <c r="V121" s="7">
        <v>70001</v>
      </c>
      <c r="W121" s="7">
        <v>1</v>
      </c>
      <c r="X121" s="7">
        <v>1</v>
      </c>
      <c r="Y121" s="7">
        <v>70002</v>
      </c>
      <c r="Z121" s="7">
        <v>1</v>
      </c>
      <c r="AA121" s="7">
        <v>1</v>
      </c>
      <c r="AB121">
        <v>1001</v>
      </c>
      <c r="AC121">
        <v>50</v>
      </c>
      <c r="AD121">
        <v>1</v>
      </c>
      <c r="AE121">
        <v>8000</v>
      </c>
      <c r="AF121">
        <v>20</v>
      </c>
      <c r="AG121">
        <v>1</v>
      </c>
    </row>
    <row r="122" spans="1:33" ht="42.75" customHeight="1">
      <c r="A122" s="7">
        <v>1016</v>
      </c>
      <c r="B122" s="7" t="s">
        <v>1959</v>
      </c>
      <c r="C122" s="7">
        <v>1</v>
      </c>
      <c r="D122" s="7" t="s">
        <v>2009</v>
      </c>
      <c r="E122" s="7">
        <v>9</v>
      </c>
      <c r="F122" s="7"/>
      <c r="G122" s="82" t="s">
        <v>2010</v>
      </c>
      <c r="H122" s="7"/>
      <c r="I122" s="7">
        <v>3220</v>
      </c>
      <c r="J122" s="3" t="s">
        <v>1964</v>
      </c>
      <c r="K122" s="7" t="s">
        <v>767</v>
      </c>
      <c r="L122" s="7">
        <v>9011</v>
      </c>
      <c r="M122" s="7">
        <v>6</v>
      </c>
      <c r="N122" s="7"/>
      <c r="O122" s="7">
        <v>0.7</v>
      </c>
      <c r="P122" s="3" t="s">
        <v>1965</v>
      </c>
      <c r="Q122" s="7" t="s">
        <v>769</v>
      </c>
      <c r="R122" s="7">
        <v>9012</v>
      </c>
      <c r="S122" s="7" t="s">
        <v>2011</v>
      </c>
      <c r="T122" s="7"/>
      <c r="U122" s="7">
        <v>0.5</v>
      </c>
      <c r="V122" s="7">
        <v>70001</v>
      </c>
      <c r="W122" s="7">
        <v>1</v>
      </c>
      <c r="X122" s="7">
        <v>1</v>
      </c>
      <c r="Y122" s="7">
        <v>70002</v>
      </c>
      <c r="Z122" s="7">
        <v>1</v>
      </c>
      <c r="AA122" s="7">
        <v>1</v>
      </c>
      <c r="AB122">
        <v>1001</v>
      </c>
      <c r="AC122">
        <v>50</v>
      </c>
      <c r="AD122">
        <v>1</v>
      </c>
      <c r="AE122">
        <v>8000</v>
      </c>
      <c r="AF122">
        <v>20</v>
      </c>
      <c r="AG122">
        <v>1</v>
      </c>
    </row>
    <row r="123" spans="1:33" ht="47.25" customHeight="1">
      <c r="A123" s="7">
        <v>1017</v>
      </c>
      <c r="B123" s="7" t="s">
        <v>1959</v>
      </c>
      <c r="C123">
        <v>1</v>
      </c>
      <c r="D123" s="7" t="s">
        <v>2012</v>
      </c>
      <c r="E123">
        <v>9</v>
      </c>
      <c r="F123" s="87"/>
      <c r="G123" s="88" t="s">
        <v>2013</v>
      </c>
      <c r="I123" s="47">
        <v>3345</v>
      </c>
      <c r="J123" s="83" t="s">
        <v>1964</v>
      </c>
      <c r="K123" s="47" t="s">
        <v>767</v>
      </c>
      <c r="L123" s="47">
        <v>9002</v>
      </c>
      <c r="M123" s="47">
        <v>10</v>
      </c>
      <c r="N123" s="47"/>
      <c r="O123" s="47">
        <v>0.9</v>
      </c>
      <c r="P123" s="83" t="s">
        <v>1965</v>
      </c>
      <c r="Q123" s="47" t="s">
        <v>769</v>
      </c>
      <c r="R123" s="47">
        <v>9008</v>
      </c>
      <c r="S123" s="47">
        <v>1</v>
      </c>
      <c r="T123" s="47"/>
      <c r="U123" s="47">
        <v>0.4</v>
      </c>
      <c r="V123" s="7">
        <v>70001</v>
      </c>
      <c r="W123" s="7">
        <v>1</v>
      </c>
      <c r="X123" s="7">
        <v>1</v>
      </c>
      <c r="Y123" s="7">
        <v>70002</v>
      </c>
      <c r="Z123" s="7">
        <v>1</v>
      </c>
      <c r="AA123" s="7">
        <v>1</v>
      </c>
      <c r="AB123">
        <v>1001</v>
      </c>
      <c r="AC123">
        <v>50</v>
      </c>
      <c r="AD123">
        <v>1</v>
      </c>
      <c r="AE123">
        <v>8000</v>
      </c>
      <c r="AF123">
        <v>30</v>
      </c>
      <c r="AG123">
        <v>1</v>
      </c>
    </row>
    <row r="124" spans="1:33" ht="47.25" customHeight="1">
      <c r="A124" s="7">
        <v>1018</v>
      </c>
      <c r="B124" s="7" t="s">
        <v>1959</v>
      </c>
      <c r="C124">
        <v>1</v>
      </c>
      <c r="D124" s="7" t="s">
        <v>2014</v>
      </c>
      <c r="E124">
        <v>10</v>
      </c>
      <c r="F124" s="87"/>
      <c r="G124" s="88" t="s">
        <v>2015</v>
      </c>
      <c r="I124" s="47">
        <v>3470</v>
      </c>
      <c r="J124" s="83" t="s">
        <v>1964</v>
      </c>
      <c r="K124" s="47" t="s">
        <v>767</v>
      </c>
      <c r="L124" s="47">
        <v>9002</v>
      </c>
      <c r="M124" s="47" t="s">
        <v>2016</v>
      </c>
      <c r="N124" s="47"/>
      <c r="O124" s="47">
        <v>0.2</v>
      </c>
      <c r="P124" s="83" t="s">
        <v>1965</v>
      </c>
      <c r="Q124" s="47" t="s">
        <v>769</v>
      </c>
      <c r="R124" s="47">
        <v>9010</v>
      </c>
      <c r="S124" s="47">
        <v>11</v>
      </c>
      <c r="T124" s="47"/>
      <c r="U124" s="47">
        <v>0.8</v>
      </c>
      <c r="V124" s="7">
        <v>70001</v>
      </c>
      <c r="W124" s="7">
        <v>1</v>
      </c>
      <c r="X124" s="7">
        <v>1</v>
      </c>
      <c r="Y124" s="7">
        <v>70002</v>
      </c>
      <c r="Z124" s="7">
        <v>1</v>
      </c>
      <c r="AA124" s="7">
        <v>1</v>
      </c>
      <c r="AB124">
        <v>1001</v>
      </c>
      <c r="AC124">
        <v>50</v>
      </c>
      <c r="AD124">
        <v>1</v>
      </c>
      <c r="AE124">
        <v>8000</v>
      </c>
      <c r="AF124">
        <v>30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50</v>
      </c>
      <c r="AD125">
        <v>1</v>
      </c>
      <c r="AE125">
        <v>8000</v>
      </c>
      <c r="AF125">
        <v>30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50</v>
      </c>
      <c r="AD126">
        <v>1</v>
      </c>
      <c r="AE126">
        <v>8000</v>
      </c>
      <c r="AF126">
        <v>30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50</v>
      </c>
      <c r="AD127">
        <v>1</v>
      </c>
      <c r="AE127">
        <v>8000</v>
      </c>
      <c r="AF127">
        <v>30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50</v>
      </c>
      <c r="AD128">
        <v>1</v>
      </c>
      <c r="AE128">
        <v>8000</v>
      </c>
      <c r="AF128">
        <v>40</v>
      </c>
      <c r="AG128">
        <v>1</v>
      </c>
    </row>
    <row r="129" spans="1:33" ht="42.75" customHeight="1">
      <c r="A129" s="7">
        <v>1023</v>
      </c>
      <c r="B129" s="7" t="s">
        <v>1959</v>
      </c>
      <c r="C129" s="7">
        <v>1</v>
      </c>
      <c r="D129" s="7" t="s">
        <v>2029</v>
      </c>
      <c r="E129" s="7">
        <v>12</v>
      </c>
      <c r="F129" s="7"/>
      <c r="G129" s="82" t="s">
        <v>2030</v>
      </c>
      <c r="H129" s="7"/>
      <c r="I129" s="7">
        <v>4095</v>
      </c>
      <c r="J129" s="3" t="s">
        <v>1964</v>
      </c>
      <c r="K129" s="7" t="s">
        <v>767</v>
      </c>
      <c r="L129" s="7">
        <v>9007</v>
      </c>
      <c r="M129" s="7">
        <v>6</v>
      </c>
      <c r="N129" s="7"/>
      <c r="O129" s="7">
        <v>0.1</v>
      </c>
      <c r="P129" s="3" t="s">
        <v>1965</v>
      </c>
      <c r="Q129" s="7" t="s">
        <v>769</v>
      </c>
      <c r="R129" s="7">
        <v>9011</v>
      </c>
      <c r="S129" s="7" t="s">
        <v>2031</v>
      </c>
      <c r="T129" s="7"/>
      <c r="U129" s="7">
        <v>0.9</v>
      </c>
      <c r="V129" s="7">
        <v>70001</v>
      </c>
      <c r="W129" s="7">
        <v>1</v>
      </c>
      <c r="X129" s="7">
        <v>1</v>
      </c>
      <c r="Y129" s="7">
        <v>70002</v>
      </c>
      <c r="Z129" s="7">
        <v>1</v>
      </c>
      <c r="AA129" s="7">
        <v>1</v>
      </c>
      <c r="AB129">
        <v>1001</v>
      </c>
      <c r="AC129">
        <v>50</v>
      </c>
      <c r="AD129">
        <v>1</v>
      </c>
      <c r="AE129">
        <v>8000</v>
      </c>
      <c r="AF129">
        <v>40</v>
      </c>
      <c r="AG129">
        <v>1</v>
      </c>
    </row>
    <row r="130" spans="1:33" ht="47.25" customHeight="1">
      <c r="A130" s="7">
        <v>1024</v>
      </c>
      <c r="B130" s="7" t="s">
        <v>1959</v>
      </c>
      <c r="C130" s="7">
        <v>1</v>
      </c>
      <c r="D130" s="7" t="s">
        <v>2032</v>
      </c>
      <c r="E130">
        <v>13</v>
      </c>
      <c r="F130" s="87"/>
      <c r="G130" s="88" t="s">
        <v>2033</v>
      </c>
      <c r="H130" s="47"/>
      <c r="I130" s="47">
        <v>4220</v>
      </c>
      <c r="J130" s="80" t="s">
        <v>1964</v>
      </c>
      <c r="K130" s="47" t="s">
        <v>767</v>
      </c>
      <c r="L130" s="47">
        <v>9011</v>
      </c>
      <c r="M130" s="47">
        <v>13</v>
      </c>
      <c r="N130" s="47"/>
      <c r="O130" s="47">
        <v>0.8</v>
      </c>
      <c r="P130" s="83" t="s">
        <v>1965</v>
      </c>
      <c r="Q130" s="47" t="s">
        <v>769</v>
      </c>
      <c r="R130" s="47">
        <v>9003</v>
      </c>
      <c r="S130" s="47" t="s">
        <v>1968</v>
      </c>
      <c r="T130" s="47"/>
      <c r="U130" s="47">
        <v>0.9</v>
      </c>
      <c r="V130" s="6">
        <v>70001</v>
      </c>
      <c r="W130" s="7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50</v>
      </c>
      <c r="AD130">
        <v>1</v>
      </c>
      <c r="AE130">
        <v>8000</v>
      </c>
      <c r="AF130">
        <v>40</v>
      </c>
      <c r="AG130">
        <v>1</v>
      </c>
    </row>
    <row r="131" spans="1:33" ht="47.25" customHeight="1">
      <c r="A131" s="7">
        <v>1025</v>
      </c>
      <c r="B131" s="7" t="s">
        <v>1959</v>
      </c>
      <c r="C131" s="7">
        <v>1</v>
      </c>
      <c r="D131" s="7" t="s">
        <v>2034</v>
      </c>
      <c r="E131">
        <v>13</v>
      </c>
      <c r="F131" s="101"/>
      <c r="G131" s="102" t="s">
        <v>2035</v>
      </c>
      <c r="H131" s="47"/>
      <c r="I131" s="47">
        <v>4345</v>
      </c>
      <c r="J131" s="83" t="s">
        <v>1964</v>
      </c>
      <c r="K131" s="47" t="s">
        <v>767</v>
      </c>
      <c r="L131" s="47">
        <v>9012</v>
      </c>
      <c r="M131" s="47">
        <v>11</v>
      </c>
      <c r="N131" s="47"/>
      <c r="O131" s="47">
        <v>0.8</v>
      </c>
      <c r="P131" s="83" t="s">
        <v>1965</v>
      </c>
      <c r="Q131" s="47" t="s">
        <v>769</v>
      </c>
      <c r="R131" s="47">
        <v>9010</v>
      </c>
      <c r="S131" s="47" t="s">
        <v>2036</v>
      </c>
      <c r="T131" s="47"/>
      <c r="U131" s="47">
        <v>0.8</v>
      </c>
      <c r="V131" s="6">
        <v>70001</v>
      </c>
      <c r="W131" s="7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50</v>
      </c>
      <c r="AD131">
        <v>1</v>
      </c>
      <c r="AE131">
        <v>8000</v>
      </c>
      <c r="AF131">
        <v>40</v>
      </c>
      <c r="AG131">
        <v>1</v>
      </c>
    </row>
    <row r="132" spans="1:33" ht="47.25" customHeight="1">
      <c r="A132" s="7">
        <v>1026</v>
      </c>
      <c r="B132" s="7" t="s">
        <v>1959</v>
      </c>
      <c r="C132" s="7">
        <v>1</v>
      </c>
      <c r="D132" s="7" t="s">
        <v>2037</v>
      </c>
      <c r="E132">
        <v>14</v>
      </c>
      <c r="F132" s="96"/>
      <c r="G132" s="97" t="s">
        <v>2038</v>
      </c>
      <c r="H132" s="47"/>
      <c r="I132" s="47">
        <v>4470</v>
      </c>
      <c r="J132" s="83" t="s">
        <v>1964</v>
      </c>
      <c r="K132" s="47" t="s">
        <v>767</v>
      </c>
      <c r="L132" s="47">
        <v>9012</v>
      </c>
      <c r="M132" s="47">
        <v>7</v>
      </c>
      <c r="N132" s="47"/>
      <c r="O132" s="47">
        <v>0.9</v>
      </c>
      <c r="P132" s="83" t="s">
        <v>1965</v>
      </c>
      <c r="Q132" s="47" t="s">
        <v>769</v>
      </c>
      <c r="R132" s="47">
        <v>9007</v>
      </c>
      <c r="S132" s="47" t="s">
        <v>2039</v>
      </c>
      <c r="T132" s="47"/>
      <c r="U132" s="47">
        <v>0.5</v>
      </c>
      <c r="V132" s="6">
        <v>70001</v>
      </c>
      <c r="W132" s="7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50</v>
      </c>
      <c r="AD132">
        <v>1</v>
      </c>
      <c r="AE132">
        <v>8000</v>
      </c>
      <c r="AF132">
        <v>50</v>
      </c>
      <c r="AG132">
        <v>1</v>
      </c>
    </row>
    <row r="133" spans="1:33" ht="47.25" customHeight="1">
      <c r="A133" s="7">
        <v>1027</v>
      </c>
      <c r="B133" s="7" t="s">
        <v>1959</v>
      </c>
      <c r="C133" s="7">
        <v>1</v>
      </c>
      <c r="D133" s="7" t="s">
        <v>2040</v>
      </c>
      <c r="E133">
        <v>14</v>
      </c>
      <c r="F133" s="87"/>
      <c r="G133" s="88" t="s">
        <v>2041</v>
      </c>
      <c r="H133" s="47"/>
      <c r="I133" s="47">
        <v>4595</v>
      </c>
      <c r="J133" s="83" t="s">
        <v>1964</v>
      </c>
      <c r="K133" s="47" t="s">
        <v>767</v>
      </c>
      <c r="L133" s="47">
        <v>9005</v>
      </c>
      <c r="M133" s="47">
        <v>12</v>
      </c>
      <c r="N133" s="47"/>
      <c r="O133" s="47">
        <v>0.6</v>
      </c>
      <c r="P133" s="83" t="s">
        <v>1965</v>
      </c>
      <c r="Q133" s="47" t="s">
        <v>769</v>
      </c>
      <c r="R133" s="47">
        <v>9004</v>
      </c>
      <c r="S133" s="47">
        <v>4</v>
      </c>
      <c r="T133" s="47"/>
      <c r="U133" s="47">
        <v>0.1</v>
      </c>
      <c r="V133" s="6">
        <v>70001</v>
      </c>
      <c r="W133" s="7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50</v>
      </c>
      <c r="AD133">
        <v>1</v>
      </c>
      <c r="AE133">
        <v>8000</v>
      </c>
      <c r="AF133">
        <v>50</v>
      </c>
      <c r="AG133">
        <v>1</v>
      </c>
    </row>
    <row r="134" spans="1:33" ht="47.25" customHeight="1">
      <c r="A134" s="7">
        <v>1028</v>
      </c>
      <c r="B134" s="7" t="s">
        <v>1959</v>
      </c>
      <c r="C134" s="7">
        <v>1</v>
      </c>
      <c r="D134" s="7" t="s">
        <v>2042</v>
      </c>
      <c r="E134">
        <v>15</v>
      </c>
      <c r="F134" s="87"/>
      <c r="G134" s="88" t="s">
        <v>2043</v>
      </c>
      <c r="H134" s="47"/>
      <c r="I134" s="47">
        <v>4720</v>
      </c>
      <c r="J134" s="80" t="s">
        <v>1964</v>
      </c>
      <c r="K134" s="47" t="s">
        <v>767</v>
      </c>
      <c r="L134" s="47">
        <v>9002</v>
      </c>
      <c r="M134" s="47" t="s">
        <v>1734</v>
      </c>
      <c r="N134" s="47"/>
      <c r="O134" s="47">
        <v>0.2</v>
      </c>
      <c r="P134" s="83" t="s">
        <v>1965</v>
      </c>
      <c r="Q134" s="47" t="s">
        <v>769</v>
      </c>
      <c r="R134" s="47">
        <v>9004</v>
      </c>
      <c r="S134" s="47" t="s">
        <v>2044</v>
      </c>
      <c r="T134" s="47"/>
      <c r="U134" s="47">
        <v>0.2</v>
      </c>
      <c r="V134" s="6">
        <v>70001</v>
      </c>
      <c r="W134" s="7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50</v>
      </c>
      <c r="AD134">
        <v>1</v>
      </c>
      <c r="AE134">
        <v>8000</v>
      </c>
      <c r="AF134">
        <v>50</v>
      </c>
      <c r="AG134">
        <v>1</v>
      </c>
    </row>
    <row r="135" spans="1:33" ht="47.25" customHeight="1">
      <c r="A135" s="7">
        <v>1029</v>
      </c>
      <c r="B135" s="7" t="s">
        <v>1959</v>
      </c>
      <c r="C135" s="7">
        <v>1</v>
      </c>
      <c r="D135" s="7" t="s">
        <v>2045</v>
      </c>
      <c r="E135">
        <v>15</v>
      </c>
      <c r="F135" s="101"/>
      <c r="G135" s="102" t="s">
        <v>2046</v>
      </c>
      <c r="H135" s="47"/>
      <c r="I135" s="47">
        <v>4845</v>
      </c>
      <c r="J135" s="83" t="s">
        <v>1964</v>
      </c>
      <c r="K135" s="47" t="s">
        <v>767</v>
      </c>
      <c r="L135" s="47">
        <v>9008</v>
      </c>
      <c r="M135" s="47" t="s">
        <v>1870</v>
      </c>
      <c r="N135" s="47"/>
      <c r="O135" s="47">
        <v>0.8</v>
      </c>
      <c r="P135" s="83" t="s">
        <v>1965</v>
      </c>
      <c r="Q135" s="47" t="s">
        <v>769</v>
      </c>
      <c r="R135" s="47">
        <v>9010</v>
      </c>
      <c r="S135" s="47">
        <v>2</v>
      </c>
      <c r="T135" s="47"/>
      <c r="U135" s="47">
        <v>0.4</v>
      </c>
      <c r="V135" s="6">
        <v>70001</v>
      </c>
      <c r="W135" s="7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50</v>
      </c>
      <c r="AD135">
        <v>1</v>
      </c>
      <c r="AE135">
        <v>8000</v>
      </c>
      <c r="AF135">
        <v>50</v>
      </c>
      <c r="AG135">
        <v>1</v>
      </c>
    </row>
    <row r="136" spans="1:33" ht="47.25" customHeight="1">
      <c r="A136" s="7">
        <v>1030</v>
      </c>
      <c r="B136" s="7" t="s">
        <v>1959</v>
      </c>
      <c r="C136" s="7">
        <v>2</v>
      </c>
      <c r="D136" s="7" t="s">
        <v>2047</v>
      </c>
      <c r="E136">
        <v>16</v>
      </c>
      <c r="F136" s="96"/>
      <c r="G136" s="97" t="s">
        <v>2048</v>
      </c>
      <c r="H136" s="47"/>
      <c r="I136" s="47">
        <v>4970</v>
      </c>
      <c r="J136" s="83" t="s">
        <v>2049</v>
      </c>
      <c r="K136" s="47" t="s">
        <v>767</v>
      </c>
      <c r="L136" s="47">
        <v>9011</v>
      </c>
      <c r="M136" s="47">
        <v>3</v>
      </c>
      <c r="N136" s="47"/>
      <c r="O136" s="47">
        <v>0.7</v>
      </c>
      <c r="P136" s="83" t="s">
        <v>1965</v>
      </c>
      <c r="Q136" s="47" t="s">
        <v>769</v>
      </c>
      <c r="R136" s="47">
        <v>9004</v>
      </c>
      <c r="S136" s="47" t="s">
        <v>2050</v>
      </c>
      <c r="T136" s="47"/>
      <c r="U136" s="47">
        <v>0.7</v>
      </c>
      <c r="V136" s="6">
        <v>70001</v>
      </c>
      <c r="W136" s="7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50</v>
      </c>
      <c r="AD136">
        <v>1</v>
      </c>
      <c r="AE136">
        <v>8000</v>
      </c>
      <c r="AF136">
        <v>50</v>
      </c>
      <c r="AG136">
        <v>1</v>
      </c>
    </row>
    <row r="137" spans="1:33" ht="47.25" customHeight="1">
      <c r="A137" s="7">
        <v>1031</v>
      </c>
      <c r="B137" s="7" t="s">
        <v>1959</v>
      </c>
      <c r="C137" s="7">
        <v>2</v>
      </c>
      <c r="D137" s="7" t="s">
        <v>2051</v>
      </c>
      <c r="E137">
        <v>16</v>
      </c>
      <c r="F137" s="87"/>
      <c r="G137" s="88" t="s">
        <v>2052</v>
      </c>
      <c r="H137" s="47"/>
      <c r="I137" s="47">
        <v>5095</v>
      </c>
      <c r="J137" s="83" t="s">
        <v>2049</v>
      </c>
      <c r="K137" s="47" t="s">
        <v>767</v>
      </c>
      <c r="L137" s="47">
        <v>9001</v>
      </c>
      <c r="M137" s="47">
        <v>13</v>
      </c>
      <c r="N137" s="47"/>
      <c r="O137" s="47">
        <v>0.1</v>
      </c>
      <c r="P137" s="83" t="s">
        <v>1965</v>
      </c>
      <c r="Q137" s="47" t="s">
        <v>769</v>
      </c>
      <c r="R137" s="47">
        <v>9004</v>
      </c>
      <c r="S137" s="47">
        <v>7</v>
      </c>
      <c r="T137" s="47"/>
      <c r="U137" s="47">
        <v>0.6</v>
      </c>
      <c r="V137" s="6">
        <v>70001</v>
      </c>
      <c r="W137" s="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50</v>
      </c>
      <c r="AD137">
        <v>1</v>
      </c>
      <c r="AE137">
        <v>8000</v>
      </c>
      <c r="AF137">
        <v>60</v>
      </c>
      <c r="AG137">
        <v>1</v>
      </c>
    </row>
    <row r="138" spans="1:33" ht="47.25" customHeight="1">
      <c r="A138" s="7">
        <v>1032</v>
      </c>
      <c r="B138" s="7" t="s">
        <v>1959</v>
      </c>
      <c r="C138" s="7">
        <v>2</v>
      </c>
      <c r="D138" s="7" t="s">
        <v>2053</v>
      </c>
      <c r="E138">
        <v>17</v>
      </c>
      <c r="F138" s="87"/>
      <c r="G138" s="88" t="s">
        <v>2054</v>
      </c>
      <c r="H138" s="47"/>
      <c r="I138" s="47">
        <v>5220</v>
      </c>
      <c r="J138" s="80" t="s">
        <v>2049</v>
      </c>
      <c r="K138" s="47" t="s">
        <v>767</v>
      </c>
      <c r="L138" s="47">
        <v>9005</v>
      </c>
      <c r="M138" s="47" t="s">
        <v>2055</v>
      </c>
      <c r="N138" s="47"/>
      <c r="O138" s="47">
        <v>0.9</v>
      </c>
      <c r="P138" s="83" t="s">
        <v>1965</v>
      </c>
      <c r="Q138" s="47" t="s">
        <v>769</v>
      </c>
      <c r="R138" s="47">
        <v>9007</v>
      </c>
      <c r="S138" s="47" t="s">
        <v>1827</v>
      </c>
      <c r="T138" s="47"/>
      <c r="U138" s="47">
        <v>0.7</v>
      </c>
      <c r="V138" s="6">
        <v>70001</v>
      </c>
      <c r="W138" s="7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50</v>
      </c>
      <c r="AD138">
        <v>1</v>
      </c>
      <c r="AE138">
        <v>8000</v>
      </c>
      <c r="AF138">
        <v>60</v>
      </c>
      <c r="AG138">
        <v>1</v>
      </c>
    </row>
    <row r="139" spans="1:33" ht="47.25" customHeight="1">
      <c r="A139" s="7">
        <v>1033</v>
      </c>
      <c r="B139" s="7" t="s">
        <v>1959</v>
      </c>
      <c r="C139" s="7">
        <v>2</v>
      </c>
      <c r="D139" s="7" t="s">
        <v>2056</v>
      </c>
      <c r="E139">
        <v>17</v>
      </c>
      <c r="F139" s="101"/>
      <c r="G139" s="102" t="s">
        <v>2057</v>
      </c>
      <c r="H139" s="47"/>
      <c r="I139" s="47">
        <v>5345</v>
      </c>
      <c r="J139" s="83" t="s">
        <v>2049</v>
      </c>
      <c r="K139" s="47" t="s">
        <v>767</v>
      </c>
      <c r="L139" s="47">
        <v>9002</v>
      </c>
      <c r="M139" s="47" t="s">
        <v>2058</v>
      </c>
      <c r="N139" s="47"/>
      <c r="O139" s="47">
        <v>0.9</v>
      </c>
      <c r="P139" s="83" t="s">
        <v>1965</v>
      </c>
      <c r="Q139" s="47" t="s">
        <v>769</v>
      </c>
      <c r="R139" s="47">
        <v>9003</v>
      </c>
      <c r="S139" s="47" t="s">
        <v>2059</v>
      </c>
      <c r="T139" s="47"/>
      <c r="U139" s="47">
        <v>0.6</v>
      </c>
      <c r="V139" s="6">
        <v>70001</v>
      </c>
      <c r="W139" s="7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50</v>
      </c>
      <c r="AD139">
        <v>1</v>
      </c>
      <c r="AE139">
        <v>8000</v>
      </c>
      <c r="AF139">
        <v>60</v>
      </c>
      <c r="AG139">
        <v>1</v>
      </c>
    </row>
    <row r="140" spans="1:33" ht="47.25" customHeight="1">
      <c r="A140" s="7">
        <v>1034</v>
      </c>
      <c r="B140" s="7" t="s">
        <v>1959</v>
      </c>
      <c r="C140" s="7">
        <v>2</v>
      </c>
      <c r="D140" s="7" t="s">
        <v>2060</v>
      </c>
      <c r="E140">
        <v>18</v>
      </c>
      <c r="F140" s="96"/>
      <c r="G140" s="97" t="s">
        <v>2061</v>
      </c>
      <c r="H140" s="47"/>
      <c r="I140" s="47">
        <v>5470</v>
      </c>
      <c r="J140" s="83" t="s">
        <v>2049</v>
      </c>
      <c r="K140" s="47" t="s">
        <v>767</v>
      </c>
      <c r="L140" s="47">
        <v>9002</v>
      </c>
      <c r="M140" s="47">
        <v>9</v>
      </c>
      <c r="N140" s="47"/>
      <c r="O140" s="47">
        <v>0.2</v>
      </c>
      <c r="P140" s="83" t="s">
        <v>1965</v>
      </c>
      <c r="Q140" s="47" t="s">
        <v>769</v>
      </c>
      <c r="R140" s="47">
        <v>9008</v>
      </c>
      <c r="S140" s="47" t="s">
        <v>2062</v>
      </c>
      <c r="T140" s="47"/>
      <c r="U140" s="47">
        <v>0.5</v>
      </c>
      <c r="V140" s="6">
        <v>70001</v>
      </c>
      <c r="W140" s="7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50</v>
      </c>
      <c r="AD140">
        <v>1</v>
      </c>
      <c r="AE140">
        <v>8000</v>
      </c>
      <c r="AF140">
        <v>60</v>
      </c>
      <c r="AG140">
        <v>1</v>
      </c>
    </row>
    <row r="141" spans="1:33" ht="47.25" customHeight="1">
      <c r="A141" s="7">
        <v>1035</v>
      </c>
      <c r="B141" s="7" t="s">
        <v>1959</v>
      </c>
      <c r="C141" s="7">
        <v>2</v>
      </c>
      <c r="D141" s="7" t="s">
        <v>2063</v>
      </c>
      <c r="E141">
        <v>18</v>
      </c>
      <c r="F141" s="87"/>
      <c r="G141" s="88" t="s">
        <v>2064</v>
      </c>
      <c r="H141" s="47"/>
      <c r="I141" s="47">
        <v>5595</v>
      </c>
      <c r="J141" s="83" t="s">
        <v>2049</v>
      </c>
      <c r="K141" s="47" t="s">
        <v>767</v>
      </c>
      <c r="L141" s="47">
        <v>9007</v>
      </c>
      <c r="M141" s="47">
        <v>1</v>
      </c>
      <c r="N141" s="47"/>
      <c r="O141" s="47">
        <v>0.7</v>
      </c>
      <c r="P141" s="83" t="s">
        <v>1965</v>
      </c>
      <c r="Q141" s="47" t="s">
        <v>769</v>
      </c>
      <c r="R141" s="47">
        <v>9012</v>
      </c>
      <c r="S141" s="47">
        <v>3</v>
      </c>
      <c r="T141" s="47"/>
      <c r="U141" s="47">
        <v>0.2</v>
      </c>
      <c r="V141" s="6">
        <v>70001</v>
      </c>
      <c r="W141" s="7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50</v>
      </c>
      <c r="AD141">
        <v>1</v>
      </c>
      <c r="AE141">
        <v>8000</v>
      </c>
      <c r="AF141">
        <v>70</v>
      </c>
      <c r="AG141">
        <v>1</v>
      </c>
    </row>
    <row r="142" spans="1:33" ht="47.25" customHeight="1">
      <c r="A142" s="7">
        <v>1036</v>
      </c>
      <c r="B142" s="7" t="s">
        <v>1959</v>
      </c>
      <c r="C142" s="7">
        <v>2</v>
      </c>
      <c r="D142" s="7" t="s">
        <v>2065</v>
      </c>
      <c r="E142">
        <v>19</v>
      </c>
      <c r="F142" s="87"/>
      <c r="G142" s="88" t="s">
        <v>2066</v>
      </c>
      <c r="H142" s="47"/>
      <c r="I142" s="47">
        <v>5720</v>
      </c>
      <c r="J142" s="3" t="s">
        <v>2049</v>
      </c>
      <c r="K142" s="47" t="s">
        <v>767</v>
      </c>
      <c r="L142" s="47">
        <v>9006</v>
      </c>
      <c r="M142" s="47">
        <v>13</v>
      </c>
      <c r="N142" s="47"/>
      <c r="O142" s="47">
        <v>0.5</v>
      </c>
      <c r="P142" s="83" t="s">
        <v>1965</v>
      </c>
      <c r="Q142" s="47" t="s">
        <v>769</v>
      </c>
      <c r="R142" s="47">
        <v>9003</v>
      </c>
      <c r="S142" s="47">
        <v>4</v>
      </c>
      <c r="T142" s="47"/>
      <c r="U142" s="47">
        <v>0.4</v>
      </c>
      <c r="V142" s="6">
        <v>70001</v>
      </c>
      <c r="W142" s="7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50</v>
      </c>
      <c r="AD142">
        <v>1</v>
      </c>
      <c r="AE142">
        <v>8000</v>
      </c>
      <c r="AF142">
        <v>70</v>
      </c>
      <c r="AG142">
        <v>1</v>
      </c>
    </row>
    <row r="143" spans="1:33" ht="47.25" customHeight="1">
      <c r="A143" s="7">
        <v>1037</v>
      </c>
      <c r="B143" s="7" t="s">
        <v>1959</v>
      </c>
      <c r="C143" s="7">
        <v>2</v>
      </c>
      <c r="D143" s="7" t="s">
        <v>2067</v>
      </c>
      <c r="E143">
        <v>19</v>
      </c>
      <c r="F143" s="101"/>
      <c r="G143" s="102" t="s">
        <v>2068</v>
      </c>
      <c r="H143" s="47"/>
      <c r="I143" s="47">
        <v>5845</v>
      </c>
      <c r="J143" s="3" t="s">
        <v>2049</v>
      </c>
      <c r="K143" s="47" t="s">
        <v>767</v>
      </c>
      <c r="L143" s="47">
        <v>9007</v>
      </c>
      <c r="M143" s="47" t="s">
        <v>1808</v>
      </c>
      <c r="N143" s="47"/>
      <c r="O143" s="47">
        <v>0.2</v>
      </c>
      <c r="P143" s="83" t="s">
        <v>1965</v>
      </c>
      <c r="Q143" s="47" t="s">
        <v>769</v>
      </c>
      <c r="R143" s="47">
        <v>9004</v>
      </c>
      <c r="S143" s="47" t="s">
        <v>2069</v>
      </c>
      <c r="T143" s="47"/>
      <c r="U143" s="47">
        <v>0.6</v>
      </c>
      <c r="V143" s="6">
        <v>70001</v>
      </c>
      <c r="W143" s="7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50</v>
      </c>
      <c r="AD143">
        <v>1</v>
      </c>
      <c r="AE143">
        <v>8000</v>
      </c>
      <c r="AF143">
        <v>70</v>
      </c>
      <c r="AG143">
        <v>1</v>
      </c>
    </row>
    <row r="144" spans="1:33" ht="47.25" customHeight="1">
      <c r="A144" s="7">
        <v>1038</v>
      </c>
      <c r="B144" s="7" t="s">
        <v>1959</v>
      </c>
      <c r="C144" s="7">
        <v>2</v>
      </c>
      <c r="D144" s="7" t="s">
        <v>2070</v>
      </c>
      <c r="E144">
        <v>20</v>
      </c>
      <c r="F144" s="96"/>
      <c r="G144" s="97" t="s">
        <v>2071</v>
      </c>
      <c r="H144" s="47"/>
      <c r="I144" s="47">
        <v>5970</v>
      </c>
      <c r="J144" s="3" t="s">
        <v>2049</v>
      </c>
      <c r="K144" s="47" t="s">
        <v>767</v>
      </c>
      <c r="L144" s="47">
        <v>9011</v>
      </c>
      <c r="M144" s="47" t="s">
        <v>2072</v>
      </c>
      <c r="N144" s="47"/>
      <c r="O144" s="47">
        <v>0.2</v>
      </c>
      <c r="P144" s="83" t="s">
        <v>1965</v>
      </c>
      <c r="Q144" s="47" t="s">
        <v>769</v>
      </c>
      <c r="R144" s="47">
        <v>9007</v>
      </c>
      <c r="S144" s="47" t="s">
        <v>1820</v>
      </c>
      <c r="T144" s="47"/>
      <c r="U144" s="47">
        <v>0.2</v>
      </c>
      <c r="V144" s="6">
        <v>70001</v>
      </c>
      <c r="W144" s="7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50</v>
      </c>
      <c r="AD144">
        <v>1</v>
      </c>
      <c r="AE144">
        <v>8000</v>
      </c>
      <c r="AF144">
        <v>70</v>
      </c>
      <c r="AG144">
        <v>1</v>
      </c>
    </row>
    <row r="145" spans="1:33" ht="47.25" customHeight="1">
      <c r="A145" s="7">
        <v>1039</v>
      </c>
      <c r="B145" s="7" t="s">
        <v>1959</v>
      </c>
      <c r="C145" s="7">
        <v>2</v>
      </c>
      <c r="D145" s="7" t="s">
        <v>2073</v>
      </c>
      <c r="E145">
        <v>20</v>
      </c>
      <c r="F145" s="87"/>
      <c r="G145" s="88" t="s">
        <v>2074</v>
      </c>
      <c r="H145" s="47"/>
      <c r="I145" s="47">
        <v>6095</v>
      </c>
      <c r="J145" s="3" t="s">
        <v>2049</v>
      </c>
      <c r="K145" s="47" t="s">
        <v>767</v>
      </c>
      <c r="L145" s="47">
        <v>9001</v>
      </c>
      <c r="M145" s="47" t="s">
        <v>2075</v>
      </c>
      <c r="N145" s="47"/>
      <c r="O145" s="47">
        <v>0.4</v>
      </c>
      <c r="P145" s="83" t="s">
        <v>1965</v>
      </c>
      <c r="Q145" s="47" t="s">
        <v>769</v>
      </c>
      <c r="R145" s="47">
        <v>9004</v>
      </c>
      <c r="S145" s="47" t="s">
        <v>2076</v>
      </c>
      <c r="T145" s="47"/>
      <c r="U145" s="47">
        <v>0.8</v>
      </c>
      <c r="V145" s="6">
        <v>70001</v>
      </c>
      <c r="W145" s="7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50</v>
      </c>
      <c r="AD145">
        <v>1</v>
      </c>
      <c r="AE145">
        <v>8000</v>
      </c>
      <c r="AF145">
        <v>80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50</v>
      </c>
      <c r="AD146">
        <v>1</v>
      </c>
      <c r="AE146">
        <v>8000</v>
      </c>
      <c r="AF146">
        <v>80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50</v>
      </c>
      <c r="AD147">
        <v>1</v>
      </c>
      <c r="AE147">
        <v>8000</v>
      </c>
      <c r="AF147">
        <v>80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50</v>
      </c>
      <c r="AD148">
        <v>1</v>
      </c>
      <c r="AE148">
        <v>8000</v>
      </c>
      <c r="AF148">
        <v>80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50</v>
      </c>
      <c r="AD149">
        <v>1</v>
      </c>
      <c r="AE149">
        <v>8000</v>
      </c>
      <c r="AF149">
        <v>90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50</v>
      </c>
      <c r="AD150">
        <v>1</v>
      </c>
      <c r="AE150">
        <v>8000</v>
      </c>
      <c r="AF150">
        <v>90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50</v>
      </c>
      <c r="AD151">
        <v>1</v>
      </c>
      <c r="AE151">
        <v>8000</v>
      </c>
      <c r="AF151">
        <v>90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50</v>
      </c>
      <c r="AD152">
        <v>1</v>
      </c>
      <c r="AE152">
        <v>8000</v>
      </c>
      <c r="AF152">
        <v>100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50</v>
      </c>
      <c r="AD153">
        <v>1</v>
      </c>
      <c r="AE153">
        <v>8000</v>
      </c>
      <c r="AF153">
        <v>100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50</v>
      </c>
      <c r="AD154">
        <v>1</v>
      </c>
      <c r="AE154">
        <v>8000</v>
      </c>
      <c r="AF154">
        <v>100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50</v>
      </c>
      <c r="AD155">
        <v>1</v>
      </c>
      <c r="AE155">
        <v>8000</v>
      </c>
      <c r="AF155">
        <v>100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50</v>
      </c>
      <c r="AD156">
        <v>1</v>
      </c>
      <c r="AE156">
        <v>8000</v>
      </c>
      <c r="AF156">
        <v>110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50</v>
      </c>
      <c r="AD157">
        <v>1</v>
      </c>
      <c r="AE157">
        <v>8000</v>
      </c>
      <c r="AF157">
        <v>110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50</v>
      </c>
      <c r="AD158">
        <v>1</v>
      </c>
      <c r="AE158">
        <v>8000</v>
      </c>
      <c r="AF158">
        <v>110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50</v>
      </c>
      <c r="AD159">
        <v>1</v>
      </c>
      <c r="AE159">
        <v>8000</v>
      </c>
      <c r="AF159">
        <v>110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50</v>
      </c>
      <c r="AD160">
        <v>1</v>
      </c>
      <c r="AE160">
        <v>8000</v>
      </c>
      <c r="AF160">
        <v>120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50</v>
      </c>
      <c r="AD161">
        <v>1</v>
      </c>
      <c r="AE161">
        <v>8000</v>
      </c>
      <c r="AF161">
        <v>120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50</v>
      </c>
      <c r="AD162">
        <v>1</v>
      </c>
      <c r="AE162">
        <v>8000</v>
      </c>
      <c r="AF162">
        <v>120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50</v>
      </c>
      <c r="AD163">
        <v>1</v>
      </c>
      <c r="AE163">
        <v>8000</v>
      </c>
      <c r="AF163">
        <v>130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50</v>
      </c>
      <c r="AD164">
        <v>1</v>
      </c>
      <c r="AE164">
        <v>8000</v>
      </c>
      <c r="AF164">
        <v>130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162" t="s">
        <v>4547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50</v>
      </c>
      <c r="AD165">
        <v>1</v>
      </c>
      <c r="AE165">
        <v>8000</v>
      </c>
      <c r="AF165">
        <v>130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2130</v>
      </c>
      <c r="E166">
        <v>31</v>
      </c>
      <c r="G166" s="90" t="s">
        <v>2131</v>
      </c>
      <c r="I166">
        <v>8720</v>
      </c>
      <c r="J166" s="80" t="s">
        <v>2132</v>
      </c>
      <c r="K166" t="s">
        <v>767</v>
      </c>
      <c r="L166">
        <v>9008</v>
      </c>
      <c r="M166" t="s">
        <v>2001</v>
      </c>
      <c r="O166">
        <v>0.7</v>
      </c>
      <c r="P166" s="80" t="s">
        <v>2133</v>
      </c>
      <c r="Q166" t="s">
        <v>769</v>
      </c>
      <c r="R166">
        <v>9004</v>
      </c>
      <c r="S166" t="s">
        <v>2134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50</v>
      </c>
      <c r="AD166">
        <v>1</v>
      </c>
      <c r="AE166">
        <v>8000</v>
      </c>
      <c r="AF166">
        <v>130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2135</v>
      </c>
      <c r="E167">
        <v>31</v>
      </c>
      <c r="G167" s="90" t="s">
        <v>2136</v>
      </c>
      <c r="I167">
        <v>8845</v>
      </c>
      <c r="J167" s="80" t="s">
        <v>2132</v>
      </c>
      <c r="K167" t="s">
        <v>767</v>
      </c>
      <c r="L167">
        <v>9002</v>
      </c>
      <c r="M167" t="s">
        <v>1712</v>
      </c>
      <c r="O167">
        <v>0.7</v>
      </c>
      <c r="P167" s="80" t="s">
        <v>2133</v>
      </c>
      <c r="Q167" t="s">
        <v>769</v>
      </c>
      <c r="R167">
        <v>9007</v>
      </c>
      <c r="S167" t="s">
        <v>2137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50</v>
      </c>
      <c r="AD167">
        <v>1</v>
      </c>
      <c r="AE167">
        <v>8000</v>
      </c>
      <c r="AF167">
        <v>140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2138</v>
      </c>
      <c r="E168">
        <v>32</v>
      </c>
      <c r="G168" s="90" t="s">
        <v>2139</v>
      </c>
      <c r="I168">
        <v>8970</v>
      </c>
      <c r="J168" s="80" t="s">
        <v>2132</v>
      </c>
      <c r="K168" t="s">
        <v>767</v>
      </c>
      <c r="L168">
        <v>9008</v>
      </c>
      <c r="M168" t="s">
        <v>2140</v>
      </c>
      <c r="O168">
        <v>0.4</v>
      </c>
      <c r="P168" s="80" t="s">
        <v>2133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50</v>
      </c>
      <c r="AD168">
        <v>1</v>
      </c>
      <c r="AE168">
        <v>8000</v>
      </c>
      <c r="AF168">
        <v>140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2141</v>
      </c>
      <c r="E169">
        <v>32</v>
      </c>
      <c r="G169" s="90" t="s">
        <v>2142</v>
      </c>
      <c r="I169">
        <v>9095</v>
      </c>
      <c r="J169" s="80" t="s">
        <v>2132</v>
      </c>
      <c r="K169" t="s">
        <v>767</v>
      </c>
      <c r="L169">
        <v>9011</v>
      </c>
      <c r="M169" t="s">
        <v>1870</v>
      </c>
      <c r="O169">
        <v>0.8</v>
      </c>
      <c r="P169" s="80" t="s">
        <v>2133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50</v>
      </c>
      <c r="AD169">
        <v>1</v>
      </c>
      <c r="AE169">
        <v>8000</v>
      </c>
      <c r="AF169">
        <v>140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2143</v>
      </c>
      <c r="E170">
        <v>33</v>
      </c>
      <c r="G170" s="90" t="s">
        <v>2144</v>
      </c>
      <c r="I170">
        <v>9220</v>
      </c>
      <c r="J170" s="80" t="s">
        <v>2132</v>
      </c>
      <c r="K170" t="s">
        <v>767</v>
      </c>
      <c r="L170">
        <v>9007</v>
      </c>
      <c r="M170">
        <v>7</v>
      </c>
      <c r="O170">
        <v>0.4</v>
      </c>
      <c r="P170" s="80" t="s">
        <v>2133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50</v>
      </c>
      <c r="AD170">
        <v>1</v>
      </c>
      <c r="AE170">
        <v>8000</v>
      </c>
      <c r="AF170">
        <v>150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2145</v>
      </c>
      <c r="E171">
        <v>33</v>
      </c>
      <c r="G171" s="90" t="s">
        <v>2146</v>
      </c>
      <c r="I171">
        <v>9345</v>
      </c>
      <c r="J171" s="80" t="s">
        <v>2132</v>
      </c>
      <c r="K171" t="s">
        <v>767</v>
      </c>
      <c r="L171">
        <v>9011</v>
      </c>
      <c r="M171">
        <v>4</v>
      </c>
      <c r="O171">
        <v>0.5</v>
      </c>
      <c r="P171" s="80" t="s">
        <v>2133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50</v>
      </c>
      <c r="AD171">
        <v>1</v>
      </c>
      <c r="AE171">
        <v>8000</v>
      </c>
      <c r="AF171">
        <v>150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2147</v>
      </c>
      <c r="E172">
        <v>34</v>
      </c>
      <c r="G172" s="90" t="s">
        <v>2148</v>
      </c>
      <c r="I172">
        <v>9470</v>
      </c>
      <c r="J172" s="80" t="s">
        <v>2132</v>
      </c>
      <c r="K172" t="s">
        <v>767</v>
      </c>
      <c r="L172">
        <v>9012</v>
      </c>
      <c r="M172" t="s">
        <v>2149</v>
      </c>
      <c r="O172">
        <v>0.9</v>
      </c>
      <c r="P172" s="80" t="s">
        <v>2133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50</v>
      </c>
      <c r="AD172">
        <v>1</v>
      </c>
      <c r="AE172">
        <v>8000</v>
      </c>
      <c r="AF172">
        <v>150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2150</v>
      </c>
      <c r="E173">
        <v>34</v>
      </c>
      <c r="G173" s="90" t="s">
        <v>2151</v>
      </c>
      <c r="I173">
        <v>9595</v>
      </c>
      <c r="J173" s="80" t="s">
        <v>2132</v>
      </c>
      <c r="K173" t="s">
        <v>767</v>
      </c>
      <c r="L173">
        <v>9012</v>
      </c>
      <c r="M173">
        <v>6</v>
      </c>
      <c r="O173">
        <v>0.6</v>
      </c>
      <c r="P173" s="80" t="s">
        <v>2133</v>
      </c>
      <c r="Q173" t="s">
        <v>769</v>
      </c>
      <c r="R173">
        <v>9003</v>
      </c>
      <c r="S173" t="s">
        <v>2152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50</v>
      </c>
      <c r="AD173">
        <v>1</v>
      </c>
      <c r="AE173">
        <v>8000</v>
      </c>
      <c r="AF173">
        <v>160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2153</v>
      </c>
      <c r="E174">
        <v>35</v>
      </c>
      <c r="G174" s="90" t="s">
        <v>2154</v>
      </c>
      <c r="I174">
        <v>9720</v>
      </c>
      <c r="J174" s="80" t="s">
        <v>2132</v>
      </c>
      <c r="K174" t="s">
        <v>767</v>
      </c>
      <c r="L174">
        <v>9001</v>
      </c>
      <c r="M174" t="s">
        <v>1833</v>
      </c>
      <c r="O174">
        <v>0.5</v>
      </c>
      <c r="P174" s="80" t="s">
        <v>2133</v>
      </c>
      <c r="Q174" t="s">
        <v>769</v>
      </c>
      <c r="R174">
        <v>9004</v>
      </c>
      <c r="S174" t="s">
        <v>2155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50</v>
      </c>
      <c r="AD174">
        <v>1</v>
      </c>
      <c r="AE174">
        <v>8000</v>
      </c>
      <c r="AF174">
        <v>160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2156</v>
      </c>
      <c r="E175">
        <v>35</v>
      </c>
      <c r="G175" s="90" t="s">
        <v>2157</v>
      </c>
      <c r="I175">
        <v>9845</v>
      </c>
      <c r="J175" s="80" t="s">
        <v>2132</v>
      </c>
      <c r="K175" t="s">
        <v>767</v>
      </c>
      <c r="L175">
        <v>9008</v>
      </c>
      <c r="M175" t="s">
        <v>1677</v>
      </c>
      <c r="O175">
        <v>0.9</v>
      </c>
      <c r="P175" s="80" t="s">
        <v>2133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50</v>
      </c>
      <c r="AD175">
        <v>1</v>
      </c>
      <c r="AE175">
        <v>8000</v>
      </c>
      <c r="AF175">
        <v>160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2158</v>
      </c>
      <c r="E176">
        <v>36</v>
      </c>
      <c r="G176" s="90" t="s">
        <v>2159</v>
      </c>
      <c r="I176">
        <v>9970</v>
      </c>
      <c r="J176" s="80" t="s">
        <v>2132</v>
      </c>
      <c r="K176" t="s">
        <v>767</v>
      </c>
      <c r="L176">
        <v>9002</v>
      </c>
      <c r="M176" t="s">
        <v>2160</v>
      </c>
      <c r="O176">
        <v>0.7</v>
      </c>
      <c r="P176" s="80" t="s">
        <v>2133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50</v>
      </c>
      <c r="AD176">
        <v>1</v>
      </c>
      <c r="AE176">
        <v>8000</v>
      </c>
      <c r="AF176">
        <v>160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2161</v>
      </c>
      <c r="E177">
        <v>36</v>
      </c>
      <c r="G177" s="90" t="s">
        <v>2162</v>
      </c>
      <c r="I177">
        <v>10095</v>
      </c>
      <c r="J177" s="80" t="s">
        <v>2132</v>
      </c>
      <c r="K177" t="s">
        <v>767</v>
      </c>
      <c r="L177">
        <v>9005</v>
      </c>
      <c r="M177" t="s">
        <v>1881</v>
      </c>
      <c r="O177">
        <v>0.8</v>
      </c>
      <c r="P177" s="80" t="s">
        <v>2133</v>
      </c>
      <c r="Q177" t="s">
        <v>769</v>
      </c>
      <c r="R177">
        <v>9012</v>
      </c>
      <c r="S177" t="s">
        <v>2163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50</v>
      </c>
      <c r="AD177">
        <v>1</v>
      </c>
      <c r="AE177">
        <v>8000</v>
      </c>
      <c r="AF177">
        <v>170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2164</v>
      </c>
      <c r="E178">
        <v>37</v>
      </c>
      <c r="G178" s="90" t="s">
        <v>2165</v>
      </c>
      <c r="I178">
        <v>10220</v>
      </c>
      <c r="J178" s="80" t="s">
        <v>2132</v>
      </c>
      <c r="K178" t="s">
        <v>767</v>
      </c>
      <c r="L178">
        <v>9008</v>
      </c>
      <c r="M178">
        <v>6</v>
      </c>
      <c r="O178">
        <v>0.3</v>
      </c>
      <c r="P178" s="80" t="s">
        <v>2133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50</v>
      </c>
      <c r="AD178">
        <v>1</v>
      </c>
      <c r="AE178">
        <v>8000</v>
      </c>
      <c r="AF178">
        <v>170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2166</v>
      </c>
      <c r="E179">
        <v>37</v>
      </c>
      <c r="G179" s="90" t="s">
        <v>2167</v>
      </c>
      <c r="I179">
        <v>10345</v>
      </c>
      <c r="J179" s="80" t="s">
        <v>2132</v>
      </c>
      <c r="K179" t="s">
        <v>767</v>
      </c>
      <c r="L179">
        <v>9002</v>
      </c>
      <c r="M179">
        <v>4</v>
      </c>
      <c r="O179">
        <v>0.9</v>
      </c>
      <c r="P179" s="80" t="s">
        <v>2133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50</v>
      </c>
      <c r="AD179">
        <v>1</v>
      </c>
      <c r="AE179">
        <v>8000</v>
      </c>
      <c r="AF179">
        <v>170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2168</v>
      </c>
      <c r="E180">
        <v>38</v>
      </c>
      <c r="G180" s="90" t="s">
        <v>2169</v>
      </c>
      <c r="I180">
        <v>10470</v>
      </c>
      <c r="J180" s="80" t="s">
        <v>2132</v>
      </c>
      <c r="K180" t="s">
        <v>767</v>
      </c>
      <c r="L180">
        <v>9011</v>
      </c>
      <c r="M180">
        <v>13</v>
      </c>
      <c r="O180">
        <v>0.4</v>
      </c>
      <c r="P180" s="80" t="s">
        <v>2133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50</v>
      </c>
      <c r="AD180">
        <v>1</v>
      </c>
      <c r="AE180">
        <v>8000</v>
      </c>
      <c r="AF180">
        <v>180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2170</v>
      </c>
      <c r="E181">
        <v>38</v>
      </c>
      <c r="G181" s="90" t="s">
        <v>2171</v>
      </c>
      <c r="I181">
        <v>10595</v>
      </c>
      <c r="J181" s="80" t="s">
        <v>2132</v>
      </c>
      <c r="K181" t="s">
        <v>767</v>
      </c>
      <c r="L181">
        <v>9005</v>
      </c>
      <c r="M181" t="s">
        <v>1712</v>
      </c>
      <c r="O181">
        <v>0.7</v>
      </c>
      <c r="P181" s="80" t="s">
        <v>2133</v>
      </c>
      <c r="Q181" t="s">
        <v>769</v>
      </c>
      <c r="R181">
        <v>9004</v>
      </c>
      <c r="S181" t="s">
        <v>2172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50</v>
      </c>
      <c r="AD181">
        <v>1</v>
      </c>
      <c r="AE181">
        <v>8000</v>
      </c>
      <c r="AF181">
        <v>180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2173</v>
      </c>
      <c r="E182">
        <v>39</v>
      </c>
      <c r="G182" s="90" t="s">
        <v>2174</v>
      </c>
      <c r="I182">
        <v>10720</v>
      </c>
      <c r="J182" s="80" t="s">
        <v>2132</v>
      </c>
      <c r="K182" t="s">
        <v>767</v>
      </c>
      <c r="L182">
        <v>9006</v>
      </c>
      <c r="M182">
        <v>11</v>
      </c>
      <c r="O182">
        <v>0.2</v>
      </c>
      <c r="P182" s="80" t="s">
        <v>2133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50</v>
      </c>
      <c r="AD182">
        <v>1</v>
      </c>
      <c r="AE182">
        <v>8000</v>
      </c>
      <c r="AF182">
        <v>180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2175</v>
      </c>
      <c r="E183">
        <v>39</v>
      </c>
      <c r="G183" s="90" t="s">
        <v>2176</v>
      </c>
      <c r="I183">
        <v>10845</v>
      </c>
      <c r="J183" s="80" t="s">
        <v>2132</v>
      </c>
      <c r="K183" t="s">
        <v>767</v>
      </c>
      <c r="L183">
        <v>9012</v>
      </c>
      <c r="M183" t="s">
        <v>2022</v>
      </c>
      <c r="O183">
        <v>0.6</v>
      </c>
      <c r="P183" s="80" t="s">
        <v>2133</v>
      </c>
      <c r="Q183" t="s">
        <v>769</v>
      </c>
      <c r="R183">
        <v>9004</v>
      </c>
      <c r="S183" t="s">
        <v>2177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50</v>
      </c>
      <c r="AD183">
        <v>1</v>
      </c>
      <c r="AE183">
        <v>8000</v>
      </c>
      <c r="AF183">
        <v>190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2178</v>
      </c>
      <c r="E184">
        <v>40</v>
      </c>
      <c r="G184" s="90" t="s">
        <v>2179</v>
      </c>
      <c r="I184">
        <v>10970</v>
      </c>
      <c r="J184" s="80" t="s">
        <v>2132</v>
      </c>
      <c r="K184" t="s">
        <v>767</v>
      </c>
      <c r="L184">
        <v>9008</v>
      </c>
      <c r="M184" t="s">
        <v>2039</v>
      </c>
      <c r="O184">
        <v>0.7</v>
      </c>
      <c r="P184" s="80" t="s">
        <v>2133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50</v>
      </c>
      <c r="AD184">
        <v>1</v>
      </c>
      <c r="AE184">
        <v>8000</v>
      </c>
      <c r="AF184">
        <v>190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2180</v>
      </c>
      <c r="E185">
        <v>40</v>
      </c>
      <c r="G185" s="90" t="s">
        <v>2181</v>
      </c>
      <c r="I185">
        <v>11095</v>
      </c>
      <c r="J185" s="80" t="s">
        <v>2132</v>
      </c>
      <c r="K185" t="s">
        <v>767</v>
      </c>
      <c r="L185">
        <v>9012</v>
      </c>
      <c r="M185" t="s">
        <v>2182</v>
      </c>
      <c r="O185">
        <v>0.6</v>
      </c>
      <c r="P185" s="80" t="s">
        <v>2133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50</v>
      </c>
      <c r="AD185">
        <v>1</v>
      </c>
      <c r="AE185">
        <v>8000</v>
      </c>
      <c r="AF185">
        <v>190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2183</v>
      </c>
      <c r="E186">
        <v>41</v>
      </c>
      <c r="G186" s="90" t="s">
        <v>2184</v>
      </c>
      <c r="I186">
        <v>11220</v>
      </c>
      <c r="J186" s="80" t="s">
        <v>2132</v>
      </c>
      <c r="K186" t="s">
        <v>767</v>
      </c>
      <c r="L186">
        <v>9006</v>
      </c>
      <c r="M186" t="s">
        <v>1677</v>
      </c>
      <c r="O186">
        <v>0.6</v>
      </c>
      <c r="P186" s="80" t="s">
        <v>2133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50</v>
      </c>
      <c r="AD186">
        <v>1</v>
      </c>
      <c r="AE186">
        <v>8000</v>
      </c>
      <c r="AF186">
        <v>200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2185</v>
      </c>
      <c r="E187">
        <v>41</v>
      </c>
      <c r="G187" s="90" t="s">
        <v>2186</v>
      </c>
      <c r="I187">
        <v>11345</v>
      </c>
      <c r="J187" s="80" t="s">
        <v>2132</v>
      </c>
      <c r="K187" t="s">
        <v>767</v>
      </c>
      <c r="L187">
        <v>9002</v>
      </c>
      <c r="M187" t="s">
        <v>1781</v>
      </c>
      <c r="O187">
        <v>0.9</v>
      </c>
      <c r="P187" s="80" t="s">
        <v>2133</v>
      </c>
      <c r="Q187" t="s">
        <v>769</v>
      </c>
      <c r="R187">
        <v>9003</v>
      </c>
      <c r="S187" t="s">
        <v>2187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50</v>
      </c>
      <c r="AD187">
        <v>1</v>
      </c>
      <c r="AE187">
        <v>8000</v>
      </c>
      <c r="AF187">
        <v>200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2188</v>
      </c>
      <c r="E188">
        <v>42</v>
      </c>
      <c r="G188" s="90" t="s">
        <v>2189</v>
      </c>
      <c r="I188">
        <v>11470</v>
      </c>
      <c r="J188" s="80" t="s">
        <v>2132</v>
      </c>
      <c r="K188" t="s">
        <v>767</v>
      </c>
      <c r="L188">
        <v>9001</v>
      </c>
      <c r="M188" t="s">
        <v>2190</v>
      </c>
      <c r="O188">
        <v>0.5</v>
      </c>
      <c r="P188" s="80" t="s">
        <v>2133</v>
      </c>
      <c r="Q188" t="s">
        <v>769</v>
      </c>
      <c r="R188">
        <v>9008</v>
      </c>
      <c r="S188" t="s">
        <v>2191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50</v>
      </c>
      <c r="AD188">
        <v>1</v>
      </c>
      <c r="AE188">
        <v>8000</v>
      </c>
      <c r="AF188">
        <v>200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2192</v>
      </c>
      <c r="E189">
        <v>42</v>
      </c>
      <c r="G189" s="90" t="s">
        <v>2193</v>
      </c>
      <c r="I189">
        <v>11595</v>
      </c>
      <c r="J189" s="80" t="s">
        <v>2132</v>
      </c>
      <c r="K189" t="s">
        <v>767</v>
      </c>
      <c r="L189">
        <v>9001</v>
      </c>
      <c r="M189" t="s">
        <v>1768</v>
      </c>
      <c r="O189">
        <v>0.9</v>
      </c>
      <c r="P189" s="80" t="s">
        <v>2133</v>
      </c>
      <c r="Q189" t="s">
        <v>769</v>
      </c>
      <c r="R189">
        <v>9010</v>
      </c>
      <c r="S189" t="s">
        <v>2194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50</v>
      </c>
      <c r="AD189">
        <v>1</v>
      </c>
      <c r="AE189">
        <v>8000</v>
      </c>
      <c r="AF189">
        <v>210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2195</v>
      </c>
      <c r="E190">
        <v>43</v>
      </c>
      <c r="G190" s="90" t="s">
        <v>2196</v>
      </c>
      <c r="I190">
        <v>11720</v>
      </c>
      <c r="J190" s="80" t="s">
        <v>2132</v>
      </c>
      <c r="K190" t="s">
        <v>767</v>
      </c>
      <c r="L190">
        <v>9006</v>
      </c>
      <c r="M190">
        <v>2</v>
      </c>
      <c r="O190">
        <v>0.6</v>
      </c>
      <c r="P190" s="80" t="s">
        <v>2133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50</v>
      </c>
      <c r="AD190">
        <v>1</v>
      </c>
      <c r="AE190">
        <v>8000</v>
      </c>
      <c r="AF190">
        <v>210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2197</v>
      </c>
      <c r="E191">
        <v>43</v>
      </c>
      <c r="G191" s="90" t="s">
        <v>2198</v>
      </c>
      <c r="I191">
        <v>11845</v>
      </c>
      <c r="J191" s="80" t="s">
        <v>2132</v>
      </c>
      <c r="K191" t="s">
        <v>767</v>
      </c>
      <c r="L191">
        <v>9011</v>
      </c>
      <c r="M191" t="s">
        <v>1765</v>
      </c>
      <c r="O191">
        <v>1</v>
      </c>
      <c r="P191" s="80" t="s">
        <v>2133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50</v>
      </c>
      <c r="AD191">
        <v>1</v>
      </c>
      <c r="AE191">
        <v>8000</v>
      </c>
      <c r="AF191">
        <v>210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2199</v>
      </c>
      <c r="E192">
        <v>44</v>
      </c>
      <c r="G192" s="90" t="s">
        <v>2200</v>
      </c>
      <c r="I192">
        <v>11970</v>
      </c>
      <c r="J192" s="80" t="s">
        <v>2132</v>
      </c>
      <c r="K192" t="s">
        <v>767</v>
      </c>
      <c r="L192">
        <v>9011</v>
      </c>
      <c r="M192" t="s">
        <v>1845</v>
      </c>
      <c r="O192">
        <v>0.8</v>
      </c>
      <c r="P192" s="80" t="s">
        <v>2133</v>
      </c>
      <c r="Q192" t="s">
        <v>769</v>
      </c>
      <c r="R192">
        <v>9011</v>
      </c>
      <c r="S192" t="s">
        <v>2201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50</v>
      </c>
      <c r="AD192">
        <v>1</v>
      </c>
      <c r="AE192">
        <v>8000</v>
      </c>
      <c r="AF192">
        <v>220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2202</v>
      </c>
      <c r="E193">
        <v>44</v>
      </c>
      <c r="G193" s="90" t="s">
        <v>2203</v>
      </c>
      <c r="I193">
        <v>12095</v>
      </c>
      <c r="J193" s="80" t="s">
        <v>2132</v>
      </c>
      <c r="K193" t="s">
        <v>767</v>
      </c>
      <c r="L193">
        <v>9006</v>
      </c>
      <c r="M193" t="s">
        <v>2002</v>
      </c>
      <c r="O193">
        <v>0.3</v>
      </c>
      <c r="P193" s="80" t="s">
        <v>2133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50</v>
      </c>
      <c r="AD193">
        <v>1</v>
      </c>
      <c r="AE193">
        <v>8000</v>
      </c>
      <c r="AF193">
        <v>220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2204</v>
      </c>
      <c r="E194">
        <v>45</v>
      </c>
      <c r="G194" s="90" t="s">
        <v>2205</v>
      </c>
      <c r="I194">
        <v>12220</v>
      </c>
      <c r="J194" s="80" t="s">
        <v>2132</v>
      </c>
      <c r="K194" t="s">
        <v>767</v>
      </c>
      <c r="L194">
        <v>9001</v>
      </c>
      <c r="M194">
        <v>8</v>
      </c>
      <c r="O194">
        <v>0.6</v>
      </c>
      <c r="P194" s="80" t="s">
        <v>2133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50</v>
      </c>
      <c r="AD194">
        <v>1</v>
      </c>
      <c r="AE194">
        <v>8000</v>
      </c>
      <c r="AF194">
        <v>220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2206</v>
      </c>
      <c r="E195">
        <v>45</v>
      </c>
      <c r="G195" s="90" t="s">
        <v>2207</v>
      </c>
      <c r="I195">
        <v>12345</v>
      </c>
      <c r="J195" s="80" t="s">
        <v>2132</v>
      </c>
      <c r="K195" t="s">
        <v>767</v>
      </c>
      <c r="L195">
        <v>9012</v>
      </c>
      <c r="M195">
        <v>5</v>
      </c>
      <c r="O195">
        <v>0.5</v>
      </c>
      <c r="P195" s="80" t="s">
        <v>2133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50</v>
      </c>
      <c r="AD195">
        <v>1</v>
      </c>
      <c r="AE195">
        <v>8000</v>
      </c>
      <c r="AF195">
        <v>220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2208</v>
      </c>
      <c r="E196">
        <v>46</v>
      </c>
      <c r="G196" s="90" t="s">
        <v>2209</v>
      </c>
      <c r="I196">
        <v>12470</v>
      </c>
      <c r="J196" s="80" t="s">
        <v>2210</v>
      </c>
      <c r="K196" t="s">
        <v>767</v>
      </c>
      <c r="L196">
        <v>9006</v>
      </c>
      <c r="M196">
        <v>6</v>
      </c>
      <c r="O196">
        <v>0.9</v>
      </c>
      <c r="P196" s="80" t="s">
        <v>2211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50</v>
      </c>
      <c r="AD196">
        <v>1</v>
      </c>
      <c r="AE196">
        <v>8000</v>
      </c>
      <c r="AF196">
        <v>230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2212</v>
      </c>
      <c r="E197">
        <v>46</v>
      </c>
      <c r="G197" s="90" t="s">
        <v>2213</v>
      </c>
      <c r="I197">
        <v>12595</v>
      </c>
      <c r="J197" s="80" t="s">
        <v>2210</v>
      </c>
      <c r="K197" t="s">
        <v>767</v>
      </c>
      <c r="L197">
        <v>9001</v>
      </c>
      <c r="M197" t="s">
        <v>2108</v>
      </c>
      <c r="O197">
        <v>0.4</v>
      </c>
      <c r="P197" s="80" t="s">
        <v>2211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50</v>
      </c>
      <c r="AD197">
        <v>1</v>
      </c>
      <c r="AE197">
        <v>8000</v>
      </c>
      <c r="AF197">
        <v>230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2214</v>
      </c>
      <c r="E198">
        <v>47</v>
      </c>
      <c r="G198" s="90" t="s">
        <v>2215</v>
      </c>
      <c r="I198">
        <v>12720</v>
      </c>
      <c r="J198" s="80" t="s">
        <v>2210</v>
      </c>
      <c r="K198" t="s">
        <v>767</v>
      </c>
      <c r="L198">
        <v>9002</v>
      </c>
      <c r="M198" t="s">
        <v>2216</v>
      </c>
      <c r="O198">
        <v>0.9</v>
      </c>
      <c r="P198" s="80" t="s">
        <v>2211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50</v>
      </c>
      <c r="AD198">
        <v>1</v>
      </c>
      <c r="AE198">
        <v>8000</v>
      </c>
      <c r="AF198">
        <v>230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2217</v>
      </c>
      <c r="E199">
        <v>47</v>
      </c>
      <c r="G199" s="90" t="s">
        <v>2218</v>
      </c>
      <c r="I199">
        <v>12845</v>
      </c>
      <c r="J199" s="80" t="s">
        <v>2210</v>
      </c>
      <c r="K199" t="s">
        <v>767</v>
      </c>
      <c r="L199">
        <v>9001</v>
      </c>
      <c r="M199">
        <v>11</v>
      </c>
      <c r="O199">
        <v>0.5</v>
      </c>
      <c r="P199" s="80" t="s">
        <v>2211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50</v>
      </c>
      <c r="AD199">
        <v>1</v>
      </c>
      <c r="AE199">
        <v>8000</v>
      </c>
      <c r="AF199">
        <v>240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2219</v>
      </c>
      <c r="E200">
        <v>48</v>
      </c>
      <c r="G200" s="90" t="s">
        <v>2220</v>
      </c>
      <c r="I200">
        <v>12970</v>
      </c>
      <c r="J200" s="80" t="s">
        <v>2210</v>
      </c>
      <c r="K200" t="s">
        <v>767</v>
      </c>
      <c r="L200">
        <v>9012</v>
      </c>
      <c r="M200">
        <v>8</v>
      </c>
      <c r="O200">
        <v>0.2</v>
      </c>
      <c r="P200" s="80" t="s">
        <v>2211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50</v>
      </c>
      <c r="AD200">
        <v>1</v>
      </c>
      <c r="AE200">
        <v>8000</v>
      </c>
      <c r="AF200">
        <v>240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2221</v>
      </c>
      <c r="E201">
        <v>48</v>
      </c>
      <c r="G201" s="90" t="s">
        <v>2222</v>
      </c>
      <c r="I201">
        <v>13095</v>
      </c>
      <c r="J201" s="80" t="s">
        <v>2210</v>
      </c>
      <c r="K201" t="s">
        <v>767</v>
      </c>
      <c r="L201">
        <v>9001</v>
      </c>
      <c r="M201" t="s">
        <v>1768</v>
      </c>
      <c r="O201">
        <v>0.9</v>
      </c>
      <c r="P201" s="80" t="s">
        <v>2211</v>
      </c>
      <c r="Q201" t="s">
        <v>769</v>
      </c>
      <c r="R201">
        <v>9010</v>
      </c>
      <c r="S201" t="s">
        <v>2155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50</v>
      </c>
      <c r="AD201">
        <v>1</v>
      </c>
      <c r="AE201">
        <v>8000</v>
      </c>
      <c r="AF201">
        <v>240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2223</v>
      </c>
      <c r="E202">
        <v>49</v>
      </c>
      <c r="G202" s="90" t="s">
        <v>2224</v>
      </c>
      <c r="I202">
        <v>13220</v>
      </c>
      <c r="J202" s="80" t="s">
        <v>2210</v>
      </c>
      <c r="K202" t="s">
        <v>767</v>
      </c>
      <c r="L202">
        <v>9011</v>
      </c>
      <c r="M202">
        <v>8</v>
      </c>
      <c r="O202">
        <v>0.3</v>
      </c>
      <c r="P202" s="80" t="s">
        <v>2211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50</v>
      </c>
      <c r="AD202">
        <v>1</v>
      </c>
      <c r="AE202">
        <v>8000</v>
      </c>
      <c r="AF202">
        <v>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2225</v>
      </c>
      <c r="E203">
        <v>49</v>
      </c>
      <c r="G203" s="90" t="s">
        <v>2226</v>
      </c>
      <c r="I203">
        <v>13345</v>
      </c>
      <c r="J203" s="80" t="s">
        <v>2210</v>
      </c>
      <c r="K203" t="s">
        <v>767</v>
      </c>
      <c r="L203">
        <v>9008</v>
      </c>
      <c r="M203" t="s">
        <v>1808</v>
      </c>
      <c r="O203">
        <v>0.3</v>
      </c>
      <c r="P203" s="80" t="s">
        <v>2211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50</v>
      </c>
      <c r="AD203">
        <v>1</v>
      </c>
      <c r="AE203">
        <v>8000</v>
      </c>
      <c r="AF203">
        <v>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2227</v>
      </c>
      <c r="E204">
        <v>50</v>
      </c>
      <c r="G204" s="90" t="s">
        <v>2228</v>
      </c>
      <c r="I204">
        <v>13470</v>
      </c>
      <c r="J204" s="80" t="s">
        <v>2210</v>
      </c>
      <c r="K204" t="s">
        <v>767</v>
      </c>
      <c r="L204">
        <v>9012</v>
      </c>
      <c r="M204" t="s">
        <v>2008</v>
      </c>
      <c r="O204">
        <v>1</v>
      </c>
      <c r="P204" s="80" t="s">
        <v>2211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50</v>
      </c>
      <c r="AD204">
        <v>1</v>
      </c>
      <c r="AE204">
        <v>8000</v>
      </c>
      <c r="AF204">
        <v>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2229</v>
      </c>
      <c r="E205">
        <v>50</v>
      </c>
      <c r="G205" s="90" t="s">
        <v>2230</v>
      </c>
      <c r="I205">
        <v>13595</v>
      </c>
      <c r="J205" s="80" t="s">
        <v>2210</v>
      </c>
      <c r="K205" t="s">
        <v>767</v>
      </c>
      <c r="L205">
        <v>9007</v>
      </c>
      <c r="M205" t="s">
        <v>2231</v>
      </c>
      <c r="O205">
        <v>0.6</v>
      </c>
      <c r="P205" s="80" t="s">
        <v>2211</v>
      </c>
      <c r="Q205" t="s">
        <v>769</v>
      </c>
      <c r="R205">
        <v>9012</v>
      </c>
      <c r="S205" t="s">
        <v>2232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50</v>
      </c>
      <c r="AD205">
        <v>1</v>
      </c>
      <c r="AE205">
        <v>8000</v>
      </c>
      <c r="AF205">
        <v>260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2233</v>
      </c>
      <c r="E206">
        <v>51</v>
      </c>
      <c r="G206" s="90" t="s">
        <v>2234</v>
      </c>
      <c r="I206">
        <v>13720</v>
      </c>
      <c r="J206" s="80" t="s">
        <v>2210</v>
      </c>
      <c r="K206" t="s">
        <v>767</v>
      </c>
      <c r="L206">
        <v>9011</v>
      </c>
      <c r="M206" t="s">
        <v>2235</v>
      </c>
      <c r="O206">
        <v>0.2</v>
      </c>
      <c r="P206" s="80" t="s">
        <v>2211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50</v>
      </c>
      <c r="AD206">
        <v>1</v>
      </c>
      <c r="AE206">
        <v>8000</v>
      </c>
      <c r="AF206">
        <v>260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2236</v>
      </c>
      <c r="E207">
        <v>51</v>
      </c>
      <c r="G207" s="90" t="s">
        <v>2237</v>
      </c>
      <c r="I207">
        <v>13845</v>
      </c>
      <c r="J207" s="80" t="s">
        <v>2210</v>
      </c>
      <c r="K207" t="s">
        <v>767</v>
      </c>
      <c r="L207">
        <v>9008</v>
      </c>
      <c r="M207" t="s">
        <v>2238</v>
      </c>
      <c r="O207">
        <v>0.3</v>
      </c>
      <c r="P207" s="80" t="s">
        <v>2211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50</v>
      </c>
      <c r="AD207">
        <v>1</v>
      </c>
      <c r="AE207">
        <v>8000</v>
      </c>
      <c r="AF207">
        <v>270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2239</v>
      </c>
      <c r="E208">
        <v>52</v>
      </c>
      <c r="G208" s="90" t="s">
        <v>2240</v>
      </c>
      <c r="I208">
        <v>13970</v>
      </c>
      <c r="J208" s="80" t="s">
        <v>2210</v>
      </c>
      <c r="K208" t="s">
        <v>767</v>
      </c>
      <c r="L208">
        <v>9001</v>
      </c>
      <c r="M208" t="s">
        <v>1680</v>
      </c>
      <c r="O208">
        <v>0.9</v>
      </c>
      <c r="P208" s="80" t="s">
        <v>2211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50</v>
      </c>
      <c r="AD208">
        <v>1</v>
      </c>
      <c r="AE208">
        <v>8000</v>
      </c>
      <c r="AF208">
        <v>270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2241</v>
      </c>
      <c r="E209">
        <v>52</v>
      </c>
      <c r="G209" s="90" t="s">
        <v>2242</v>
      </c>
      <c r="I209">
        <v>14095</v>
      </c>
      <c r="J209" s="80" t="s">
        <v>2210</v>
      </c>
      <c r="K209" t="s">
        <v>767</v>
      </c>
      <c r="L209">
        <v>9012</v>
      </c>
      <c r="M209" t="s">
        <v>2243</v>
      </c>
      <c r="O209">
        <v>0.3</v>
      </c>
      <c r="P209" s="80" t="s">
        <v>2211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50</v>
      </c>
      <c r="AD209">
        <v>1</v>
      </c>
      <c r="AE209">
        <v>8000</v>
      </c>
      <c r="AF209">
        <v>270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2244</v>
      </c>
      <c r="E210">
        <v>53</v>
      </c>
      <c r="G210" s="90" t="s">
        <v>2245</v>
      </c>
      <c r="I210">
        <v>14220</v>
      </c>
      <c r="J210" s="80" t="s">
        <v>2210</v>
      </c>
      <c r="K210" t="s">
        <v>767</v>
      </c>
      <c r="L210">
        <v>9008</v>
      </c>
      <c r="M210" t="s">
        <v>1952</v>
      </c>
      <c r="O210">
        <v>0.3</v>
      </c>
      <c r="P210" s="80" t="s">
        <v>2211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50</v>
      </c>
      <c r="AD210">
        <v>1</v>
      </c>
      <c r="AE210">
        <v>8000</v>
      </c>
      <c r="AF210">
        <v>280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2246</v>
      </c>
      <c r="E211">
        <v>53</v>
      </c>
      <c r="G211" s="90" t="s">
        <v>2247</v>
      </c>
      <c r="I211">
        <v>14345</v>
      </c>
      <c r="J211" s="80" t="s">
        <v>2210</v>
      </c>
      <c r="K211" t="s">
        <v>767</v>
      </c>
      <c r="L211">
        <v>9011</v>
      </c>
      <c r="M211">
        <v>2</v>
      </c>
      <c r="O211">
        <v>0.9</v>
      </c>
      <c r="P211" s="80" t="s">
        <v>2211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50</v>
      </c>
      <c r="AD211">
        <v>1</v>
      </c>
      <c r="AE211">
        <v>8000</v>
      </c>
      <c r="AF211">
        <v>280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2248</v>
      </c>
      <c r="E212">
        <v>54</v>
      </c>
      <c r="G212" s="90" t="s">
        <v>2249</v>
      </c>
      <c r="I212">
        <v>14470</v>
      </c>
      <c r="J212" s="80" t="s">
        <v>2210</v>
      </c>
      <c r="K212" t="s">
        <v>767</v>
      </c>
      <c r="L212">
        <v>9011</v>
      </c>
      <c r="M212" t="s">
        <v>1712</v>
      </c>
      <c r="O212">
        <v>0.8</v>
      </c>
      <c r="P212" s="80" t="s">
        <v>2211</v>
      </c>
      <c r="Q212" t="s">
        <v>769</v>
      </c>
      <c r="R212">
        <v>9011</v>
      </c>
      <c r="S212" t="s">
        <v>2250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50</v>
      </c>
      <c r="AD212">
        <v>1</v>
      </c>
      <c r="AE212">
        <v>8000</v>
      </c>
      <c r="AF212">
        <v>280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2251</v>
      </c>
      <c r="E213">
        <v>54</v>
      </c>
      <c r="G213" s="90" t="s">
        <v>2252</v>
      </c>
      <c r="I213">
        <v>14595</v>
      </c>
      <c r="J213" s="80" t="s">
        <v>2210</v>
      </c>
      <c r="K213" t="s">
        <v>767</v>
      </c>
      <c r="L213">
        <v>9006</v>
      </c>
      <c r="M213" t="s">
        <v>1697</v>
      </c>
      <c r="O213">
        <v>0.3</v>
      </c>
      <c r="P213" s="80" t="s">
        <v>2211</v>
      </c>
      <c r="Q213" t="s">
        <v>769</v>
      </c>
      <c r="R213">
        <v>9011</v>
      </c>
      <c r="S213" t="s">
        <v>2253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50</v>
      </c>
      <c r="AD213">
        <v>1</v>
      </c>
      <c r="AE213">
        <v>8000</v>
      </c>
      <c r="AF213">
        <v>290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2254</v>
      </c>
      <c r="E214">
        <v>55</v>
      </c>
      <c r="G214" s="90" t="s">
        <v>2255</v>
      </c>
      <c r="I214">
        <v>14720</v>
      </c>
      <c r="J214" s="80" t="s">
        <v>2210</v>
      </c>
      <c r="K214" t="s">
        <v>767</v>
      </c>
      <c r="L214">
        <v>9005</v>
      </c>
      <c r="M214" t="s">
        <v>1858</v>
      </c>
      <c r="O214">
        <v>0.3</v>
      </c>
      <c r="P214" s="80" t="s">
        <v>2211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50</v>
      </c>
      <c r="AD214">
        <v>1</v>
      </c>
      <c r="AE214">
        <v>8000</v>
      </c>
      <c r="AF214">
        <v>290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2256</v>
      </c>
      <c r="E215">
        <v>55</v>
      </c>
      <c r="G215" s="90" t="s">
        <v>2257</v>
      </c>
      <c r="I215">
        <v>14845</v>
      </c>
      <c r="J215" s="80" t="s">
        <v>2210</v>
      </c>
      <c r="K215" t="s">
        <v>767</v>
      </c>
      <c r="L215">
        <v>9002</v>
      </c>
      <c r="M215" t="s">
        <v>2258</v>
      </c>
      <c r="O215">
        <v>0.9</v>
      </c>
      <c r="P215" s="80" t="s">
        <v>2211</v>
      </c>
      <c r="Q215" t="s">
        <v>769</v>
      </c>
      <c r="R215">
        <v>9004</v>
      </c>
      <c r="S215" t="s">
        <v>2259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50</v>
      </c>
      <c r="AD215">
        <v>1</v>
      </c>
      <c r="AE215">
        <v>8000</v>
      </c>
      <c r="AF215">
        <v>290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2260</v>
      </c>
      <c r="E216">
        <v>56</v>
      </c>
      <c r="G216" s="90" t="s">
        <v>2261</v>
      </c>
      <c r="I216">
        <v>14970</v>
      </c>
      <c r="J216" s="80" t="s">
        <v>2210</v>
      </c>
      <c r="K216" t="s">
        <v>767</v>
      </c>
      <c r="L216">
        <v>9001</v>
      </c>
      <c r="M216">
        <v>3</v>
      </c>
      <c r="O216">
        <v>0.9</v>
      </c>
      <c r="P216" s="80" t="s">
        <v>2211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50</v>
      </c>
      <c r="AD216">
        <v>1</v>
      </c>
      <c r="AE216">
        <v>8000</v>
      </c>
      <c r="AF216">
        <v>300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2262</v>
      </c>
      <c r="E217">
        <v>56</v>
      </c>
      <c r="G217" s="90" t="s">
        <v>2263</v>
      </c>
      <c r="I217">
        <v>15095</v>
      </c>
      <c r="J217" s="80" t="s">
        <v>2210</v>
      </c>
      <c r="K217" t="s">
        <v>767</v>
      </c>
      <c r="L217">
        <v>9006</v>
      </c>
      <c r="M217" t="s">
        <v>1914</v>
      </c>
      <c r="O217">
        <v>0.4</v>
      </c>
      <c r="P217" s="80" t="s">
        <v>2211</v>
      </c>
      <c r="Q217" t="s">
        <v>769</v>
      </c>
      <c r="R217">
        <v>9004</v>
      </c>
      <c r="S217" t="s">
        <v>2264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50</v>
      </c>
      <c r="AD217">
        <v>1</v>
      </c>
      <c r="AE217">
        <v>8000</v>
      </c>
      <c r="AF217">
        <v>300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2265</v>
      </c>
      <c r="E218">
        <v>57</v>
      </c>
      <c r="G218" s="90" t="s">
        <v>2266</v>
      </c>
      <c r="I218">
        <v>15220</v>
      </c>
      <c r="J218" s="80" t="s">
        <v>2210</v>
      </c>
      <c r="K218" t="s">
        <v>767</v>
      </c>
      <c r="L218">
        <v>9006</v>
      </c>
      <c r="M218" t="s">
        <v>2243</v>
      </c>
      <c r="O218">
        <v>0.1</v>
      </c>
      <c r="P218" s="80" t="s">
        <v>2211</v>
      </c>
      <c r="Q218" t="s">
        <v>769</v>
      </c>
      <c r="R218">
        <v>9012</v>
      </c>
      <c r="S218" t="s">
        <v>2267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50</v>
      </c>
      <c r="AD218">
        <v>1</v>
      </c>
      <c r="AE218">
        <v>8000</v>
      </c>
      <c r="AF218">
        <v>300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2268</v>
      </c>
      <c r="E219">
        <v>57</v>
      </c>
      <c r="G219" s="90" t="s">
        <v>2269</v>
      </c>
      <c r="I219">
        <v>15345</v>
      </c>
      <c r="J219" s="80" t="s">
        <v>2210</v>
      </c>
      <c r="K219" t="s">
        <v>767</v>
      </c>
      <c r="L219">
        <v>9011</v>
      </c>
      <c r="M219" t="s">
        <v>1787</v>
      </c>
      <c r="O219">
        <v>0.4</v>
      </c>
      <c r="P219" s="80" t="s">
        <v>2211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50</v>
      </c>
      <c r="AD219">
        <v>1</v>
      </c>
      <c r="AE219">
        <v>8000</v>
      </c>
      <c r="AF219">
        <v>310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2270</v>
      </c>
      <c r="E220">
        <v>58</v>
      </c>
      <c r="G220" s="90" t="s">
        <v>2271</v>
      </c>
      <c r="I220">
        <v>15470</v>
      </c>
      <c r="J220" s="80" t="s">
        <v>2210</v>
      </c>
      <c r="K220" t="s">
        <v>767</v>
      </c>
      <c r="L220">
        <v>9011</v>
      </c>
      <c r="M220">
        <v>7</v>
      </c>
      <c r="O220">
        <v>0.3</v>
      </c>
      <c r="P220" s="80" t="s">
        <v>2211</v>
      </c>
      <c r="Q220" t="s">
        <v>769</v>
      </c>
      <c r="R220">
        <v>9011</v>
      </c>
      <c r="S220" t="s">
        <v>2272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50</v>
      </c>
      <c r="AD220">
        <v>1</v>
      </c>
      <c r="AE220">
        <v>8000</v>
      </c>
      <c r="AF220">
        <v>310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2273</v>
      </c>
      <c r="E221">
        <v>58</v>
      </c>
      <c r="G221" s="90" t="s">
        <v>2274</v>
      </c>
      <c r="I221">
        <v>15595</v>
      </c>
      <c r="J221" s="80" t="s">
        <v>2210</v>
      </c>
      <c r="K221" t="s">
        <v>767</v>
      </c>
      <c r="L221">
        <v>9002</v>
      </c>
      <c r="M221">
        <v>4</v>
      </c>
      <c r="O221">
        <v>0.1</v>
      </c>
      <c r="P221" s="80" t="s">
        <v>2211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50</v>
      </c>
      <c r="AD221">
        <v>1</v>
      </c>
      <c r="AE221">
        <v>8000</v>
      </c>
      <c r="AF221">
        <v>310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2275</v>
      </c>
      <c r="E222">
        <v>59</v>
      </c>
      <c r="G222" s="90" t="s">
        <v>2276</v>
      </c>
      <c r="I222">
        <v>15720</v>
      </c>
      <c r="J222" s="80" t="s">
        <v>2210</v>
      </c>
      <c r="K222" t="s">
        <v>767</v>
      </c>
      <c r="L222">
        <v>9005</v>
      </c>
      <c r="M222">
        <v>6</v>
      </c>
      <c r="O222">
        <v>0.6</v>
      </c>
      <c r="P222" s="80" t="s">
        <v>2211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50</v>
      </c>
      <c r="AD222">
        <v>1</v>
      </c>
      <c r="AE222">
        <v>8000</v>
      </c>
      <c r="AF222">
        <v>320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2277</v>
      </c>
      <c r="E223">
        <v>59</v>
      </c>
      <c r="G223" s="90" t="s">
        <v>2278</v>
      </c>
      <c r="I223">
        <v>15845</v>
      </c>
      <c r="J223" s="80" t="s">
        <v>2210</v>
      </c>
      <c r="K223" t="s">
        <v>767</v>
      </c>
      <c r="L223">
        <v>9011</v>
      </c>
      <c r="M223" t="s">
        <v>2279</v>
      </c>
      <c r="O223">
        <v>0.7</v>
      </c>
      <c r="P223" s="80" t="s">
        <v>2211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50</v>
      </c>
      <c r="AD223">
        <v>1</v>
      </c>
      <c r="AE223">
        <v>8000</v>
      </c>
      <c r="AF223">
        <v>320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2280</v>
      </c>
      <c r="E224">
        <v>60</v>
      </c>
      <c r="G224" s="90" t="s">
        <v>2281</v>
      </c>
      <c r="I224">
        <v>15970</v>
      </c>
      <c r="J224" s="80" t="s">
        <v>2210</v>
      </c>
      <c r="K224" t="s">
        <v>767</v>
      </c>
      <c r="L224">
        <v>9007</v>
      </c>
      <c r="M224" t="s">
        <v>2282</v>
      </c>
      <c r="O224">
        <v>0.6</v>
      </c>
      <c r="P224" s="80" t="s">
        <v>2211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50</v>
      </c>
      <c r="AD224">
        <v>1</v>
      </c>
      <c r="AE224">
        <v>8000</v>
      </c>
      <c r="AF224">
        <v>320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2283</v>
      </c>
      <c r="E225">
        <v>60</v>
      </c>
      <c r="G225" s="90" t="s">
        <v>2284</v>
      </c>
      <c r="I225">
        <v>16095</v>
      </c>
      <c r="J225" s="80" t="s">
        <v>2210</v>
      </c>
      <c r="K225" t="s">
        <v>767</v>
      </c>
      <c r="L225">
        <v>9012</v>
      </c>
      <c r="M225" t="s">
        <v>2285</v>
      </c>
      <c r="O225">
        <v>0.7</v>
      </c>
      <c r="P225" s="80" t="s">
        <v>2211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</v>
      </c>
      <c r="AD225">
        <v>1</v>
      </c>
      <c r="AE225">
        <v>8000</v>
      </c>
      <c r="AF225">
        <v>330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2286</v>
      </c>
      <c r="E226">
        <v>61</v>
      </c>
      <c r="G226" s="90" t="s">
        <v>2287</v>
      </c>
      <c r="I226">
        <v>16220</v>
      </c>
      <c r="J226" s="80" t="s">
        <v>2288</v>
      </c>
      <c r="K226" t="s">
        <v>767</v>
      </c>
      <c r="L226">
        <v>9011</v>
      </c>
      <c r="M226" t="s">
        <v>2289</v>
      </c>
      <c r="O226">
        <v>0.6</v>
      </c>
      <c r="P226" s="80" t="s">
        <v>2290</v>
      </c>
      <c r="Q226" t="s">
        <v>769</v>
      </c>
      <c r="R226">
        <v>9010</v>
      </c>
      <c r="S226" t="s">
        <v>2291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50</v>
      </c>
      <c r="AD226">
        <v>1</v>
      </c>
      <c r="AE226">
        <v>8000</v>
      </c>
      <c r="AF226">
        <v>330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2292</v>
      </c>
      <c r="E227">
        <v>61</v>
      </c>
      <c r="G227" s="90" t="s">
        <v>2293</v>
      </c>
      <c r="I227">
        <v>16345</v>
      </c>
      <c r="J227" s="80" t="s">
        <v>2288</v>
      </c>
      <c r="K227" t="s">
        <v>767</v>
      </c>
      <c r="L227">
        <v>9001</v>
      </c>
      <c r="M227">
        <v>6</v>
      </c>
      <c r="O227">
        <v>0.3</v>
      </c>
      <c r="P227" s="80" t="s">
        <v>2290</v>
      </c>
      <c r="Q227" t="s">
        <v>769</v>
      </c>
      <c r="R227">
        <v>9007</v>
      </c>
      <c r="S227" t="s">
        <v>2163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50</v>
      </c>
      <c r="AD227">
        <v>1</v>
      </c>
      <c r="AE227">
        <v>8000</v>
      </c>
      <c r="AF227">
        <v>340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2294</v>
      </c>
      <c r="E228">
        <v>62</v>
      </c>
      <c r="G228" s="90" t="s">
        <v>2295</v>
      </c>
      <c r="I228">
        <v>16470</v>
      </c>
      <c r="J228" s="80" t="s">
        <v>2288</v>
      </c>
      <c r="K228" t="s">
        <v>767</v>
      </c>
      <c r="L228">
        <v>9006</v>
      </c>
      <c r="M228" t="s">
        <v>2296</v>
      </c>
      <c r="O228">
        <v>0.8</v>
      </c>
      <c r="P228" s="80" t="s">
        <v>2290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50</v>
      </c>
      <c r="AD228">
        <v>1</v>
      </c>
      <c r="AE228">
        <v>8000</v>
      </c>
      <c r="AF228">
        <v>340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2297</v>
      </c>
      <c r="E229">
        <v>62</v>
      </c>
      <c r="G229" s="90" t="s">
        <v>2298</v>
      </c>
      <c r="I229">
        <v>16595</v>
      </c>
      <c r="J229" s="80" t="s">
        <v>2288</v>
      </c>
      <c r="K229" t="s">
        <v>767</v>
      </c>
      <c r="L229">
        <v>9012</v>
      </c>
      <c r="M229" t="s">
        <v>1849</v>
      </c>
      <c r="O229">
        <v>1</v>
      </c>
      <c r="P229" s="80" t="s">
        <v>2290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50</v>
      </c>
      <c r="AD229">
        <v>1</v>
      </c>
      <c r="AE229">
        <v>8000</v>
      </c>
      <c r="AF229">
        <v>340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2299</v>
      </c>
      <c r="E230">
        <v>63</v>
      </c>
      <c r="G230" s="90" t="s">
        <v>2300</v>
      </c>
      <c r="I230">
        <v>16720</v>
      </c>
      <c r="J230" s="80" t="s">
        <v>2288</v>
      </c>
      <c r="K230" t="s">
        <v>767</v>
      </c>
      <c r="L230">
        <v>9011</v>
      </c>
      <c r="M230" t="s">
        <v>2301</v>
      </c>
      <c r="O230">
        <v>0.9</v>
      </c>
      <c r="P230" s="80" t="s">
        <v>2290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50</v>
      </c>
      <c r="AD230">
        <v>1</v>
      </c>
      <c r="AE230">
        <v>8000</v>
      </c>
      <c r="AF230">
        <v>350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2302</v>
      </c>
      <c r="E231">
        <v>63</v>
      </c>
      <c r="G231" s="90" t="s">
        <v>2303</v>
      </c>
      <c r="I231">
        <v>16845</v>
      </c>
      <c r="J231" s="80" t="s">
        <v>2288</v>
      </c>
      <c r="K231" t="s">
        <v>767</v>
      </c>
      <c r="L231">
        <v>9001</v>
      </c>
      <c r="M231">
        <v>1</v>
      </c>
      <c r="O231">
        <v>0.5</v>
      </c>
      <c r="P231" s="80" t="s">
        <v>2290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50</v>
      </c>
      <c r="AD231">
        <v>1</v>
      </c>
      <c r="AE231">
        <v>8000</v>
      </c>
      <c r="AF231">
        <v>350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2304</v>
      </c>
      <c r="E232">
        <v>64</v>
      </c>
      <c r="G232" s="90" t="s">
        <v>2305</v>
      </c>
      <c r="I232">
        <v>16970</v>
      </c>
      <c r="J232" s="80" t="s">
        <v>2288</v>
      </c>
      <c r="K232" t="s">
        <v>767</v>
      </c>
      <c r="L232">
        <v>9008</v>
      </c>
      <c r="M232">
        <v>3</v>
      </c>
      <c r="O232">
        <v>0.7</v>
      </c>
      <c r="P232" s="80" t="s">
        <v>2290</v>
      </c>
      <c r="Q232" t="s">
        <v>769</v>
      </c>
      <c r="R232">
        <v>9004</v>
      </c>
      <c r="S232" t="s">
        <v>2155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50</v>
      </c>
      <c r="AD232">
        <v>1</v>
      </c>
      <c r="AE232">
        <v>8000</v>
      </c>
      <c r="AF232">
        <v>350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2306</v>
      </c>
      <c r="E233">
        <v>64</v>
      </c>
      <c r="G233" s="90" t="s">
        <v>2307</v>
      </c>
      <c r="I233">
        <v>17095</v>
      </c>
      <c r="J233" s="80" t="s">
        <v>2288</v>
      </c>
      <c r="K233" t="s">
        <v>767</v>
      </c>
      <c r="L233">
        <v>9011</v>
      </c>
      <c r="M233">
        <v>2</v>
      </c>
      <c r="O233">
        <v>0.3</v>
      </c>
      <c r="P233" s="80" t="s">
        <v>2290</v>
      </c>
      <c r="Q233" t="s">
        <v>769</v>
      </c>
      <c r="R233">
        <v>9010</v>
      </c>
      <c r="S233" t="s">
        <v>2187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50</v>
      </c>
      <c r="AD233">
        <v>1</v>
      </c>
      <c r="AE233">
        <v>8000</v>
      </c>
      <c r="AF233">
        <v>360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2308</v>
      </c>
      <c r="E234">
        <v>65</v>
      </c>
      <c r="G234" s="90" t="s">
        <v>2309</v>
      </c>
      <c r="I234">
        <v>17220</v>
      </c>
      <c r="J234" s="80" t="s">
        <v>2288</v>
      </c>
      <c r="K234" t="s">
        <v>767</v>
      </c>
      <c r="L234">
        <v>9006</v>
      </c>
      <c r="M234" t="s">
        <v>2310</v>
      </c>
      <c r="O234">
        <v>0.7</v>
      </c>
      <c r="P234" s="80" t="s">
        <v>2290</v>
      </c>
      <c r="Q234" t="s">
        <v>769</v>
      </c>
      <c r="R234">
        <v>9011</v>
      </c>
      <c r="S234" t="s">
        <v>2311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50</v>
      </c>
      <c r="AD234">
        <v>1</v>
      </c>
      <c r="AE234">
        <v>8000</v>
      </c>
      <c r="AF234">
        <v>360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2312</v>
      </c>
      <c r="E235">
        <v>65</v>
      </c>
      <c r="G235" s="90" t="s">
        <v>2313</v>
      </c>
      <c r="I235">
        <v>17345</v>
      </c>
      <c r="J235" s="80" t="s">
        <v>2288</v>
      </c>
      <c r="K235" t="s">
        <v>767</v>
      </c>
      <c r="L235">
        <v>9008</v>
      </c>
      <c r="M235">
        <v>2</v>
      </c>
      <c r="O235">
        <v>0.6</v>
      </c>
      <c r="P235" s="80" t="s">
        <v>2290</v>
      </c>
      <c r="Q235" t="s">
        <v>769</v>
      </c>
      <c r="R235">
        <v>9003</v>
      </c>
      <c r="S235" t="s">
        <v>2314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50</v>
      </c>
      <c r="AD235">
        <v>1</v>
      </c>
      <c r="AE235">
        <v>8000</v>
      </c>
      <c r="AF235">
        <v>360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2315</v>
      </c>
      <c r="E236">
        <v>66</v>
      </c>
      <c r="G236" s="90" t="s">
        <v>2316</v>
      </c>
      <c r="I236">
        <v>17470</v>
      </c>
      <c r="J236" s="80" t="s">
        <v>2288</v>
      </c>
      <c r="K236" t="s">
        <v>767</v>
      </c>
      <c r="L236">
        <v>9008</v>
      </c>
      <c r="M236" t="s">
        <v>2317</v>
      </c>
      <c r="O236">
        <v>0.8</v>
      </c>
      <c r="P236" s="80" t="s">
        <v>2290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50</v>
      </c>
      <c r="AD236">
        <v>1</v>
      </c>
      <c r="AE236">
        <v>8000</v>
      </c>
      <c r="AF236">
        <v>370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2318</v>
      </c>
      <c r="E237">
        <v>66</v>
      </c>
      <c r="G237" s="90" t="s">
        <v>2319</v>
      </c>
      <c r="I237">
        <v>17595</v>
      </c>
      <c r="J237" s="80" t="s">
        <v>2288</v>
      </c>
      <c r="K237" t="s">
        <v>767</v>
      </c>
      <c r="L237">
        <v>9005</v>
      </c>
      <c r="M237" t="s">
        <v>2005</v>
      </c>
      <c r="O237">
        <v>0.8</v>
      </c>
      <c r="P237" s="80" t="s">
        <v>2290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50</v>
      </c>
      <c r="AD237">
        <v>1</v>
      </c>
      <c r="AE237">
        <v>8000</v>
      </c>
      <c r="AF237">
        <v>370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2320</v>
      </c>
      <c r="E238">
        <v>67</v>
      </c>
      <c r="G238" s="90" t="s">
        <v>2321</v>
      </c>
      <c r="I238">
        <v>17720</v>
      </c>
      <c r="J238" s="80" t="s">
        <v>2288</v>
      </c>
      <c r="K238" t="s">
        <v>767</v>
      </c>
      <c r="L238">
        <v>9011</v>
      </c>
      <c r="M238" t="s">
        <v>1907</v>
      </c>
      <c r="O238">
        <v>0.6</v>
      </c>
      <c r="P238" s="80" t="s">
        <v>2290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50</v>
      </c>
      <c r="AD238">
        <v>1</v>
      </c>
      <c r="AE238">
        <v>8000</v>
      </c>
      <c r="AF238">
        <v>380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2322</v>
      </c>
      <c r="E239">
        <v>67</v>
      </c>
      <c r="G239" s="90" t="s">
        <v>2323</v>
      </c>
      <c r="I239">
        <v>17845</v>
      </c>
      <c r="J239" s="80" t="s">
        <v>2288</v>
      </c>
      <c r="K239" t="s">
        <v>767</v>
      </c>
      <c r="L239">
        <v>9001</v>
      </c>
      <c r="M239" t="s">
        <v>1836</v>
      </c>
      <c r="O239">
        <v>0.4</v>
      </c>
      <c r="P239" s="80" t="s">
        <v>2290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50</v>
      </c>
      <c r="AD239">
        <v>1</v>
      </c>
      <c r="AE239">
        <v>8000</v>
      </c>
      <c r="AF239">
        <v>380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2324</v>
      </c>
      <c r="E240">
        <v>68</v>
      </c>
      <c r="G240" s="90" t="s">
        <v>2325</v>
      </c>
      <c r="I240">
        <v>17970</v>
      </c>
      <c r="J240" s="80" t="s">
        <v>2288</v>
      </c>
      <c r="K240" t="s">
        <v>767</v>
      </c>
      <c r="L240">
        <v>9007</v>
      </c>
      <c r="M240" t="s">
        <v>2326</v>
      </c>
      <c r="O240">
        <v>0.5</v>
      </c>
      <c r="P240" s="80" t="s">
        <v>2290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50</v>
      </c>
      <c r="AD240">
        <v>1</v>
      </c>
      <c r="AE240">
        <v>8000</v>
      </c>
      <c r="AF240">
        <v>380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2327</v>
      </c>
      <c r="E241">
        <v>68</v>
      </c>
      <c r="G241" s="90" t="s">
        <v>2328</v>
      </c>
      <c r="I241">
        <v>18095</v>
      </c>
      <c r="J241" s="80" t="s">
        <v>2288</v>
      </c>
      <c r="K241" t="s">
        <v>767</v>
      </c>
      <c r="L241">
        <v>9011</v>
      </c>
      <c r="M241">
        <v>3</v>
      </c>
      <c r="O241">
        <v>0.9</v>
      </c>
      <c r="P241" s="80" t="s">
        <v>2290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50</v>
      </c>
      <c r="AD241">
        <v>1</v>
      </c>
      <c r="AE241">
        <v>8000</v>
      </c>
      <c r="AF241">
        <v>390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2329</v>
      </c>
      <c r="E242">
        <v>69</v>
      </c>
      <c r="G242" s="90" t="s">
        <v>2330</v>
      </c>
      <c r="I242">
        <v>18220</v>
      </c>
      <c r="J242" s="80" t="s">
        <v>2288</v>
      </c>
      <c r="K242" t="s">
        <v>767</v>
      </c>
      <c r="L242">
        <v>9011</v>
      </c>
      <c r="M242" t="s">
        <v>2331</v>
      </c>
      <c r="O242">
        <v>0.3</v>
      </c>
      <c r="P242" s="80" t="s">
        <v>2290</v>
      </c>
      <c r="Q242" t="s">
        <v>769</v>
      </c>
      <c r="R242">
        <v>9012</v>
      </c>
      <c r="S242" t="s">
        <v>2332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50</v>
      </c>
      <c r="AD242">
        <v>1</v>
      </c>
      <c r="AE242">
        <v>8000</v>
      </c>
      <c r="AF242">
        <v>390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2333</v>
      </c>
      <c r="E243">
        <v>69</v>
      </c>
      <c r="G243" s="90" t="s">
        <v>2334</v>
      </c>
      <c r="I243">
        <v>18345</v>
      </c>
      <c r="J243" s="80" t="s">
        <v>2288</v>
      </c>
      <c r="K243" t="s">
        <v>767</v>
      </c>
      <c r="L243">
        <v>9006</v>
      </c>
      <c r="M243">
        <v>12</v>
      </c>
      <c r="O243">
        <v>0.7</v>
      </c>
      <c r="P243" s="80" t="s">
        <v>2290</v>
      </c>
      <c r="Q243" t="s">
        <v>769</v>
      </c>
      <c r="R243">
        <v>9004</v>
      </c>
      <c r="S243" t="s">
        <v>2335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50</v>
      </c>
      <c r="AD243">
        <v>1</v>
      </c>
      <c r="AE243">
        <v>8000</v>
      </c>
      <c r="AF243">
        <v>390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2336</v>
      </c>
      <c r="E244">
        <v>70</v>
      </c>
      <c r="G244" s="90" t="s">
        <v>2337</v>
      </c>
      <c r="I244">
        <v>18470</v>
      </c>
      <c r="J244" s="80" t="s">
        <v>2288</v>
      </c>
      <c r="K244" t="s">
        <v>767</v>
      </c>
      <c r="L244">
        <v>9007</v>
      </c>
      <c r="M244" t="s">
        <v>1924</v>
      </c>
      <c r="O244">
        <v>0.6</v>
      </c>
      <c r="P244" s="80" t="s">
        <v>2290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50</v>
      </c>
      <c r="AD244">
        <v>1</v>
      </c>
      <c r="AE244">
        <v>8000</v>
      </c>
      <c r="AF244">
        <v>400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2338</v>
      </c>
      <c r="E245">
        <v>70</v>
      </c>
      <c r="G245" s="90" t="s">
        <v>2339</v>
      </c>
      <c r="I245">
        <v>18595</v>
      </c>
      <c r="J245" s="80" t="s">
        <v>2288</v>
      </c>
      <c r="K245" t="s">
        <v>767</v>
      </c>
      <c r="L245">
        <v>9005</v>
      </c>
      <c r="M245">
        <v>5</v>
      </c>
      <c r="O245">
        <v>0.7</v>
      </c>
      <c r="P245" s="80" t="s">
        <v>2290</v>
      </c>
      <c r="Q245" t="s">
        <v>769</v>
      </c>
      <c r="R245">
        <v>9010</v>
      </c>
      <c r="S245" t="s">
        <v>2279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50</v>
      </c>
      <c r="AD245">
        <v>1</v>
      </c>
      <c r="AE245">
        <v>8000</v>
      </c>
      <c r="AF245">
        <v>400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2340</v>
      </c>
      <c r="E246">
        <v>71</v>
      </c>
      <c r="G246" s="90" t="s">
        <v>2341</v>
      </c>
      <c r="I246">
        <v>18720</v>
      </c>
      <c r="J246" s="80" t="s">
        <v>2288</v>
      </c>
      <c r="K246" t="s">
        <v>767</v>
      </c>
      <c r="L246">
        <v>9001</v>
      </c>
      <c r="M246">
        <v>1</v>
      </c>
      <c r="O246">
        <v>0.5</v>
      </c>
      <c r="P246" s="80" t="s">
        <v>2290</v>
      </c>
      <c r="Q246" t="s">
        <v>769</v>
      </c>
      <c r="R246">
        <v>9008</v>
      </c>
      <c r="S246" t="s">
        <v>2342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50</v>
      </c>
      <c r="AD246">
        <v>1</v>
      </c>
      <c r="AE246">
        <v>8000</v>
      </c>
      <c r="AF246">
        <v>410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2343</v>
      </c>
      <c r="E247">
        <v>71</v>
      </c>
      <c r="G247" s="90" t="s">
        <v>2344</v>
      </c>
      <c r="I247">
        <v>18845</v>
      </c>
      <c r="J247" s="80" t="s">
        <v>2288</v>
      </c>
      <c r="K247" t="s">
        <v>767</v>
      </c>
      <c r="L247">
        <v>9007</v>
      </c>
      <c r="M247" t="s">
        <v>1824</v>
      </c>
      <c r="O247">
        <v>0.6</v>
      </c>
      <c r="P247" s="80" t="s">
        <v>2290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50</v>
      </c>
      <c r="AD247">
        <v>1</v>
      </c>
      <c r="AE247">
        <v>8000</v>
      </c>
      <c r="AF247">
        <v>410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2345</v>
      </c>
      <c r="E248">
        <v>72</v>
      </c>
      <c r="G248" s="90" t="s">
        <v>2346</v>
      </c>
      <c r="I248">
        <v>18970</v>
      </c>
      <c r="J248" s="80" t="s">
        <v>2288</v>
      </c>
      <c r="K248" t="s">
        <v>767</v>
      </c>
      <c r="L248">
        <v>9012</v>
      </c>
      <c r="M248" t="s">
        <v>1794</v>
      </c>
      <c r="O248">
        <v>1</v>
      </c>
      <c r="P248" s="80" t="s">
        <v>2290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50</v>
      </c>
      <c r="AD248">
        <v>1</v>
      </c>
      <c r="AE248">
        <v>8000</v>
      </c>
      <c r="AF248">
        <v>410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2347</v>
      </c>
      <c r="E249">
        <v>72</v>
      </c>
      <c r="G249" s="90" t="s">
        <v>2348</v>
      </c>
      <c r="I249">
        <v>19095</v>
      </c>
      <c r="J249" s="80" t="s">
        <v>2288</v>
      </c>
      <c r="K249" t="s">
        <v>767</v>
      </c>
      <c r="L249">
        <v>9008</v>
      </c>
      <c r="M249" t="s">
        <v>2349</v>
      </c>
      <c r="O249">
        <v>0.8</v>
      </c>
      <c r="P249" s="80" t="s">
        <v>2290</v>
      </c>
      <c r="Q249" t="s">
        <v>769</v>
      </c>
      <c r="R249">
        <v>9010</v>
      </c>
      <c r="S249" t="s">
        <v>2350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50</v>
      </c>
      <c r="AD249">
        <v>1</v>
      </c>
      <c r="AE249">
        <v>8000</v>
      </c>
      <c r="AF249">
        <v>420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2351</v>
      </c>
      <c r="E250">
        <v>73</v>
      </c>
      <c r="G250" s="90" t="s">
        <v>2352</v>
      </c>
      <c r="I250">
        <v>19220</v>
      </c>
      <c r="J250" s="80" t="s">
        <v>2288</v>
      </c>
      <c r="K250" t="s">
        <v>767</v>
      </c>
      <c r="L250">
        <v>9006</v>
      </c>
      <c r="M250" t="s">
        <v>2353</v>
      </c>
      <c r="O250">
        <v>0.3</v>
      </c>
      <c r="P250" s="80" t="s">
        <v>2290</v>
      </c>
      <c r="Q250" t="s">
        <v>769</v>
      </c>
      <c r="R250">
        <v>9004</v>
      </c>
      <c r="S250" t="s">
        <v>2354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50</v>
      </c>
      <c r="AD250">
        <v>1</v>
      </c>
      <c r="AE250">
        <v>8000</v>
      </c>
      <c r="AF250">
        <v>420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2355</v>
      </c>
      <c r="E251">
        <v>73</v>
      </c>
      <c r="G251" s="90" t="s">
        <v>2356</v>
      </c>
      <c r="I251">
        <v>19345</v>
      </c>
      <c r="J251" s="80" t="s">
        <v>2288</v>
      </c>
      <c r="K251" t="s">
        <v>767</v>
      </c>
      <c r="L251">
        <v>9011</v>
      </c>
      <c r="M251">
        <v>11</v>
      </c>
      <c r="O251">
        <v>0.1</v>
      </c>
      <c r="P251" s="80" t="s">
        <v>2290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50</v>
      </c>
      <c r="AD251">
        <v>1</v>
      </c>
      <c r="AE251">
        <v>8000</v>
      </c>
      <c r="AF251">
        <v>420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2357</v>
      </c>
      <c r="E252">
        <v>74</v>
      </c>
      <c r="G252" s="90" t="s">
        <v>2358</v>
      </c>
      <c r="I252">
        <v>19470</v>
      </c>
      <c r="J252" s="80" t="s">
        <v>2288</v>
      </c>
      <c r="K252" t="s">
        <v>767</v>
      </c>
      <c r="L252">
        <v>9001</v>
      </c>
      <c r="M252" t="s">
        <v>2359</v>
      </c>
      <c r="O252">
        <v>0.6</v>
      </c>
      <c r="P252" s="80" t="s">
        <v>2290</v>
      </c>
      <c r="Q252" t="s">
        <v>769</v>
      </c>
      <c r="R252">
        <v>9008</v>
      </c>
      <c r="S252" t="s">
        <v>2360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50</v>
      </c>
      <c r="AD252">
        <v>1</v>
      </c>
      <c r="AE252">
        <v>8000</v>
      </c>
      <c r="AF252">
        <v>430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2361</v>
      </c>
      <c r="E253">
        <v>74</v>
      </c>
      <c r="G253" s="90" t="s">
        <v>2362</v>
      </c>
      <c r="I253">
        <v>19595</v>
      </c>
      <c r="J253" s="80" t="s">
        <v>2288</v>
      </c>
      <c r="K253" t="s">
        <v>767</v>
      </c>
      <c r="L253">
        <v>9011</v>
      </c>
      <c r="M253">
        <v>2</v>
      </c>
      <c r="O253">
        <v>1</v>
      </c>
      <c r="P253" s="80" t="s">
        <v>2290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50</v>
      </c>
      <c r="AD253">
        <v>1</v>
      </c>
      <c r="AE253">
        <v>8000</v>
      </c>
      <c r="AF253">
        <v>430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2363</v>
      </c>
      <c r="E254">
        <v>75</v>
      </c>
      <c r="G254" s="90" t="s">
        <v>2364</v>
      </c>
      <c r="I254">
        <v>19720</v>
      </c>
      <c r="J254" s="80" t="s">
        <v>2288</v>
      </c>
      <c r="K254" t="s">
        <v>767</v>
      </c>
      <c r="L254">
        <v>9007</v>
      </c>
      <c r="M254">
        <v>10</v>
      </c>
      <c r="O254">
        <v>0.5</v>
      </c>
      <c r="P254" s="80" t="s">
        <v>2290</v>
      </c>
      <c r="Q254" t="s">
        <v>769</v>
      </c>
      <c r="R254">
        <v>9003</v>
      </c>
      <c r="S254" t="s">
        <v>2243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50</v>
      </c>
      <c r="AD254">
        <v>1</v>
      </c>
      <c r="AE254">
        <v>8000</v>
      </c>
      <c r="AF254">
        <v>440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2365</v>
      </c>
      <c r="E255">
        <v>75</v>
      </c>
      <c r="G255" s="90" t="s">
        <v>2366</v>
      </c>
      <c r="I255">
        <v>19845</v>
      </c>
      <c r="J255" s="80" t="s">
        <v>2288</v>
      </c>
      <c r="K255" t="s">
        <v>767</v>
      </c>
      <c r="L255">
        <v>9002</v>
      </c>
      <c r="M255" t="s">
        <v>1900</v>
      </c>
      <c r="O255">
        <v>0.7</v>
      </c>
      <c r="P255" s="80" t="s">
        <v>2290</v>
      </c>
      <c r="Q255" t="s">
        <v>769</v>
      </c>
      <c r="R255">
        <v>9007</v>
      </c>
      <c r="S255" t="s">
        <v>2367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</v>
      </c>
      <c r="AD255">
        <v>1</v>
      </c>
      <c r="AE255">
        <v>8000</v>
      </c>
      <c r="AF255">
        <v>440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2368</v>
      </c>
      <c r="E256">
        <v>76</v>
      </c>
      <c r="G256" s="90" t="s">
        <v>2369</v>
      </c>
      <c r="I256">
        <v>19970</v>
      </c>
      <c r="J256" s="80" t="s">
        <v>2370</v>
      </c>
      <c r="K256" t="s">
        <v>767</v>
      </c>
      <c r="L256">
        <v>9006</v>
      </c>
      <c r="M256">
        <v>4</v>
      </c>
      <c r="O256">
        <v>0.8</v>
      </c>
      <c r="P256" s="80" t="s">
        <v>2371</v>
      </c>
      <c r="Q256" t="s">
        <v>769</v>
      </c>
      <c r="R256">
        <v>9008</v>
      </c>
      <c r="S256" t="s">
        <v>2311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50</v>
      </c>
      <c r="AD256">
        <v>1</v>
      </c>
      <c r="AE256">
        <v>8000</v>
      </c>
      <c r="AF256">
        <v>440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2372</v>
      </c>
      <c r="E257">
        <v>76</v>
      </c>
      <c r="G257" s="90" t="s">
        <v>2373</v>
      </c>
      <c r="I257">
        <v>20095</v>
      </c>
      <c r="J257" s="80" t="s">
        <v>2370</v>
      </c>
      <c r="K257" t="s">
        <v>767</v>
      </c>
      <c r="L257">
        <v>9002</v>
      </c>
      <c r="M257">
        <v>5</v>
      </c>
      <c r="O257">
        <v>0.1</v>
      </c>
      <c r="P257" s="80" t="s">
        <v>2371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50</v>
      </c>
      <c r="AD257">
        <v>1</v>
      </c>
      <c r="AE257">
        <v>8000</v>
      </c>
      <c r="AF257">
        <v>450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2374</v>
      </c>
      <c r="E258">
        <v>77</v>
      </c>
      <c r="G258" s="90" t="s">
        <v>2375</v>
      </c>
      <c r="I258">
        <v>20220</v>
      </c>
      <c r="J258" s="80" t="s">
        <v>2370</v>
      </c>
      <c r="K258" t="s">
        <v>767</v>
      </c>
      <c r="L258">
        <v>9007</v>
      </c>
      <c r="M258" t="s">
        <v>1656</v>
      </c>
      <c r="O258">
        <v>0.4</v>
      </c>
      <c r="P258" s="80" t="s">
        <v>2371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50</v>
      </c>
      <c r="AD258">
        <v>1</v>
      </c>
      <c r="AE258">
        <v>8000</v>
      </c>
      <c r="AF258">
        <v>450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2376</v>
      </c>
      <c r="E259">
        <v>77</v>
      </c>
      <c r="G259" s="90" t="s">
        <v>2377</v>
      </c>
      <c r="I259">
        <v>20345</v>
      </c>
      <c r="J259" s="80" t="s">
        <v>2370</v>
      </c>
      <c r="K259" t="s">
        <v>767</v>
      </c>
      <c r="L259">
        <v>9011</v>
      </c>
      <c r="M259" t="s">
        <v>2378</v>
      </c>
      <c r="O259">
        <v>0.6</v>
      </c>
      <c r="P259" s="80" t="s">
        <v>2371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50</v>
      </c>
      <c r="AD259">
        <v>1</v>
      </c>
      <c r="AE259">
        <v>8000</v>
      </c>
      <c r="AF259">
        <v>450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2379</v>
      </c>
      <c r="E260">
        <v>78</v>
      </c>
      <c r="G260" s="90" t="s">
        <v>2380</v>
      </c>
      <c r="I260">
        <v>20470</v>
      </c>
      <c r="J260" s="80" t="s">
        <v>2370</v>
      </c>
      <c r="K260" t="s">
        <v>767</v>
      </c>
      <c r="L260">
        <v>9011</v>
      </c>
      <c r="M260">
        <v>3</v>
      </c>
      <c r="O260">
        <v>0.9</v>
      </c>
      <c r="P260" s="80" t="s">
        <v>2371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50</v>
      </c>
      <c r="AD260">
        <v>1</v>
      </c>
      <c r="AE260">
        <v>8000</v>
      </c>
      <c r="AF260">
        <v>460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2381</v>
      </c>
      <c r="E261">
        <v>78</v>
      </c>
      <c r="G261" s="90" t="s">
        <v>2382</v>
      </c>
      <c r="I261">
        <v>20595</v>
      </c>
      <c r="J261" s="80" t="s">
        <v>2370</v>
      </c>
      <c r="K261" t="s">
        <v>767</v>
      </c>
      <c r="L261">
        <v>9012</v>
      </c>
      <c r="M261" t="s">
        <v>1812</v>
      </c>
      <c r="O261">
        <v>0.9</v>
      </c>
      <c r="P261" s="80" t="s">
        <v>2371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50</v>
      </c>
      <c r="AD261">
        <v>1</v>
      </c>
      <c r="AE261">
        <v>8000</v>
      </c>
      <c r="AF261">
        <v>460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2383</v>
      </c>
      <c r="E262">
        <v>79</v>
      </c>
      <c r="G262" s="90" t="s">
        <v>2384</v>
      </c>
      <c r="I262">
        <v>20720</v>
      </c>
      <c r="J262" s="80" t="s">
        <v>2370</v>
      </c>
      <c r="K262" t="s">
        <v>767</v>
      </c>
      <c r="L262">
        <v>9012</v>
      </c>
      <c r="M262">
        <v>6</v>
      </c>
      <c r="O262">
        <v>0.9</v>
      </c>
      <c r="P262" s="80" t="s">
        <v>2371</v>
      </c>
      <c r="Q262" t="s">
        <v>769</v>
      </c>
      <c r="R262">
        <v>9012</v>
      </c>
      <c r="S262" t="s">
        <v>2285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50</v>
      </c>
      <c r="AD262">
        <v>1</v>
      </c>
      <c r="AE262">
        <v>8000</v>
      </c>
      <c r="AF262">
        <v>470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2385</v>
      </c>
      <c r="E263">
        <v>79</v>
      </c>
      <c r="G263" s="90" t="s">
        <v>2386</v>
      </c>
      <c r="I263">
        <v>20845</v>
      </c>
      <c r="J263" s="80" t="s">
        <v>2370</v>
      </c>
      <c r="K263" t="s">
        <v>767</v>
      </c>
      <c r="L263">
        <v>9011</v>
      </c>
      <c r="M263" t="s">
        <v>2387</v>
      </c>
      <c r="O263">
        <v>0.5</v>
      </c>
      <c r="P263" s="80" t="s">
        <v>2371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50</v>
      </c>
      <c r="AD263">
        <v>1</v>
      </c>
      <c r="AE263">
        <v>8000</v>
      </c>
      <c r="AF263">
        <v>470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2388</v>
      </c>
      <c r="E264">
        <v>80</v>
      </c>
      <c r="G264" s="90" t="s">
        <v>2389</v>
      </c>
      <c r="I264">
        <v>20970</v>
      </c>
      <c r="J264" s="80" t="s">
        <v>2370</v>
      </c>
      <c r="K264" t="s">
        <v>767</v>
      </c>
      <c r="L264">
        <v>9006</v>
      </c>
      <c r="M264" t="s">
        <v>2390</v>
      </c>
      <c r="O264">
        <v>0.3</v>
      </c>
      <c r="P264" s="80" t="s">
        <v>2371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50</v>
      </c>
      <c r="AD264">
        <v>1</v>
      </c>
      <c r="AE264">
        <v>8000</v>
      </c>
      <c r="AF264">
        <v>470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2391</v>
      </c>
      <c r="E265">
        <v>80</v>
      </c>
      <c r="G265" s="90" t="s">
        <v>2392</v>
      </c>
      <c r="I265">
        <v>21095</v>
      </c>
      <c r="J265" s="80" t="s">
        <v>2370</v>
      </c>
      <c r="K265" t="s">
        <v>767</v>
      </c>
      <c r="L265">
        <v>9002</v>
      </c>
      <c r="M265">
        <v>1</v>
      </c>
      <c r="O265">
        <v>0.7</v>
      </c>
      <c r="P265" s="80" t="s">
        <v>2371</v>
      </c>
      <c r="Q265" t="s">
        <v>769</v>
      </c>
      <c r="R265">
        <v>9007</v>
      </c>
      <c r="S265" t="s">
        <v>2393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50</v>
      </c>
      <c r="AD265">
        <v>1</v>
      </c>
      <c r="AE265">
        <v>8000</v>
      </c>
      <c r="AF265">
        <v>480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2394</v>
      </c>
      <c r="E266">
        <v>81</v>
      </c>
      <c r="G266" s="90" t="s">
        <v>2395</v>
      </c>
      <c r="I266">
        <v>21220</v>
      </c>
      <c r="J266" s="80" t="s">
        <v>2370</v>
      </c>
      <c r="K266" t="s">
        <v>767</v>
      </c>
      <c r="L266">
        <v>9002</v>
      </c>
      <c r="M266" t="s">
        <v>1787</v>
      </c>
      <c r="O266">
        <v>0.5</v>
      </c>
      <c r="P266" s="80" t="s">
        <v>2371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50</v>
      </c>
      <c r="AD266">
        <v>1</v>
      </c>
      <c r="AE266">
        <v>8000</v>
      </c>
      <c r="AF266">
        <v>480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2396</v>
      </c>
      <c r="E267">
        <v>81</v>
      </c>
      <c r="G267" s="90" t="s">
        <v>2397</v>
      </c>
      <c r="I267">
        <v>21345</v>
      </c>
      <c r="J267" s="80" t="s">
        <v>2370</v>
      </c>
      <c r="K267" t="s">
        <v>767</v>
      </c>
      <c r="L267">
        <v>9008</v>
      </c>
      <c r="M267">
        <v>4</v>
      </c>
      <c r="O267">
        <v>1</v>
      </c>
      <c r="P267" s="80" t="s">
        <v>2371</v>
      </c>
      <c r="Q267" t="s">
        <v>769</v>
      </c>
      <c r="R267">
        <v>9008</v>
      </c>
      <c r="S267" t="s">
        <v>2182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50</v>
      </c>
      <c r="AD267">
        <v>1</v>
      </c>
      <c r="AE267">
        <v>8000</v>
      </c>
      <c r="AF267">
        <v>490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2398</v>
      </c>
      <c r="E268">
        <v>82</v>
      </c>
      <c r="G268" s="90" t="s">
        <v>2399</v>
      </c>
      <c r="I268">
        <v>21470</v>
      </c>
      <c r="J268" s="80" t="s">
        <v>2370</v>
      </c>
      <c r="K268" t="s">
        <v>767</v>
      </c>
      <c r="L268">
        <v>9012</v>
      </c>
      <c r="M268">
        <v>5</v>
      </c>
      <c r="O268">
        <v>0.4</v>
      </c>
      <c r="P268" s="80" t="s">
        <v>2371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50</v>
      </c>
      <c r="AD268">
        <v>1</v>
      </c>
      <c r="AE268">
        <v>8000</v>
      </c>
      <c r="AF268">
        <v>490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2400</v>
      </c>
      <c r="E269">
        <v>82</v>
      </c>
      <c r="G269" s="90" t="s">
        <v>2401</v>
      </c>
      <c r="I269">
        <v>21595</v>
      </c>
      <c r="J269" s="80" t="s">
        <v>2370</v>
      </c>
      <c r="K269" t="s">
        <v>767</v>
      </c>
      <c r="L269">
        <v>9007</v>
      </c>
      <c r="M269">
        <v>3</v>
      </c>
      <c r="O269">
        <v>0.7</v>
      </c>
      <c r="P269" s="80" t="s">
        <v>2371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50</v>
      </c>
      <c r="AD269">
        <v>1</v>
      </c>
      <c r="AE269">
        <v>8000</v>
      </c>
      <c r="AF269">
        <v>490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2402</v>
      </c>
      <c r="E270">
        <v>83</v>
      </c>
      <c r="G270" s="90" t="s">
        <v>2403</v>
      </c>
      <c r="I270">
        <v>21720</v>
      </c>
      <c r="J270" s="80" t="s">
        <v>2370</v>
      </c>
      <c r="K270" t="s">
        <v>767</v>
      </c>
      <c r="L270">
        <v>9006</v>
      </c>
      <c r="M270">
        <v>4</v>
      </c>
      <c r="O270">
        <v>0.5</v>
      </c>
      <c r="P270" s="80" t="s">
        <v>2371</v>
      </c>
      <c r="Q270" t="s">
        <v>769</v>
      </c>
      <c r="R270">
        <v>9010</v>
      </c>
      <c r="S270" t="s">
        <v>2404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50</v>
      </c>
      <c r="AD270">
        <v>1</v>
      </c>
      <c r="AE270">
        <v>8000</v>
      </c>
      <c r="AF270">
        <v>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2405</v>
      </c>
      <c r="E271">
        <v>83</v>
      </c>
      <c r="G271" s="90" t="s">
        <v>2406</v>
      </c>
      <c r="I271">
        <v>21845</v>
      </c>
      <c r="J271" s="80" t="s">
        <v>2370</v>
      </c>
      <c r="K271" t="s">
        <v>767</v>
      </c>
      <c r="L271">
        <v>9002</v>
      </c>
      <c r="M271" t="s">
        <v>1958</v>
      </c>
      <c r="O271">
        <v>1</v>
      </c>
      <c r="P271" s="80" t="s">
        <v>2371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50</v>
      </c>
      <c r="AD271">
        <v>1</v>
      </c>
      <c r="AE271">
        <v>8000</v>
      </c>
      <c r="AF271">
        <v>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2407</v>
      </c>
      <c r="E272">
        <v>84</v>
      </c>
      <c r="G272" s="90" t="s">
        <v>2408</v>
      </c>
      <c r="I272">
        <v>21970</v>
      </c>
      <c r="J272" s="80" t="s">
        <v>2370</v>
      </c>
      <c r="K272" t="s">
        <v>767</v>
      </c>
      <c r="L272">
        <v>9001</v>
      </c>
      <c r="M272" t="s">
        <v>1820</v>
      </c>
      <c r="O272">
        <v>0.3</v>
      </c>
      <c r="P272" s="80" t="s">
        <v>2371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50</v>
      </c>
      <c r="AD272">
        <v>1</v>
      </c>
      <c r="AE272">
        <v>8000</v>
      </c>
      <c r="AF272">
        <v>510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2409</v>
      </c>
      <c r="E273">
        <v>84</v>
      </c>
      <c r="G273" s="90" t="s">
        <v>2410</v>
      </c>
      <c r="I273">
        <v>22095</v>
      </c>
      <c r="J273" s="80" t="s">
        <v>2370</v>
      </c>
      <c r="K273" t="s">
        <v>767</v>
      </c>
      <c r="L273">
        <v>9005</v>
      </c>
      <c r="M273" t="s">
        <v>1881</v>
      </c>
      <c r="O273">
        <v>0.9</v>
      </c>
      <c r="P273" s="80" t="s">
        <v>2371</v>
      </c>
      <c r="Q273" t="s">
        <v>769</v>
      </c>
      <c r="R273">
        <v>9007</v>
      </c>
      <c r="S273" t="s">
        <v>2267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50</v>
      </c>
      <c r="AD273">
        <v>1</v>
      </c>
      <c r="AE273">
        <v>8000</v>
      </c>
      <c r="AF273">
        <v>510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2411</v>
      </c>
      <c r="E274">
        <v>85</v>
      </c>
      <c r="G274" s="90" t="s">
        <v>2412</v>
      </c>
      <c r="I274">
        <v>22220</v>
      </c>
      <c r="J274" s="80" t="s">
        <v>2370</v>
      </c>
      <c r="K274" t="s">
        <v>767</v>
      </c>
      <c r="L274">
        <v>9002</v>
      </c>
      <c r="M274" t="s">
        <v>2058</v>
      </c>
      <c r="O274">
        <v>1</v>
      </c>
      <c r="P274" s="80" t="s">
        <v>2371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50</v>
      </c>
      <c r="AD274">
        <v>1</v>
      </c>
      <c r="AE274">
        <v>8000</v>
      </c>
      <c r="AF274">
        <v>510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2413</v>
      </c>
      <c r="E275">
        <v>85</v>
      </c>
      <c r="G275" s="90" t="s">
        <v>2414</v>
      </c>
      <c r="I275">
        <v>22345</v>
      </c>
      <c r="J275" s="80" t="s">
        <v>2370</v>
      </c>
      <c r="K275" t="s">
        <v>767</v>
      </c>
      <c r="L275">
        <v>9002</v>
      </c>
      <c r="M275" t="s">
        <v>2415</v>
      </c>
      <c r="O275">
        <v>1</v>
      </c>
      <c r="P275" s="80" t="s">
        <v>2371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50</v>
      </c>
      <c r="AD275">
        <v>1</v>
      </c>
      <c r="AE275">
        <v>8000</v>
      </c>
      <c r="AF275">
        <v>520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2416</v>
      </c>
      <c r="E276">
        <v>86</v>
      </c>
      <c r="G276" s="90" t="s">
        <v>2417</v>
      </c>
      <c r="I276">
        <v>22470</v>
      </c>
      <c r="J276" s="80" t="s">
        <v>2370</v>
      </c>
      <c r="K276" t="s">
        <v>767</v>
      </c>
      <c r="L276">
        <v>9007</v>
      </c>
      <c r="M276" t="s">
        <v>2418</v>
      </c>
      <c r="O276">
        <v>0.1</v>
      </c>
      <c r="P276" s="80" t="s">
        <v>2371</v>
      </c>
      <c r="Q276" t="s">
        <v>769</v>
      </c>
      <c r="R276">
        <v>9004</v>
      </c>
      <c r="S276" t="s">
        <v>2419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50</v>
      </c>
      <c r="AD276">
        <v>1</v>
      </c>
      <c r="AE276">
        <v>8000</v>
      </c>
      <c r="AF276">
        <v>520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2420</v>
      </c>
      <c r="E277">
        <v>86</v>
      </c>
      <c r="G277" s="90" t="s">
        <v>2421</v>
      </c>
      <c r="I277">
        <v>22595</v>
      </c>
      <c r="J277" s="80" t="s">
        <v>2370</v>
      </c>
      <c r="K277" t="s">
        <v>767</v>
      </c>
      <c r="L277">
        <v>9011</v>
      </c>
      <c r="M277" t="s">
        <v>2149</v>
      </c>
      <c r="O277">
        <v>0.6</v>
      </c>
      <c r="P277" s="80" t="s">
        <v>2371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50</v>
      </c>
      <c r="AD277">
        <v>1</v>
      </c>
      <c r="AE277">
        <v>8000</v>
      </c>
      <c r="AF277">
        <v>530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2422</v>
      </c>
      <c r="E278">
        <v>87</v>
      </c>
      <c r="G278" s="90" t="s">
        <v>2423</v>
      </c>
      <c r="I278">
        <v>22720</v>
      </c>
      <c r="J278" s="80" t="s">
        <v>2370</v>
      </c>
      <c r="K278" t="s">
        <v>767</v>
      </c>
      <c r="L278">
        <v>9002</v>
      </c>
      <c r="M278" t="s">
        <v>2424</v>
      </c>
      <c r="O278">
        <v>0.3</v>
      </c>
      <c r="P278" s="80" t="s">
        <v>2371</v>
      </c>
      <c r="Q278" t="s">
        <v>769</v>
      </c>
      <c r="R278">
        <v>9012</v>
      </c>
      <c r="S278" t="s">
        <v>2425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50</v>
      </c>
      <c r="AD278">
        <v>1</v>
      </c>
      <c r="AE278">
        <v>8000</v>
      </c>
      <c r="AF278">
        <v>530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2426</v>
      </c>
      <c r="E279">
        <v>87</v>
      </c>
      <c r="G279" s="90" t="s">
        <v>2427</v>
      </c>
      <c r="I279">
        <v>22845</v>
      </c>
      <c r="J279" s="80" t="s">
        <v>2370</v>
      </c>
      <c r="K279" t="s">
        <v>767</v>
      </c>
      <c r="L279">
        <v>9011</v>
      </c>
      <c r="M279">
        <v>4</v>
      </c>
      <c r="O279">
        <v>0.5</v>
      </c>
      <c r="P279" s="80" t="s">
        <v>2371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50</v>
      </c>
      <c r="AD279">
        <v>1</v>
      </c>
      <c r="AE279">
        <v>8000</v>
      </c>
      <c r="AF279">
        <v>530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2428</v>
      </c>
      <c r="E280">
        <v>88</v>
      </c>
      <c r="G280" s="90" t="s">
        <v>2429</v>
      </c>
      <c r="I280">
        <v>22970</v>
      </c>
      <c r="J280" s="80" t="s">
        <v>2370</v>
      </c>
      <c r="K280" t="s">
        <v>767</v>
      </c>
      <c r="L280">
        <v>9001</v>
      </c>
      <c r="M280" t="s">
        <v>2390</v>
      </c>
      <c r="O280">
        <v>0.4</v>
      </c>
      <c r="P280" s="80" t="s">
        <v>2371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50</v>
      </c>
      <c r="AD280">
        <v>1</v>
      </c>
      <c r="AE280">
        <v>8000</v>
      </c>
      <c r="AF280">
        <v>540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2430</v>
      </c>
      <c r="E281">
        <v>88</v>
      </c>
      <c r="G281" s="90" t="s">
        <v>2431</v>
      </c>
      <c r="I281">
        <v>23095</v>
      </c>
      <c r="J281" s="80" t="s">
        <v>2370</v>
      </c>
      <c r="K281" t="s">
        <v>767</v>
      </c>
      <c r="L281">
        <v>9007</v>
      </c>
      <c r="M281">
        <v>4</v>
      </c>
      <c r="O281">
        <v>0.6</v>
      </c>
      <c r="P281" s="80" t="s">
        <v>2371</v>
      </c>
      <c r="Q281" t="s">
        <v>769</v>
      </c>
      <c r="R281">
        <v>9011</v>
      </c>
      <c r="S281" t="s">
        <v>2432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50</v>
      </c>
      <c r="AD281">
        <v>1</v>
      </c>
      <c r="AE281">
        <v>8000</v>
      </c>
      <c r="AF281">
        <v>540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2433</v>
      </c>
      <c r="E282">
        <v>89</v>
      </c>
      <c r="G282" s="90" t="s">
        <v>2434</v>
      </c>
      <c r="I282">
        <v>23220</v>
      </c>
      <c r="J282" s="80" t="s">
        <v>2370</v>
      </c>
      <c r="K282" t="s">
        <v>767</v>
      </c>
      <c r="L282">
        <v>9011</v>
      </c>
      <c r="M282" t="s">
        <v>2435</v>
      </c>
      <c r="O282">
        <v>0.8</v>
      </c>
      <c r="P282" s="80" t="s">
        <v>2371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50</v>
      </c>
      <c r="AD282">
        <v>1</v>
      </c>
      <c r="AE282">
        <v>8000</v>
      </c>
      <c r="AF282">
        <v>550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2436</v>
      </c>
      <c r="E283">
        <v>89</v>
      </c>
      <c r="G283" s="90" t="s">
        <v>2437</v>
      </c>
      <c r="I283">
        <v>23345</v>
      </c>
      <c r="J283" s="80" t="s">
        <v>2370</v>
      </c>
      <c r="K283" t="s">
        <v>767</v>
      </c>
      <c r="L283">
        <v>9001</v>
      </c>
      <c r="M283" t="s">
        <v>1697</v>
      </c>
      <c r="O283">
        <v>0.2</v>
      </c>
      <c r="P283" s="80" t="s">
        <v>2371</v>
      </c>
      <c r="Q283" t="s">
        <v>769</v>
      </c>
      <c r="R283">
        <v>9010</v>
      </c>
      <c r="S283" t="s">
        <v>2438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50</v>
      </c>
      <c r="AD283">
        <v>1</v>
      </c>
      <c r="AE283">
        <v>8000</v>
      </c>
      <c r="AF283">
        <v>550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2439</v>
      </c>
      <c r="E284">
        <v>90</v>
      </c>
      <c r="G284" s="90" t="s">
        <v>2440</v>
      </c>
      <c r="I284">
        <v>23470</v>
      </c>
      <c r="J284" s="80" t="s">
        <v>2370</v>
      </c>
      <c r="K284" t="s">
        <v>767</v>
      </c>
      <c r="L284">
        <v>9008</v>
      </c>
      <c r="M284" t="s">
        <v>2441</v>
      </c>
      <c r="O284">
        <v>0.2</v>
      </c>
      <c r="P284" s="80" t="s">
        <v>2371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50</v>
      </c>
      <c r="AD284">
        <v>1</v>
      </c>
      <c r="AE284">
        <v>8000</v>
      </c>
      <c r="AF284">
        <v>550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2442</v>
      </c>
      <c r="E285">
        <v>90</v>
      </c>
      <c r="G285" s="90" t="s">
        <v>2443</v>
      </c>
      <c r="I285">
        <v>23595</v>
      </c>
      <c r="J285" s="80" t="s">
        <v>2370</v>
      </c>
      <c r="K285" t="s">
        <v>767</v>
      </c>
      <c r="L285">
        <v>9011</v>
      </c>
      <c r="M285">
        <v>8</v>
      </c>
      <c r="O285">
        <v>0.4</v>
      </c>
      <c r="P285" s="80" t="s">
        <v>2371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</v>
      </c>
      <c r="AD285">
        <v>1</v>
      </c>
      <c r="AE285">
        <v>8000</v>
      </c>
      <c r="AF285">
        <v>560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2444</v>
      </c>
      <c r="E286">
        <v>91</v>
      </c>
      <c r="G286" s="90" t="s">
        <v>2445</v>
      </c>
      <c r="I286">
        <v>23720</v>
      </c>
      <c r="J286" s="80" t="s">
        <v>2370</v>
      </c>
      <c r="K286" t="s">
        <v>767</v>
      </c>
      <c r="L286">
        <v>9012</v>
      </c>
      <c r="M286" t="s">
        <v>2446</v>
      </c>
      <c r="O286">
        <v>0.9</v>
      </c>
      <c r="P286" s="80" t="s">
        <v>2371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50</v>
      </c>
      <c r="AD286">
        <v>1</v>
      </c>
      <c r="AE286">
        <v>8000</v>
      </c>
      <c r="AF286">
        <v>560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2447</v>
      </c>
      <c r="E287">
        <v>91</v>
      </c>
      <c r="G287" s="90" t="s">
        <v>2448</v>
      </c>
      <c r="I287">
        <v>23845</v>
      </c>
      <c r="J287" s="80" t="s">
        <v>2370</v>
      </c>
      <c r="K287" t="s">
        <v>767</v>
      </c>
      <c r="L287">
        <v>9007</v>
      </c>
      <c r="M287" t="s">
        <v>1907</v>
      </c>
      <c r="O287">
        <v>0.8</v>
      </c>
      <c r="P287" s="80" t="s">
        <v>2371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50</v>
      </c>
      <c r="AD287">
        <v>1</v>
      </c>
      <c r="AE287">
        <v>8000</v>
      </c>
      <c r="AF287">
        <v>570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2449</v>
      </c>
      <c r="E288">
        <v>92</v>
      </c>
      <c r="G288" s="90" t="s">
        <v>2450</v>
      </c>
      <c r="I288">
        <v>23970</v>
      </c>
      <c r="J288" s="80" t="s">
        <v>2370</v>
      </c>
      <c r="K288" t="s">
        <v>767</v>
      </c>
      <c r="L288">
        <v>9007</v>
      </c>
      <c r="M288" t="s">
        <v>1786</v>
      </c>
      <c r="O288">
        <v>0.1</v>
      </c>
      <c r="P288" s="80" t="s">
        <v>2371</v>
      </c>
      <c r="Q288" t="s">
        <v>769</v>
      </c>
      <c r="R288">
        <v>9012</v>
      </c>
      <c r="S288" t="s">
        <v>2451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50</v>
      </c>
      <c r="AD288">
        <v>1</v>
      </c>
      <c r="AE288">
        <v>8000</v>
      </c>
      <c r="AF288">
        <v>570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2452</v>
      </c>
      <c r="E289">
        <v>92</v>
      </c>
      <c r="G289" s="90" t="s">
        <v>2453</v>
      </c>
      <c r="I289">
        <v>24095</v>
      </c>
      <c r="J289" s="80" t="s">
        <v>2370</v>
      </c>
      <c r="K289" t="s">
        <v>767</v>
      </c>
      <c r="L289">
        <v>9001</v>
      </c>
      <c r="M289" t="s">
        <v>2155</v>
      </c>
      <c r="O289">
        <v>0.7</v>
      </c>
      <c r="P289" s="80" t="s">
        <v>2371</v>
      </c>
      <c r="Q289" t="s">
        <v>769</v>
      </c>
      <c r="R289">
        <v>9011</v>
      </c>
      <c r="S289" t="s">
        <v>2454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50</v>
      </c>
      <c r="AD289">
        <v>1</v>
      </c>
      <c r="AE289">
        <v>8000</v>
      </c>
      <c r="AF289">
        <v>570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2455</v>
      </c>
      <c r="E290">
        <v>93</v>
      </c>
      <c r="G290" s="90" t="s">
        <v>2456</v>
      </c>
      <c r="I290">
        <v>24220</v>
      </c>
      <c r="J290" s="80" t="s">
        <v>2370</v>
      </c>
      <c r="K290" t="s">
        <v>767</v>
      </c>
      <c r="L290">
        <v>9002</v>
      </c>
      <c r="M290" t="s">
        <v>1790</v>
      </c>
      <c r="O290">
        <v>0.2</v>
      </c>
      <c r="P290" s="80" t="s">
        <v>2371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50</v>
      </c>
      <c r="AD290">
        <v>1</v>
      </c>
      <c r="AE290">
        <v>8000</v>
      </c>
      <c r="AF290">
        <v>580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2457</v>
      </c>
      <c r="E291">
        <v>93</v>
      </c>
      <c r="G291" s="90" t="s">
        <v>2458</v>
      </c>
      <c r="I291">
        <v>24345</v>
      </c>
      <c r="J291" s="80" t="s">
        <v>2370</v>
      </c>
      <c r="K291" t="s">
        <v>767</v>
      </c>
      <c r="L291">
        <v>9006</v>
      </c>
      <c r="M291" t="s">
        <v>1849</v>
      </c>
      <c r="O291">
        <v>0.9</v>
      </c>
      <c r="P291" s="80" t="s">
        <v>2371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50</v>
      </c>
      <c r="AD291">
        <v>1</v>
      </c>
      <c r="AE291">
        <v>8000</v>
      </c>
      <c r="AF291">
        <v>580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2459</v>
      </c>
      <c r="E292">
        <v>94</v>
      </c>
      <c r="G292" s="90" t="s">
        <v>2460</v>
      </c>
      <c r="I292">
        <v>24470</v>
      </c>
      <c r="J292" s="80" t="s">
        <v>2370</v>
      </c>
      <c r="K292" t="s">
        <v>767</v>
      </c>
      <c r="L292">
        <v>9001</v>
      </c>
      <c r="M292" t="s">
        <v>1704</v>
      </c>
      <c r="O292">
        <v>0.9</v>
      </c>
      <c r="P292" s="80" t="s">
        <v>2371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50</v>
      </c>
      <c r="AD292">
        <v>1</v>
      </c>
      <c r="AE292">
        <v>8000</v>
      </c>
      <c r="AF292">
        <v>590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2461</v>
      </c>
      <c r="E293">
        <v>94</v>
      </c>
      <c r="G293" s="90" t="s">
        <v>2462</v>
      </c>
      <c r="I293">
        <v>24595</v>
      </c>
      <c r="J293" s="80" t="s">
        <v>2370</v>
      </c>
      <c r="K293" t="s">
        <v>767</v>
      </c>
      <c r="L293">
        <v>9012</v>
      </c>
      <c r="M293" t="s">
        <v>2418</v>
      </c>
      <c r="O293">
        <v>0.7</v>
      </c>
      <c r="P293" s="80" t="s">
        <v>2371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50</v>
      </c>
      <c r="AD293">
        <v>1</v>
      </c>
      <c r="AE293">
        <v>8000</v>
      </c>
      <c r="AF293">
        <v>590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2463</v>
      </c>
      <c r="E294">
        <v>95</v>
      </c>
      <c r="G294" s="90" t="s">
        <v>2464</v>
      </c>
      <c r="I294">
        <v>24720</v>
      </c>
      <c r="J294" s="80" t="s">
        <v>2370</v>
      </c>
      <c r="K294" t="s">
        <v>767</v>
      </c>
      <c r="L294">
        <v>9005</v>
      </c>
      <c r="M294">
        <v>13</v>
      </c>
      <c r="O294">
        <v>0.2</v>
      </c>
      <c r="P294" s="80" t="s">
        <v>2371</v>
      </c>
      <c r="Q294" t="s">
        <v>769</v>
      </c>
      <c r="R294">
        <v>9003</v>
      </c>
      <c r="S294" t="s">
        <v>2465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50</v>
      </c>
      <c r="AD294">
        <v>1</v>
      </c>
      <c r="AE294">
        <v>8000</v>
      </c>
      <c r="AF294">
        <v>590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2466</v>
      </c>
      <c r="E295">
        <v>95</v>
      </c>
      <c r="G295" s="90" t="s">
        <v>2467</v>
      </c>
      <c r="I295">
        <v>24845</v>
      </c>
      <c r="J295" s="80" t="s">
        <v>2370</v>
      </c>
      <c r="K295" t="s">
        <v>767</v>
      </c>
      <c r="L295">
        <v>9001</v>
      </c>
      <c r="M295">
        <v>2</v>
      </c>
      <c r="O295">
        <v>0.3</v>
      </c>
      <c r="P295" s="80" t="s">
        <v>2371</v>
      </c>
      <c r="Q295" t="s">
        <v>769</v>
      </c>
      <c r="R295">
        <v>9012</v>
      </c>
      <c r="S295" t="s">
        <v>2468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50</v>
      </c>
      <c r="AD295">
        <v>1</v>
      </c>
      <c r="AE295">
        <v>8000</v>
      </c>
      <c r="AF295">
        <v>600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2469</v>
      </c>
      <c r="E296">
        <v>96</v>
      </c>
      <c r="G296" s="90" t="s">
        <v>2470</v>
      </c>
      <c r="I296">
        <v>24970</v>
      </c>
      <c r="J296" s="80" t="s">
        <v>2471</v>
      </c>
      <c r="K296" t="s">
        <v>767</v>
      </c>
      <c r="L296">
        <v>9005</v>
      </c>
      <c r="M296" t="s">
        <v>1852</v>
      </c>
      <c r="O296">
        <v>0.6</v>
      </c>
      <c r="P296" s="80" t="s">
        <v>2472</v>
      </c>
      <c r="Q296" t="s">
        <v>769</v>
      </c>
      <c r="R296">
        <v>9007</v>
      </c>
      <c r="S296" t="s">
        <v>2473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50</v>
      </c>
      <c r="AD296">
        <v>1</v>
      </c>
      <c r="AE296">
        <v>8000</v>
      </c>
      <c r="AF296">
        <v>600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2474</v>
      </c>
      <c r="E297">
        <v>96</v>
      </c>
      <c r="G297" s="90" t="s">
        <v>2475</v>
      </c>
      <c r="I297">
        <v>25095</v>
      </c>
      <c r="J297" s="80" t="s">
        <v>2471</v>
      </c>
      <c r="K297" t="s">
        <v>767</v>
      </c>
      <c r="L297">
        <v>9001</v>
      </c>
      <c r="M297" t="s">
        <v>2354</v>
      </c>
      <c r="O297">
        <v>0.9</v>
      </c>
      <c r="P297" s="80" t="s">
        <v>2472</v>
      </c>
      <c r="Q297" t="s">
        <v>769</v>
      </c>
      <c r="R297">
        <v>9003</v>
      </c>
      <c r="S297" t="s">
        <v>2476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50</v>
      </c>
      <c r="AD297">
        <v>1</v>
      </c>
      <c r="AE297">
        <v>8000</v>
      </c>
      <c r="AF297">
        <v>610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2477</v>
      </c>
      <c r="E298">
        <v>97</v>
      </c>
      <c r="G298" s="90" t="s">
        <v>2478</v>
      </c>
      <c r="I298">
        <v>25220</v>
      </c>
      <c r="J298" s="80" t="s">
        <v>2471</v>
      </c>
      <c r="K298" t="s">
        <v>767</v>
      </c>
      <c r="L298">
        <v>9007</v>
      </c>
      <c r="M298">
        <v>11</v>
      </c>
      <c r="O298">
        <v>0.6</v>
      </c>
      <c r="P298" s="80" t="s">
        <v>2472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50</v>
      </c>
      <c r="AD298">
        <v>1</v>
      </c>
      <c r="AE298">
        <v>8000</v>
      </c>
      <c r="AF298">
        <v>610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2479</v>
      </c>
      <c r="E299">
        <v>97</v>
      </c>
      <c r="G299" s="90" t="s">
        <v>2480</v>
      </c>
      <c r="I299">
        <v>25345</v>
      </c>
      <c r="J299" s="80" t="s">
        <v>2471</v>
      </c>
      <c r="K299" t="s">
        <v>767</v>
      </c>
      <c r="L299">
        <v>9012</v>
      </c>
      <c r="M299" t="s">
        <v>1858</v>
      </c>
      <c r="O299">
        <v>0.4</v>
      </c>
      <c r="P299" s="80" t="s">
        <v>2472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50</v>
      </c>
      <c r="AD299">
        <v>1</v>
      </c>
      <c r="AE299">
        <v>8000</v>
      </c>
      <c r="AF299">
        <v>620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2481</v>
      </c>
      <c r="E300">
        <v>98</v>
      </c>
      <c r="G300" s="90" t="s">
        <v>2482</v>
      </c>
      <c r="I300">
        <v>25470</v>
      </c>
      <c r="J300" s="80" t="s">
        <v>2471</v>
      </c>
      <c r="K300" t="s">
        <v>767</v>
      </c>
      <c r="L300">
        <v>9001</v>
      </c>
      <c r="M300" t="s">
        <v>2483</v>
      </c>
      <c r="O300">
        <v>1</v>
      </c>
      <c r="P300" s="80" t="s">
        <v>2472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50</v>
      </c>
      <c r="AD300">
        <v>1</v>
      </c>
      <c r="AE300">
        <v>8000</v>
      </c>
      <c r="AF300">
        <v>620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2484</v>
      </c>
      <c r="E301">
        <v>98</v>
      </c>
      <c r="G301" s="90" t="s">
        <v>2485</v>
      </c>
      <c r="I301">
        <v>25595</v>
      </c>
      <c r="J301" s="80" t="s">
        <v>2471</v>
      </c>
      <c r="K301" t="s">
        <v>767</v>
      </c>
      <c r="L301">
        <v>9008</v>
      </c>
      <c r="M301">
        <v>3</v>
      </c>
      <c r="O301">
        <v>0.7</v>
      </c>
      <c r="P301" s="80" t="s">
        <v>2472</v>
      </c>
      <c r="Q301" t="s">
        <v>769</v>
      </c>
      <c r="R301">
        <v>9007</v>
      </c>
      <c r="S301" t="s">
        <v>2486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50</v>
      </c>
      <c r="AD301">
        <v>1</v>
      </c>
      <c r="AE301">
        <v>8000</v>
      </c>
      <c r="AF301">
        <v>620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2487</v>
      </c>
      <c r="E302">
        <v>99</v>
      </c>
      <c r="G302" s="90" t="s">
        <v>2488</v>
      </c>
      <c r="I302">
        <v>25720</v>
      </c>
      <c r="J302" s="80" t="s">
        <v>2471</v>
      </c>
      <c r="K302" t="s">
        <v>767</v>
      </c>
      <c r="L302">
        <v>9002</v>
      </c>
      <c r="M302" t="s">
        <v>2489</v>
      </c>
      <c r="O302">
        <v>0.6</v>
      </c>
      <c r="P302" s="80" t="s">
        <v>2472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50</v>
      </c>
      <c r="AD302">
        <v>1</v>
      </c>
      <c r="AE302">
        <v>8000</v>
      </c>
      <c r="AF302">
        <v>630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2490</v>
      </c>
      <c r="E303">
        <v>99</v>
      </c>
      <c r="G303" s="90" t="s">
        <v>2491</v>
      </c>
      <c r="I303">
        <v>25845</v>
      </c>
      <c r="J303" s="80" t="s">
        <v>2471</v>
      </c>
      <c r="K303" t="s">
        <v>767</v>
      </c>
      <c r="L303">
        <v>9002</v>
      </c>
      <c r="M303" t="s">
        <v>1870</v>
      </c>
      <c r="O303">
        <v>0.6</v>
      </c>
      <c r="P303" s="80" t="s">
        <v>2472</v>
      </c>
      <c r="Q303" t="s">
        <v>769</v>
      </c>
      <c r="R303">
        <v>9008</v>
      </c>
      <c r="S303" t="s">
        <v>2279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50</v>
      </c>
      <c r="AD303">
        <v>1</v>
      </c>
      <c r="AE303">
        <v>8000</v>
      </c>
      <c r="AF303">
        <v>630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2492</v>
      </c>
      <c r="E304">
        <v>100</v>
      </c>
      <c r="G304" s="90" t="s">
        <v>2493</v>
      </c>
      <c r="I304">
        <v>25970</v>
      </c>
      <c r="J304" s="80" t="s">
        <v>2471</v>
      </c>
      <c r="K304" t="s">
        <v>767</v>
      </c>
      <c r="L304">
        <v>9012</v>
      </c>
      <c r="M304" t="s">
        <v>1900</v>
      </c>
      <c r="O304">
        <v>0.3</v>
      </c>
      <c r="P304" s="80" t="s">
        <v>2472</v>
      </c>
      <c r="Q304" t="s">
        <v>769</v>
      </c>
      <c r="R304">
        <v>9007</v>
      </c>
      <c r="S304" t="s">
        <v>2232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50</v>
      </c>
      <c r="AD304">
        <v>1</v>
      </c>
      <c r="AE304">
        <v>8000</v>
      </c>
      <c r="AF304">
        <v>640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2494</v>
      </c>
      <c r="E305">
        <v>100</v>
      </c>
      <c r="G305" s="90" t="s">
        <v>2495</v>
      </c>
      <c r="I305">
        <v>26095</v>
      </c>
      <c r="J305" s="80" t="s">
        <v>2471</v>
      </c>
      <c r="K305" t="s">
        <v>767</v>
      </c>
      <c r="L305">
        <v>9012</v>
      </c>
      <c r="M305" t="s">
        <v>1777</v>
      </c>
      <c r="O305">
        <v>0.7</v>
      </c>
      <c r="P305" s="80" t="s">
        <v>2472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50</v>
      </c>
      <c r="AD305">
        <v>1</v>
      </c>
      <c r="AE305">
        <v>8000</v>
      </c>
      <c r="AF305">
        <v>640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2496</v>
      </c>
      <c r="E306">
        <v>101</v>
      </c>
      <c r="G306" s="90" t="s">
        <v>2497</v>
      </c>
      <c r="I306">
        <v>26220</v>
      </c>
      <c r="J306" s="80" t="s">
        <v>2471</v>
      </c>
      <c r="K306" t="s">
        <v>767</v>
      </c>
      <c r="L306">
        <v>9011</v>
      </c>
      <c r="M306" t="s">
        <v>2441</v>
      </c>
      <c r="O306">
        <v>0.6</v>
      </c>
      <c r="P306" s="80" t="s">
        <v>2472</v>
      </c>
      <c r="Q306" t="s">
        <v>769</v>
      </c>
      <c r="R306">
        <v>9003</v>
      </c>
      <c r="S306" t="s">
        <v>2498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50</v>
      </c>
      <c r="AD306">
        <v>1</v>
      </c>
      <c r="AE306">
        <v>8000</v>
      </c>
      <c r="AF306">
        <v>640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2499</v>
      </c>
      <c r="E307">
        <v>101</v>
      </c>
      <c r="G307" s="90" t="s">
        <v>2500</v>
      </c>
      <c r="I307">
        <v>26345</v>
      </c>
      <c r="J307" s="80" t="s">
        <v>2471</v>
      </c>
      <c r="K307" t="s">
        <v>767</v>
      </c>
      <c r="L307">
        <v>9006</v>
      </c>
      <c r="M307" t="s">
        <v>1858</v>
      </c>
      <c r="O307">
        <v>0.3</v>
      </c>
      <c r="P307" s="80" t="s">
        <v>2472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50</v>
      </c>
      <c r="AD307">
        <v>1</v>
      </c>
      <c r="AE307">
        <v>8000</v>
      </c>
      <c r="AF307">
        <v>650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2501</v>
      </c>
      <c r="E308">
        <v>102</v>
      </c>
      <c r="G308" s="90" t="s">
        <v>2502</v>
      </c>
      <c r="I308">
        <v>26470</v>
      </c>
      <c r="J308" s="80" t="s">
        <v>2471</v>
      </c>
      <c r="K308" t="s">
        <v>767</v>
      </c>
      <c r="L308">
        <v>9001</v>
      </c>
      <c r="M308" t="s">
        <v>2503</v>
      </c>
      <c r="O308">
        <v>0.7</v>
      </c>
      <c r="P308" s="80" t="s">
        <v>2472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50</v>
      </c>
      <c r="AD308">
        <v>1</v>
      </c>
      <c r="AE308">
        <v>8000</v>
      </c>
      <c r="AF308">
        <v>650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2504</v>
      </c>
      <c r="E309">
        <v>102</v>
      </c>
      <c r="G309" s="90" t="s">
        <v>2505</v>
      </c>
      <c r="I309">
        <v>26595</v>
      </c>
      <c r="J309" s="80" t="s">
        <v>2471</v>
      </c>
      <c r="K309" t="s">
        <v>767</v>
      </c>
      <c r="L309">
        <v>9005</v>
      </c>
      <c r="M309">
        <v>5</v>
      </c>
      <c r="O309">
        <v>0.9</v>
      </c>
      <c r="P309" s="80" t="s">
        <v>2472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50</v>
      </c>
      <c r="AD309">
        <v>1</v>
      </c>
      <c r="AE309">
        <v>8000</v>
      </c>
      <c r="AF309">
        <v>660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2506</v>
      </c>
      <c r="E310">
        <v>103</v>
      </c>
      <c r="G310" s="90" t="s">
        <v>2507</v>
      </c>
      <c r="I310">
        <v>26720</v>
      </c>
      <c r="J310" s="80" t="s">
        <v>2471</v>
      </c>
      <c r="K310" t="s">
        <v>767</v>
      </c>
      <c r="L310">
        <v>9005</v>
      </c>
      <c r="M310" t="s">
        <v>1787</v>
      </c>
      <c r="O310">
        <v>0.9</v>
      </c>
      <c r="P310" s="80" t="s">
        <v>2472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50</v>
      </c>
      <c r="AD310">
        <v>1</v>
      </c>
      <c r="AE310">
        <v>8000</v>
      </c>
      <c r="AF310">
        <v>660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2508</v>
      </c>
      <c r="E311">
        <v>103</v>
      </c>
      <c r="G311" s="90" t="s">
        <v>2509</v>
      </c>
      <c r="I311">
        <v>26845</v>
      </c>
      <c r="J311" s="80" t="s">
        <v>2471</v>
      </c>
      <c r="K311" t="s">
        <v>767</v>
      </c>
      <c r="L311">
        <v>9011</v>
      </c>
      <c r="M311">
        <v>13</v>
      </c>
      <c r="O311">
        <v>1</v>
      </c>
      <c r="P311" s="80" t="s">
        <v>2472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50</v>
      </c>
      <c r="AD311">
        <v>1</v>
      </c>
      <c r="AE311">
        <v>8000</v>
      </c>
      <c r="AF311">
        <v>670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2510</v>
      </c>
      <c r="E312">
        <v>104</v>
      </c>
      <c r="G312" s="90" t="s">
        <v>2511</v>
      </c>
      <c r="I312">
        <v>26970</v>
      </c>
      <c r="J312" s="80" t="s">
        <v>2471</v>
      </c>
      <c r="K312" t="s">
        <v>767</v>
      </c>
      <c r="L312">
        <v>9002</v>
      </c>
      <c r="M312">
        <v>12</v>
      </c>
      <c r="O312">
        <v>0.2</v>
      </c>
      <c r="P312" s="80" t="s">
        <v>2472</v>
      </c>
      <c r="Q312" t="s">
        <v>769</v>
      </c>
      <c r="R312">
        <v>9007</v>
      </c>
      <c r="S312" t="s">
        <v>2149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50</v>
      </c>
      <c r="AD312">
        <v>1</v>
      </c>
      <c r="AE312">
        <v>8000</v>
      </c>
      <c r="AF312">
        <v>670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2512</v>
      </c>
      <c r="E313">
        <v>104</v>
      </c>
      <c r="G313" s="90" t="s">
        <v>2513</v>
      </c>
      <c r="I313">
        <v>27095</v>
      </c>
      <c r="J313" s="80" t="s">
        <v>2471</v>
      </c>
      <c r="K313" t="s">
        <v>767</v>
      </c>
      <c r="L313">
        <v>9008</v>
      </c>
      <c r="M313" t="s">
        <v>1812</v>
      </c>
      <c r="O313">
        <v>0.3</v>
      </c>
      <c r="P313" s="80" t="s">
        <v>2472</v>
      </c>
      <c r="Q313" t="s">
        <v>769</v>
      </c>
      <c r="R313">
        <v>9004</v>
      </c>
      <c r="S313" t="s">
        <v>2514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50</v>
      </c>
      <c r="AD313">
        <v>1</v>
      </c>
      <c r="AE313">
        <v>8000</v>
      </c>
      <c r="AF313">
        <v>670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2515</v>
      </c>
      <c r="E314">
        <v>105</v>
      </c>
      <c r="G314" s="90" t="s">
        <v>2516</v>
      </c>
      <c r="I314">
        <v>27220</v>
      </c>
      <c r="J314" s="80" t="s">
        <v>2471</v>
      </c>
      <c r="K314" t="s">
        <v>767</v>
      </c>
      <c r="L314">
        <v>9012</v>
      </c>
      <c r="M314">
        <v>8</v>
      </c>
      <c r="O314">
        <v>0.7</v>
      </c>
      <c r="P314" s="80" t="s">
        <v>2472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50</v>
      </c>
      <c r="AD314">
        <v>1</v>
      </c>
      <c r="AE314">
        <v>8000</v>
      </c>
      <c r="AF314">
        <v>680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2517</v>
      </c>
      <c r="E315">
        <v>105</v>
      </c>
      <c r="G315" s="90" t="s">
        <v>2518</v>
      </c>
      <c r="I315">
        <v>27345</v>
      </c>
      <c r="J315" s="80" t="s">
        <v>2471</v>
      </c>
      <c r="K315" t="s">
        <v>767</v>
      </c>
      <c r="L315">
        <v>9012</v>
      </c>
      <c r="M315" t="s">
        <v>1659</v>
      </c>
      <c r="O315">
        <v>0.8</v>
      </c>
      <c r="P315" s="80" t="s">
        <v>2472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</v>
      </c>
      <c r="AD315">
        <v>1</v>
      </c>
      <c r="AE315">
        <v>8000</v>
      </c>
      <c r="AF315">
        <v>680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2519</v>
      </c>
      <c r="E316">
        <v>106</v>
      </c>
      <c r="G316" s="90" t="s">
        <v>2520</v>
      </c>
      <c r="I316">
        <v>27470</v>
      </c>
      <c r="J316" s="80" t="s">
        <v>2471</v>
      </c>
      <c r="K316" t="s">
        <v>767</v>
      </c>
      <c r="L316">
        <v>9011</v>
      </c>
      <c r="M316" t="s">
        <v>2521</v>
      </c>
      <c r="O316">
        <v>0.3</v>
      </c>
      <c r="P316" s="80" t="s">
        <v>2472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50</v>
      </c>
      <c r="AD316">
        <v>1</v>
      </c>
      <c r="AE316">
        <v>8000</v>
      </c>
      <c r="AF316">
        <v>690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2522</v>
      </c>
      <c r="E317">
        <v>106</v>
      </c>
      <c r="G317" s="90" t="s">
        <v>2523</v>
      </c>
      <c r="I317">
        <v>27595</v>
      </c>
      <c r="J317" s="80" t="s">
        <v>2471</v>
      </c>
      <c r="K317" t="s">
        <v>767</v>
      </c>
      <c r="L317">
        <v>9002</v>
      </c>
      <c r="M317" t="s">
        <v>2177</v>
      </c>
      <c r="O317">
        <v>0.2</v>
      </c>
      <c r="P317" s="80" t="s">
        <v>2472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50</v>
      </c>
      <c r="AD317">
        <v>1</v>
      </c>
      <c r="AE317">
        <v>8000</v>
      </c>
      <c r="AF317">
        <v>690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2524</v>
      </c>
      <c r="E318">
        <v>107</v>
      </c>
      <c r="G318" s="90" t="s">
        <v>2525</v>
      </c>
      <c r="I318">
        <v>27720</v>
      </c>
      <c r="J318" s="80" t="s">
        <v>2471</v>
      </c>
      <c r="K318" t="s">
        <v>767</v>
      </c>
      <c r="L318">
        <v>9012</v>
      </c>
      <c r="M318" t="s">
        <v>2191</v>
      </c>
      <c r="O318">
        <v>0.9</v>
      </c>
      <c r="P318" s="80" t="s">
        <v>2472</v>
      </c>
      <c r="Q318" t="s">
        <v>769</v>
      </c>
      <c r="R318">
        <v>9008</v>
      </c>
      <c r="S318" t="s">
        <v>2526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50</v>
      </c>
      <c r="AD318">
        <v>1</v>
      </c>
      <c r="AE318">
        <v>8000</v>
      </c>
      <c r="AF318">
        <v>700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2527</v>
      </c>
      <c r="E319">
        <v>107</v>
      </c>
      <c r="G319" s="90" t="s">
        <v>2528</v>
      </c>
      <c r="I319">
        <v>27845</v>
      </c>
      <c r="J319" s="80" t="s">
        <v>2471</v>
      </c>
      <c r="K319" t="s">
        <v>767</v>
      </c>
      <c r="L319">
        <v>9011</v>
      </c>
      <c r="M319">
        <v>12</v>
      </c>
      <c r="O319">
        <v>0.6</v>
      </c>
      <c r="P319" s="80" t="s">
        <v>2472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50</v>
      </c>
      <c r="AD319">
        <v>1</v>
      </c>
      <c r="AE319">
        <v>8000</v>
      </c>
      <c r="AF319">
        <v>700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2529</v>
      </c>
      <c r="E320">
        <v>108</v>
      </c>
      <c r="G320" s="90" t="s">
        <v>2530</v>
      </c>
      <c r="I320">
        <v>27970</v>
      </c>
      <c r="J320" s="80" t="s">
        <v>2471</v>
      </c>
      <c r="K320" t="s">
        <v>767</v>
      </c>
      <c r="L320">
        <v>9006</v>
      </c>
      <c r="M320" t="s">
        <v>2454</v>
      </c>
      <c r="O320">
        <v>0.5</v>
      </c>
      <c r="P320" s="80" t="s">
        <v>2472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50</v>
      </c>
      <c r="AD320">
        <v>1</v>
      </c>
      <c r="AE320">
        <v>8000</v>
      </c>
      <c r="AF320">
        <v>700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2531</v>
      </c>
      <c r="E321">
        <v>108</v>
      </c>
      <c r="G321" s="90" t="s">
        <v>2532</v>
      </c>
      <c r="I321">
        <v>28095</v>
      </c>
      <c r="J321" s="80" t="s">
        <v>2471</v>
      </c>
      <c r="K321" t="s">
        <v>767</v>
      </c>
      <c r="L321">
        <v>9011</v>
      </c>
      <c r="M321">
        <v>3</v>
      </c>
      <c r="O321">
        <v>0.2</v>
      </c>
      <c r="P321" s="80" t="s">
        <v>2472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50</v>
      </c>
      <c r="AD321">
        <v>1</v>
      </c>
      <c r="AE321">
        <v>8000</v>
      </c>
      <c r="AF321">
        <v>710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2533</v>
      </c>
      <c r="E322">
        <v>109</v>
      </c>
      <c r="G322" s="90" t="s">
        <v>2534</v>
      </c>
      <c r="I322">
        <v>28220</v>
      </c>
      <c r="J322" s="80" t="s">
        <v>2471</v>
      </c>
      <c r="K322" t="s">
        <v>767</v>
      </c>
      <c r="L322">
        <v>9011</v>
      </c>
      <c r="M322" t="s">
        <v>1700</v>
      </c>
      <c r="O322">
        <v>0.7</v>
      </c>
      <c r="P322" s="80" t="s">
        <v>2472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50</v>
      </c>
      <c r="AD322">
        <v>1</v>
      </c>
      <c r="AE322">
        <v>8000</v>
      </c>
      <c r="AF322">
        <v>710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2535</v>
      </c>
      <c r="E323">
        <v>109</v>
      </c>
      <c r="G323" s="90" t="s">
        <v>2536</v>
      </c>
      <c r="I323">
        <v>28345</v>
      </c>
      <c r="J323" s="80" t="s">
        <v>2471</v>
      </c>
      <c r="K323" t="s">
        <v>767</v>
      </c>
      <c r="L323">
        <v>9007</v>
      </c>
      <c r="M323">
        <v>2</v>
      </c>
      <c r="O323">
        <v>0.7</v>
      </c>
      <c r="P323" s="80" t="s">
        <v>2472</v>
      </c>
      <c r="Q323" t="s">
        <v>769</v>
      </c>
      <c r="R323">
        <v>9003</v>
      </c>
      <c r="S323" t="s">
        <v>2537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50</v>
      </c>
      <c r="AD323">
        <v>1</v>
      </c>
      <c r="AE323">
        <v>8000</v>
      </c>
      <c r="AF323">
        <v>720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2538</v>
      </c>
      <c r="E324">
        <v>110</v>
      </c>
      <c r="G324" s="90" t="s">
        <v>2539</v>
      </c>
      <c r="I324">
        <v>28470</v>
      </c>
      <c r="J324" s="80" t="s">
        <v>2471</v>
      </c>
      <c r="K324" t="s">
        <v>767</v>
      </c>
      <c r="L324">
        <v>9012</v>
      </c>
      <c r="M324">
        <v>2</v>
      </c>
      <c r="O324">
        <v>0.5</v>
      </c>
      <c r="P324" s="80" t="s">
        <v>2472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50</v>
      </c>
      <c r="AD324">
        <v>1</v>
      </c>
      <c r="AE324">
        <v>8000</v>
      </c>
      <c r="AF324">
        <v>720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2540</v>
      </c>
      <c r="E325">
        <v>110</v>
      </c>
      <c r="G325" s="90" t="s">
        <v>2541</v>
      </c>
      <c r="I325">
        <v>28595</v>
      </c>
      <c r="J325" s="80" t="s">
        <v>2471</v>
      </c>
      <c r="K325" t="s">
        <v>767</v>
      </c>
      <c r="L325">
        <v>9005</v>
      </c>
      <c r="M325" t="s">
        <v>2542</v>
      </c>
      <c r="O325">
        <v>0.3</v>
      </c>
      <c r="P325" s="80" t="s">
        <v>2472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50</v>
      </c>
      <c r="AD325">
        <v>1</v>
      </c>
      <c r="AE325">
        <v>8000</v>
      </c>
      <c r="AF325">
        <v>730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2543</v>
      </c>
      <c r="E326">
        <v>111</v>
      </c>
      <c r="G326" s="90" t="s">
        <v>2544</v>
      </c>
      <c r="I326">
        <v>28720</v>
      </c>
      <c r="J326" s="80" t="s">
        <v>2471</v>
      </c>
      <c r="K326" t="s">
        <v>767</v>
      </c>
      <c r="L326">
        <v>9008</v>
      </c>
      <c r="M326" t="s">
        <v>2253</v>
      </c>
      <c r="O326">
        <v>0.9</v>
      </c>
      <c r="P326" s="80" t="s">
        <v>2472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50</v>
      </c>
      <c r="AD326">
        <v>1</v>
      </c>
      <c r="AE326">
        <v>8000</v>
      </c>
      <c r="AF326">
        <v>730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2545</v>
      </c>
      <c r="E327">
        <v>111</v>
      </c>
      <c r="G327" s="90" t="s">
        <v>2546</v>
      </c>
      <c r="I327">
        <v>28845</v>
      </c>
      <c r="J327" s="80" t="s">
        <v>2471</v>
      </c>
      <c r="K327" t="s">
        <v>767</v>
      </c>
      <c r="L327">
        <v>9002</v>
      </c>
      <c r="M327" t="s">
        <v>2547</v>
      </c>
      <c r="O327">
        <v>0.7</v>
      </c>
      <c r="P327" s="80" t="s">
        <v>2472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50</v>
      </c>
      <c r="AD327">
        <v>1</v>
      </c>
      <c r="AE327">
        <v>8000</v>
      </c>
      <c r="AF327">
        <v>730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2548</v>
      </c>
      <c r="E328">
        <v>112</v>
      </c>
      <c r="G328" s="90" t="s">
        <v>2549</v>
      </c>
      <c r="I328">
        <v>28970</v>
      </c>
      <c r="J328" s="80" t="s">
        <v>2471</v>
      </c>
      <c r="K328" t="s">
        <v>767</v>
      </c>
      <c r="L328">
        <v>9011</v>
      </c>
      <c r="M328">
        <v>9</v>
      </c>
      <c r="O328">
        <v>0.6</v>
      </c>
      <c r="P328" s="80" t="s">
        <v>2472</v>
      </c>
      <c r="Q328" t="s">
        <v>769</v>
      </c>
      <c r="R328">
        <v>9004</v>
      </c>
      <c r="S328" t="s">
        <v>2550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50</v>
      </c>
      <c r="AD328">
        <v>1</v>
      </c>
      <c r="AE328">
        <v>8000</v>
      </c>
      <c r="AF328">
        <v>740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2551</v>
      </c>
      <c r="E329">
        <v>112</v>
      </c>
      <c r="G329" s="90" t="s">
        <v>2552</v>
      </c>
      <c r="I329">
        <v>29095</v>
      </c>
      <c r="J329" s="80" t="s">
        <v>2471</v>
      </c>
      <c r="K329" t="s">
        <v>767</v>
      </c>
      <c r="L329">
        <v>9012</v>
      </c>
      <c r="M329">
        <v>7</v>
      </c>
      <c r="O329">
        <v>0.3</v>
      </c>
      <c r="P329" s="80" t="s">
        <v>2472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50</v>
      </c>
      <c r="AD329">
        <v>1</v>
      </c>
      <c r="AE329">
        <v>8000</v>
      </c>
      <c r="AF329">
        <v>740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2553</v>
      </c>
      <c r="E330">
        <v>113</v>
      </c>
      <c r="G330" s="90" t="s">
        <v>2554</v>
      </c>
      <c r="I330">
        <v>29220</v>
      </c>
      <c r="J330" s="80" t="s">
        <v>2471</v>
      </c>
      <c r="K330" t="s">
        <v>767</v>
      </c>
      <c r="L330">
        <v>9007</v>
      </c>
      <c r="M330" t="s">
        <v>2232</v>
      </c>
      <c r="O330">
        <v>0.8</v>
      </c>
      <c r="P330" s="80" t="s">
        <v>2472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50</v>
      </c>
      <c r="AD330">
        <v>1</v>
      </c>
      <c r="AE330">
        <v>8000</v>
      </c>
      <c r="AF330">
        <v>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2555</v>
      </c>
      <c r="E331">
        <v>113</v>
      </c>
      <c r="G331" s="90" t="s">
        <v>2556</v>
      </c>
      <c r="I331">
        <v>29345</v>
      </c>
      <c r="J331" s="80" t="s">
        <v>2471</v>
      </c>
      <c r="K331" t="s">
        <v>767</v>
      </c>
      <c r="L331">
        <v>9007</v>
      </c>
      <c r="M331" t="s">
        <v>1690</v>
      </c>
      <c r="O331">
        <v>0.9</v>
      </c>
      <c r="P331" s="80" t="s">
        <v>2472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50</v>
      </c>
      <c r="AD331">
        <v>1</v>
      </c>
      <c r="AE331">
        <v>8000</v>
      </c>
      <c r="AF331">
        <v>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2557</v>
      </c>
      <c r="E332">
        <v>114</v>
      </c>
      <c r="G332" s="90" t="s">
        <v>2558</v>
      </c>
      <c r="I332">
        <v>29470</v>
      </c>
      <c r="J332" s="80" t="s">
        <v>2471</v>
      </c>
      <c r="K332" t="s">
        <v>767</v>
      </c>
      <c r="L332">
        <v>9012</v>
      </c>
      <c r="M332">
        <v>2</v>
      </c>
      <c r="O332">
        <v>0.4</v>
      </c>
      <c r="P332" s="80" t="s">
        <v>2472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50</v>
      </c>
      <c r="AD332">
        <v>1</v>
      </c>
      <c r="AE332">
        <v>8000</v>
      </c>
      <c r="AF332">
        <v>760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2559</v>
      </c>
      <c r="E333">
        <v>114</v>
      </c>
      <c r="G333" s="90" t="s">
        <v>2560</v>
      </c>
      <c r="I333">
        <v>29595</v>
      </c>
      <c r="J333" s="80" t="s">
        <v>2471</v>
      </c>
      <c r="K333" t="s">
        <v>767</v>
      </c>
      <c r="L333">
        <v>9002</v>
      </c>
      <c r="M333">
        <v>5</v>
      </c>
      <c r="O333">
        <v>0.7</v>
      </c>
      <c r="P333" s="80" t="s">
        <v>2472</v>
      </c>
      <c r="Q333" t="s">
        <v>769</v>
      </c>
      <c r="R333">
        <v>9003</v>
      </c>
      <c r="S333" t="s">
        <v>2561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50</v>
      </c>
      <c r="AD333">
        <v>1</v>
      </c>
      <c r="AE333">
        <v>8000</v>
      </c>
      <c r="AF333">
        <v>760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2562</v>
      </c>
      <c r="E334">
        <v>115</v>
      </c>
      <c r="G334" s="90" t="s">
        <v>2563</v>
      </c>
      <c r="I334">
        <v>29720</v>
      </c>
      <c r="J334" s="80" t="s">
        <v>2471</v>
      </c>
      <c r="K334" t="s">
        <v>767</v>
      </c>
      <c r="L334">
        <v>9002</v>
      </c>
      <c r="M334" t="s">
        <v>2084</v>
      </c>
      <c r="O334">
        <v>0.2</v>
      </c>
      <c r="P334" s="80" t="s">
        <v>2472</v>
      </c>
      <c r="Q334" t="s">
        <v>769</v>
      </c>
      <c r="R334">
        <v>9008</v>
      </c>
      <c r="S334" t="s">
        <v>2231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50</v>
      </c>
      <c r="AD334">
        <v>1</v>
      </c>
      <c r="AE334">
        <v>8000</v>
      </c>
      <c r="AF334">
        <v>760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2564</v>
      </c>
      <c r="E335">
        <v>115</v>
      </c>
      <c r="G335" s="90" t="s">
        <v>2565</v>
      </c>
      <c r="I335">
        <v>29845</v>
      </c>
      <c r="J335" s="80" t="s">
        <v>2471</v>
      </c>
      <c r="K335" t="s">
        <v>767</v>
      </c>
      <c r="L335">
        <v>9001</v>
      </c>
      <c r="M335">
        <v>5</v>
      </c>
      <c r="O335">
        <v>0.4</v>
      </c>
      <c r="P335" s="80" t="s">
        <v>2472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50</v>
      </c>
      <c r="AD335">
        <v>1</v>
      </c>
      <c r="AE335">
        <v>8000</v>
      </c>
      <c r="AF335">
        <v>770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2566</v>
      </c>
      <c r="E336">
        <v>116</v>
      </c>
      <c r="G336" s="90" t="s">
        <v>2567</v>
      </c>
      <c r="I336">
        <v>29970</v>
      </c>
      <c r="J336" s="80" t="s">
        <v>2568</v>
      </c>
      <c r="K336" t="s">
        <v>767</v>
      </c>
      <c r="L336">
        <v>9008</v>
      </c>
      <c r="M336" t="s">
        <v>2569</v>
      </c>
      <c r="O336">
        <v>0.6</v>
      </c>
      <c r="P336" s="80" t="s">
        <v>2570</v>
      </c>
      <c r="Q336" t="s">
        <v>769</v>
      </c>
      <c r="R336">
        <v>9003</v>
      </c>
      <c r="S336" t="s">
        <v>2571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50</v>
      </c>
      <c r="AD336">
        <v>1</v>
      </c>
      <c r="AE336">
        <v>8000</v>
      </c>
      <c r="AF336">
        <v>770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2572</v>
      </c>
      <c r="E337">
        <v>116</v>
      </c>
      <c r="G337" s="90" t="s">
        <v>2573</v>
      </c>
      <c r="I337">
        <v>30095</v>
      </c>
      <c r="J337" s="80" t="s">
        <v>2568</v>
      </c>
      <c r="K337" t="s">
        <v>767</v>
      </c>
      <c r="L337">
        <v>9008</v>
      </c>
      <c r="M337">
        <v>8</v>
      </c>
      <c r="O337">
        <v>0.1</v>
      </c>
      <c r="P337" s="80" t="s">
        <v>2570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50</v>
      </c>
      <c r="AD337">
        <v>1</v>
      </c>
      <c r="AE337">
        <v>8000</v>
      </c>
      <c r="AF337">
        <v>780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2574</v>
      </c>
      <c r="E338">
        <v>117</v>
      </c>
      <c r="G338" s="90" t="s">
        <v>2575</v>
      </c>
      <c r="I338">
        <v>30220</v>
      </c>
      <c r="J338" s="80" t="s">
        <v>2568</v>
      </c>
      <c r="K338" t="s">
        <v>767</v>
      </c>
      <c r="L338">
        <v>9011</v>
      </c>
      <c r="M338">
        <v>2</v>
      </c>
      <c r="O338">
        <v>0.3</v>
      </c>
      <c r="P338" s="80" t="s">
        <v>2570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50</v>
      </c>
      <c r="AD338">
        <v>1</v>
      </c>
      <c r="AE338">
        <v>8000</v>
      </c>
      <c r="AF338">
        <v>780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2576</v>
      </c>
      <c r="E339">
        <v>117</v>
      </c>
      <c r="G339" s="90" t="s">
        <v>2577</v>
      </c>
      <c r="I339">
        <v>30345</v>
      </c>
      <c r="J339" s="80" t="s">
        <v>2568</v>
      </c>
      <c r="K339" t="s">
        <v>767</v>
      </c>
      <c r="L339">
        <v>9012</v>
      </c>
      <c r="M339" t="s">
        <v>1900</v>
      </c>
      <c r="O339">
        <v>0.4</v>
      </c>
      <c r="P339" s="80" t="s">
        <v>2570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50</v>
      </c>
      <c r="AD339">
        <v>1</v>
      </c>
      <c r="AE339">
        <v>8000</v>
      </c>
      <c r="AF339">
        <v>790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2578</v>
      </c>
      <c r="E340">
        <v>118</v>
      </c>
      <c r="G340" s="90" t="s">
        <v>2579</v>
      </c>
      <c r="I340">
        <v>30470</v>
      </c>
      <c r="J340" s="80" t="s">
        <v>2568</v>
      </c>
      <c r="K340" t="s">
        <v>767</v>
      </c>
      <c r="L340">
        <v>9008</v>
      </c>
      <c r="M340" t="s">
        <v>1808</v>
      </c>
      <c r="O340">
        <v>0.4</v>
      </c>
      <c r="P340" s="80" t="s">
        <v>2570</v>
      </c>
      <c r="Q340" t="s">
        <v>769</v>
      </c>
      <c r="R340">
        <v>9008</v>
      </c>
      <c r="S340" t="s">
        <v>2580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50</v>
      </c>
      <c r="AD340">
        <v>1</v>
      </c>
      <c r="AE340">
        <v>8000</v>
      </c>
      <c r="AF340">
        <v>790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2581</v>
      </c>
      <c r="E341">
        <v>118</v>
      </c>
      <c r="G341" s="90" t="s">
        <v>2582</v>
      </c>
      <c r="I341">
        <v>30595</v>
      </c>
      <c r="J341" s="80" t="s">
        <v>2568</v>
      </c>
      <c r="K341" t="s">
        <v>767</v>
      </c>
      <c r="L341">
        <v>9012</v>
      </c>
      <c r="M341" t="s">
        <v>1713</v>
      </c>
      <c r="O341">
        <v>0.2</v>
      </c>
      <c r="P341" s="80" t="s">
        <v>2570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50</v>
      </c>
      <c r="AD341">
        <v>1</v>
      </c>
      <c r="AE341">
        <v>8000</v>
      </c>
      <c r="AF341">
        <v>790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2583</v>
      </c>
      <c r="E342">
        <v>119</v>
      </c>
      <c r="G342" s="90" t="s">
        <v>2584</v>
      </c>
      <c r="I342">
        <v>30720</v>
      </c>
      <c r="J342" s="80" t="s">
        <v>2568</v>
      </c>
      <c r="K342" t="s">
        <v>767</v>
      </c>
      <c r="L342">
        <v>9005</v>
      </c>
      <c r="M342" t="s">
        <v>1867</v>
      </c>
      <c r="O342">
        <v>0.4</v>
      </c>
      <c r="P342" s="80" t="s">
        <v>2570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50</v>
      </c>
      <c r="AD342">
        <v>1</v>
      </c>
      <c r="AE342">
        <v>8000</v>
      </c>
      <c r="AF342">
        <v>800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2585</v>
      </c>
      <c r="E343">
        <v>119</v>
      </c>
      <c r="G343" s="90" t="s">
        <v>2586</v>
      </c>
      <c r="I343">
        <v>30845</v>
      </c>
      <c r="J343" s="80" t="s">
        <v>2568</v>
      </c>
      <c r="K343" t="s">
        <v>767</v>
      </c>
      <c r="L343">
        <v>9011</v>
      </c>
      <c r="M343">
        <v>6</v>
      </c>
      <c r="O343">
        <v>0.9</v>
      </c>
      <c r="P343" s="80" t="s">
        <v>2570</v>
      </c>
      <c r="Q343" t="s">
        <v>769</v>
      </c>
      <c r="R343">
        <v>9003</v>
      </c>
      <c r="S343" t="s">
        <v>2587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50</v>
      </c>
      <c r="AD343">
        <v>1</v>
      </c>
      <c r="AE343">
        <v>8000</v>
      </c>
      <c r="AF343">
        <v>800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2588</v>
      </c>
      <c r="E344">
        <v>120</v>
      </c>
      <c r="G344" s="90" t="s">
        <v>2589</v>
      </c>
      <c r="I344">
        <v>30970</v>
      </c>
      <c r="J344" s="80" t="s">
        <v>2568</v>
      </c>
      <c r="K344" t="s">
        <v>767</v>
      </c>
      <c r="L344">
        <v>9011</v>
      </c>
      <c r="M344" t="s">
        <v>2590</v>
      </c>
      <c r="O344">
        <v>0.7</v>
      </c>
      <c r="P344" s="80" t="s">
        <v>2570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50</v>
      </c>
      <c r="AD344">
        <v>1</v>
      </c>
      <c r="AE344">
        <v>8000</v>
      </c>
      <c r="AF344">
        <v>810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2591</v>
      </c>
      <c r="E345">
        <v>120</v>
      </c>
      <c r="G345" s="90" t="s">
        <v>2592</v>
      </c>
      <c r="I345">
        <v>31095</v>
      </c>
      <c r="J345" s="80" t="s">
        <v>2568</v>
      </c>
      <c r="K345" t="s">
        <v>767</v>
      </c>
      <c r="L345">
        <v>9006</v>
      </c>
      <c r="M345" t="s">
        <v>2593</v>
      </c>
      <c r="O345">
        <v>0.7</v>
      </c>
      <c r="P345" s="80" t="s">
        <v>2570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</v>
      </c>
      <c r="AD345">
        <v>1</v>
      </c>
      <c r="AE345">
        <v>8000</v>
      </c>
      <c r="AF345">
        <v>810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2594</v>
      </c>
      <c r="E346">
        <v>121</v>
      </c>
      <c r="G346" s="90" t="s">
        <v>2595</v>
      </c>
      <c r="I346">
        <v>31220</v>
      </c>
      <c r="J346" s="80" t="s">
        <v>2568</v>
      </c>
      <c r="K346" t="s">
        <v>767</v>
      </c>
      <c r="L346">
        <v>9007</v>
      </c>
      <c r="M346" t="s">
        <v>1940</v>
      </c>
      <c r="O346">
        <v>0.1</v>
      </c>
      <c r="P346" s="80" t="s">
        <v>2570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50</v>
      </c>
      <c r="AD346">
        <v>1</v>
      </c>
      <c r="AE346">
        <v>8000</v>
      </c>
      <c r="AF346">
        <v>820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2596</v>
      </c>
      <c r="E347">
        <v>121</v>
      </c>
      <c r="G347" s="90" t="s">
        <v>2597</v>
      </c>
      <c r="I347">
        <v>31345</v>
      </c>
      <c r="J347" s="80" t="s">
        <v>2568</v>
      </c>
      <c r="K347" t="s">
        <v>767</v>
      </c>
      <c r="L347">
        <v>9005</v>
      </c>
      <c r="M347">
        <v>10</v>
      </c>
      <c r="O347">
        <v>0.8</v>
      </c>
      <c r="P347" s="80" t="s">
        <v>2570</v>
      </c>
      <c r="Q347" t="s">
        <v>769</v>
      </c>
      <c r="R347">
        <v>9011</v>
      </c>
      <c r="S347" t="s">
        <v>2569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50</v>
      </c>
      <c r="AD347">
        <v>1</v>
      </c>
      <c r="AE347">
        <v>8000</v>
      </c>
      <c r="AF347">
        <v>820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2598</v>
      </c>
      <c r="E348">
        <v>122</v>
      </c>
      <c r="G348" s="90" t="s">
        <v>2599</v>
      </c>
      <c r="I348">
        <v>31470</v>
      </c>
      <c r="J348" s="80" t="s">
        <v>2568</v>
      </c>
      <c r="K348" t="s">
        <v>767</v>
      </c>
      <c r="L348">
        <v>9011</v>
      </c>
      <c r="M348" t="s">
        <v>2058</v>
      </c>
      <c r="O348">
        <v>0.3</v>
      </c>
      <c r="P348" s="80" t="s">
        <v>2570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50</v>
      </c>
      <c r="AD348">
        <v>1</v>
      </c>
      <c r="AE348">
        <v>8000</v>
      </c>
      <c r="AF348">
        <v>830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2600</v>
      </c>
      <c r="E349">
        <v>122</v>
      </c>
      <c r="G349" s="90" t="s">
        <v>2601</v>
      </c>
      <c r="I349">
        <v>31595</v>
      </c>
      <c r="J349" s="80" t="s">
        <v>2568</v>
      </c>
      <c r="K349" t="s">
        <v>767</v>
      </c>
      <c r="L349">
        <v>9012</v>
      </c>
      <c r="M349" t="s">
        <v>1677</v>
      </c>
      <c r="O349">
        <v>0.5</v>
      </c>
      <c r="P349" s="80" t="s">
        <v>2570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50</v>
      </c>
      <c r="AD349">
        <v>1</v>
      </c>
      <c r="AE349">
        <v>8000</v>
      </c>
      <c r="AF349">
        <v>830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2602</v>
      </c>
      <c r="E350">
        <v>123</v>
      </c>
      <c r="G350" s="90" t="s">
        <v>2603</v>
      </c>
      <c r="I350">
        <v>31720</v>
      </c>
      <c r="J350" s="80" t="s">
        <v>2568</v>
      </c>
      <c r="K350" t="s">
        <v>767</v>
      </c>
      <c r="L350">
        <v>9002</v>
      </c>
      <c r="M350">
        <v>1</v>
      </c>
      <c r="O350">
        <v>0.9</v>
      </c>
      <c r="P350" s="80" t="s">
        <v>2570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50</v>
      </c>
      <c r="AD350">
        <v>1</v>
      </c>
      <c r="AE350">
        <v>8000</v>
      </c>
      <c r="AF350">
        <v>830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2604</v>
      </c>
      <c r="E351">
        <v>123</v>
      </c>
      <c r="G351" s="90" t="s">
        <v>2605</v>
      </c>
      <c r="I351">
        <v>31845</v>
      </c>
      <c r="J351" s="80" t="s">
        <v>2568</v>
      </c>
      <c r="K351" t="s">
        <v>767</v>
      </c>
      <c r="L351">
        <v>9007</v>
      </c>
      <c r="M351" t="s">
        <v>1786</v>
      </c>
      <c r="O351">
        <v>0.6</v>
      </c>
      <c r="P351" s="80" t="s">
        <v>2570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50</v>
      </c>
      <c r="AD351">
        <v>1</v>
      </c>
      <c r="AE351">
        <v>8000</v>
      </c>
      <c r="AF351">
        <v>840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2606</v>
      </c>
      <c r="E352">
        <v>124</v>
      </c>
      <c r="G352" s="90" t="s">
        <v>2607</v>
      </c>
      <c r="I352">
        <v>31970</v>
      </c>
      <c r="J352" s="80" t="s">
        <v>2568</v>
      </c>
      <c r="K352" t="s">
        <v>767</v>
      </c>
      <c r="L352">
        <v>9006</v>
      </c>
      <c r="M352" t="s">
        <v>2149</v>
      </c>
      <c r="O352">
        <v>0.6</v>
      </c>
      <c r="P352" s="80" t="s">
        <v>2570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50</v>
      </c>
      <c r="AD352">
        <v>1</v>
      </c>
      <c r="AE352">
        <v>8000</v>
      </c>
      <c r="AF352">
        <v>840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2608</v>
      </c>
      <c r="E353">
        <v>124</v>
      </c>
      <c r="G353" s="90" t="s">
        <v>2609</v>
      </c>
      <c r="I353">
        <v>32095</v>
      </c>
      <c r="J353" s="80" t="s">
        <v>2568</v>
      </c>
      <c r="K353" t="s">
        <v>767</v>
      </c>
      <c r="L353">
        <v>9001</v>
      </c>
      <c r="M353">
        <v>5</v>
      </c>
      <c r="O353">
        <v>1</v>
      </c>
      <c r="P353" s="80" t="s">
        <v>2570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50</v>
      </c>
      <c r="AD353">
        <v>1</v>
      </c>
      <c r="AE353">
        <v>8000</v>
      </c>
      <c r="AF353">
        <v>850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2610</v>
      </c>
      <c r="E354">
        <v>125</v>
      </c>
      <c r="G354" s="90" t="s">
        <v>2611</v>
      </c>
      <c r="I354">
        <v>32220</v>
      </c>
      <c r="J354" s="80" t="s">
        <v>2568</v>
      </c>
      <c r="K354" t="s">
        <v>767</v>
      </c>
      <c r="L354">
        <v>9006</v>
      </c>
      <c r="M354">
        <v>2</v>
      </c>
      <c r="O354">
        <v>0.5</v>
      </c>
      <c r="P354" s="80" t="s">
        <v>2570</v>
      </c>
      <c r="Q354" t="s">
        <v>769</v>
      </c>
      <c r="R354">
        <v>9010</v>
      </c>
      <c r="S354" t="s">
        <v>2612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50</v>
      </c>
      <c r="AD354">
        <v>1</v>
      </c>
      <c r="AE354">
        <v>8000</v>
      </c>
      <c r="AF354">
        <v>850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2613</v>
      </c>
      <c r="E355">
        <v>125</v>
      </c>
      <c r="G355" s="90" t="s">
        <v>2614</v>
      </c>
      <c r="I355">
        <v>32345</v>
      </c>
      <c r="J355" s="80" t="s">
        <v>2568</v>
      </c>
      <c r="K355" t="s">
        <v>767</v>
      </c>
      <c r="L355">
        <v>9001</v>
      </c>
      <c r="M355" t="s">
        <v>2285</v>
      </c>
      <c r="O355">
        <v>0.9</v>
      </c>
      <c r="P355" s="80" t="s">
        <v>2570</v>
      </c>
      <c r="Q355" t="s">
        <v>769</v>
      </c>
      <c r="R355">
        <v>9011</v>
      </c>
      <c r="S355" t="s">
        <v>2354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50</v>
      </c>
      <c r="AD355">
        <v>1</v>
      </c>
      <c r="AE355">
        <v>8000</v>
      </c>
      <c r="AF355">
        <v>860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2615</v>
      </c>
      <c r="E356">
        <v>126</v>
      </c>
      <c r="G356" s="90" t="s">
        <v>2616</v>
      </c>
      <c r="I356">
        <v>32470</v>
      </c>
      <c r="J356" s="80" t="s">
        <v>2568</v>
      </c>
      <c r="K356" t="s">
        <v>767</v>
      </c>
      <c r="L356">
        <v>9001</v>
      </c>
      <c r="M356" t="s">
        <v>1824</v>
      </c>
      <c r="O356">
        <v>0.5</v>
      </c>
      <c r="P356" s="80" t="s">
        <v>2570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50</v>
      </c>
      <c r="AD356">
        <v>1</v>
      </c>
      <c r="AE356">
        <v>8000</v>
      </c>
      <c r="AF356">
        <v>860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2617</v>
      </c>
      <c r="E357">
        <v>126</v>
      </c>
      <c r="G357" s="90" t="s">
        <v>2618</v>
      </c>
      <c r="I357">
        <v>32595</v>
      </c>
      <c r="J357" s="80" t="s">
        <v>2568</v>
      </c>
      <c r="K357" t="s">
        <v>767</v>
      </c>
      <c r="L357">
        <v>9012</v>
      </c>
      <c r="M357" t="s">
        <v>2619</v>
      </c>
      <c r="O357">
        <v>0.7</v>
      </c>
      <c r="P357" s="80" t="s">
        <v>2570</v>
      </c>
      <c r="Q357" t="s">
        <v>769</v>
      </c>
      <c r="R357">
        <v>9011</v>
      </c>
      <c r="S357" t="s">
        <v>2620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50</v>
      </c>
      <c r="AD357">
        <v>1</v>
      </c>
      <c r="AE357">
        <v>8000</v>
      </c>
      <c r="AF357">
        <v>870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2621</v>
      </c>
      <c r="E358">
        <v>127</v>
      </c>
      <c r="G358" s="90" t="s">
        <v>2622</v>
      </c>
      <c r="I358">
        <v>32720</v>
      </c>
      <c r="J358" s="80" t="s">
        <v>2568</v>
      </c>
      <c r="K358" t="s">
        <v>767</v>
      </c>
      <c r="L358">
        <v>9005</v>
      </c>
      <c r="M358" t="s">
        <v>2354</v>
      </c>
      <c r="O358">
        <v>0.8</v>
      </c>
      <c r="P358" s="80" t="s">
        <v>2570</v>
      </c>
      <c r="Q358" t="s">
        <v>769</v>
      </c>
      <c r="R358">
        <v>9011</v>
      </c>
      <c r="S358" t="s">
        <v>2331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50</v>
      </c>
      <c r="AD358">
        <v>1</v>
      </c>
      <c r="AE358">
        <v>8000</v>
      </c>
      <c r="AF358">
        <v>870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2623</v>
      </c>
      <c r="E359">
        <v>127</v>
      </c>
      <c r="G359" s="90" t="s">
        <v>2624</v>
      </c>
      <c r="I359">
        <v>32845</v>
      </c>
      <c r="J359" s="80" t="s">
        <v>2568</v>
      </c>
      <c r="K359" t="s">
        <v>767</v>
      </c>
      <c r="L359">
        <v>9008</v>
      </c>
      <c r="M359" t="s">
        <v>2354</v>
      </c>
      <c r="O359">
        <v>0.5</v>
      </c>
      <c r="P359" s="80" t="s">
        <v>2570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50</v>
      </c>
      <c r="AD359">
        <v>1</v>
      </c>
      <c r="AE359">
        <v>8000</v>
      </c>
      <c r="AF359">
        <v>870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2625</v>
      </c>
      <c r="E360">
        <v>128</v>
      </c>
      <c r="G360" s="90" t="s">
        <v>2626</v>
      </c>
      <c r="I360">
        <v>32970</v>
      </c>
      <c r="J360" s="80" t="s">
        <v>2568</v>
      </c>
      <c r="K360" t="s">
        <v>767</v>
      </c>
      <c r="L360">
        <v>9008</v>
      </c>
      <c r="M360" t="s">
        <v>2489</v>
      </c>
      <c r="O360">
        <v>0.4</v>
      </c>
      <c r="P360" s="80" t="s">
        <v>2570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50</v>
      </c>
      <c r="AD360">
        <v>1</v>
      </c>
      <c r="AE360">
        <v>8000</v>
      </c>
      <c r="AF360">
        <v>880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2627</v>
      </c>
      <c r="E361">
        <v>128</v>
      </c>
      <c r="G361" s="90" t="s">
        <v>2628</v>
      </c>
      <c r="I361">
        <v>33095</v>
      </c>
      <c r="J361" s="80" t="s">
        <v>2568</v>
      </c>
      <c r="K361" t="s">
        <v>767</v>
      </c>
      <c r="L361">
        <v>9006</v>
      </c>
      <c r="M361" t="s">
        <v>2629</v>
      </c>
      <c r="O361">
        <v>0.2</v>
      </c>
      <c r="P361" s="80" t="s">
        <v>2570</v>
      </c>
      <c r="Q361" t="s">
        <v>769</v>
      </c>
      <c r="R361">
        <v>9003</v>
      </c>
      <c r="S361" t="s">
        <v>2630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50</v>
      </c>
      <c r="AD361">
        <v>1</v>
      </c>
      <c r="AE361">
        <v>8000</v>
      </c>
      <c r="AF361">
        <v>880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2631</v>
      </c>
      <c r="E362">
        <v>129</v>
      </c>
      <c r="G362" s="90" t="s">
        <v>2632</v>
      </c>
      <c r="I362">
        <v>33220</v>
      </c>
      <c r="J362" s="80" t="s">
        <v>2568</v>
      </c>
      <c r="K362" t="s">
        <v>767</v>
      </c>
      <c r="L362">
        <v>9005</v>
      </c>
      <c r="M362" t="s">
        <v>1745</v>
      </c>
      <c r="O362">
        <v>0.6</v>
      </c>
      <c r="P362" s="80" t="s">
        <v>2570</v>
      </c>
      <c r="Q362" t="s">
        <v>769</v>
      </c>
      <c r="R362">
        <v>9012</v>
      </c>
      <c r="S362" t="s">
        <v>2350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50</v>
      </c>
      <c r="AD362">
        <v>1</v>
      </c>
      <c r="AE362">
        <v>8000</v>
      </c>
      <c r="AF362">
        <v>890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2633</v>
      </c>
      <c r="E363">
        <v>129</v>
      </c>
      <c r="G363" s="90" t="s">
        <v>2634</v>
      </c>
      <c r="I363">
        <v>33345</v>
      </c>
      <c r="J363" s="80" t="s">
        <v>2568</v>
      </c>
      <c r="K363" t="s">
        <v>767</v>
      </c>
      <c r="L363">
        <v>9011</v>
      </c>
      <c r="M363">
        <v>12</v>
      </c>
      <c r="O363">
        <v>0.9</v>
      </c>
      <c r="P363" s="80" t="s">
        <v>2570</v>
      </c>
      <c r="Q363" t="s">
        <v>769</v>
      </c>
      <c r="R363">
        <v>9011</v>
      </c>
      <c r="S363" t="s">
        <v>2350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50</v>
      </c>
      <c r="AD363">
        <v>1</v>
      </c>
      <c r="AE363">
        <v>8000</v>
      </c>
      <c r="AF363">
        <v>890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2635</v>
      </c>
      <c r="E364">
        <v>130</v>
      </c>
      <c r="G364" s="90" t="s">
        <v>2636</v>
      </c>
      <c r="I364">
        <v>33470</v>
      </c>
      <c r="J364" s="80" t="s">
        <v>2568</v>
      </c>
      <c r="K364" t="s">
        <v>767</v>
      </c>
      <c r="L364">
        <v>9005</v>
      </c>
      <c r="M364">
        <v>1</v>
      </c>
      <c r="O364">
        <v>0.8</v>
      </c>
      <c r="P364" s="80" t="s">
        <v>2570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50</v>
      </c>
      <c r="AD364">
        <v>1</v>
      </c>
      <c r="AE364">
        <v>8000</v>
      </c>
      <c r="AF364">
        <v>900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2637</v>
      </c>
      <c r="E365">
        <v>130</v>
      </c>
      <c r="G365" s="90" t="s">
        <v>2638</v>
      </c>
      <c r="I365">
        <v>33595</v>
      </c>
      <c r="J365" s="80" t="s">
        <v>2568</v>
      </c>
      <c r="K365" t="s">
        <v>767</v>
      </c>
      <c r="L365">
        <v>9002</v>
      </c>
      <c r="M365" t="s">
        <v>2134</v>
      </c>
      <c r="O365">
        <v>0.6</v>
      </c>
      <c r="P365" s="80" t="s">
        <v>2570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50</v>
      </c>
      <c r="AD365">
        <v>1</v>
      </c>
      <c r="AE365">
        <v>8000</v>
      </c>
      <c r="AF365">
        <v>900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2639</v>
      </c>
      <c r="E366">
        <v>131</v>
      </c>
      <c r="G366" s="90" t="s">
        <v>2640</v>
      </c>
      <c r="I366">
        <v>33720</v>
      </c>
      <c r="J366" s="80" t="s">
        <v>2568</v>
      </c>
      <c r="K366" t="s">
        <v>767</v>
      </c>
      <c r="L366">
        <v>9007</v>
      </c>
      <c r="M366">
        <v>10</v>
      </c>
      <c r="O366">
        <v>0.2</v>
      </c>
      <c r="P366" s="80" t="s">
        <v>2570</v>
      </c>
      <c r="Q366" t="s">
        <v>769</v>
      </c>
      <c r="R366">
        <v>9012</v>
      </c>
      <c r="S366" t="s">
        <v>2641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50</v>
      </c>
      <c r="AD366">
        <v>1</v>
      </c>
      <c r="AE366">
        <v>8000</v>
      </c>
      <c r="AF366">
        <v>910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2642</v>
      </c>
      <c r="E367">
        <v>131</v>
      </c>
      <c r="G367" s="90" t="s">
        <v>2643</v>
      </c>
      <c r="I367">
        <v>33845</v>
      </c>
      <c r="J367" s="80" t="s">
        <v>2568</v>
      </c>
      <c r="K367" t="s">
        <v>767</v>
      </c>
      <c r="L367">
        <v>9006</v>
      </c>
      <c r="M367" t="s">
        <v>2644</v>
      </c>
      <c r="O367">
        <v>0.7</v>
      </c>
      <c r="P367" s="80" t="s">
        <v>2570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50</v>
      </c>
      <c r="AD367">
        <v>1</v>
      </c>
      <c r="AE367">
        <v>8000</v>
      </c>
      <c r="AF367">
        <v>910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2645</v>
      </c>
      <c r="E368">
        <v>132</v>
      </c>
      <c r="G368" s="90" t="s">
        <v>2646</v>
      </c>
      <c r="I368">
        <v>33970</v>
      </c>
      <c r="J368" s="80" t="s">
        <v>2568</v>
      </c>
      <c r="K368" t="s">
        <v>767</v>
      </c>
      <c r="L368">
        <v>9012</v>
      </c>
      <c r="M368" t="s">
        <v>2647</v>
      </c>
      <c r="O368">
        <v>0.2</v>
      </c>
      <c r="P368" s="80" t="s">
        <v>2570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50</v>
      </c>
      <c r="AD368">
        <v>1</v>
      </c>
      <c r="AE368">
        <v>8000</v>
      </c>
      <c r="AF368">
        <v>920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2648</v>
      </c>
      <c r="E369">
        <v>132</v>
      </c>
      <c r="G369" s="90" t="s">
        <v>2649</v>
      </c>
      <c r="I369">
        <v>34095</v>
      </c>
      <c r="J369" s="80" t="s">
        <v>2568</v>
      </c>
      <c r="K369" t="s">
        <v>767</v>
      </c>
      <c r="L369">
        <v>9005</v>
      </c>
      <c r="M369">
        <v>11</v>
      </c>
      <c r="O369">
        <v>0.1</v>
      </c>
      <c r="P369" s="80" t="s">
        <v>2570</v>
      </c>
      <c r="Q369" t="s">
        <v>769</v>
      </c>
      <c r="R369">
        <v>9003</v>
      </c>
      <c r="S369" t="s">
        <v>2367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50</v>
      </c>
      <c r="AD369">
        <v>1</v>
      </c>
      <c r="AE369">
        <v>8000</v>
      </c>
      <c r="AF369">
        <v>920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2650</v>
      </c>
      <c r="E370">
        <v>133</v>
      </c>
      <c r="G370" s="90" t="s">
        <v>2651</v>
      </c>
      <c r="I370">
        <v>34220</v>
      </c>
      <c r="J370" s="80" t="s">
        <v>2568</v>
      </c>
      <c r="K370" t="s">
        <v>767</v>
      </c>
      <c r="L370">
        <v>9011</v>
      </c>
      <c r="M370" t="s">
        <v>2279</v>
      </c>
      <c r="O370">
        <v>0.1</v>
      </c>
      <c r="P370" s="80" t="s">
        <v>2570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50</v>
      </c>
      <c r="AD370">
        <v>1</v>
      </c>
      <c r="AE370">
        <v>8000</v>
      </c>
      <c r="AF370">
        <v>920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2652</v>
      </c>
      <c r="E371">
        <v>133</v>
      </c>
      <c r="G371" s="90" t="s">
        <v>2653</v>
      </c>
      <c r="I371">
        <v>34345</v>
      </c>
      <c r="J371" s="80" t="s">
        <v>2568</v>
      </c>
      <c r="K371" t="s">
        <v>767</v>
      </c>
      <c r="L371">
        <v>9001</v>
      </c>
      <c r="M371">
        <v>3</v>
      </c>
      <c r="O371">
        <v>0.9</v>
      </c>
      <c r="P371" s="80" t="s">
        <v>2570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50</v>
      </c>
      <c r="AD371">
        <v>1</v>
      </c>
      <c r="AE371">
        <v>8000</v>
      </c>
      <c r="AF371">
        <v>930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2654</v>
      </c>
      <c r="E372">
        <v>134</v>
      </c>
      <c r="G372" s="90" t="s">
        <v>2655</v>
      </c>
      <c r="I372">
        <v>34470</v>
      </c>
      <c r="J372" s="80" t="s">
        <v>2568</v>
      </c>
      <c r="K372" t="s">
        <v>767</v>
      </c>
      <c r="L372">
        <v>9011</v>
      </c>
      <c r="M372" t="s">
        <v>2656</v>
      </c>
      <c r="O372">
        <v>0.4</v>
      </c>
      <c r="P372" s="80" t="s">
        <v>2570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50</v>
      </c>
      <c r="AD372">
        <v>1</v>
      </c>
      <c r="AE372">
        <v>8000</v>
      </c>
      <c r="AF372">
        <v>930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2657</v>
      </c>
      <c r="E373">
        <v>134</v>
      </c>
      <c r="G373" s="90" t="s">
        <v>2658</v>
      </c>
      <c r="I373">
        <v>34595</v>
      </c>
      <c r="J373" s="80" t="s">
        <v>2568</v>
      </c>
      <c r="K373" t="s">
        <v>767</v>
      </c>
      <c r="L373">
        <v>9008</v>
      </c>
      <c r="M373">
        <v>1</v>
      </c>
      <c r="O373">
        <v>0.1</v>
      </c>
      <c r="P373" s="80" t="s">
        <v>2570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50</v>
      </c>
      <c r="AD373">
        <v>1</v>
      </c>
      <c r="AE373">
        <v>8000</v>
      </c>
      <c r="AF373">
        <v>940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2659</v>
      </c>
      <c r="E374">
        <v>135</v>
      </c>
      <c r="G374" s="90" t="s">
        <v>2660</v>
      </c>
      <c r="I374">
        <v>34720</v>
      </c>
      <c r="J374" s="80" t="s">
        <v>2568</v>
      </c>
      <c r="K374" t="s">
        <v>767</v>
      </c>
      <c r="L374">
        <v>9007</v>
      </c>
      <c r="M374">
        <v>12</v>
      </c>
      <c r="O374">
        <v>0.9</v>
      </c>
      <c r="P374" s="80" t="s">
        <v>2570</v>
      </c>
      <c r="Q374" t="s">
        <v>769</v>
      </c>
      <c r="R374">
        <v>9008</v>
      </c>
      <c r="S374" t="s">
        <v>2587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50</v>
      </c>
      <c r="AD374">
        <v>1</v>
      </c>
      <c r="AE374">
        <v>8000</v>
      </c>
      <c r="AF374">
        <v>940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2661</v>
      </c>
      <c r="E375">
        <v>135</v>
      </c>
      <c r="G375" s="90" t="s">
        <v>2662</v>
      </c>
      <c r="I375">
        <v>34845</v>
      </c>
      <c r="J375" s="80" t="s">
        <v>2568</v>
      </c>
      <c r="K375" t="s">
        <v>767</v>
      </c>
      <c r="L375">
        <v>9007</v>
      </c>
      <c r="M375">
        <v>8</v>
      </c>
      <c r="O375">
        <v>0.5</v>
      </c>
      <c r="P375" s="80" t="s">
        <v>2570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</v>
      </c>
      <c r="AD375">
        <v>1</v>
      </c>
      <c r="AE375">
        <v>8000</v>
      </c>
      <c r="AF375">
        <v>950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2663</v>
      </c>
      <c r="E376">
        <v>136</v>
      </c>
      <c r="G376" s="90" t="s">
        <v>2664</v>
      </c>
      <c r="I376">
        <v>34970</v>
      </c>
      <c r="J376" s="80" t="s">
        <v>2665</v>
      </c>
      <c r="K376" t="s">
        <v>767</v>
      </c>
      <c r="L376">
        <v>9012</v>
      </c>
      <c r="M376" t="s">
        <v>2666</v>
      </c>
      <c r="O376">
        <v>0.3</v>
      </c>
      <c r="P376" s="80" t="s">
        <v>2667</v>
      </c>
      <c r="Q376" t="s">
        <v>769</v>
      </c>
      <c r="R376">
        <v>9003</v>
      </c>
      <c r="S376" t="s">
        <v>2668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50</v>
      </c>
      <c r="AD376">
        <v>1</v>
      </c>
      <c r="AE376">
        <v>8000</v>
      </c>
      <c r="AF376">
        <v>950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2669</v>
      </c>
      <c r="E377">
        <v>136</v>
      </c>
      <c r="G377" s="90" t="s">
        <v>2670</v>
      </c>
      <c r="I377">
        <v>35095</v>
      </c>
      <c r="J377" s="80" t="s">
        <v>2665</v>
      </c>
      <c r="K377" t="s">
        <v>767</v>
      </c>
      <c r="L377">
        <v>9002</v>
      </c>
      <c r="M377" t="s">
        <v>2002</v>
      </c>
      <c r="O377">
        <v>0.5</v>
      </c>
      <c r="P377" s="80" t="s">
        <v>2667</v>
      </c>
      <c r="Q377" t="s">
        <v>769</v>
      </c>
      <c r="R377">
        <v>9011</v>
      </c>
      <c r="S377" t="s">
        <v>2671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50</v>
      </c>
      <c r="AD377">
        <v>1</v>
      </c>
      <c r="AE377">
        <v>8000</v>
      </c>
      <c r="AF377">
        <v>960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2672</v>
      </c>
      <c r="E378">
        <v>137</v>
      </c>
      <c r="G378" s="90" t="s">
        <v>2670</v>
      </c>
      <c r="I378">
        <v>35220</v>
      </c>
      <c r="J378" s="80" t="s">
        <v>2665</v>
      </c>
      <c r="K378" t="s">
        <v>767</v>
      </c>
      <c r="L378">
        <v>9008</v>
      </c>
      <c r="M378">
        <v>3</v>
      </c>
      <c r="O378">
        <v>0.5</v>
      </c>
      <c r="P378" s="80" t="s">
        <v>2667</v>
      </c>
      <c r="Q378" t="s">
        <v>769</v>
      </c>
      <c r="R378">
        <v>9011</v>
      </c>
      <c r="S378" t="s">
        <v>2432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50</v>
      </c>
      <c r="AD378">
        <v>1</v>
      </c>
      <c r="AE378">
        <v>8000</v>
      </c>
      <c r="AF378">
        <v>960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2673</v>
      </c>
      <c r="E379">
        <v>137</v>
      </c>
      <c r="G379" s="90" t="s">
        <v>2674</v>
      </c>
      <c r="I379">
        <v>35345</v>
      </c>
      <c r="J379" s="80" t="s">
        <v>2665</v>
      </c>
      <c r="K379" t="s">
        <v>767</v>
      </c>
      <c r="L379">
        <v>9007</v>
      </c>
      <c r="M379" t="s">
        <v>1907</v>
      </c>
      <c r="O379">
        <v>0.1</v>
      </c>
      <c r="P379" s="80" t="s">
        <v>2667</v>
      </c>
      <c r="Q379" t="s">
        <v>769</v>
      </c>
      <c r="R379">
        <v>9007</v>
      </c>
      <c r="S379" t="s">
        <v>2187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50</v>
      </c>
      <c r="AD379">
        <v>1</v>
      </c>
      <c r="AE379">
        <v>8000</v>
      </c>
      <c r="AF379">
        <v>970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2675</v>
      </c>
      <c r="E380">
        <v>138</v>
      </c>
      <c r="G380" s="90" t="s">
        <v>2676</v>
      </c>
      <c r="I380">
        <v>35470</v>
      </c>
      <c r="J380" s="80" t="s">
        <v>2665</v>
      </c>
      <c r="K380" t="s">
        <v>767</v>
      </c>
      <c r="L380">
        <v>9005</v>
      </c>
      <c r="M380" t="s">
        <v>2425</v>
      </c>
      <c r="O380">
        <v>1</v>
      </c>
      <c r="P380" s="80" t="s">
        <v>2667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50</v>
      </c>
      <c r="AD380">
        <v>1</v>
      </c>
      <c r="AE380">
        <v>8000</v>
      </c>
      <c r="AF380">
        <v>970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2677</v>
      </c>
      <c r="E381">
        <v>138</v>
      </c>
      <c r="G381" s="90" t="s">
        <v>2678</v>
      </c>
      <c r="I381">
        <v>35595</v>
      </c>
      <c r="J381" s="80" t="s">
        <v>2665</v>
      </c>
      <c r="K381" t="s">
        <v>767</v>
      </c>
      <c r="L381">
        <v>9007</v>
      </c>
      <c r="M381">
        <v>9</v>
      </c>
      <c r="O381">
        <v>0.6</v>
      </c>
      <c r="P381" s="80" t="s">
        <v>2667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50</v>
      </c>
      <c r="AD381">
        <v>1</v>
      </c>
      <c r="AE381">
        <v>8000</v>
      </c>
      <c r="AF381">
        <v>980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2679</v>
      </c>
      <c r="E382">
        <v>139</v>
      </c>
      <c r="G382" s="90" t="s">
        <v>2680</v>
      </c>
      <c r="I382">
        <v>35720</v>
      </c>
      <c r="J382" s="80" t="s">
        <v>2665</v>
      </c>
      <c r="K382" t="s">
        <v>767</v>
      </c>
      <c r="L382">
        <v>9001</v>
      </c>
      <c r="M382" t="s">
        <v>2681</v>
      </c>
      <c r="O382">
        <v>0.7</v>
      </c>
      <c r="P382" s="80" t="s">
        <v>2667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50</v>
      </c>
      <c r="AD382">
        <v>1</v>
      </c>
      <c r="AE382">
        <v>8000</v>
      </c>
      <c r="AF382">
        <v>980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2682</v>
      </c>
      <c r="E383">
        <v>139</v>
      </c>
      <c r="G383" s="90" t="s">
        <v>2683</v>
      </c>
      <c r="I383">
        <v>35845</v>
      </c>
      <c r="J383" s="80" t="s">
        <v>2665</v>
      </c>
      <c r="K383" t="s">
        <v>767</v>
      </c>
      <c r="L383">
        <v>9011</v>
      </c>
      <c r="M383">
        <v>5</v>
      </c>
      <c r="O383">
        <v>0.2</v>
      </c>
      <c r="P383" s="80" t="s">
        <v>2667</v>
      </c>
      <c r="Q383" t="s">
        <v>769</v>
      </c>
      <c r="R383">
        <v>9004</v>
      </c>
      <c r="S383" t="s">
        <v>2163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50</v>
      </c>
      <c r="AD383">
        <v>1</v>
      </c>
      <c r="AE383">
        <v>8000</v>
      </c>
      <c r="AF383">
        <v>980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2684</v>
      </c>
      <c r="E384">
        <v>140</v>
      </c>
      <c r="G384" s="90" t="s">
        <v>2685</v>
      </c>
      <c r="I384">
        <v>35970</v>
      </c>
      <c r="J384" s="80" t="s">
        <v>2665</v>
      </c>
      <c r="K384" t="s">
        <v>767</v>
      </c>
      <c r="L384">
        <v>9012</v>
      </c>
      <c r="M384" t="s">
        <v>1790</v>
      </c>
      <c r="O384">
        <v>0.5</v>
      </c>
      <c r="P384" s="80" t="s">
        <v>2667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50</v>
      </c>
      <c r="AD384">
        <v>1</v>
      </c>
      <c r="AE384">
        <v>8000</v>
      </c>
      <c r="AF384">
        <v>990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2686</v>
      </c>
      <c r="E385">
        <v>140</v>
      </c>
      <c r="G385" s="90" t="s">
        <v>2687</v>
      </c>
      <c r="I385">
        <v>36095</v>
      </c>
      <c r="J385" s="80" t="s">
        <v>2665</v>
      </c>
      <c r="K385" t="s">
        <v>767</v>
      </c>
      <c r="L385">
        <v>9001</v>
      </c>
      <c r="M385" t="s">
        <v>2432</v>
      </c>
      <c r="O385">
        <v>0.9</v>
      </c>
      <c r="P385" s="80" t="s">
        <v>2667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50</v>
      </c>
      <c r="AD385">
        <v>1</v>
      </c>
      <c r="AE385">
        <v>8000</v>
      </c>
      <c r="AF385">
        <v>990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2688</v>
      </c>
      <c r="E386">
        <v>141</v>
      </c>
      <c r="G386" s="90" t="s">
        <v>2689</v>
      </c>
      <c r="I386">
        <v>36220</v>
      </c>
      <c r="J386" s="80" t="s">
        <v>2665</v>
      </c>
      <c r="K386" t="s">
        <v>767</v>
      </c>
      <c r="L386">
        <v>9001</v>
      </c>
      <c r="M386">
        <v>10</v>
      </c>
      <c r="O386">
        <v>0.6</v>
      </c>
      <c r="P386" s="80" t="s">
        <v>2667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50</v>
      </c>
      <c r="AD386">
        <v>1</v>
      </c>
      <c r="AE386">
        <v>8000</v>
      </c>
      <c r="AF386">
        <v>1000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2690</v>
      </c>
      <c r="E387">
        <v>141</v>
      </c>
      <c r="G387" s="90" t="s">
        <v>2691</v>
      </c>
      <c r="I387">
        <v>36345</v>
      </c>
      <c r="J387" s="80" t="s">
        <v>2665</v>
      </c>
      <c r="K387" t="s">
        <v>767</v>
      </c>
      <c r="L387">
        <v>9006</v>
      </c>
      <c r="M387" t="s">
        <v>1740</v>
      </c>
      <c r="O387">
        <v>0.8</v>
      </c>
      <c r="P387" s="80" t="s">
        <v>2667</v>
      </c>
      <c r="Q387" t="s">
        <v>769</v>
      </c>
      <c r="R387">
        <v>9011</v>
      </c>
      <c r="S387" t="s">
        <v>2353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50</v>
      </c>
      <c r="AD387">
        <v>1</v>
      </c>
      <c r="AE387">
        <v>8000</v>
      </c>
      <c r="AF387">
        <v>1000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2692</v>
      </c>
      <c r="E388">
        <v>142</v>
      </c>
      <c r="G388" s="90" t="s">
        <v>2693</v>
      </c>
      <c r="I388">
        <v>36470</v>
      </c>
      <c r="J388" s="80" t="s">
        <v>2665</v>
      </c>
      <c r="K388" t="s">
        <v>767</v>
      </c>
      <c r="L388">
        <v>9001</v>
      </c>
      <c r="M388" t="s">
        <v>2083</v>
      </c>
      <c r="O388">
        <v>0.1</v>
      </c>
      <c r="P388" s="80" t="s">
        <v>2667</v>
      </c>
      <c r="Q388" t="s">
        <v>769</v>
      </c>
      <c r="R388">
        <v>9010</v>
      </c>
      <c r="S388" t="s">
        <v>2498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50</v>
      </c>
      <c r="AD388">
        <v>1</v>
      </c>
      <c r="AE388">
        <v>8000</v>
      </c>
      <c r="AF388">
        <v>1010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2694</v>
      </c>
      <c r="E389">
        <v>142</v>
      </c>
      <c r="G389" s="90" t="s">
        <v>2695</v>
      </c>
      <c r="I389">
        <v>36595</v>
      </c>
      <c r="J389" s="80" t="s">
        <v>2665</v>
      </c>
      <c r="K389" t="s">
        <v>767</v>
      </c>
      <c r="L389">
        <v>9002</v>
      </c>
      <c r="M389" t="s">
        <v>2483</v>
      </c>
      <c r="O389">
        <v>0.3</v>
      </c>
      <c r="P389" s="80" t="s">
        <v>2667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50</v>
      </c>
      <c r="AD389">
        <v>1</v>
      </c>
      <c r="AE389">
        <v>8000</v>
      </c>
      <c r="AF389">
        <v>1010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2696</v>
      </c>
      <c r="E390">
        <v>143</v>
      </c>
      <c r="G390" s="90" t="s">
        <v>2697</v>
      </c>
      <c r="I390">
        <v>36720</v>
      </c>
      <c r="J390" s="80" t="s">
        <v>2665</v>
      </c>
      <c r="K390" t="s">
        <v>767</v>
      </c>
      <c r="L390">
        <v>9001</v>
      </c>
      <c r="M390" t="s">
        <v>2698</v>
      </c>
      <c r="O390">
        <v>0.3</v>
      </c>
      <c r="P390" s="80" t="s">
        <v>2667</v>
      </c>
      <c r="Q390" t="s">
        <v>769</v>
      </c>
      <c r="R390">
        <v>9011</v>
      </c>
      <c r="S390" t="s">
        <v>2418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50</v>
      </c>
      <c r="AD390">
        <v>1</v>
      </c>
      <c r="AE390">
        <v>8000</v>
      </c>
      <c r="AF390">
        <v>1020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2699</v>
      </c>
      <c r="E391">
        <v>143</v>
      </c>
      <c r="G391" s="90" t="s">
        <v>2700</v>
      </c>
      <c r="I391">
        <v>36845</v>
      </c>
      <c r="J391" s="80" t="s">
        <v>2665</v>
      </c>
      <c r="K391" t="s">
        <v>767</v>
      </c>
      <c r="L391">
        <v>9002</v>
      </c>
      <c r="M391" t="s">
        <v>1823</v>
      </c>
      <c r="O391">
        <v>0.3</v>
      </c>
      <c r="P391" s="80" t="s">
        <v>2667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50</v>
      </c>
      <c r="AD391">
        <v>1</v>
      </c>
      <c r="AE391">
        <v>8000</v>
      </c>
      <c r="AF391">
        <v>1020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2701</v>
      </c>
      <c r="E392">
        <v>144</v>
      </c>
      <c r="G392" s="90" t="s">
        <v>2702</v>
      </c>
      <c r="I392">
        <v>36970</v>
      </c>
      <c r="J392" s="80" t="s">
        <v>2665</v>
      </c>
      <c r="K392" t="s">
        <v>767</v>
      </c>
      <c r="L392">
        <v>9005</v>
      </c>
      <c r="M392">
        <v>5</v>
      </c>
      <c r="O392">
        <v>0.1</v>
      </c>
      <c r="P392" s="80" t="s">
        <v>2667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50</v>
      </c>
      <c r="AD392">
        <v>1</v>
      </c>
      <c r="AE392">
        <v>8000</v>
      </c>
      <c r="AF392">
        <v>1030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2703</v>
      </c>
      <c r="E393">
        <v>144</v>
      </c>
      <c r="G393" s="90" t="s">
        <v>2704</v>
      </c>
      <c r="I393">
        <v>37095</v>
      </c>
      <c r="J393" s="80" t="s">
        <v>2665</v>
      </c>
      <c r="K393" t="s">
        <v>767</v>
      </c>
      <c r="L393">
        <v>9012</v>
      </c>
      <c r="M393">
        <v>7</v>
      </c>
      <c r="O393">
        <v>0.7</v>
      </c>
      <c r="P393" s="80" t="s">
        <v>2667</v>
      </c>
      <c r="Q393" t="s">
        <v>769</v>
      </c>
      <c r="R393">
        <v>9008</v>
      </c>
      <c r="S393" t="s">
        <v>2612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50</v>
      </c>
      <c r="AD393">
        <v>1</v>
      </c>
      <c r="AE393">
        <v>8000</v>
      </c>
      <c r="AF393">
        <v>1030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2705</v>
      </c>
      <c r="E394">
        <v>145</v>
      </c>
      <c r="G394" s="90" t="s">
        <v>2706</v>
      </c>
      <c r="I394">
        <v>37220</v>
      </c>
      <c r="J394" s="80" t="s">
        <v>2665</v>
      </c>
      <c r="K394" t="s">
        <v>767</v>
      </c>
      <c r="L394">
        <v>9012</v>
      </c>
      <c r="M394">
        <v>10</v>
      </c>
      <c r="O394">
        <v>0.6</v>
      </c>
      <c r="P394" s="80" t="s">
        <v>2667</v>
      </c>
      <c r="Q394" t="s">
        <v>769</v>
      </c>
      <c r="R394">
        <v>9012</v>
      </c>
      <c r="S394" t="s">
        <v>2707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50</v>
      </c>
      <c r="AD394">
        <v>1</v>
      </c>
      <c r="AE394">
        <v>8000</v>
      </c>
      <c r="AF394">
        <v>1040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2708</v>
      </c>
      <c r="E395">
        <v>145</v>
      </c>
      <c r="G395" s="90" t="s">
        <v>2709</v>
      </c>
      <c r="I395">
        <v>37345</v>
      </c>
      <c r="J395" s="80" t="s">
        <v>2665</v>
      </c>
      <c r="K395" t="s">
        <v>767</v>
      </c>
      <c r="L395">
        <v>9002</v>
      </c>
      <c r="M395" t="s">
        <v>1787</v>
      </c>
      <c r="O395">
        <v>0.3</v>
      </c>
      <c r="P395" s="80" t="s">
        <v>2667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50</v>
      </c>
      <c r="AD395">
        <v>1</v>
      </c>
      <c r="AE395">
        <v>8000</v>
      </c>
      <c r="AF395">
        <v>1040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2710</v>
      </c>
      <c r="E396">
        <v>146</v>
      </c>
      <c r="G396" s="90" t="s">
        <v>2711</v>
      </c>
      <c r="I396">
        <v>37470</v>
      </c>
      <c r="J396" s="80" t="s">
        <v>2665</v>
      </c>
      <c r="K396" t="s">
        <v>767</v>
      </c>
      <c r="L396">
        <v>9008</v>
      </c>
      <c r="M396" t="s">
        <v>1696</v>
      </c>
      <c r="O396">
        <v>1</v>
      </c>
      <c r="P396" s="80" t="s">
        <v>2667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50</v>
      </c>
      <c r="AD396">
        <v>1</v>
      </c>
      <c r="AE396">
        <v>8000</v>
      </c>
      <c r="AF396">
        <v>1040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2712</v>
      </c>
      <c r="E397">
        <v>146</v>
      </c>
      <c r="G397" s="90" t="s">
        <v>2713</v>
      </c>
      <c r="I397">
        <v>37595</v>
      </c>
      <c r="J397" s="80" t="s">
        <v>2665</v>
      </c>
      <c r="K397" t="s">
        <v>767</v>
      </c>
      <c r="L397">
        <v>9002</v>
      </c>
      <c r="M397" t="s">
        <v>2182</v>
      </c>
      <c r="O397">
        <v>0.6</v>
      </c>
      <c r="P397" s="80" t="s">
        <v>2667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50</v>
      </c>
      <c r="AD397">
        <v>1</v>
      </c>
      <c r="AE397">
        <v>8000</v>
      </c>
      <c r="AF397">
        <v>1050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2714</v>
      </c>
      <c r="E398">
        <v>147</v>
      </c>
      <c r="G398" s="90" t="s">
        <v>2715</v>
      </c>
      <c r="I398">
        <v>37720</v>
      </c>
      <c r="J398" s="80" t="s">
        <v>2665</v>
      </c>
      <c r="K398" t="s">
        <v>767</v>
      </c>
      <c r="L398">
        <v>9007</v>
      </c>
      <c r="M398">
        <v>12</v>
      </c>
      <c r="O398">
        <v>0.4</v>
      </c>
      <c r="P398" s="80" t="s">
        <v>2667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50</v>
      </c>
      <c r="AD398">
        <v>1</v>
      </c>
      <c r="AE398">
        <v>8000</v>
      </c>
      <c r="AF398">
        <v>1050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2716</v>
      </c>
      <c r="E399">
        <v>147</v>
      </c>
      <c r="G399" s="90" t="s">
        <v>2717</v>
      </c>
      <c r="I399">
        <v>37845</v>
      </c>
      <c r="J399" s="80" t="s">
        <v>2665</v>
      </c>
      <c r="K399" t="s">
        <v>767</v>
      </c>
      <c r="L399">
        <v>9005</v>
      </c>
      <c r="M399">
        <v>11</v>
      </c>
      <c r="O399">
        <v>0.9</v>
      </c>
      <c r="P399" s="80" t="s">
        <v>2667</v>
      </c>
      <c r="Q399" t="s">
        <v>769</v>
      </c>
      <c r="R399">
        <v>9012</v>
      </c>
      <c r="S399" t="s">
        <v>2629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50</v>
      </c>
      <c r="AD399">
        <v>1</v>
      </c>
      <c r="AE399">
        <v>8000</v>
      </c>
      <c r="AF399">
        <v>1060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2718</v>
      </c>
      <c r="E400">
        <v>148</v>
      </c>
      <c r="G400" s="90" t="s">
        <v>2719</v>
      </c>
      <c r="I400">
        <v>37970</v>
      </c>
      <c r="J400" s="80" t="s">
        <v>2665</v>
      </c>
      <c r="K400" t="s">
        <v>767</v>
      </c>
      <c r="L400">
        <v>9001</v>
      </c>
      <c r="M400">
        <v>5</v>
      </c>
      <c r="O400">
        <v>0.6</v>
      </c>
      <c r="P400" s="80" t="s">
        <v>2667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50</v>
      </c>
      <c r="AD400">
        <v>1</v>
      </c>
      <c r="AE400">
        <v>8000</v>
      </c>
      <c r="AF400">
        <v>1060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2720</v>
      </c>
      <c r="E401">
        <v>148</v>
      </c>
      <c r="G401" s="90" t="s">
        <v>2721</v>
      </c>
      <c r="I401">
        <v>38095</v>
      </c>
      <c r="J401" s="80" t="s">
        <v>2665</v>
      </c>
      <c r="K401" t="s">
        <v>767</v>
      </c>
      <c r="L401">
        <v>9012</v>
      </c>
      <c r="M401" t="s">
        <v>1958</v>
      </c>
      <c r="O401">
        <v>0.2</v>
      </c>
      <c r="P401" s="80" t="s">
        <v>2667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50</v>
      </c>
      <c r="AD401">
        <v>1</v>
      </c>
      <c r="AE401">
        <v>8000</v>
      </c>
      <c r="AF401">
        <v>1070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2722</v>
      </c>
      <c r="E402">
        <v>149</v>
      </c>
      <c r="G402" s="90" t="s">
        <v>2723</v>
      </c>
      <c r="I402">
        <v>38220</v>
      </c>
      <c r="J402" s="80" t="s">
        <v>2665</v>
      </c>
      <c r="K402" t="s">
        <v>767</v>
      </c>
      <c r="L402">
        <v>9008</v>
      </c>
      <c r="M402" t="s">
        <v>2002</v>
      </c>
      <c r="O402">
        <v>0.4</v>
      </c>
      <c r="P402" s="80" t="s">
        <v>2667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50</v>
      </c>
      <c r="AD402">
        <v>1</v>
      </c>
      <c r="AE402">
        <v>8000</v>
      </c>
      <c r="AF402">
        <v>1070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2724</v>
      </c>
      <c r="E403">
        <v>149</v>
      </c>
      <c r="G403" s="90" t="s">
        <v>2725</v>
      </c>
      <c r="I403">
        <v>38345</v>
      </c>
      <c r="J403" s="80" t="s">
        <v>2665</v>
      </c>
      <c r="K403" t="s">
        <v>767</v>
      </c>
      <c r="L403">
        <v>9001</v>
      </c>
      <c r="M403">
        <v>10</v>
      </c>
      <c r="O403">
        <v>0.7</v>
      </c>
      <c r="P403" s="80" t="s">
        <v>2667</v>
      </c>
      <c r="Q403" t="s">
        <v>769</v>
      </c>
      <c r="R403">
        <v>9007</v>
      </c>
      <c r="S403" t="s">
        <v>2656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50</v>
      </c>
      <c r="AD403">
        <v>1</v>
      </c>
      <c r="AE403">
        <v>8000</v>
      </c>
      <c r="AF403">
        <v>1080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2726</v>
      </c>
      <c r="E404">
        <v>150</v>
      </c>
      <c r="G404" s="90" t="s">
        <v>2727</v>
      </c>
      <c r="I404">
        <v>38470</v>
      </c>
      <c r="J404" s="80" t="s">
        <v>2665</v>
      </c>
      <c r="K404" t="s">
        <v>767</v>
      </c>
      <c r="L404">
        <v>9011</v>
      </c>
      <c r="M404" t="s">
        <v>1730</v>
      </c>
      <c r="O404">
        <v>0.3</v>
      </c>
      <c r="P404" s="80" t="s">
        <v>2667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50</v>
      </c>
      <c r="AD404">
        <v>1</v>
      </c>
      <c r="AE404">
        <v>8000</v>
      </c>
      <c r="AF404">
        <v>1080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2728</v>
      </c>
      <c r="E405">
        <v>150</v>
      </c>
      <c r="G405" s="90" t="s">
        <v>2729</v>
      </c>
      <c r="I405">
        <v>38595</v>
      </c>
      <c r="J405" s="80" t="s">
        <v>2665</v>
      </c>
      <c r="K405" t="s">
        <v>767</v>
      </c>
      <c r="L405">
        <v>9012</v>
      </c>
      <c r="M405">
        <v>3</v>
      </c>
      <c r="O405">
        <v>0.4</v>
      </c>
      <c r="P405" s="80" t="s">
        <v>2667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</v>
      </c>
      <c r="AD405">
        <v>1</v>
      </c>
      <c r="AE405">
        <v>8000</v>
      </c>
      <c r="AF405">
        <v>1090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2730</v>
      </c>
      <c r="E406">
        <v>150</v>
      </c>
      <c r="G406" s="90" t="s">
        <v>2731</v>
      </c>
      <c r="I406">
        <v>38720</v>
      </c>
      <c r="J406" s="80" t="s">
        <v>2665</v>
      </c>
      <c r="K406" t="s">
        <v>767</v>
      </c>
      <c r="L406">
        <v>9001</v>
      </c>
      <c r="M406" t="s">
        <v>2542</v>
      </c>
      <c r="O406">
        <v>0.8</v>
      </c>
      <c r="P406" s="80" t="s">
        <v>2667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50</v>
      </c>
      <c r="AD406">
        <v>1</v>
      </c>
      <c r="AE406">
        <v>8000</v>
      </c>
      <c r="AF406">
        <v>1090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2732</v>
      </c>
      <c r="E407">
        <v>150</v>
      </c>
      <c r="G407" s="90" t="s">
        <v>2733</v>
      </c>
      <c r="I407">
        <v>38845</v>
      </c>
      <c r="J407" s="80" t="s">
        <v>2665</v>
      </c>
      <c r="K407" t="s">
        <v>767</v>
      </c>
      <c r="L407">
        <v>9011</v>
      </c>
      <c r="M407">
        <v>6</v>
      </c>
      <c r="O407">
        <v>0.7</v>
      </c>
      <c r="P407" s="80" t="s">
        <v>2667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50</v>
      </c>
      <c r="AD407">
        <v>1</v>
      </c>
      <c r="AE407">
        <v>8000</v>
      </c>
      <c r="AF407">
        <v>1100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2734</v>
      </c>
      <c r="E408">
        <v>150</v>
      </c>
      <c r="G408" s="90" t="s">
        <v>2735</v>
      </c>
      <c r="I408">
        <v>38970</v>
      </c>
      <c r="J408" s="80" t="s">
        <v>2665</v>
      </c>
      <c r="K408" t="s">
        <v>767</v>
      </c>
      <c r="L408">
        <v>9008</v>
      </c>
      <c r="M408" t="s">
        <v>2620</v>
      </c>
      <c r="O408">
        <v>0.5</v>
      </c>
      <c r="P408" s="80" t="s">
        <v>2667</v>
      </c>
      <c r="Q408" t="s">
        <v>769</v>
      </c>
      <c r="R408">
        <v>9010</v>
      </c>
      <c r="S408" t="s">
        <v>2736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50</v>
      </c>
      <c r="AD408">
        <v>1</v>
      </c>
      <c r="AE408">
        <v>8000</v>
      </c>
      <c r="AF408">
        <v>1100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2737</v>
      </c>
      <c r="E409">
        <v>150</v>
      </c>
      <c r="G409" s="90" t="s">
        <v>2738</v>
      </c>
      <c r="I409">
        <v>39095</v>
      </c>
      <c r="J409" s="80" t="s">
        <v>2665</v>
      </c>
      <c r="K409" t="s">
        <v>767</v>
      </c>
      <c r="L409">
        <v>9008</v>
      </c>
      <c r="M409" t="s">
        <v>1852</v>
      </c>
      <c r="O409">
        <v>0.5</v>
      </c>
      <c r="P409" s="80" t="s">
        <v>2667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50</v>
      </c>
      <c r="AD409">
        <v>1</v>
      </c>
      <c r="AE409">
        <v>8000</v>
      </c>
      <c r="AF409">
        <v>1110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2739</v>
      </c>
      <c r="E410">
        <v>150</v>
      </c>
      <c r="G410" s="90" t="s">
        <v>2740</v>
      </c>
      <c r="I410">
        <v>39220</v>
      </c>
      <c r="J410" s="80" t="s">
        <v>2665</v>
      </c>
      <c r="K410" t="s">
        <v>767</v>
      </c>
      <c r="L410">
        <v>9012</v>
      </c>
      <c r="M410" t="s">
        <v>1680</v>
      </c>
      <c r="O410">
        <v>0.9</v>
      </c>
      <c r="P410" s="80" t="s">
        <v>2667</v>
      </c>
      <c r="Q410" t="s">
        <v>769</v>
      </c>
      <c r="R410">
        <v>9010</v>
      </c>
      <c r="S410" t="s">
        <v>2741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50</v>
      </c>
      <c r="AD410">
        <v>1</v>
      </c>
      <c r="AE410">
        <v>8000</v>
      </c>
      <c r="AF410">
        <v>1110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2742</v>
      </c>
      <c r="E411">
        <v>150</v>
      </c>
      <c r="G411" s="90" t="s">
        <v>2743</v>
      </c>
      <c r="I411">
        <v>39345</v>
      </c>
      <c r="J411" s="80" t="s">
        <v>2665</v>
      </c>
      <c r="K411" t="s">
        <v>767</v>
      </c>
      <c r="L411">
        <v>9006</v>
      </c>
      <c r="M411">
        <v>9</v>
      </c>
      <c r="O411">
        <v>0.2</v>
      </c>
      <c r="P411" s="80" t="s">
        <v>2667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50</v>
      </c>
      <c r="AD411">
        <v>1</v>
      </c>
      <c r="AE411">
        <v>8000</v>
      </c>
      <c r="AF411">
        <v>1120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2744</v>
      </c>
      <c r="E412">
        <v>150</v>
      </c>
      <c r="G412" s="90" t="s">
        <v>2745</v>
      </c>
      <c r="I412">
        <v>39470</v>
      </c>
      <c r="J412" s="80" t="s">
        <v>2665</v>
      </c>
      <c r="K412" t="s">
        <v>767</v>
      </c>
      <c r="L412">
        <v>9005</v>
      </c>
      <c r="M412" t="s">
        <v>2231</v>
      </c>
      <c r="O412">
        <v>0.8</v>
      </c>
      <c r="P412" s="80" t="s">
        <v>2667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50</v>
      </c>
      <c r="AD412">
        <v>1</v>
      </c>
      <c r="AE412">
        <v>8000</v>
      </c>
      <c r="AF412">
        <v>1120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2746</v>
      </c>
      <c r="E413">
        <v>150</v>
      </c>
      <c r="G413" s="90" t="s">
        <v>2747</v>
      </c>
      <c r="I413">
        <v>39595</v>
      </c>
      <c r="J413" s="80" t="s">
        <v>2665</v>
      </c>
      <c r="K413" t="s">
        <v>767</v>
      </c>
      <c r="L413">
        <v>9012</v>
      </c>
      <c r="M413" t="s">
        <v>2055</v>
      </c>
      <c r="O413">
        <v>0.3</v>
      </c>
      <c r="P413" s="80" t="s">
        <v>2667</v>
      </c>
      <c r="Q413" t="s">
        <v>769</v>
      </c>
      <c r="R413">
        <v>9007</v>
      </c>
      <c r="S413" t="s">
        <v>2571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50</v>
      </c>
      <c r="AD413">
        <v>1</v>
      </c>
      <c r="AE413">
        <v>8000</v>
      </c>
      <c r="AF413">
        <v>1130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2748</v>
      </c>
      <c r="E414">
        <v>150</v>
      </c>
      <c r="G414" s="90" t="s">
        <v>2749</v>
      </c>
      <c r="I414">
        <v>39720</v>
      </c>
      <c r="J414" s="80" t="s">
        <v>2665</v>
      </c>
      <c r="K414" t="s">
        <v>767</v>
      </c>
      <c r="L414">
        <v>9001</v>
      </c>
      <c r="M414">
        <v>7</v>
      </c>
      <c r="O414">
        <v>0.9</v>
      </c>
      <c r="P414" s="80" t="s">
        <v>2667</v>
      </c>
      <c r="Q414" t="s">
        <v>769</v>
      </c>
      <c r="R414">
        <v>9004</v>
      </c>
      <c r="S414" t="s">
        <v>2750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50</v>
      </c>
      <c r="AD414">
        <v>1</v>
      </c>
      <c r="AE414">
        <v>8000</v>
      </c>
      <c r="AF414">
        <v>1130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2751</v>
      </c>
      <c r="E415">
        <v>150</v>
      </c>
      <c r="G415" s="90" t="s">
        <v>2752</v>
      </c>
      <c r="I415">
        <v>39845</v>
      </c>
      <c r="J415" s="80" t="s">
        <v>2665</v>
      </c>
      <c r="K415" t="s">
        <v>767</v>
      </c>
      <c r="L415">
        <v>9005</v>
      </c>
      <c r="M415" t="s">
        <v>1955</v>
      </c>
      <c r="O415">
        <v>0.3</v>
      </c>
      <c r="P415" s="80" t="s">
        <v>2667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50</v>
      </c>
      <c r="AD415">
        <v>1</v>
      </c>
      <c r="AE415">
        <v>8000</v>
      </c>
      <c r="AF415">
        <v>1130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2753</v>
      </c>
      <c r="E416">
        <v>150</v>
      </c>
      <c r="G416" s="90" t="s">
        <v>2754</v>
      </c>
      <c r="I416">
        <v>39970</v>
      </c>
      <c r="J416" s="80" t="s">
        <v>2755</v>
      </c>
      <c r="K416" t="s">
        <v>767</v>
      </c>
      <c r="L416">
        <v>9002</v>
      </c>
      <c r="M416" t="s">
        <v>1696</v>
      </c>
      <c r="O416">
        <v>0.9</v>
      </c>
      <c r="P416" s="80" t="s">
        <v>2756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50</v>
      </c>
      <c r="AD416">
        <v>1</v>
      </c>
      <c r="AE416">
        <v>8000</v>
      </c>
      <c r="AF416">
        <v>1140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2757</v>
      </c>
      <c r="E417">
        <v>150</v>
      </c>
      <c r="G417" s="90" t="s">
        <v>2758</v>
      </c>
      <c r="I417">
        <v>40095</v>
      </c>
      <c r="J417" s="80" t="s">
        <v>2755</v>
      </c>
      <c r="K417" t="s">
        <v>767</v>
      </c>
      <c r="L417">
        <v>9008</v>
      </c>
      <c r="M417" t="s">
        <v>2593</v>
      </c>
      <c r="O417">
        <v>0.4</v>
      </c>
      <c r="P417" s="80" t="s">
        <v>2756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50</v>
      </c>
      <c r="AD417">
        <v>1</v>
      </c>
      <c r="AE417">
        <v>8000</v>
      </c>
      <c r="AF417">
        <v>1140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2759</v>
      </c>
      <c r="E418">
        <v>150</v>
      </c>
      <c r="G418" s="90" t="s">
        <v>2760</v>
      </c>
      <c r="I418">
        <v>40220</v>
      </c>
      <c r="J418" s="80" t="s">
        <v>2755</v>
      </c>
      <c r="K418" t="s">
        <v>767</v>
      </c>
      <c r="L418">
        <v>9007</v>
      </c>
      <c r="M418" t="s">
        <v>2424</v>
      </c>
      <c r="O418">
        <v>0.9</v>
      </c>
      <c r="P418" s="80" t="s">
        <v>2756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50</v>
      </c>
      <c r="AD418">
        <v>1</v>
      </c>
      <c r="AE418">
        <v>8000</v>
      </c>
      <c r="AF418">
        <v>1150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2761</v>
      </c>
      <c r="E419">
        <v>150</v>
      </c>
      <c r="G419" s="90" t="s">
        <v>2762</v>
      </c>
      <c r="I419">
        <v>40345</v>
      </c>
      <c r="J419" s="80" t="s">
        <v>2755</v>
      </c>
      <c r="K419" t="s">
        <v>767</v>
      </c>
      <c r="L419">
        <v>9011</v>
      </c>
      <c r="M419" t="s">
        <v>1925</v>
      </c>
      <c r="O419">
        <v>0.1</v>
      </c>
      <c r="P419" s="80" t="s">
        <v>2756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50</v>
      </c>
      <c r="AD419">
        <v>1</v>
      </c>
      <c r="AE419">
        <v>8000</v>
      </c>
      <c r="AF419">
        <v>1150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2763</v>
      </c>
      <c r="E420">
        <v>150</v>
      </c>
      <c r="G420" s="90" t="s">
        <v>2764</v>
      </c>
      <c r="I420">
        <v>40470</v>
      </c>
      <c r="J420" s="80" t="s">
        <v>2755</v>
      </c>
      <c r="K420" t="s">
        <v>767</v>
      </c>
      <c r="L420">
        <v>9006</v>
      </c>
      <c r="M420">
        <v>4</v>
      </c>
      <c r="O420">
        <v>0.3</v>
      </c>
      <c r="P420" s="80" t="s">
        <v>2756</v>
      </c>
      <c r="Q420" t="s">
        <v>769</v>
      </c>
      <c r="R420">
        <v>9004</v>
      </c>
      <c r="S420" t="s">
        <v>2765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50</v>
      </c>
      <c r="AD420">
        <v>1</v>
      </c>
      <c r="AE420">
        <v>8000</v>
      </c>
      <c r="AF420">
        <v>1160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2766</v>
      </c>
      <c r="E421">
        <v>150</v>
      </c>
      <c r="G421" s="90" t="s">
        <v>2767</v>
      </c>
      <c r="I421">
        <v>40595</v>
      </c>
      <c r="J421" s="80" t="s">
        <v>2755</v>
      </c>
      <c r="K421" t="s">
        <v>767</v>
      </c>
      <c r="L421">
        <v>9008</v>
      </c>
      <c r="M421">
        <v>11</v>
      </c>
      <c r="O421">
        <v>0.1</v>
      </c>
      <c r="P421" s="80" t="s">
        <v>2756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50</v>
      </c>
      <c r="AD421">
        <v>1</v>
      </c>
      <c r="AE421">
        <v>8000</v>
      </c>
      <c r="AF421">
        <v>1160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2768</v>
      </c>
      <c r="E422">
        <v>150</v>
      </c>
      <c r="G422" s="90" t="s">
        <v>2769</v>
      </c>
      <c r="I422">
        <v>40720</v>
      </c>
      <c r="J422" s="80" t="s">
        <v>2755</v>
      </c>
      <c r="K422" t="s">
        <v>767</v>
      </c>
      <c r="L422">
        <v>9007</v>
      </c>
      <c r="M422">
        <v>1</v>
      </c>
      <c r="O422">
        <v>0.2</v>
      </c>
      <c r="P422" s="80" t="s">
        <v>2756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50</v>
      </c>
      <c r="AD422">
        <v>1</v>
      </c>
      <c r="AE422">
        <v>8000</v>
      </c>
      <c r="AF422">
        <v>1170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2770</v>
      </c>
      <c r="E423">
        <v>150</v>
      </c>
      <c r="G423" s="90" t="s">
        <v>2771</v>
      </c>
      <c r="I423">
        <v>40845</v>
      </c>
      <c r="J423" s="80" t="s">
        <v>2755</v>
      </c>
      <c r="K423" t="s">
        <v>767</v>
      </c>
      <c r="L423">
        <v>9002</v>
      </c>
      <c r="M423" t="s">
        <v>1787</v>
      </c>
      <c r="O423">
        <v>0.6</v>
      </c>
      <c r="P423" s="80" t="s">
        <v>2756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50</v>
      </c>
      <c r="AD423">
        <v>1</v>
      </c>
      <c r="AE423">
        <v>8000</v>
      </c>
      <c r="AF423">
        <v>1170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2772</v>
      </c>
      <c r="E424">
        <v>150</v>
      </c>
      <c r="G424" s="90" t="s">
        <v>2773</v>
      </c>
      <c r="I424">
        <v>40970</v>
      </c>
      <c r="J424" s="80" t="s">
        <v>2755</v>
      </c>
      <c r="K424" t="s">
        <v>767</v>
      </c>
      <c r="L424">
        <v>9001</v>
      </c>
      <c r="M424" t="s">
        <v>2285</v>
      </c>
      <c r="O424">
        <v>0.8</v>
      </c>
      <c r="P424" s="80" t="s">
        <v>2756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50</v>
      </c>
      <c r="AD424">
        <v>1</v>
      </c>
      <c r="AE424">
        <v>8000</v>
      </c>
      <c r="AF424">
        <v>1180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2774</v>
      </c>
      <c r="E425">
        <v>150</v>
      </c>
      <c r="G425" s="90" t="s">
        <v>2775</v>
      </c>
      <c r="I425">
        <v>41095</v>
      </c>
      <c r="J425" s="80" t="s">
        <v>2755</v>
      </c>
      <c r="K425" t="s">
        <v>767</v>
      </c>
      <c r="L425">
        <v>9006</v>
      </c>
      <c r="M425" t="s">
        <v>2279</v>
      </c>
      <c r="O425">
        <v>0.5</v>
      </c>
      <c r="P425" s="80" t="s">
        <v>2756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50</v>
      </c>
      <c r="AD425">
        <v>1</v>
      </c>
      <c r="AE425">
        <v>8000</v>
      </c>
      <c r="AF425">
        <v>1180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2776</v>
      </c>
      <c r="E426">
        <v>150</v>
      </c>
      <c r="G426" s="90" t="s">
        <v>2777</v>
      </c>
      <c r="I426">
        <v>41220</v>
      </c>
      <c r="J426" s="80" t="s">
        <v>2755</v>
      </c>
      <c r="K426" t="s">
        <v>767</v>
      </c>
      <c r="L426">
        <v>9001</v>
      </c>
      <c r="M426" t="s">
        <v>2778</v>
      </c>
      <c r="O426">
        <v>0.8</v>
      </c>
      <c r="P426" s="80" t="s">
        <v>2756</v>
      </c>
      <c r="Q426" t="s">
        <v>769</v>
      </c>
      <c r="R426">
        <v>9004</v>
      </c>
      <c r="S426" t="s">
        <v>2750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50</v>
      </c>
      <c r="AD426">
        <v>1</v>
      </c>
      <c r="AE426">
        <v>8000</v>
      </c>
      <c r="AF426">
        <v>1190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2779</v>
      </c>
      <c r="E427">
        <v>150</v>
      </c>
      <c r="G427" s="90" t="s">
        <v>2780</v>
      </c>
      <c r="I427">
        <v>41345</v>
      </c>
      <c r="J427" s="80" t="s">
        <v>2755</v>
      </c>
      <c r="K427" t="s">
        <v>767</v>
      </c>
      <c r="L427">
        <v>9008</v>
      </c>
      <c r="M427" t="s">
        <v>1700</v>
      </c>
      <c r="O427">
        <v>0.6</v>
      </c>
      <c r="P427" s="80" t="s">
        <v>2756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50</v>
      </c>
      <c r="AD427">
        <v>1</v>
      </c>
      <c r="AE427">
        <v>8000</v>
      </c>
      <c r="AF427">
        <v>1190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2781</v>
      </c>
      <c r="E428">
        <v>150</v>
      </c>
      <c r="G428" s="90" t="s">
        <v>2782</v>
      </c>
      <c r="I428">
        <v>41470</v>
      </c>
      <c r="J428" s="80" t="s">
        <v>2755</v>
      </c>
      <c r="K428" t="s">
        <v>767</v>
      </c>
      <c r="L428">
        <v>9011</v>
      </c>
      <c r="M428" t="s">
        <v>2783</v>
      </c>
      <c r="O428">
        <v>0.1</v>
      </c>
      <c r="P428" s="80" t="s">
        <v>2756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50</v>
      </c>
      <c r="AD428">
        <v>1</v>
      </c>
      <c r="AE428">
        <v>8000</v>
      </c>
      <c r="AF428">
        <v>1200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2784</v>
      </c>
      <c r="E429">
        <v>150</v>
      </c>
      <c r="G429" s="90" t="s">
        <v>2785</v>
      </c>
      <c r="I429">
        <v>41595</v>
      </c>
      <c r="J429" s="80" t="s">
        <v>2755</v>
      </c>
      <c r="K429" t="s">
        <v>767</v>
      </c>
      <c r="L429">
        <v>9011</v>
      </c>
      <c r="M429">
        <v>3</v>
      </c>
      <c r="O429">
        <v>0.7</v>
      </c>
      <c r="P429" s="80" t="s">
        <v>2756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50</v>
      </c>
      <c r="AD429">
        <v>1</v>
      </c>
      <c r="AE429">
        <v>8000</v>
      </c>
      <c r="AF429">
        <v>1200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2786</v>
      </c>
      <c r="E430">
        <v>150</v>
      </c>
      <c r="G430" s="90" t="s">
        <v>2787</v>
      </c>
      <c r="I430">
        <v>41720</v>
      </c>
      <c r="J430" s="80" t="s">
        <v>2755</v>
      </c>
      <c r="K430" t="s">
        <v>767</v>
      </c>
      <c r="L430">
        <v>9007</v>
      </c>
      <c r="M430" t="s">
        <v>2612</v>
      </c>
      <c r="O430">
        <v>0.8</v>
      </c>
      <c r="P430" s="80" t="s">
        <v>2756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50</v>
      </c>
      <c r="AD430">
        <v>1</v>
      </c>
      <c r="AE430">
        <v>8000</v>
      </c>
      <c r="AF430">
        <v>1210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2788</v>
      </c>
      <c r="E431">
        <v>150</v>
      </c>
      <c r="G431" s="90" t="s">
        <v>2789</v>
      </c>
      <c r="I431">
        <v>41845</v>
      </c>
      <c r="J431" s="80" t="s">
        <v>2755</v>
      </c>
      <c r="K431" t="s">
        <v>767</v>
      </c>
      <c r="L431">
        <v>9011</v>
      </c>
      <c r="M431" t="s">
        <v>2360</v>
      </c>
      <c r="O431">
        <v>0.7</v>
      </c>
      <c r="P431" s="80" t="s">
        <v>2756</v>
      </c>
      <c r="Q431" t="s">
        <v>769</v>
      </c>
      <c r="R431">
        <v>9008</v>
      </c>
      <c r="S431" t="s">
        <v>2647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50</v>
      </c>
      <c r="AD431">
        <v>1</v>
      </c>
      <c r="AE431">
        <v>8000</v>
      </c>
      <c r="AF431">
        <v>1210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2790</v>
      </c>
      <c r="E432">
        <v>150</v>
      </c>
      <c r="G432" s="90" t="s">
        <v>2791</v>
      </c>
      <c r="I432">
        <v>41970</v>
      </c>
      <c r="J432" s="80" t="s">
        <v>2755</v>
      </c>
      <c r="K432" t="s">
        <v>767</v>
      </c>
      <c r="L432">
        <v>9007</v>
      </c>
      <c r="M432" t="s">
        <v>2128</v>
      </c>
      <c r="O432">
        <v>0.1</v>
      </c>
      <c r="P432" s="80" t="s">
        <v>2756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50</v>
      </c>
      <c r="AD432">
        <v>1</v>
      </c>
      <c r="AE432">
        <v>8000</v>
      </c>
      <c r="AF432">
        <v>1220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2792</v>
      </c>
      <c r="E433">
        <v>150</v>
      </c>
      <c r="G433" s="90" t="s">
        <v>2793</v>
      </c>
      <c r="I433">
        <v>42095</v>
      </c>
      <c r="J433" s="80" t="s">
        <v>2755</v>
      </c>
      <c r="K433" t="s">
        <v>767</v>
      </c>
      <c r="L433">
        <v>9011</v>
      </c>
      <c r="M433" t="s">
        <v>2111</v>
      </c>
      <c r="O433">
        <v>0.3</v>
      </c>
      <c r="P433" s="80" t="s">
        <v>2756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50</v>
      </c>
      <c r="AD433">
        <v>1</v>
      </c>
      <c r="AE433">
        <v>8000</v>
      </c>
      <c r="AF433">
        <v>1220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2794</v>
      </c>
      <c r="E434">
        <v>150</v>
      </c>
      <c r="G434" s="90" t="s">
        <v>2795</v>
      </c>
      <c r="I434">
        <v>42220</v>
      </c>
      <c r="J434" s="80" t="s">
        <v>2755</v>
      </c>
      <c r="K434" t="s">
        <v>767</v>
      </c>
      <c r="L434">
        <v>9005</v>
      </c>
      <c r="M434" t="s">
        <v>2736</v>
      </c>
      <c r="O434">
        <v>0.6</v>
      </c>
      <c r="P434" s="80" t="s">
        <v>2756</v>
      </c>
      <c r="Q434" t="s">
        <v>769</v>
      </c>
      <c r="R434">
        <v>9011</v>
      </c>
      <c r="S434" t="s">
        <v>2387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50</v>
      </c>
      <c r="AD434">
        <v>1</v>
      </c>
      <c r="AE434">
        <v>8000</v>
      </c>
      <c r="AF434">
        <v>1230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2796</v>
      </c>
      <c r="E435">
        <v>150</v>
      </c>
      <c r="G435" s="90" t="s">
        <v>2797</v>
      </c>
      <c r="I435">
        <v>42345</v>
      </c>
      <c r="J435" s="80" t="s">
        <v>2755</v>
      </c>
      <c r="K435" t="s">
        <v>767</v>
      </c>
      <c r="L435">
        <v>9002</v>
      </c>
      <c r="M435">
        <v>5</v>
      </c>
      <c r="O435">
        <v>1</v>
      </c>
      <c r="P435" s="80" t="s">
        <v>2756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</v>
      </c>
      <c r="AD435">
        <v>1</v>
      </c>
      <c r="AE435">
        <v>8000</v>
      </c>
      <c r="AF435">
        <v>1230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2798</v>
      </c>
      <c r="E436">
        <v>150</v>
      </c>
      <c r="G436" s="90" t="s">
        <v>2799</v>
      </c>
      <c r="I436">
        <v>42470</v>
      </c>
      <c r="J436" s="80" t="s">
        <v>2755</v>
      </c>
      <c r="K436" t="s">
        <v>767</v>
      </c>
      <c r="L436">
        <v>9005</v>
      </c>
      <c r="M436" t="s">
        <v>1855</v>
      </c>
      <c r="O436">
        <v>0.9</v>
      </c>
      <c r="P436" s="80" t="s">
        <v>2756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50</v>
      </c>
      <c r="AD436">
        <v>1</v>
      </c>
      <c r="AE436">
        <v>8000</v>
      </c>
      <c r="AF436">
        <v>1240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2800</v>
      </c>
      <c r="E437">
        <v>150</v>
      </c>
      <c r="G437" s="90" t="s">
        <v>2801</v>
      </c>
      <c r="I437">
        <v>42595</v>
      </c>
      <c r="J437" s="80" t="s">
        <v>2755</v>
      </c>
      <c r="K437" t="s">
        <v>767</v>
      </c>
      <c r="L437">
        <v>9006</v>
      </c>
      <c r="M437" t="s">
        <v>2802</v>
      </c>
      <c r="O437">
        <v>0.4</v>
      </c>
      <c r="P437" s="80" t="s">
        <v>2756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50</v>
      </c>
      <c r="AD437">
        <v>1</v>
      </c>
      <c r="AE437">
        <v>8000</v>
      </c>
      <c r="AF437">
        <v>1240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2803</v>
      </c>
      <c r="E438">
        <v>150</v>
      </c>
      <c r="G438" s="90" t="s">
        <v>2804</v>
      </c>
      <c r="I438">
        <v>42720</v>
      </c>
      <c r="J438" s="80" t="s">
        <v>2755</v>
      </c>
      <c r="K438" t="s">
        <v>767</v>
      </c>
      <c r="L438">
        <v>9001</v>
      </c>
      <c r="M438" t="s">
        <v>1759</v>
      </c>
      <c r="O438">
        <v>0.1</v>
      </c>
      <c r="P438" s="80" t="s">
        <v>2756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50</v>
      </c>
      <c r="AD438">
        <v>1</v>
      </c>
      <c r="AE438">
        <v>8000</v>
      </c>
      <c r="AF438">
        <v>1250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2805</v>
      </c>
      <c r="E439">
        <v>150</v>
      </c>
      <c r="G439" s="90" t="s">
        <v>2806</v>
      </c>
      <c r="I439">
        <v>42845</v>
      </c>
      <c r="J439" s="80" t="s">
        <v>2755</v>
      </c>
      <c r="K439" t="s">
        <v>767</v>
      </c>
      <c r="L439">
        <v>9007</v>
      </c>
      <c r="M439" t="s">
        <v>2438</v>
      </c>
      <c r="O439">
        <v>0.6</v>
      </c>
      <c r="P439" s="80" t="s">
        <v>2756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50</v>
      </c>
      <c r="AD439">
        <v>1</v>
      </c>
      <c r="AE439">
        <v>8000</v>
      </c>
      <c r="AF439">
        <v>1250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2807</v>
      </c>
      <c r="E440">
        <v>150</v>
      </c>
      <c r="G440" s="90" t="s">
        <v>2808</v>
      </c>
      <c r="I440">
        <v>42970</v>
      </c>
      <c r="J440" s="80" t="s">
        <v>2755</v>
      </c>
      <c r="K440" t="s">
        <v>767</v>
      </c>
      <c r="L440">
        <v>9001</v>
      </c>
      <c r="M440" t="s">
        <v>2809</v>
      </c>
      <c r="O440">
        <v>0.9</v>
      </c>
      <c r="P440" s="80" t="s">
        <v>2756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50</v>
      </c>
      <c r="AD440">
        <v>1</v>
      </c>
      <c r="AE440">
        <v>8000</v>
      </c>
      <c r="AF440">
        <v>1260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2810</v>
      </c>
      <c r="E441">
        <v>150</v>
      </c>
      <c r="G441" s="90" t="s">
        <v>2811</v>
      </c>
      <c r="I441">
        <v>43095</v>
      </c>
      <c r="J441" s="80" t="s">
        <v>2755</v>
      </c>
      <c r="K441" t="s">
        <v>767</v>
      </c>
      <c r="L441">
        <v>9002</v>
      </c>
      <c r="M441" t="s">
        <v>1677</v>
      </c>
      <c r="O441">
        <v>0.9</v>
      </c>
      <c r="P441" s="80" t="s">
        <v>2756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50</v>
      </c>
      <c r="AD441">
        <v>1</v>
      </c>
      <c r="AE441">
        <v>8000</v>
      </c>
      <c r="AF441">
        <v>1260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2812</v>
      </c>
      <c r="E442">
        <v>150</v>
      </c>
      <c r="G442" s="90" t="s">
        <v>2813</v>
      </c>
      <c r="I442">
        <v>43220</v>
      </c>
      <c r="J442" s="80" t="s">
        <v>2755</v>
      </c>
      <c r="K442" t="s">
        <v>767</v>
      </c>
      <c r="L442">
        <v>9006</v>
      </c>
      <c r="M442" t="s">
        <v>1833</v>
      </c>
      <c r="O442">
        <v>0.5</v>
      </c>
      <c r="P442" s="80" t="s">
        <v>2756</v>
      </c>
      <c r="Q442" t="s">
        <v>769</v>
      </c>
      <c r="R442">
        <v>9010</v>
      </c>
      <c r="S442" t="s">
        <v>2814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50</v>
      </c>
      <c r="AD442">
        <v>1</v>
      </c>
      <c r="AE442">
        <v>8000</v>
      </c>
      <c r="AF442">
        <v>1270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2815</v>
      </c>
      <c r="E443">
        <v>150</v>
      </c>
      <c r="G443" s="90" t="s">
        <v>2816</v>
      </c>
      <c r="I443">
        <v>43345</v>
      </c>
      <c r="J443" s="80" t="s">
        <v>2755</v>
      </c>
      <c r="K443" t="s">
        <v>767</v>
      </c>
      <c r="L443">
        <v>9012</v>
      </c>
      <c r="M443" t="s">
        <v>2354</v>
      </c>
      <c r="O443">
        <v>0.4</v>
      </c>
      <c r="P443" s="80" t="s">
        <v>2756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50</v>
      </c>
      <c r="AD443">
        <v>1</v>
      </c>
      <c r="AE443">
        <v>8000</v>
      </c>
      <c r="AF443">
        <v>1270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2817</v>
      </c>
      <c r="E444">
        <v>150</v>
      </c>
      <c r="G444" s="90" t="s">
        <v>2818</v>
      </c>
      <c r="I444">
        <v>43470</v>
      </c>
      <c r="J444" s="80" t="s">
        <v>2755</v>
      </c>
      <c r="K444" t="s">
        <v>767</v>
      </c>
      <c r="L444">
        <v>9008</v>
      </c>
      <c r="M444">
        <v>4</v>
      </c>
      <c r="O444">
        <v>0.4</v>
      </c>
      <c r="P444" s="80" t="s">
        <v>2756</v>
      </c>
      <c r="Q444" t="s">
        <v>769</v>
      </c>
      <c r="R444">
        <v>9007</v>
      </c>
      <c r="S444" t="s">
        <v>2819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50</v>
      </c>
      <c r="AD444">
        <v>1</v>
      </c>
      <c r="AE444">
        <v>8000</v>
      </c>
      <c r="AF444">
        <v>1270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2820</v>
      </c>
      <c r="E445">
        <v>150</v>
      </c>
      <c r="G445" s="90" t="s">
        <v>2821</v>
      </c>
      <c r="I445">
        <v>43595</v>
      </c>
      <c r="J445" s="80" t="s">
        <v>2755</v>
      </c>
      <c r="K445" t="s">
        <v>767</v>
      </c>
      <c r="L445">
        <v>9007</v>
      </c>
      <c r="M445" t="s">
        <v>1897</v>
      </c>
      <c r="O445">
        <v>0.9</v>
      </c>
      <c r="P445" s="80" t="s">
        <v>2756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50</v>
      </c>
      <c r="AD445">
        <v>1</v>
      </c>
      <c r="AE445">
        <v>8000</v>
      </c>
      <c r="AF445">
        <v>1280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2822</v>
      </c>
      <c r="E446">
        <v>150</v>
      </c>
      <c r="G446" s="90" t="s">
        <v>2823</v>
      </c>
      <c r="I446">
        <v>43720</v>
      </c>
      <c r="J446" s="80" t="s">
        <v>2755</v>
      </c>
      <c r="K446" t="s">
        <v>767</v>
      </c>
      <c r="L446">
        <v>9005</v>
      </c>
      <c r="M446" t="s">
        <v>2824</v>
      </c>
      <c r="O446">
        <v>0.5</v>
      </c>
      <c r="P446" s="80" t="s">
        <v>2756</v>
      </c>
      <c r="Q446" t="s">
        <v>769</v>
      </c>
      <c r="R446">
        <v>9012</v>
      </c>
      <c r="S446" t="s">
        <v>2825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50</v>
      </c>
      <c r="AD446">
        <v>1</v>
      </c>
      <c r="AE446">
        <v>8000</v>
      </c>
      <c r="AF446">
        <v>1280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2826</v>
      </c>
      <c r="E447">
        <v>150</v>
      </c>
      <c r="G447" s="90" t="s">
        <v>2827</v>
      </c>
      <c r="I447">
        <v>43845</v>
      </c>
      <c r="J447" s="80" t="s">
        <v>2755</v>
      </c>
      <c r="K447" t="s">
        <v>767</v>
      </c>
      <c r="L447">
        <v>9006</v>
      </c>
      <c r="M447" t="s">
        <v>2231</v>
      </c>
      <c r="O447">
        <v>0.4</v>
      </c>
      <c r="P447" s="80" t="s">
        <v>2756</v>
      </c>
      <c r="Q447" t="s">
        <v>769</v>
      </c>
      <c r="R447">
        <v>9010</v>
      </c>
      <c r="S447" t="s">
        <v>2359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50</v>
      </c>
      <c r="AD447">
        <v>1</v>
      </c>
      <c r="AE447">
        <v>8000</v>
      </c>
      <c r="AF447">
        <v>1290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2828</v>
      </c>
      <c r="E448">
        <v>150</v>
      </c>
      <c r="G448" s="90" t="s">
        <v>2829</v>
      </c>
      <c r="I448">
        <v>43970</v>
      </c>
      <c r="J448" s="80" t="s">
        <v>2755</v>
      </c>
      <c r="K448" t="s">
        <v>767</v>
      </c>
      <c r="L448">
        <v>9008</v>
      </c>
      <c r="M448" t="s">
        <v>1931</v>
      </c>
      <c r="O448">
        <v>0.9</v>
      </c>
      <c r="P448" s="80" t="s">
        <v>2756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50</v>
      </c>
      <c r="AD448">
        <v>1</v>
      </c>
      <c r="AE448">
        <v>8000</v>
      </c>
      <c r="AF448">
        <v>1290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2830</v>
      </c>
      <c r="E449">
        <v>150</v>
      </c>
      <c r="G449" s="90" t="s">
        <v>2831</v>
      </c>
      <c r="I449">
        <v>44095</v>
      </c>
      <c r="J449" s="80" t="s">
        <v>2755</v>
      </c>
      <c r="K449" t="s">
        <v>767</v>
      </c>
      <c r="L449">
        <v>9002</v>
      </c>
      <c r="M449" t="s">
        <v>1713</v>
      </c>
      <c r="O449">
        <v>0.3</v>
      </c>
      <c r="P449" s="80" t="s">
        <v>2756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50</v>
      </c>
      <c r="AD449">
        <v>1</v>
      </c>
      <c r="AE449">
        <v>8000</v>
      </c>
      <c r="AF449">
        <v>1300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2832</v>
      </c>
      <c r="E450">
        <v>150</v>
      </c>
      <c r="G450" s="90" t="s">
        <v>2833</v>
      </c>
      <c r="I450">
        <v>44220</v>
      </c>
      <c r="J450" s="80" t="s">
        <v>2755</v>
      </c>
      <c r="K450" t="s">
        <v>767</v>
      </c>
      <c r="L450">
        <v>9011</v>
      </c>
      <c r="M450">
        <v>13</v>
      </c>
      <c r="O450">
        <v>0.5</v>
      </c>
      <c r="P450" s="80" t="s">
        <v>2756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50</v>
      </c>
      <c r="AD450">
        <v>1</v>
      </c>
      <c r="AE450">
        <v>8000</v>
      </c>
      <c r="AF450">
        <v>1300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2834</v>
      </c>
      <c r="E451">
        <v>150</v>
      </c>
      <c r="G451" s="90" t="s">
        <v>2835</v>
      </c>
      <c r="I451">
        <v>44345</v>
      </c>
      <c r="J451" s="80" t="s">
        <v>2755</v>
      </c>
      <c r="K451" t="s">
        <v>767</v>
      </c>
      <c r="L451">
        <v>9007</v>
      </c>
      <c r="M451">
        <v>13</v>
      </c>
      <c r="O451">
        <v>0.5</v>
      </c>
      <c r="P451" s="80" t="s">
        <v>2756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50</v>
      </c>
      <c r="AD451">
        <v>1</v>
      </c>
      <c r="AE451">
        <v>8000</v>
      </c>
      <c r="AF451">
        <v>1310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2836</v>
      </c>
      <c r="E452">
        <v>150</v>
      </c>
      <c r="G452" s="90" t="s">
        <v>2837</v>
      </c>
      <c r="I452">
        <v>44470</v>
      </c>
      <c r="J452" s="80" t="s">
        <v>2755</v>
      </c>
      <c r="K452" t="s">
        <v>767</v>
      </c>
      <c r="L452">
        <v>9005</v>
      </c>
      <c r="M452" t="s">
        <v>1887</v>
      </c>
      <c r="O452">
        <v>0.7</v>
      </c>
      <c r="P452" s="80" t="s">
        <v>2756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50</v>
      </c>
      <c r="AD452">
        <v>1</v>
      </c>
      <c r="AE452">
        <v>8000</v>
      </c>
      <c r="AF452">
        <v>1310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2838</v>
      </c>
      <c r="E453">
        <v>150</v>
      </c>
      <c r="G453" s="90" t="s">
        <v>2839</v>
      </c>
      <c r="I453">
        <v>44595</v>
      </c>
      <c r="J453" s="80" t="s">
        <v>2755</v>
      </c>
      <c r="K453" t="s">
        <v>767</v>
      </c>
      <c r="L453">
        <v>9005</v>
      </c>
      <c r="M453" t="s">
        <v>2002</v>
      </c>
      <c r="O453">
        <v>0.3</v>
      </c>
      <c r="P453" s="80" t="s">
        <v>2756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50</v>
      </c>
      <c r="AD453">
        <v>1</v>
      </c>
      <c r="AE453">
        <v>8000</v>
      </c>
      <c r="AF453">
        <v>1320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2840</v>
      </c>
      <c r="E454">
        <v>150</v>
      </c>
      <c r="G454" s="90" t="s">
        <v>2841</v>
      </c>
      <c r="I454">
        <v>44720</v>
      </c>
      <c r="J454" s="80" t="s">
        <v>2755</v>
      </c>
      <c r="K454" t="s">
        <v>767</v>
      </c>
      <c r="L454">
        <v>9007</v>
      </c>
      <c r="M454" t="s">
        <v>2160</v>
      </c>
      <c r="O454">
        <v>0.5</v>
      </c>
      <c r="P454" s="80" t="s">
        <v>2756</v>
      </c>
      <c r="Q454" t="s">
        <v>769</v>
      </c>
      <c r="R454">
        <v>9008</v>
      </c>
      <c r="S454" t="s">
        <v>2465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50</v>
      </c>
      <c r="AD454">
        <v>1</v>
      </c>
      <c r="AE454">
        <v>8000</v>
      </c>
      <c r="AF454">
        <v>1320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2842</v>
      </c>
      <c r="E455">
        <v>150</v>
      </c>
      <c r="G455" s="90" t="s">
        <v>2843</v>
      </c>
      <c r="I455">
        <v>44845</v>
      </c>
      <c r="J455" s="80" t="s">
        <v>2755</v>
      </c>
      <c r="K455" t="s">
        <v>767</v>
      </c>
      <c r="L455">
        <v>9012</v>
      </c>
      <c r="M455" t="s">
        <v>1730</v>
      </c>
      <c r="O455">
        <v>0.4</v>
      </c>
      <c r="P455" s="80" t="s">
        <v>2756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50</v>
      </c>
      <c r="AD455">
        <v>1</v>
      </c>
      <c r="AE455">
        <v>8000</v>
      </c>
      <c r="AF455">
        <v>1330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2844</v>
      </c>
      <c r="E456">
        <v>150</v>
      </c>
      <c r="G456" s="90" t="s">
        <v>2845</v>
      </c>
      <c r="I456">
        <v>44970</v>
      </c>
      <c r="J456" s="80" t="s">
        <v>2846</v>
      </c>
      <c r="K456" t="s">
        <v>767</v>
      </c>
      <c r="L456">
        <v>9001</v>
      </c>
      <c r="M456">
        <v>11</v>
      </c>
      <c r="O456">
        <v>0.5</v>
      </c>
      <c r="P456" s="80" t="s">
        <v>2847</v>
      </c>
      <c r="Q456" t="s">
        <v>769</v>
      </c>
      <c r="R456">
        <v>9008</v>
      </c>
      <c r="S456" t="s">
        <v>2155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50</v>
      </c>
      <c r="AD456">
        <v>1</v>
      </c>
      <c r="AE456">
        <v>8000</v>
      </c>
      <c r="AF456">
        <v>1330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2848</v>
      </c>
      <c r="E457">
        <v>150</v>
      </c>
      <c r="G457" s="90" t="s">
        <v>2849</v>
      </c>
      <c r="I457">
        <v>45095</v>
      </c>
      <c r="J457" s="80" t="s">
        <v>2846</v>
      </c>
      <c r="K457" t="s">
        <v>767</v>
      </c>
      <c r="L457">
        <v>9012</v>
      </c>
      <c r="M457" t="s">
        <v>2008</v>
      </c>
      <c r="O457">
        <v>0.4</v>
      </c>
      <c r="P457" s="80" t="s">
        <v>2847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50</v>
      </c>
      <c r="AD457">
        <v>1</v>
      </c>
      <c r="AE457">
        <v>8000</v>
      </c>
      <c r="AF457">
        <v>1340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2850</v>
      </c>
      <c r="E458">
        <v>150</v>
      </c>
      <c r="G458" s="90" t="s">
        <v>2851</v>
      </c>
      <c r="I458">
        <v>45220</v>
      </c>
      <c r="J458" s="80" t="s">
        <v>2846</v>
      </c>
      <c r="K458" t="s">
        <v>767</v>
      </c>
      <c r="L458">
        <v>9012</v>
      </c>
      <c r="M458" t="s">
        <v>2002</v>
      </c>
      <c r="O458">
        <v>0.3</v>
      </c>
      <c r="P458" s="80" t="s">
        <v>2847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50</v>
      </c>
      <c r="AD458">
        <v>1</v>
      </c>
      <c r="AE458">
        <v>8000</v>
      </c>
      <c r="AF458">
        <v>1340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2852</v>
      </c>
      <c r="E459">
        <v>150</v>
      </c>
      <c r="G459" s="90" t="s">
        <v>2853</v>
      </c>
      <c r="I459">
        <v>45345</v>
      </c>
      <c r="J459" s="80" t="s">
        <v>2846</v>
      </c>
      <c r="K459" t="s">
        <v>767</v>
      </c>
      <c r="L459">
        <v>9012</v>
      </c>
      <c r="M459" t="s">
        <v>2050</v>
      </c>
      <c r="O459">
        <v>0.2</v>
      </c>
      <c r="P459" s="80" t="s">
        <v>2847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50</v>
      </c>
      <c r="AD459">
        <v>1</v>
      </c>
      <c r="AE459">
        <v>8000</v>
      </c>
      <c r="AF459">
        <v>1350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2854</v>
      </c>
      <c r="E460">
        <v>150</v>
      </c>
      <c r="G460" s="90" t="s">
        <v>2845</v>
      </c>
      <c r="I460">
        <v>45470</v>
      </c>
      <c r="J460" s="80" t="s">
        <v>2846</v>
      </c>
      <c r="K460" t="s">
        <v>767</v>
      </c>
      <c r="L460">
        <v>9005</v>
      </c>
      <c r="M460" t="s">
        <v>1996</v>
      </c>
      <c r="O460">
        <v>0.2</v>
      </c>
      <c r="P460" s="80" t="s">
        <v>2847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50</v>
      </c>
      <c r="AD460">
        <v>1</v>
      </c>
      <c r="AE460">
        <v>8000</v>
      </c>
      <c r="AF460">
        <v>1350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2855</v>
      </c>
      <c r="E461">
        <v>150</v>
      </c>
      <c r="G461" s="90" t="s">
        <v>2856</v>
      </c>
      <c r="I461">
        <v>45595</v>
      </c>
      <c r="J461" s="80" t="s">
        <v>2846</v>
      </c>
      <c r="K461" t="s">
        <v>767</v>
      </c>
      <c r="L461">
        <v>9001</v>
      </c>
      <c r="M461" t="s">
        <v>2418</v>
      </c>
      <c r="O461">
        <v>0.3</v>
      </c>
      <c r="P461" s="80" t="s">
        <v>2847</v>
      </c>
      <c r="Q461" t="s">
        <v>769</v>
      </c>
      <c r="R461">
        <v>9004</v>
      </c>
      <c r="S461" t="s">
        <v>2489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50</v>
      </c>
      <c r="AD461">
        <v>1</v>
      </c>
      <c r="AE461">
        <v>8000</v>
      </c>
      <c r="AF461">
        <v>1360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2857</v>
      </c>
      <c r="E462">
        <v>150</v>
      </c>
      <c r="G462" s="90" t="s">
        <v>2858</v>
      </c>
      <c r="I462">
        <v>45720</v>
      </c>
      <c r="J462" s="80" t="s">
        <v>2846</v>
      </c>
      <c r="K462" t="s">
        <v>767</v>
      </c>
      <c r="L462">
        <v>9005</v>
      </c>
      <c r="M462">
        <v>8</v>
      </c>
      <c r="O462">
        <v>0.5</v>
      </c>
      <c r="P462" s="80" t="s">
        <v>2847</v>
      </c>
      <c r="Q462" t="s">
        <v>769</v>
      </c>
      <c r="R462">
        <v>9004</v>
      </c>
      <c r="S462" t="s">
        <v>2359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50</v>
      </c>
      <c r="AD462">
        <v>1</v>
      </c>
      <c r="AE462">
        <v>8000</v>
      </c>
      <c r="AF462">
        <v>1360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2859</v>
      </c>
      <c r="E463">
        <v>150</v>
      </c>
      <c r="G463" s="90" t="s">
        <v>2860</v>
      </c>
      <c r="I463">
        <v>45845</v>
      </c>
      <c r="J463" s="80" t="s">
        <v>2846</v>
      </c>
      <c r="K463" t="s">
        <v>767</v>
      </c>
      <c r="L463">
        <v>9002</v>
      </c>
      <c r="M463">
        <v>13</v>
      </c>
      <c r="O463">
        <v>0.2</v>
      </c>
      <c r="P463" s="80" t="s">
        <v>2847</v>
      </c>
      <c r="Q463" t="s">
        <v>769</v>
      </c>
      <c r="R463">
        <v>9011</v>
      </c>
      <c r="S463" t="s">
        <v>2824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50</v>
      </c>
      <c r="AD463">
        <v>1</v>
      </c>
      <c r="AE463">
        <v>8000</v>
      </c>
      <c r="AF463">
        <v>1370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2861</v>
      </c>
      <c r="E464">
        <v>150</v>
      </c>
      <c r="G464" s="90" t="s">
        <v>2862</v>
      </c>
      <c r="I464">
        <v>45970</v>
      </c>
      <c r="J464" s="80" t="s">
        <v>2846</v>
      </c>
      <c r="K464" t="s">
        <v>767</v>
      </c>
      <c r="L464">
        <v>9011</v>
      </c>
      <c r="M464" t="s">
        <v>2863</v>
      </c>
      <c r="O464">
        <v>0.8</v>
      </c>
      <c r="P464" s="80" t="s">
        <v>2847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50</v>
      </c>
      <c r="AD464">
        <v>1</v>
      </c>
      <c r="AE464">
        <v>8000</v>
      </c>
      <c r="AF464">
        <v>1370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2864</v>
      </c>
      <c r="E465">
        <v>150</v>
      </c>
      <c r="G465" s="90" t="s">
        <v>2865</v>
      </c>
      <c r="I465">
        <v>46095</v>
      </c>
      <c r="J465" s="80" t="s">
        <v>2846</v>
      </c>
      <c r="K465" t="s">
        <v>767</v>
      </c>
      <c r="L465">
        <v>9005</v>
      </c>
      <c r="M465" t="s">
        <v>2050</v>
      </c>
      <c r="O465">
        <v>0.7</v>
      </c>
      <c r="P465" s="80" t="s">
        <v>2847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</v>
      </c>
      <c r="AD465">
        <v>1</v>
      </c>
      <c r="AE465">
        <v>8000</v>
      </c>
      <c r="AF465">
        <v>1380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2866</v>
      </c>
      <c r="E466">
        <v>150</v>
      </c>
      <c r="G466" s="90" t="s">
        <v>2867</v>
      </c>
      <c r="I466">
        <v>46220</v>
      </c>
      <c r="J466" s="80" t="s">
        <v>2846</v>
      </c>
      <c r="K466" t="s">
        <v>767</v>
      </c>
      <c r="L466">
        <v>9002</v>
      </c>
      <c r="M466" t="s">
        <v>2005</v>
      </c>
      <c r="O466">
        <v>0.6</v>
      </c>
      <c r="P466" s="80" t="s">
        <v>2847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50</v>
      </c>
      <c r="AD466">
        <v>1</v>
      </c>
      <c r="AE466">
        <v>8000</v>
      </c>
      <c r="AF466">
        <v>1380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2868</v>
      </c>
      <c r="E467">
        <v>150</v>
      </c>
      <c r="G467" s="90" t="s">
        <v>2869</v>
      </c>
      <c r="I467">
        <v>46345</v>
      </c>
      <c r="J467" s="80" t="s">
        <v>2846</v>
      </c>
      <c r="K467" t="s">
        <v>767</v>
      </c>
      <c r="L467">
        <v>9002</v>
      </c>
      <c r="M467">
        <v>12</v>
      </c>
      <c r="O467">
        <v>0.7</v>
      </c>
      <c r="P467" s="80" t="s">
        <v>2847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50</v>
      </c>
      <c r="AD467">
        <v>1</v>
      </c>
      <c r="AE467">
        <v>8000</v>
      </c>
      <c r="AF467">
        <v>1390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2870</v>
      </c>
      <c r="E468">
        <v>150</v>
      </c>
      <c r="G468" s="90" t="s">
        <v>2871</v>
      </c>
      <c r="I468">
        <v>46470</v>
      </c>
      <c r="J468" s="80" t="s">
        <v>2846</v>
      </c>
      <c r="K468" t="s">
        <v>767</v>
      </c>
      <c r="L468">
        <v>9011</v>
      </c>
      <c r="M468">
        <v>12</v>
      </c>
      <c r="O468">
        <v>0.4</v>
      </c>
      <c r="P468" s="80" t="s">
        <v>2847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50</v>
      </c>
      <c r="AD468">
        <v>1</v>
      </c>
      <c r="AE468">
        <v>8000</v>
      </c>
      <c r="AF468">
        <v>1390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2872</v>
      </c>
      <c r="E469">
        <v>150</v>
      </c>
      <c r="G469" s="90" t="s">
        <v>2873</v>
      </c>
      <c r="I469">
        <v>46595</v>
      </c>
      <c r="J469" s="80" t="s">
        <v>2846</v>
      </c>
      <c r="K469" t="s">
        <v>767</v>
      </c>
      <c r="L469">
        <v>9008</v>
      </c>
      <c r="M469" t="s">
        <v>2874</v>
      </c>
      <c r="O469">
        <v>0.2</v>
      </c>
      <c r="P469" s="80" t="s">
        <v>2847</v>
      </c>
      <c r="Q469" t="s">
        <v>769</v>
      </c>
      <c r="R469">
        <v>9007</v>
      </c>
      <c r="S469" t="s">
        <v>2521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50</v>
      </c>
      <c r="AD469">
        <v>1</v>
      </c>
      <c r="AE469">
        <v>8000</v>
      </c>
      <c r="AF469">
        <v>1400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2875</v>
      </c>
      <c r="E470">
        <v>150</v>
      </c>
      <c r="G470" s="90" t="s">
        <v>2876</v>
      </c>
      <c r="I470">
        <v>46720</v>
      </c>
      <c r="J470" s="80" t="s">
        <v>2846</v>
      </c>
      <c r="K470" t="s">
        <v>767</v>
      </c>
      <c r="L470">
        <v>9007</v>
      </c>
      <c r="M470" t="s">
        <v>2468</v>
      </c>
      <c r="O470">
        <v>0.7</v>
      </c>
      <c r="P470" s="80" t="s">
        <v>2847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50</v>
      </c>
      <c r="AD470">
        <v>1</v>
      </c>
      <c r="AE470">
        <v>8000</v>
      </c>
      <c r="AF470">
        <v>1400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2877</v>
      </c>
      <c r="E471">
        <v>150</v>
      </c>
      <c r="G471" s="90" t="s">
        <v>2878</v>
      </c>
      <c r="I471">
        <v>46845</v>
      </c>
      <c r="J471" s="80" t="s">
        <v>2846</v>
      </c>
      <c r="K471" t="s">
        <v>767</v>
      </c>
      <c r="L471">
        <v>9011</v>
      </c>
      <c r="M471" t="s">
        <v>2002</v>
      </c>
      <c r="O471">
        <v>0.1</v>
      </c>
      <c r="P471" s="80" t="s">
        <v>2847</v>
      </c>
      <c r="Q471" t="s">
        <v>769</v>
      </c>
      <c r="R471">
        <v>9004</v>
      </c>
      <c r="S471" t="s">
        <v>2879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50</v>
      </c>
      <c r="AD471">
        <v>1</v>
      </c>
      <c r="AE471">
        <v>8000</v>
      </c>
      <c r="AF471">
        <v>1410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2880</v>
      </c>
      <c r="E472">
        <v>150</v>
      </c>
      <c r="G472" s="90" t="s">
        <v>2881</v>
      </c>
      <c r="I472">
        <v>46970</v>
      </c>
      <c r="J472" s="80" t="s">
        <v>2846</v>
      </c>
      <c r="K472" t="s">
        <v>767</v>
      </c>
      <c r="L472">
        <v>9002</v>
      </c>
      <c r="M472">
        <v>7</v>
      </c>
      <c r="O472">
        <v>0.2</v>
      </c>
      <c r="P472" s="80" t="s">
        <v>2847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50</v>
      </c>
      <c r="AD472">
        <v>1</v>
      </c>
      <c r="AE472">
        <v>8000</v>
      </c>
      <c r="AF472">
        <v>1410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2882</v>
      </c>
      <c r="E473">
        <v>150</v>
      </c>
      <c r="G473" s="90" t="s">
        <v>2883</v>
      </c>
      <c r="I473">
        <v>47095</v>
      </c>
      <c r="J473" s="80" t="s">
        <v>2846</v>
      </c>
      <c r="K473" t="s">
        <v>767</v>
      </c>
      <c r="L473">
        <v>9012</v>
      </c>
      <c r="M473" t="s">
        <v>1820</v>
      </c>
      <c r="O473">
        <v>0.3</v>
      </c>
      <c r="P473" s="80" t="s">
        <v>2847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50</v>
      </c>
      <c r="AD473">
        <v>1</v>
      </c>
      <c r="AE473">
        <v>8000</v>
      </c>
      <c r="AF473">
        <v>1420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2884</v>
      </c>
      <c r="E474">
        <v>150</v>
      </c>
      <c r="G474" s="90" t="s">
        <v>2885</v>
      </c>
      <c r="I474">
        <v>47220</v>
      </c>
      <c r="J474" s="80" t="s">
        <v>2846</v>
      </c>
      <c r="K474" t="s">
        <v>767</v>
      </c>
      <c r="L474">
        <v>9005</v>
      </c>
      <c r="M474" t="s">
        <v>1824</v>
      </c>
      <c r="O474">
        <v>0.3</v>
      </c>
      <c r="P474" s="80" t="s">
        <v>2847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50</v>
      </c>
      <c r="AD474">
        <v>1</v>
      </c>
      <c r="AE474">
        <v>8000</v>
      </c>
      <c r="AF474">
        <v>1420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2886</v>
      </c>
      <c r="E475">
        <v>150</v>
      </c>
      <c r="G475" s="90" t="s">
        <v>2887</v>
      </c>
      <c r="I475">
        <v>47345</v>
      </c>
      <c r="J475" s="80" t="s">
        <v>2846</v>
      </c>
      <c r="K475" t="s">
        <v>767</v>
      </c>
      <c r="L475">
        <v>9007</v>
      </c>
      <c r="M475" t="s">
        <v>2354</v>
      </c>
      <c r="O475">
        <v>0.4</v>
      </c>
      <c r="P475" s="80" t="s">
        <v>2847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50</v>
      </c>
      <c r="AD475">
        <v>1</v>
      </c>
      <c r="AE475">
        <v>8000</v>
      </c>
      <c r="AF475">
        <v>1430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2888</v>
      </c>
      <c r="E476">
        <v>150</v>
      </c>
      <c r="G476" s="90" t="s">
        <v>2889</v>
      </c>
      <c r="I476">
        <v>47470</v>
      </c>
      <c r="J476" s="80" t="s">
        <v>2846</v>
      </c>
      <c r="K476" t="s">
        <v>767</v>
      </c>
      <c r="L476">
        <v>9006</v>
      </c>
      <c r="M476">
        <v>11</v>
      </c>
      <c r="O476">
        <v>0.9</v>
      </c>
      <c r="P476" s="80" t="s">
        <v>2847</v>
      </c>
      <c r="Q476" t="s">
        <v>769</v>
      </c>
      <c r="R476">
        <v>9007</v>
      </c>
      <c r="S476" t="s">
        <v>2890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50</v>
      </c>
      <c r="AD476">
        <v>1</v>
      </c>
      <c r="AE476">
        <v>8000</v>
      </c>
      <c r="AF476">
        <v>1430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2891</v>
      </c>
      <c r="E477">
        <v>150</v>
      </c>
      <c r="G477" s="90" t="s">
        <v>2892</v>
      </c>
      <c r="I477">
        <v>47595</v>
      </c>
      <c r="J477" s="80" t="s">
        <v>2846</v>
      </c>
      <c r="K477" t="s">
        <v>767</v>
      </c>
      <c r="L477">
        <v>9011</v>
      </c>
      <c r="M477">
        <v>12</v>
      </c>
      <c r="O477">
        <v>0.4</v>
      </c>
      <c r="P477" s="80" t="s">
        <v>2847</v>
      </c>
      <c r="Q477" t="s">
        <v>769</v>
      </c>
      <c r="R477">
        <v>9010</v>
      </c>
      <c r="S477" t="s">
        <v>2267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50</v>
      </c>
      <c r="AD477">
        <v>1</v>
      </c>
      <c r="AE477">
        <v>8000</v>
      </c>
      <c r="AF477">
        <v>1440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2893</v>
      </c>
      <c r="E478">
        <v>150</v>
      </c>
      <c r="G478" s="90" t="s">
        <v>2894</v>
      </c>
      <c r="I478">
        <v>47720</v>
      </c>
      <c r="J478" s="80" t="s">
        <v>2846</v>
      </c>
      <c r="K478" t="s">
        <v>767</v>
      </c>
      <c r="L478">
        <v>9001</v>
      </c>
      <c r="M478" t="s">
        <v>1890</v>
      </c>
      <c r="O478">
        <v>0.5</v>
      </c>
      <c r="P478" s="80" t="s">
        <v>2847</v>
      </c>
      <c r="Q478" t="s">
        <v>769</v>
      </c>
      <c r="R478">
        <v>9003</v>
      </c>
      <c r="S478" t="s">
        <v>2415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50</v>
      </c>
      <c r="AD478">
        <v>1</v>
      </c>
      <c r="AE478">
        <v>8000</v>
      </c>
      <c r="AF478">
        <v>1440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2895</v>
      </c>
      <c r="E479">
        <v>150</v>
      </c>
      <c r="G479" s="90" t="s">
        <v>2896</v>
      </c>
      <c r="I479">
        <v>47845</v>
      </c>
      <c r="J479" s="80" t="s">
        <v>2846</v>
      </c>
      <c r="K479" t="s">
        <v>767</v>
      </c>
      <c r="L479">
        <v>9006</v>
      </c>
      <c r="M479" t="s">
        <v>2001</v>
      </c>
      <c r="O479">
        <v>1</v>
      </c>
      <c r="P479" s="80" t="s">
        <v>2847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50</v>
      </c>
      <c r="AD479">
        <v>1</v>
      </c>
      <c r="AE479">
        <v>8000</v>
      </c>
      <c r="AF479">
        <v>1450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2897</v>
      </c>
      <c r="E480">
        <v>150</v>
      </c>
      <c r="G480" s="90" t="s">
        <v>2898</v>
      </c>
      <c r="I480">
        <v>47970</v>
      </c>
      <c r="J480" s="80" t="s">
        <v>2846</v>
      </c>
      <c r="K480" t="s">
        <v>767</v>
      </c>
      <c r="L480">
        <v>9006</v>
      </c>
      <c r="M480">
        <v>3</v>
      </c>
      <c r="O480">
        <v>0.7</v>
      </c>
      <c r="P480" s="80" t="s">
        <v>2847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50</v>
      </c>
      <c r="AD480">
        <v>1</v>
      </c>
      <c r="AE480">
        <v>8000</v>
      </c>
      <c r="AF480">
        <v>1450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2899</v>
      </c>
      <c r="E481">
        <v>150</v>
      </c>
      <c r="G481" s="90" t="s">
        <v>2900</v>
      </c>
      <c r="I481">
        <v>48095</v>
      </c>
      <c r="J481" s="80" t="s">
        <v>2846</v>
      </c>
      <c r="K481" t="s">
        <v>767</v>
      </c>
      <c r="L481">
        <v>9002</v>
      </c>
      <c r="M481" t="s">
        <v>2802</v>
      </c>
      <c r="O481">
        <v>0.4</v>
      </c>
      <c r="P481" s="80" t="s">
        <v>2847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50</v>
      </c>
      <c r="AD481">
        <v>1</v>
      </c>
      <c r="AE481">
        <v>8000</v>
      </c>
      <c r="AF481">
        <v>1460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2901</v>
      </c>
      <c r="E482">
        <v>150</v>
      </c>
      <c r="G482" s="90" t="s">
        <v>2902</v>
      </c>
      <c r="I482">
        <v>48220</v>
      </c>
      <c r="J482" s="80" t="s">
        <v>2846</v>
      </c>
      <c r="K482" t="s">
        <v>767</v>
      </c>
      <c r="L482">
        <v>9011</v>
      </c>
      <c r="M482" t="s">
        <v>1680</v>
      </c>
      <c r="O482">
        <v>0.1</v>
      </c>
      <c r="P482" s="80" t="s">
        <v>2847</v>
      </c>
      <c r="Q482" t="s">
        <v>769</v>
      </c>
      <c r="R482">
        <v>9012</v>
      </c>
      <c r="S482" t="s">
        <v>2903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50</v>
      </c>
      <c r="AD482">
        <v>1</v>
      </c>
      <c r="AE482">
        <v>8000</v>
      </c>
      <c r="AF482">
        <v>1460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2904</v>
      </c>
      <c r="E483">
        <v>150</v>
      </c>
      <c r="G483" s="90" t="s">
        <v>2905</v>
      </c>
      <c r="I483">
        <v>48345</v>
      </c>
      <c r="J483" s="80" t="s">
        <v>2846</v>
      </c>
      <c r="K483" t="s">
        <v>767</v>
      </c>
      <c r="L483">
        <v>9012</v>
      </c>
      <c r="M483" t="s">
        <v>2483</v>
      </c>
      <c r="O483">
        <v>0.9</v>
      </c>
      <c r="P483" s="80" t="s">
        <v>2847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50</v>
      </c>
      <c r="AD483">
        <v>1</v>
      </c>
      <c r="AE483">
        <v>8000</v>
      </c>
      <c r="AF483">
        <v>1470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2906</v>
      </c>
      <c r="E484">
        <v>150</v>
      </c>
      <c r="G484" s="90" t="s">
        <v>2907</v>
      </c>
      <c r="I484">
        <v>48470</v>
      </c>
      <c r="J484" s="80" t="s">
        <v>2846</v>
      </c>
      <c r="K484" t="s">
        <v>767</v>
      </c>
      <c r="L484">
        <v>9008</v>
      </c>
      <c r="M484" t="s">
        <v>2908</v>
      </c>
      <c r="O484">
        <v>0.6</v>
      </c>
      <c r="P484" s="80" t="s">
        <v>2847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50</v>
      </c>
      <c r="AD484">
        <v>1</v>
      </c>
      <c r="AE484">
        <v>8000</v>
      </c>
      <c r="AF484">
        <v>1470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2909</v>
      </c>
      <c r="E485">
        <v>150</v>
      </c>
      <c r="G485" s="90" t="s">
        <v>2910</v>
      </c>
      <c r="I485">
        <v>48595</v>
      </c>
      <c r="J485" s="80" t="s">
        <v>2846</v>
      </c>
      <c r="K485" t="s">
        <v>767</v>
      </c>
      <c r="L485">
        <v>9001</v>
      </c>
      <c r="M485" t="s">
        <v>1650</v>
      </c>
      <c r="O485">
        <v>0.2</v>
      </c>
      <c r="P485" s="80" t="s">
        <v>2847</v>
      </c>
      <c r="Q485" t="s">
        <v>769</v>
      </c>
      <c r="R485">
        <v>9007</v>
      </c>
      <c r="S485" t="s">
        <v>2231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50</v>
      </c>
      <c r="AD485">
        <v>1</v>
      </c>
      <c r="AE485">
        <v>8000</v>
      </c>
      <c r="AF485">
        <v>1480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2911</v>
      </c>
      <c r="E486">
        <v>150</v>
      </c>
      <c r="G486" s="90" t="s">
        <v>2912</v>
      </c>
      <c r="I486">
        <v>48720</v>
      </c>
      <c r="J486" s="80" t="s">
        <v>2846</v>
      </c>
      <c r="K486" t="s">
        <v>767</v>
      </c>
      <c r="L486">
        <v>9002</v>
      </c>
      <c r="M486">
        <v>6</v>
      </c>
      <c r="O486">
        <v>0.1</v>
      </c>
      <c r="P486" s="80" t="s">
        <v>2847</v>
      </c>
      <c r="Q486" t="s">
        <v>769</v>
      </c>
      <c r="R486">
        <v>9004</v>
      </c>
      <c r="S486" t="s">
        <v>2238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50</v>
      </c>
      <c r="AD486">
        <v>1</v>
      </c>
      <c r="AE486">
        <v>8000</v>
      </c>
      <c r="AF486">
        <v>1480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2913</v>
      </c>
      <c r="E487">
        <v>150</v>
      </c>
      <c r="G487" s="90" t="s">
        <v>2914</v>
      </c>
      <c r="I487">
        <v>48845</v>
      </c>
      <c r="J487" s="80" t="s">
        <v>2846</v>
      </c>
      <c r="K487" t="s">
        <v>767</v>
      </c>
      <c r="L487">
        <v>9001</v>
      </c>
      <c r="M487" t="s">
        <v>2354</v>
      </c>
      <c r="O487">
        <v>1</v>
      </c>
      <c r="P487" s="80" t="s">
        <v>2847</v>
      </c>
      <c r="Q487" t="s">
        <v>769</v>
      </c>
      <c r="R487">
        <v>9004</v>
      </c>
      <c r="S487" t="s">
        <v>2155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50</v>
      </c>
      <c r="AD487">
        <v>1</v>
      </c>
      <c r="AE487">
        <v>8000</v>
      </c>
      <c r="AF487">
        <v>1490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2915</v>
      </c>
      <c r="E488">
        <v>150</v>
      </c>
      <c r="G488" s="90" t="s">
        <v>2916</v>
      </c>
      <c r="I488">
        <v>48970</v>
      </c>
      <c r="J488" s="80" t="s">
        <v>2846</v>
      </c>
      <c r="K488" t="s">
        <v>767</v>
      </c>
      <c r="L488">
        <v>9006</v>
      </c>
      <c r="M488">
        <v>5</v>
      </c>
      <c r="O488">
        <v>0.3</v>
      </c>
      <c r="P488" s="80" t="s">
        <v>2847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50</v>
      </c>
      <c r="AD488">
        <v>1</v>
      </c>
      <c r="AE488">
        <v>8000</v>
      </c>
      <c r="AF488">
        <v>1490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2917</v>
      </c>
      <c r="E489">
        <v>150</v>
      </c>
      <c r="G489" s="90" t="s">
        <v>2918</v>
      </c>
      <c r="I489">
        <v>49095</v>
      </c>
      <c r="J489" s="80" t="s">
        <v>2846</v>
      </c>
      <c r="K489" t="s">
        <v>767</v>
      </c>
      <c r="L489">
        <v>9002</v>
      </c>
      <c r="M489">
        <v>3</v>
      </c>
      <c r="O489">
        <v>0.9</v>
      </c>
      <c r="P489" s="80" t="s">
        <v>2847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50</v>
      </c>
      <c r="AD489">
        <v>1</v>
      </c>
      <c r="AE489">
        <v>8000</v>
      </c>
      <c r="AF489">
        <v>1500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2919</v>
      </c>
      <c r="E490">
        <v>150</v>
      </c>
      <c r="G490" s="90" t="s">
        <v>2920</v>
      </c>
      <c r="I490">
        <v>49220</v>
      </c>
      <c r="J490" s="80" t="s">
        <v>2846</v>
      </c>
      <c r="K490" t="s">
        <v>767</v>
      </c>
      <c r="L490">
        <v>9006</v>
      </c>
      <c r="M490" t="s">
        <v>2921</v>
      </c>
      <c r="O490">
        <v>0.5</v>
      </c>
      <c r="P490" s="80" t="s">
        <v>2847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50</v>
      </c>
      <c r="AD490">
        <v>1</v>
      </c>
      <c r="AE490">
        <v>8000</v>
      </c>
      <c r="AF490">
        <v>1510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2922</v>
      </c>
      <c r="E491">
        <v>150</v>
      </c>
      <c r="G491" s="90" t="s">
        <v>2923</v>
      </c>
      <c r="I491">
        <v>49345</v>
      </c>
      <c r="J491" s="80" t="s">
        <v>2846</v>
      </c>
      <c r="K491" t="s">
        <v>767</v>
      </c>
      <c r="L491">
        <v>9002</v>
      </c>
      <c r="M491" t="s">
        <v>2924</v>
      </c>
      <c r="O491">
        <v>0.5</v>
      </c>
      <c r="P491" s="80" t="s">
        <v>2847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50</v>
      </c>
      <c r="AD491">
        <v>1</v>
      </c>
      <c r="AE491">
        <v>8000</v>
      </c>
      <c r="AF491">
        <v>1510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2925</v>
      </c>
      <c r="E492">
        <v>150</v>
      </c>
      <c r="G492" s="90" t="s">
        <v>2926</v>
      </c>
      <c r="I492">
        <v>49470</v>
      </c>
      <c r="J492" s="80" t="s">
        <v>2846</v>
      </c>
      <c r="K492" t="s">
        <v>767</v>
      </c>
      <c r="L492">
        <v>9002</v>
      </c>
      <c r="M492">
        <v>6</v>
      </c>
      <c r="O492">
        <v>0.8</v>
      </c>
      <c r="P492" s="80" t="s">
        <v>2847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50</v>
      </c>
      <c r="AD492">
        <v>1</v>
      </c>
      <c r="AE492">
        <v>8000</v>
      </c>
      <c r="AF492">
        <v>1520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2927</v>
      </c>
      <c r="E493">
        <v>150</v>
      </c>
      <c r="G493" s="90" t="s">
        <v>2928</v>
      </c>
      <c r="I493">
        <v>49595</v>
      </c>
      <c r="J493" s="80" t="s">
        <v>2846</v>
      </c>
      <c r="K493" t="s">
        <v>767</v>
      </c>
      <c r="L493">
        <v>9008</v>
      </c>
      <c r="M493" t="s">
        <v>2238</v>
      </c>
      <c r="O493">
        <v>0.9</v>
      </c>
      <c r="P493" s="80" t="s">
        <v>2847</v>
      </c>
      <c r="Q493" t="s">
        <v>769</v>
      </c>
      <c r="R493">
        <v>9012</v>
      </c>
      <c r="S493" t="s">
        <v>2438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50</v>
      </c>
      <c r="AD493">
        <v>1</v>
      </c>
      <c r="AE493">
        <v>8000</v>
      </c>
      <c r="AF493">
        <v>1520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2929</v>
      </c>
      <c r="E494">
        <v>150</v>
      </c>
      <c r="G494" s="90" t="s">
        <v>2930</v>
      </c>
      <c r="I494">
        <v>49720</v>
      </c>
      <c r="J494" s="80" t="s">
        <v>2846</v>
      </c>
      <c r="K494" t="s">
        <v>767</v>
      </c>
      <c r="L494">
        <v>9012</v>
      </c>
      <c r="M494" t="s">
        <v>2353</v>
      </c>
      <c r="O494">
        <v>0.8</v>
      </c>
      <c r="P494" s="80" t="s">
        <v>2847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50</v>
      </c>
      <c r="AD494">
        <v>1</v>
      </c>
      <c r="AE494">
        <v>8000</v>
      </c>
      <c r="AF494">
        <v>1530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2931</v>
      </c>
      <c r="E495">
        <v>150</v>
      </c>
      <c r="G495" s="90" t="s">
        <v>2932</v>
      </c>
      <c r="I495">
        <v>49845</v>
      </c>
      <c r="J495" s="80" t="s">
        <v>2846</v>
      </c>
      <c r="K495" t="s">
        <v>767</v>
      </c>
      <c r="L495">
        <v>9001</v>
      </c>
      <c r="M495" t="s">
        <v>1791</v>
      </c>
      <c r="O495">
        <v>0.9</v>
      </c>
      <c r="P495" s="80" t="s">
        <v>2847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</v>
      </c>
      <c r="AD495">
        <v>1</v>
      </c>
      <c r="AE495">
        <v>8000</v>
      </c>
      <c r="AF495">
        <v>1530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2933</v>
      </c>
      <c r="E496">
        <v>150</v>
      </c>
      <c r="G496" s="90" t="s">
        <v>2934</v>
      </c>
      <c r="I496">
        <v>49970</v>
      </c>
      <c r="J496" s="80" t="s">
        <v>2846</v>
      </c>
      <c r="K496" t="s">
        <v>767</v>
      </c>
      <c r="L496">
        <v>9001</v>
      </c>
      <c r="M496">
        <v>3</v>
      </c>
      <c r="O496">
        <v>0.2</v>
      </c>
      <c r="P496" s="80" t="s">
        <v>2847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50</v>
      </c>
      <c r="AD496">
        <v>1</v>
      </c>
      <c r="AE496">
        <v>8000</v>
      </c>
      <c r="AF496">
        <v>1540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2935</v>
      </c>
      <c r="E497">
        <v>150</v>
      </c>
      <c r="G497" s="90" t="s">
        <v>2936</v>
      </c>
      <c r="I497">
        <v>50095</v>
      </c>
      <c r="J497" s="80" t="s">
        <v>2846</v>
      </c>
      <c r="K497" t="s">
        <v>767</v>
      </c>
      <c r="L497">
        <v>9012</v>
      </c>
      <c r="M497" t="s">
        <v>2741</v>
      </c>
      <c r="O497">
        <v>0.3</v>
      </c>
      <c r="P497" s="80" t="s">
        <v>2847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50</v>
      </c>
      <c r="AD497">
        <v>1</v>
      </c>
      <c r="AE497">
        <v>8000</v>
      </c>
      <c r="AF497">
        <v>1540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2937</v>
      </c>
      <c r="E498">
        <v>150</v>
      </c>
      <c r="G498" s="90" t="s">
        <v>2938</v>
      </c>
      <c r="I498">
        <v>50220</v>
      </c>
      <c r="J498" s="80" t="s">
        <v>2846</v>
      </c>
      <c r="K498" t="s">
        <v>767</v>
      </c>
      <c r="L498">
        <v>9006</v>
      </c>
      <c r="M498">
        <v>8</v>
      </c>
      <c r="O498">
        <v>0.9</v>
      </c>
      <c r="P498" s="80" t="s">
        <v>2847</v>
      </c>
      <c r="Q498" t="s">
        <v>769</v>
      </c>
      <c r="R498">
        <v>9003</v>
      </c>
      <c r="S498" t="s">
        <v>2939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50</v>
      </c>
      <c r="AD498">
        <v>1</v>
      </c>
      <c r="AE498">
        <v>8000</v>
      </c>
      <c r="AF498">
        <v>1550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2940</v>
      </c>
      <c r="E499">
        <v>150</v>
      </c>
      <c r="G499" s="90" t="s">
        <v>2941</v>
      </c>
      <c r="I499">
        <v>50345</v>
      </c>
      <c r="J499" s="80" t="s">
        <v>2846</v>
      </c>
      <c r="K499" t="s">
        <v>767</v>
      </c>
      <c r="L499">
        <v>9002</v>
      </c>
      <c r="M499">
        <v>13</v>
      </c>
      <c r="O499">
        <v>0.3</v>
      </c>
      <c r="P499" s="80" t="s">
        <v>2847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50</v>
      </c>
      <c r="AD499">
        <v>1</v>
      </c>
      <c r="AE499">
        <v>8000</v>
      </c>
      <c r="AF499">
        <v>1550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2942</v>
      </c>
      <c r="E500">
        <v>150</v>
      </c>
      <c r="G500" s="90" t="s">
        <v>2943</v>
      </c>
      <c r="I500">
        <v>50470</v>
      </c>
      <c r="J500" s="80" t="s">
        <v>2846</v>
      </c>
      <c r="K500" t="s">
        <v>767</v>
      </c>
      <c r="L500">
        <v>9001</v>
      </c>
      <c r="M500" t="s">
        <v>1996</v>
      </c>
      <c r="O500">
        <v>0.7</v>
      </c>
      <c r="P500" s="80" t="s">
        <v>2847</v>
      </c>
      <c r="Q500" t="s">
        <v>769</v>
      </c>
      <c r="R500">
        <v>9008</v>
      </c>
      <c r="S500" t="s">
        <v>2326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50</v>
      </c>
      <c r="AD500">
        <v>1</v>
      </c>
      <c r="AE500">
        <v>8000</v>
      </c>
      <c r="AF500">
        <v>1560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2944</v>
      </c>
      <c r="E501">
        <v>150</v>
      </c>
      <c r="G501" s="90" t="s">
        <v>2945</v>
      </c>
      <c r="I501">
        <v>50595</v>
      </c>
      <c r="J501" s="80" t="s">
        <v>2846</v>
      </c>
      <c r="K501" t="s">
        <v>767</v>
      </c>
      <c r="L501">
        <v>9011</v>
      </c>
      <c r="M501" t="s">
        <v>2314</v>
      </c>
      <c r="O501">
        <v>0.5</v>
      </c>
      <c r="P501" s="80" t="s">
        <v>2847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50</v>
      </c>
      <c r="AD501">
        <v>1</v>
      </c>
      <c r="AE501">
        <v>8000</v>
      </c>
      <c r="AF501">
        <v>1560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2946</v>
      </c>
      <c r="E502">
        <v>150</v>
      </c>
      <c r="G502" s="90" t="s">
        <v>2947</v>
      </c>
      <c r="I502">
        <v>50720</v>
      </c>
      <c r="J502" s="80" t="s">
        <v>2846</v>
      </c>
      <c r="K502" t="s">
        <v>767</v>
      </c>
      <c r="L502">
        <v>9012</v>
      </c>
      <c r="M502" t="s">
        <v>2948</v>
      </c>
      <c r="O502">
        <v>0.3</v>
      </c>
      <c r="P502" s="80" t="s">
        <v>2847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50</v>
      </c>
      <c r="AD502">
        <v>1</v>
      </c>
      <c r="AE502">
        <v>8000</v>
      </c>
      <c r="AF502">
        <v>1570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2949</v>
      </c>
      <c r="E503">
        <v>150</v>
      </c>
      <c r="G503" s="90" t="s">
        <v>2950</v>
      </c>
      <c r="I503">
        <v>50845</v>
      </c>
      <c r="J503" s="80" t="s">
        <v>2846</v>
      </c>
      <c r="K503" t="s">
        <v>767</v>
      </c>
      <c r="L503">
        <v>9006</v>
      </c>
      <c r="M503" t="s">
        <v>2232</v>
      </c>
      <c r="O503">
        <v>0.3</v>
      </c>
      <c r="P503" s="80" t="s">
        <v>2847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50</v>
      </c>
      <c r="AD503">
        <v>1</v>
      </c>
      <c r="AE503">
        <v>8000</v>
      </c>
      <c r="AF503">
        <v>1570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2951</v>
      </c>
      <c r="E504">
        <v>150</v>
      </c>
      <c r="G504" s="90" t="s">
        <v>2952</v>
      </c>
      <c r="I504">
        <v>50970</v>
      </c>
      <c r="J504" s="80" t="s">
        <v>2846</v>
      </c>
      <c r="K504" t="s">
        <v>767</v>
      </c>
      <c r="L504">
        <v>9006</v>
      </c>
      <c r="M504" t="s">
        <v>1855</v>
      </c>
      <c r="O504">
        <v>0.2</v>
      </c>
      <c r="P504" s="80" t="s">
        <v>2847</v>
      </c>
      <c r="Q504" t="s">
        <v>769</v>
      </c>
      <c r="R504">
        <v>9004</v>
      </c>
      <c r="S504" t="s">
        <v>2250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50</v>
      </c>
      <c r="AD504">
        <v>1</v>
      </c>
      <c r="AE504">
        <v>8000</v>
      </c>
      <c r="AF504">
        <v>1580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2953</v>
      </c>
      <c r="E505">
        <v>150</v>
      </c>
      <c r="G505" s="90" t="s">
        <v>2954</v>
      </c>
      <c r="I505">
        <v>51095</v>
      </c>
      <c r="J505" s="80" t="s">
        <v>2846</v>
      </c>
      <c r="K505" t="s">
        <v>767</v>
      </c>
      <c r="L505">
        <v>9001</v>
      </c>
      <c r="M505" t="s">
        <v>2955</v>
      </c>
      <c r="O505">
        <v>0.5</v>
      </c>
      <c r="P505" s="80" t="s">
        <v>2847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50</v>
      </c>
      <c r="AD505">
        <v>1</v>
      </c>
      <c r="AE505">
        <v>8000</v>
      </c>
      <c r="AF505">
        <v>1580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2956</v>
      </c>
      <c r="E506">
        <v>150</v>
      </c>
      <c r="G506" s="90" t="s">
        <v>2957</v>
      </c>
      <c r="I506">
        <v>51220</v>
      </c>
      <c r="J506" s="80" t="s">
        <v>2958</v>
      </c>
      <c r="K506" t="s">
        <v>767</v>
      </c>
      <c r="L506">
        <v>9005</v>
      </c>
      <c r="M506">
        <v>10</v>
      </c>
      <c r="O506">
        <v>0.3</v>
      </c>
      <c r="P506" s="80" t="s">
        <v>2959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50</v>
      </c>
      <c r="AD506">
        <v>1</v>
      </c>
      <c r="AE506">
        <v>8000</v>
      </c>
      <c r="AF506">
        <v>1590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2960</v>
      </c>
      <c r="E507">
        <v>150</v>
      </c>
      <c r="G507" s="90" t="s">
        <v>2961</v>
      </c>
      <c r="I507">
        <v>51345</v>
      </c>
      <c r="J507" s="80" t="s">
        <v>2958</v>
      </c>
      <c r="K507" t="s">
        <v>767</v>
      </c>
      <c r="L507">
        <v>9006</v>
      </c>
      <c r="M507">
        <v>8</v>
      </c>
      <c r="O507">
        <v>0.5</v>
      </c>
      <c r="P507" s="80" t="s">
        <v>2959</v>
      </c>
      <c r="Q507" t="s">
        <v>769</v>
      </c>
      <c r="R507">
        <v>9011</v>
      </c>
      <c r="S507" t="s">
        <v>2134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50</v>
      </c>
      <c r="AD507">
        <v>1</v>
      </c>
      <c r="AE507">
        <v>8000</v>
      </c>
      <c r="AF507">
        <v>1590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2962</v>
      </c>
      <c r="E508">
        <v>150</v>
      </c>
      <c r="G508" s="90" t="s">
        <v>2963</v>
      </c>
      <c r="I508">
        <v>51470</v>
      </c>
      <c r="J508" s="80" t="s">
        <v>2958</v>
      </c>
      <c r="K508" t="s">
        <v>767</v>
      </c>
      <c r="L508">
        <v>9011</v>
      </c>
      <c r="M508" t="s">
        <v>1701</v>
      </c>
      <c r="O508">
        <v>0.5</v>
      </c>
      <c r="P508" s="80" t="s">
        <v>2959</v>
      </c>
      <c r="Q508" t="s">
        <v>769</v>
      </c>
      <c r="R508">
        <v>9008</v>
      </c>
      <c r="S508" t="s">
        <v>2454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50</v>
      </c>
      <c r="AD508">
        <v>1</v>
      </c>
      <c r="AE508">
        <v>8000</v>
      </c>
      <c r="AF508">
        <v>1600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2964</v>
      </c>
      <c r="E509">
        <v>150</v>
      </c>
      <c r="G509" s="90" t="s">
        <v>2957</v>
      </c>
      <c r="I509">
        <v>51595</v>
      </c>
      <c r="J509" s="80" t="s">
        <v>2958</v>
      </c>
      <c r="K509" t="s">
        <v>767</v>
      </c>
      <c r="L509">
        <v>9002</v>
      </c>
      <c r="M509">
        <v>1</v>
      </c>
      <c r="O509">
        <v>0.6</v>
      </c>
      <c r="P509" s="80" t="s">
        <v>2959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50</v>
      </c>
      <c r="AD509">
        <v>1</v>
      </c>
      <c r="AE509">
        <v>8000</v>
      </c>
      <c r="AF509">
        <v>1600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2965</v>
      </c>
      <c r="E510">
        <v>150</v>
      </c>
      <c r="G510" s="90" t="s">
        <v>2963</v>
      </c>
      <c r="I510">
        <v>51720</v>
      </c>
      <c r="J510" s="80" t="s">
        <v>2958</v>
      </c>
      <c r="K510" t="s">
        <v>767</v>
      </c>
      <c r="L510">
        <v>9008</v>
      </c>
      <c r="M510">
        <v>4</v>
      </c>
      <c r="O510">
        <v>0.3</v>
      </c>
      <c r="P510" s="80" t="s">
        <v>2959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50</v>
      </c>
      <c r="AD510">
        <v>1</v>
      </c>
      <c r="AE510">
        <v>8000</v>
      </c>
      <c r="AF510">
        <v>1610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2966</v>
      </c>
      <c r="E511">
        <v>150</v>
      </c>
      <c r="G511" s="90" t="s">
        <v>2967</v>
      </c>
      <c r="I511">
        <v>51845</v>
      </c>
      <c r="J511" s="80" t="s">
        <v>2958</v>
      </c>
      <c r="K511" t="s">
        <v>767</v>
      </c>
      <c r="L511">
        <v>9008</v>
      </c>
      <c r="M511" t="s">
        <v>1801</v>
      </c>
      <c r="O511">
        <v>0.8</v>
      </c>
      <c r="P511" s="80" t="s">
        <v>2959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50</v>
      </c>
      <c r="AD511">
        <v>1</v>
      </c>
      <c r="AE511">
        <v>8000</v>
      </c>
      <c r="AF511">
        <v>1610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2968</v>
      </c>
      <c r="E512">
        <v>150</v>
      </c>
      <c r="G512" s="90" t="s">
        <v>2969</v>
      </c>
      <c r="I512">
        <v>51970</v>
      </c>
      <c r="J512" s="80" t="s">
        <v>2958</v>
      </c>
      <c r="K512" t="s">
        <v>767</v>
      </c>
      <c r="L512">
        <v>9005</v>
      </c>
      <c r="M512">
        <v>12</v>
      </c>
      <c r="O512">
        <v>0.3</v>
      </c>
      <c r="P512" s="80" t="s">
        <v>2959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50</v>
      </c>
      <c r="AD512">
        <v>1</v>
      </c>
      <c r="AE512">
        <v>8000</v>
      </c>
      <c r="AF512">
        <v>1620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2970</v>
      </c>
      <c r="E513">
        <v>150</v>
      </c>
      <c r="G513" s="90" t="s">
        <v>2971</v>
      </c>
      <c r="I513">
        <v>52095</v>
      </c>
      <c r="J513" s="80" t="s">
        <v>2958</v>
      </c>
      <c r="K513" t="s">
        <v>767</v>
      </c>
      <c r="L513">
        <v>9008</v>
      </c>
      <c r="M513" t="s">
        <v>2235</v>
      </c>
      <c r="O513">
        <v>0.2</v>
      </c>
      <c r="P513" s="80" t="s">
        <v>2959</v>
      </c>
      <c r="Q513" t="s">
        <v>769</v>
      </c>
      <c r="R513">
        <v>9010</v>
      </c>
      <c r="S513" t="s">
        <v>2972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50</v>
      </c>
      <c r="AD513">
        <v>1</v>
      </c>
      <c r="AE513">
        <v>8000</v>
      </c>
      <c r="AF513">
        <v>1620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2973</v>
      </c>
      <c r="E514">
        <v>150</v>
      </c>
      <c r="G514" s="90" t="s">
        <v>2974</v>
      </c>
      <c r="I514">
        <v>52220</v>
      </c>
      <c r="J514" s="80" t="s">
        <v>2958</v>
      </c>
      <c r="K514" t="s">
        <v>767</v>
      </c>
      <c r="L514">
        <v>9008</v>
      </c>
      <c r="M514" t="s">
        <v>1781</v>
      </c>
      <c r="O514">
        <v>0.3</v>
      </c>
      <c r="P514" s="80" t="s">
        <v>2959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50</v>
      </c>
      <c r="AD514">
        <v>1</v>
      </c>
      <c r="AE514">
        <v>8000</v>
      </c>
      <c r="AF514">
        <v>1630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2975</v>
      </c>
      <c r="E515">
        <v>150</v>
      </c>
      <c r="G515" s="90" t="s">
        <v>2976</v>
      </c>
      <c r="I515">
        <v>52345</v>
      </c>
      <c r="J515" s="80" t="s">
        <v>2958</v>
      </c>
      <c r="K515" t="s">
        <v>767</v>
      </c>
      <c r="L515">
        <v>9011</v>
      </c>
      <c r="M515" t="s">
        <v>1780</v>
      </c>
      <c r="O515">
        <v>0.9</v>
      </c>
      <c r="P515" s="80" t="s">
        <v>2959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50</v>
      </c>
      <c r="AD515">
        <v>1</v>
      </c>
      <c r="AE515">
        <v>8000</v>
      </c>
      <c r="AF515">
        <v>1630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2977</v>
      </c>
      <c r="E516">
        <v>150</v>
      </c>
      <c r="G516" s="90" t="s">
        <v>2978</v>
      </c>
      <c r="I516">
        <v>52470</v>
      </c>
      <c r="J516" s="80" t="s">
        <v>2958</v>
      </c>
      <c r="K516" t="s">
        <v>767</v>
      </c>
      <c r="L516">
        <v>9011</v>
      </c>
      <c r="M516" t="s">
        <v>1931</v>
      </c>
      <c r="O516">
        <v>0.7</v>
      </c>
      <c r="P516" s="80" t="s">
        <v>2959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50</v>
      </c>
      <c r="AD516">
        <v>1</v>
      </c>
      <c r="AE516">
        <v>8000</v>
      </c>
      <c r="AF516">
        <v>1640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2979</v>
      </c>
      <c r="E517">
        <v>150</v>
      </c>
      <c r="G517" s="90" t="s">
        <v>2969</v>
      </c>
      <c r="I517">
        <v>52595</v>
      </c>
      <c r="J517" s="80" t="s">
        <v>2958</v>
      </c>
      <c r="K517" t="s">
        <v>767</v>
      </c>
      <c r="L517">
        <v>9001</v>
      </c>
      <c r="M517">
        <v>2</v>
      </c>
      <c r="O517">
        <v>0.9</v>
      </c>
      <c r="P517" s="80" t="s">
        <v>2959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50</v>
      </c>
      <c r="AD517">
        <v>1</v>
      </c>
      <c r="AE517">
        <v>8000</v>
      </c>
      <c r="AF517">
        <v>1640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2980</v>
      </c>
      <c r="E518">
        <v>150</v>
      </c>
      <c r="G518" s="90" t="s">
        <v>2981</v>
      </c>
      <c r="I518">
        <v>52720</v>
      </c>
      <c r="J518" s="80" t="s">
        <v>2958</v>
      </c>
      <c r="K518" t="s">
        <v>767</v>
      </c>
      <c r="L518">
        <v>9002</v>
      </c>
      <c r="M518" t="s">
        <v>1819</v>
      </c>
      <c r="O518">
        <v>0.5</v>
      </c>
      <c r="P518" s="80" t="s">
        <v>2959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50</v>
      </c>
      <c r="AD518">
        <v>1</v>
      </c>
      <c r="AE518">
        <v>8000</v>
      </c>
      <c r="AF518">
        <v>1650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2982</v>
      </c>
      <c r="E519">
        <v>150</v>
      </c>
      <c r="G519" s="90" t="s">
        <v>2983</v>
      </c>
      <c r="I519">
        <v>52845</v>
      </c>
      <c r="J519" s="80" t="s">
        <v>2958</v>
      </c>
      <c r="K519" t="s">
        <v>767</v>
      </c>
      <c r="L519">
        <v>9007</v>
      </c>
      <c r="M519">
        <v>11</v>
      </c>
      <c r="O519">
        <v>0.3</v>
      </c>
      <c r="P519" s="80" t="s">
        <v>2959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50</v>
      </c>
      <c r="AD519">
        <v>1</v>
      </c>
      <c r="AE519">
        <v>8000</v>
      </c>
      <c r="AF519">
        <v>1650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2984</v>
      </c>
      <c r="E520">
        <v>150</v>
      </c>
      <c r="G520" s="90" t="s">
        <v>2985</v>
      </c>
      <c r="I520">
        <v>52970</v>
      </c>
      <c r="J520" s="80" t="s">
        <v>2958</v>
      </c>
      <c r="K520" t="s">
        <v>767</v>
      </c>
      <c r="L520">
        <v>9001</v>
      </c>
      <c r="M520">
        <v>3</v>
      </c>
      <c r="O520">
        <v>0.1</v>
      </c>
      <c r="P520" s="80" t="s">
        <v>2959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50</v>
      </c>
      <c r="AD520">
        <v>1</v>
      </c>
      <c r="AE520">
        <v>8000</v>
      </c>
      <c r="AF520">
        <v>1660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2986</v>
      </c>
      <c r="E521">
        <v>150</v>
      </c>
      <c r="G521" s="90" t="s">
        <v>2987</v>
      </c>
      <c r="I521">
        <v>53095</v>
      </c>
      <c r="J521" s="80" t="s">
        <v>2958</v>
      </c>
      <c r="K521" t="s">
        <v>767</v>
      </c>
      <c r="L521">
        <v>9001</v>
      </c>
      <c r="M521">
        <v>13</v>
      </c>
      <c r="O521">
        <v>0.8</v>
      </c>
      <c r="P521" s="80" t="s">
        <v>2959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50</v>
      </c>
      <c r="AD521">
        <v>1</v>
      </c>
      <c r="AE521">
        <v>8000</v>
      </c>
      <c r="AF521">
        <v>1660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2988</v>
      </c>
      <c r="E522">
        <v>150</v>
      </c>
      <c r="G522" s="90" t="s">
        <v>2989</v>
      </c>
      <c r="I522">
        <v>53220</v>
      </c>
      <c r="J522" s="80" t="s">
        <v>2958</v>
      </c>
      <c r="K522" t="s">
        <v>767</v>
      </c>
      <c r="L522">
        <v>9005</v>
      </c>
      <c r="M522" t="s">
        <v>1815</v>
      </c>
      <c r="O522">
        <v>0.1</v>
      </c>
      <c r="P522" s="80" t="s">
        <v>2959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50</v>
      </c>
      <c r="AD522">
        <v>1</v>
      </c>
      <c r="AE522">
        <v>8000</v>
      </c>
      <c r="AF522">
        <v>1670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2990</v>
      </c>
      <c r="E523">
        <v>150</v>
      </c>
      <c r="G523" s="90" t="s">
        <v>2991</v>
      </c>
      <c r="I523">
        <v>53345</v>
      </c>
      <c r="J523" s="80" t="s">
        <v>2958</v>
      </c>
      <c r="K523" t="s">
        <v>767</v>
      </c>
      <c r="L523">
        <v>9006</v>
      </c>
      <c r="M523">
        <v>7</v>
      </c>
      <c r="O523">
        <v>0.3</v>
      </c>
      <c r="P523" s="80" t="s">
        <v>2959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50</v>
      </c>
      <c r="AD523">
        <v>1</v>
      </c>
      <c r="AE523">
        <v>8000</v>
      </c>
      <c r="AF523">
        <v>1680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2992</v>
      </c>
      <c r="E524">
        <v>150</v>
      </c>
      <c r="G524" s="90" t="s">
        <v>2993</v>
      </c>
      <c r="I524">
        <v>53470</v>
      </c>
      <c r="J524" s="80" t="s">
        <v>2958</v>
      </c>
      <c r="K524" t="s">
        <v>767</v>
      </c>
      <c r="L524">
        <v>9006</v>
      </c>
      <c r="M524" t="s">
        <v>2134</v>
      </c>
      <c r="O524">
        <v>0.3</v>
      </c>
      <c r="P524" s="80" t="s">
        <v>2959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50</v>
      </c>
      <c r="AD524">
        <v>1</v>
      </c>
      <c r="AE524">
        <v>8000</v>
      </c>
      <c r="AF524">
        <v>1680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2994</v>
      </c>
      <c r="E525">
        <v>150</v>
      </c>
      <c r="G525" s="90" t="s">
        <v>2995</v>
      </c>
      <c r="I525">
        <v>53595</v>
      </c>
      <c r="J525" s="80" t="s">
        <v>2958</v>
      </c>
      <c r="K525" t="s">
        <v>767</v>
      </c>
      <c r="L525">
        <v>9006</v>
      </c>
      <c r="M525" t="s">
        <v>2076</v>
      </c>
      <c r="O525">
        <v>0.6</v>
      </c>
      <c r="P525" s="80" t="s">
        <v>2959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</v>
      </c>
      <c r="AD525">
        <v>1</v>
      </c>
      <c r="AE525">
        <v>8000</v>
      </c>
      <c r="AF525">
        <v>1690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2996</v>
      </c>
      <c r="E526">
        <v>150</v>
      </c>
      <c r="G526" s="90" t="s">
        <v>2997</v>
      </c>
      <c r="I526">
        <v>53720</v>
      </c>
      <c r="J526" s="80" t="s">
        <v>2958</v>
      </c>
      <c r="K526" t="s">
        <v>767</v>
      </c>
      <c r="L526">
        <v>9011</v>
      </c>
      <c r="M526" t="s">
        <v>2998</v>
      </c>
      <c r="O526">
        <v>0.9</v>
      </c>
      <c r="P526" s="80" t="s">
        <v>2959</v>
      </c>
      <c r="Q526" t="s">
        <v>769</v>
      </c>
      <c r="R526">
        <v>9011</v>
      </c>
      <c r="S526" t="s">
        <v>2441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50</v>
      </c>
      <c r="AD526">
        <v>1</v>
      </c>
      <c r="AE526">
        <v>8000</v>
      </c>
      <c r="AF526">
        <v>1690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2999</v>
      </c>
      <c r="E527">
        <v>150</v>
      </c>
      <c r="G527" s="90" t="s">
        <v>3000</v>
      </c>
      <c r="I527">
        <v>53845</v>
      </c>
      <c r="J527" s="80" t="s">
        <v>2958</v>
      </c>
      <c r="K527" t="s">
        <v>767</v>
      </c>
      <c r="L527">
        <v>9006</v>
      </c>
      <c r="M527">
        <v>8</v>
      </c>
      <c r="O527">
        <v>0.7</v>
      </c>
      <c r="P527" s="80" t="s">
        <v>2959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50</v>
      </c>
      <c r="AD527">
        <v>1</v>
      </c>
      <c r="AE527">
        <v>8000</v>
      </c>
      <c r="AF527">
        <v>1700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3001</v>
      </c>
      <c r="E528">
        <v>150</v>
      </c>
      <c r="G528" s="90" t="s">
        <v>3002</v>
      </c>
      <c r="I528">
        <v>53970</v>
      </c>
      <c r="J528" s="80" t="s">
        <v>2958</v>
      </c>
      <c r="K528" t="s">
        <v>767</v>
      </c>
      <c r="L528">
        <v>9005</v>
      </c>
      <c r="M528">
        <v>11</v>
      </c>
      <c r="O528">
        <v>0.9</v>
      </c>
      <c r="P528" s="80" t="s">
        <v>2959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50</v>
      </c>
      <c r="AD528">
        <v>1</v>
      </c>
      <c r="AE528">
        <v>8000</v>
      </c>
      <c r="AF528">
        <v>1700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3003</v>
      </c>
      <c r="E529">
        <v>150</v>
      </c>
      <c r="G529" s="90" t="s">
        <v>3004</v>
      </c>
      <c r="I529">
        <v>54095</v>
      </c>
      <c r="J529" s="80" t="s">
        <v>2958</v>
      </c>
      <c r="K529" t="s">
        <v>767</v>
      </c>
      <c r="L529">
        <v>9011</v>
      </c>
      <c r="M529" t="s">
        <v>1791</v>
      </c>
      <c r="O529">
        <v>0.8</v>
      </c>
      <c r="P529" s="80" t="s">
        <v>2959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50</v>
      </c>
      <c r="AD529">
        <v>1</v>
      </c>
      <c r="AE529">
        <v>8000</v>
      </c>
      <c r="AF529">
        <v>1710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3005</v>
      </c>
      <c r="E530">
        <v>150</v>
      </c>
      <c r="G530" s="90" t="s">
        <v>3006</v>
      </c>
      <c r="I530">
        <v>54220</v>
      </c>
      <c r="J530" s="80" t="s">
        <v>2958</v>
      </c>
      <c r="K530" t="s">
        <v>767</v>
      </c>
      <c r="L530">
        <v>9002</v>
      </c>
      <c r="M530" t="s">
        <v>1786</v>
      </c>
      <c r="O530">
        <v>0.1</v>
      </c>
      <c r="P530" s="80" t="s">
        <v>2959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50</v>
      </c>
      <c r="AD530">
        <v>1</v>
      </c>
      <c r="AE530">
        <v>8000</v>
      </c>
      <c r="AF530">
        <v>1710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3007</v>
      </c>
      <c r="E531">
        <v>150</v>
      </c>
      <c r="G531" s="90" t="s">
        <v>3008</v>
      </c>
      <c r="I531">
        <v>54345</v>
      </c>
      <c r="J531" s="80" t="s">
        <v>2958</v>
      </c>
      <c r="K531" t="s">
        <v>767</v>
      </c>
      <c r="L531">
        <v>9001</v>
      </c>
      <c r="M531">
        <v>3</v>
      </c>
      <c r="O531">
        <v>0.9</v>
      </c>
      <c r="P531" s="80" t="s">
        <v>2959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50</v>
      </c>
      <c r="AD531">
        <v>1</v>
      </c>
      <c r="AE531">
        <v>8000</v>
      </c>
      <c r="AF531">
        <v>1720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3009</v>
      </c>
      <c r="E532">
        <v>150</v>
      </c>
      <c r="G532" s="90" t="s">
        <v>3010</v>
      </c>
      <c r="I532">
        <v>54470</v>
      </c>
      <c r="J532" s="80" t="s">
        <v>2958</v>
      </c>
      <c r="K532" t="s">
        <v>767</v>
      </c>
      <c r="L532">
        <v>9001</v>
      </c>
      <c r="M532">
        <v>13</v>
      </c>
      <c r="O532">
        <v>0.2</v>
      </c>
      <c r="P532" s="80" t="s">
        <v>2959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50</v>
      </c>
      <c r="AD532">
        <v>1</v>
      </c>
      <c r="AE532">
        <v>8000</v>
      </c>
      <c r="AF532">
        <v>1720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3011</v>
      </c>
      <c r="E533">
        <v>150</v>
      </c>
      <c r="G533" s="90" t="s">
        <v>3012</v>
      </c>
      <c r="I533">
        <v>54595</v>
      </c>
      <c r="J533" s="80" t="s">
        <v>2958</v>
      </c>
      <c r="K533" t="s">
        <v>767</v>
      </c>
      <c r="L533">
        <v>9007</v>
      </c>
      <c r="M533" t="s">
        <v>1855</v>
      </c>
      <c r="O533">
        <v>0.2</v>
      </c>
      <c r="P533" s="80" t="s">
        <v>2959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50</v>
      </c>
      <c r="AD533">
        <v>1</v>
      </c>
      <c r="AE533">
        <v>8000</v>
      </c>
      <c r="AF533">
        <v>1730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3013</v>
      </c>
      <c r="E534">
        <v>150</v>
      </c>
      <c r="G534" s="90" t="s">
        <v>3014</v>
      </c>
      <c r="I534">
        <v>54720</v>
      </c>
      <c r="J534" s="80" t="s">
        <v>2958</v>
      </c>
      <c r="K534" t="s">
        <v>767</v>
      </c>
      <c r="L534">
        <v>9002</v>
      </c>
      <c r="M534" t="s">
        <v>2002</v>
      </c>
      <c r="O534">
        <v>0.6</v>
      </c>
      <c r="P534" s="80" t="s">
        <v>2959</v>
      </c>
      <c r="Q534" t="s">
        <v>769</v>
      </c>
      <c r="R534">
        <v>9011</v>
      </c>
      <c r="S534" t="s">
        <v>2874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50</v>
      </c>
      <c r="AD534">
        <v>1</v>
      </c>
      <c r="AE534">
        <v>8000</v>
      </c>
      <c r="AF534">
        <v>1730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3015</v>
      </c>
      <c r="E535">
        <v>150</v>
      </c>
      <c r="G535" s="90" t="s">
        <v>3016</v>
      </c>
      <c r="I535">
        <v>54845</v>
      </c>
      <c r="J535" s="80" t="s">
        <v>2958</v>
      </c>
      <c r="K535" t="s">
        <v>767</v>
      </c>
      <c r="L535">
        <v>9001</v>
      </c>
      <c r="M535">
        <v>6</v>
      </c>
      <c r="O535">
        <v>0.3</v>
      </c>
      <c r="P535" s="80" t="s">
        <v>2959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50</v>
      </c>
      <c r="AD535">
        <v>1</v>
      </c>
      <c r="AE535">
        <v>8000</v>
      </c>
      <c r="AF535">
        <v>1740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3017</v>
      </c>
      <c r="E536">
        <v>150</v>
      </c>
      <c r="G536" s="90" t="s">
        <v>3018</v>
      </c>
      <c r="I536">
        <v>54970</v>
      </c>
      <c r="J536" s="80" t="s">
        <v>2958</v>
      </c>
      <c r="K536" t="s">
        <v>767</v>
      </c>
      <c r="L536">
        <v>9002</v>
      </c>
      <c r="M536" t="s">
        <v>1777</v>
      </c>
      <c r="O536">
        <v>0.9</v>
      </c>
      <c r="P536" s="80" t="s">
        <v>2959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50</v>
      </c>
      <c r="AD536">
        <v>1</v>
      </c>
      <c r="AE536">
        <v>8000</v>
      </c>
      <c r="AF536">
        <v>1740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3019</v>
      </c>
      <c r="E537">
        <v>150</v>
      </c>
      <c r="G537" s="90" t="s">
        <v>3020</v>
      </c>
      <c r="I537">
        <v>55095</v>
      </c>
      <c r="J537" s="80" t="s">
        <v>2958</v>
      </c>
      <c r="K537" t="s">
        <v>767</v>
      </c>
      <c r="L537">
        <v>9011</v>
      </c>
      <c r="M537" t="s">
        <v>1924</v>
      </c>
      <c r="O537">
        <v>0.6</v>
      </c>
      <c r="P537" s="80" t="s">
        <v>2959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50</v>
      </c>
      <c r="AD537">
        <v>1</v>
      </c>
      <c r="AE537">
        <v>8000</v>
      </c>
      <c r="AF537">
        <v>1750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3021</v>
      </c>
      <c r="E538">
        <v>150</v>
      </c>
      <c r="G538" s="90" t="s">
        <v>3022</v>
      </c>
      <c r="I538">
        <v>55220</v>
      </c>
      <c r="J538" s="80" t="s">
        <v>2958</v>
      </c>
      <c r="K538" t="s">
        <v>767</v>
      </c>
      <c r="L538">
        <v>9008</v>
      </c>
      <c r="M538" t="s">
        <v>2177</v>
      </c>
      <c r="O538">
        <v>0.5</v>
      </c>
      <c r="P538" s="80" t="s">
        <v>2959</v>
      </c>
      <c r="Q538" t="s">
        <v>769</v>
      </c>
      <c r="R538">
        <v>9010</v>
      </c>
      <c r="S538" t="s">
        <v>2360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50</v>
      </c>
      <c r="AD538">
        <v>1</v>
      </c>
      <c r="AE538">
        <v>8000</v>
      </c>
      <c r="AF538">
        <v>1750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3023</v>
      </c>
      <c r="E539">
        <v>150</v>
      </c>
      <c r="G539" s="90" t="s">
        <v>3024</v>
      </c>
      <c r="I539">
        <v>55345</v>
      </c>
      <c r="J539" s="80" t="s">
        <v>2958</v>
      </c>
      <c r="K539" t="s">
        <v>767</v>
      </c>
      <c r="L539">
        <v>9012</v>
      </c>
      <c r="M539">
        <v>11</v>
      </c>
      <c r="O539">
        <v>0.8</v>
      </c>
      <c r="P539" s="80" t="s">
        <v>2959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50</v>
      </c>
      <c r="AD539">
        <v>1</v>
      </c>
      <c r="AE539">
        <v>8000</v>
      </c>
      <c r="AF539">
        <v>1760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3025</v>
      </c>
      <c r="E540">
        <v>150</v>
      </c>
      <c r="G540" s="90" t="s">
        <v>3026</v>
      </c>
      <c r="I540">
        <v>55470</v>
      </c>
      <c r="J540" s="80" t="s">
        <v>2958</v>
      </c>
      <c r="K540" t="s">
        <v>767</v>
      </c>
      <c r="L540">
        <v>9008</v>
      </c>
      <c r="M540" t="s">
        <v>1719</v>
      </c>
      <c r="O540">
        <v>0.9</v>
      </c>
      <c r="P540" s="80" t="s">
        <v>2959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50</v>
      </c>
      <c r="AD540">
        <v>1</v>
      </c>
      <c r="AE540">
        <v>8000</v>
      </c>
      <c r="AF540">
        <v>1760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3027</v>
      </c>
      <c r="E541">
        <v>150</v>
      </c>
      <c r="G541" s="90" t="s">
        <v>3028</v>
      </c>
      <c r="I541">
        <v>55595</v>
      </c>
      <c r="J541" s="80" t="s">
        <v>2958</v>
      </c>
      <c r="K541" t="s">
        <v>767</v>
      </c>
      <c r="L541">
        <v>9012</v>
      </c>
      <c r="M541" t="s">
        <v>1827</v>
      </c>
      <c r="O541">
        <v>0.7</v>
      </c>
      <c r="P541" s="80" t="s">
        <v>2959</v>
      </c>
      <c r="Q541" t="s">
        <v>769</v>
      </c>
      <c r="R541">
        <v>9010</v>
      </c>
      <c r="S541" t="s">
        <v>3029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50</v>
      </c>
      <c r="AD541">
        <v>1</v>
      </c>
      <c r="AE541">
        <v>8000</v>
      </c>
      <c r="AF541">
        <v>1770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3030</v>
      </c>
      <c r="E542">
        <v>150</v>
      </c>
      <c r="G542" s="90" t="s">
        <v>3031</v>
      </c>
      <c r="I542">
        <v>55720</v>
      </c>
      <c r="J542" s="80" t="s">
        <v>2958</v>
      </c>
      <c r="K542" t="s">
        <v>767</v>
      </c>
      <c r="L542">
        <v>9002</v>
      </c>
      <c r="M542">
        <v>12</v>
      </c>
      <c r="O542">
        <v>0.3</v>
      </c>
      <c r="P542" s="80" t="s">
        <v>2959</v>
      </c>
      <c r="Q542" t="s">
        <v>769</v>
      </c>
      <c r="R542">
        <v>9010</v>
      </c>
      <c r="S542" t="s">
        <v>2311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50</v>
      </c>
      <c r="AD542">
        <v>1</v>
      </c>
      <c r="AE542">
        <v>8000</v>
      </c>
      <c r="AF542">
        <v>1780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3032</v>
      </c>
      <c r="E543">
        <v>150</v>
      </c>
      <c r="G543" s="90" t="s">
        <v>3033</v>
      </c>
      <c r="I543">
        <v>55845</v>
      </c>
      <c r="J543" s="80" t="s">
        <v>2958</v>
      </c>
      <c r="K543" t="s">
        <v>767</v>
      </c>
      <c r="L543">
        <v>9001</v>
      </c>
      <c r="M543">
        <v>3</v>
      </c>
      <c r="O543">
        <v>0.2</v>
      </c>
      <c r="P543" s="80" t="s">
        <v>2959</v>
      </c>
      <c r="Q543" t="s">
        <v>769</v>
      </c>
      <c r="R543">
        <v>9008</v>
      </c>
      <c r="S543" t="s">
        <v>3034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50</v>
      </c>
      <c r="AD543">
        <v>1</v>
      </c>
      <c r="AE543">
        <v>8000</v>
      </c>
      <c r="AF543">
        <v>1780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3035</v>
      </c>
      <c r="E544">
        <v>150</v>
      </c>
      <c r="G544" s="90" t="s">
        <v>3036</v>
      </c>
      <c r="I544">
        <v>55970</v>
      </c>
      <c r="J544" s="80" t="s">
        <v>2958</v>
      </c>
      <c r="K544" t="s">
        <v>767</v>
      </c>
      <c r="L544">
        <v>9007</v>
      </c>
      <c r="M544" t="s">
        <v>1696</v>
      </c>
      <c r="O544">
        <v>0.4</v>
      </c>
      <c r="P544" s="80" t="s">
        <v>2959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50</v>
      </c>
      <c r="AD544">
        <v>1</v>
      </c>
      <c r="AE544">
        <v>8000</v>
      </c>
      <c r="AF544">
        <v>1790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3037</v>
      </c>
      <c r="E545">
        <v>150</v>
      </c>
      <c r="G545" s="90" t="s">
        <v>3038</v>
      </c>
      <c r="I545">
        <v>56095</v>
      </c>
      <c r="J545" s="80" t="s">
        <v>2958</v>
      </c>
      <c r="K545" t="s">
        <v>767</v>
      </c>
      <c r="L545">
        <v>9001</v>
      </c>
      <c r="M545" t="s">
        <v>2698</v>
      </c>
      <c r="O545">
        <v>0.6</v>
      </c>
      <c r="P545" s="80" t="s">
        <v>2959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50</v>
      </c>
      <c r="AD545">
        <v>1</v>
      </c>
      <c r="AE545">
        <v>8000</v>
      </c>
      <c r="AF545">
        <v>1790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3039</v>
      </c>
      <c r="E546">
        <v>150</v>
      </c>
      <c r="G546" s="90" t="s">
        <v>3040</v>
      </c>
      <c r="I546">
        <v>56220</v>
      </c>
      <c r="J546" s="80" t="s">
        <v>2958</v>
      </c>
      <c r="K546" t="s">
        <v>767</v>
      </c>
      <c r="L546">
        <v>9006</v>
      </c>
      <c r="M546">
        <v>13</v>
      </c>
      <c r="O546">
        <v>0.3</v>
      </c>
      <c r="P546" s="80" t="s">
        <v>2959</v>
      </c>
      <c r="Q546" t="s">
        <v>769</v>
      </c>
      <c r="R546">
        <v>9007</v>
      </c>
      <c r="S546" t="s">
        <v>2140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50</v>
      </c>
      <c r="AD546">
        <v>1</v>
      </c>
      <c r="AE546">
        <v>8000</v>
      </c>
      <c r="AF546">
        <v>1800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3041</v>
      </c>
      <c r="E547">
        <v>150</v>
      </c>
      <c r="G547" s="90" t="s">
        <v>3042</v>
      </c>
      <c r="I547">
        <v>56345</v>
      </c>
      <c r="J547" s="80" t="s">
        <v>2958</v>
      </c>
      <c r="K547" t="s">
        <v>767</v>
      </c>
      <c r="L547">
        <v>9007</v>
      </c>
      <c r="M547">
        <v>13</v>
      </c>
      <c r="O547">
        <v>0.5</v>
      </c>
      <c r="P547" s="80" t="s">
        <v>2959</v>
      </c>
      <c r="Q547" t="s">
        <v>769</v>
      </c>
      <c r="R547">
        <v>9012</v>
      </c>
      <c r="S547" t="s">
        <v>2177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50</v>
      </c>
      <c r="AD547">
        <v>1</v>
      </c>
      <c r="AE547">
        <v>8000</v>
      </c>
      <c r="AF547">
        <v>1800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3043</v>
      </c>
      <c r="E548">
        <v>150</v>
      </c>
      <c r="G548" s="90" t="s">
        <v>3044</v>
      </c>
      <c r="I548">
        <v>56470</v>
      </c>
      <c r="J548" s="80" t="s">
        <v>2958</v>
      </c>
      <c r="K548" t="s">
        <v>767</v>
      </c>
      <c r="L548">
        <v>9012</v>
      </c>
      <c r="M548" t="s">
        <v>1730</v>
      </c>
      <c r="O548">
        <v>0.7</v>
      </c>
      <c r="P548" s="80" t="s">
        <v>2959</v>
      </c>
      <c r="Q548" t="s">
        <v>769</v>
      </c>
      <c r="R548">
        <v>9010</v>
      </c>
      <c r="S548" t="s">
        <v>3045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50</v>
      </c>
      <c r="AD548">
        <v>1</v>
      </c>
      <c r="AE548">
        <v>8000</v>
      </c>
      <c r="AF548">
        <v>1810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3046</v>
      </c>
      <c r="E549">
        <v>150</v>
      </c>
      <c r="G549" s="90" t="s">
        <v>3047</v>
      </c>
      <c r="I549">
        <v>56595</v>
      </c>
      <c r="J549" s="80" t="s">
        <v>2958</v>
      </c>
      <c r="K549" t="s">
        <v>767</v>
      </c>
      <c r="L549">
        <v>9002</v>
      </c>
      <c r="M549" t="s">
        <v>1952</v>
      </c>
      <c r="O549">
        <v>0.8</v>
      </c>
      <c r="P549" s="80" t="s">
        <v>2959</v>
      </c>
      <c r="Q549" t="s">
        <v>769</v>
      </c>
      <c r="R549">
        <v>9011</v>
      </c>
      <c r="S549" t="s">
        <v>3048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50</v>
      </c>
      <c r="AD549">
        <v>1</v>
      </c>
      <c r="AE549">
        <v>8000</v>
      </c>
      <c r="AF549">
        <v>1810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3049</v>
      </c>
      <c r="E550">
        <v>150</v>
      </c>
      <c r="G550" s="90" t="s">
        <v>3050</v>
      </c>
      <c r="I550">
        <v>56720</v>
      </c>
      <c r="J550" s="80" t="s">
        <v>2958</v>
      </c>
      <c r="K550" t="s">
        <v>767</v>
      </c>
      <c r="L550">
        <v>9008</v>
      </c>
      <c r="M550" t="s">
        <v>3051</v>
      </c>
      <c r="O550">
        <v>0.9</v>
      </c>
      <c r="P550" s="80" t="s">
        <v>2959</v>
      </c>
      <c r="Q550" t="s">
        <v>769</v>
      </c>
      <c r="R550">
        <v>9012</v>
      </c>
      <c r="S550" t="s">
        <v>3052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50</v>
      </c>
      <c r="AD550">
        <v>1</v>
      </c>
      <c r="AE550">
        <v>8000</v>
      </c>
      <c r="AF550">
        <v>1820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3053</v>
      </c>
      <c r="E551">
        <v>150</v>
      </c>
      <c r="G551" s="90" t="s">
        <v>3054</v>
      </c>
      <c r="I551">
        <v>56845</v>
      </c>
      <c r="J551" s="80" t="s">
        <v>2958</v>
      </c>
      <c r="K551" t="s">
        <v>767</v>
      </c>
      <c r="L551">
        <v>9001</v>
      </c>
      <c r="M551" t="s">
        <v>2972</v>
      </c>
      <c r="O551">
        <v>0.1</v>
      </c>
      <c r="P551" s="80" t="s">
        <v>2959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50</v>
      </c>
      <c r="AD551">
        <v>1</v>
      </c>
      <c r="AE551">
        <v>8000</v>
      </c>
      <c r="AF551">
        <v>1820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3055</v>
      </c>
      <c r="E552">
        <v>150</v>
      </c>
      <c r="G552" s="90" t="s">
        <v>3056</v>
      </c>
      <c r="I552">
        <v>56970</v>
      </c>
      <c r="J552" s="80" t="s">
        <v>2958</v>
      </c>
      <c r="K552" t="s">
        <v>767</v>
      </c>
      <c r="L552">
        <v>9008</v>
      </c>
      <c r="M552" t="s">
        <v>1730</v>
      </c>
      <c r="O552">
        <v>0.5</v>
      </c>
      <c r="P552" s="80" t="s">
        <v>2959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50</v>
      </c>
      <c r="AD552">
        <v>1</v>
      </c>
      <c r="AE552">
        <v>8000</v>
      </c>
      <c r="AF552">
        <v>1830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3057</v>
      </c>
      <c r="E553">
        <v>150</v>
      </c>
      <c r="G553" s="90" t="s">
        <v>3058</v>
      </c>
      <c r="I553">
        <v>57095</v>
      </c>
      <c r="J553" s="80" t="s">
        <v>2958</v>
      </c>
      <c r="K553" t="s">
        <v>767</v>
      </c>
      <c r="L553">
        <v>9011</v>
      </c>
      <c r="M553">
        <v>13</v>
      </c>
      <c r="O553">
        <v>0.8</v>
      </c>
      <c r="P553" s="80" t="s">
        <v>2959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50</v>
      </c>
      <c r="AD553">
        <v>1</v>
      </c>
      <c r="AE553">
        <v>8000</v>
      </c>
      <c r="AF553">
        <v>1830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3059</v>
      </c>
      <c r="E554">
        <v>150</v>
      </c>
      <c r="G554" s="90" t="s">
        <v>3060</v>
      </c>
      <c r="I554">
        <v>57220</v>
      </c>
      <c r="J554" s="80" t="s">
        <v>2958</v>
      </c>
      <c r="K554" t="s">
        <v>767</v>
      </c>
      <c r="L554">
        <v>9011</v>
      </c>
      <c r="M554" t="s">
        <v>2253</v>
      </c>
      <c r="O554">
        <v>0.4</v>
      </c>
      <c r="P554" s="80" t="s">
        <v>2959</v>
      </c>
      <c r="Q554" t="s">
        <v>769</v>
      </c>
      <c r="R554">
        <v>9004</v>
      </c>
      <c r="S554" t="s">
        <v>2498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50</v>
      </c>
      <c r="AD554">
        <v>1</v>
      </c>
      <c r="AE554">
        <v>8000</v>
      </c>
      <c r="AF554">
        <v>1840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3061</v>
      </c>
      <c r="E555">
        <v>150</v>
      </c>
      <c r="G555" s="90" t="s">
        <v>3062</v>
      </c>
      <c r="I555">
        <v>57345</v>
      </c>
      <c r="J555" s="80" t="s">
        <v>2958</v>
      </c>
      <c r="K555" t="s">
        <v>767</v>
      </c>
      <c r="L555">
        <v>9006</v>
      </c>
      <c r="M555">
        <v>1</v>
      </c>
      <c r="O555">
        <v>0.2</v>
      </c>
      <c r="P555" s="80" t="s">
        <v>2959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</v>
      </c>
      <c r="AD555">
        <v>1</v>
      </c>
      <c r="AE555">
        <v>8000</v>
      </c>
      <c r="AF555">
        <v>1840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3063</v>
      </c>
      <c r="E556">
        <v>150</v>
      </c>
      <c r="G556" s="90" t="s">
        <v>3064</v>
      </c>
      <c r="I556">
        <v>57470</v>
      </c>
      <c r="J556" s="80" t="s">
        <v>3065</v>
      </c>
      <c r="K556" t="s">
        <v>767</v>
      </c>
      <c r="L556">
        <v>9005</v>
      </c>
      <c r="M556" t="s">
        <v>2939</v>
      </c>
      <c r="O556">
        <v>0.1</v>
      </c>
      <c r="P556" s="80" t="s">
        <v>3066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50</v>
      </c>
      <c r="AD556">
        <v>1</v>
      </c>
      <c r="AE556">
        <v>8000</v>
      </c>
      <c r="AF556">
        <v>1850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3067</v>
      </c>
      <c r="E557">
        <v>150</v>
      </c>
      <c r="G557" s="90" t="s">
        <v>3068</v>
      </c>
      <c r="I557">
        <v>57595</v>
      </c>
      <c r="J557" s="80" t="s">
        <v>3065</v>
      </c>
      <c r="K557" t="s">
        <v>767</v>
      </c>
      <c r="L557">
        <v>9008</v>
      </c>
      <c r="M557">
        <v>5</v>
      </c>
      <c r="O557">
        <v>0.2</v>
      </c>
      <c r="P557" s="80" t="s">
        <v>3066</v>
      </c>
      <c r="Q557" t="s">
        <v>769</v>
      </c>
      <c r="R557">
        <v>9003</v>
      </c>
      <c r="S557" t="s">
        <v>2149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50</v>
      </c>
      <c r="AD557">
        <v>1</v>
      </c>
      <c r="AE557">
        <v>8000</v>
      </c>
      <c r="AF557">
        <v>1850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3069</v>
      </c>
      <c r="E558">
        <v>150</v>
      </c>
      <c r="G558" s="90" t="s">
        <v>3070</v>
      </c>
      <c r="I558">
        <v>57720</v>
      </c>
      <c r="J558" s="80" t="s">
        <v>3065</v>
      </c>
      <c r="K558" t="s">
        <v>767</v>
      </c>
      <c r="L558">
        <v>9002</v>
      </c>
      <c r="M558">
        <v>7</v>
      </c>
      <c r="O558">
        <v>0.2</v>
      </c>
      <c r="P558" s="80" t="s">
        <v>3066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50</v>
      </c>
      <c r="AD558">
        <v>1</v>
      </c>
      <c r="AE558">
        <v>8000</v>
      </c>
      <c r="AF558">
        <v>1860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3071</v>
      </c>
      <c r="E559">
        <v>150</v>
      </c>
      <c r="G559" s="90" t="s">
        <v>3072</v>
      </c>
      <c r="I559">
        <v>57845</v>
      </c>
      <c r="J559" s="80" t="s">
        <v>3065</v>
      </c>
      <c r="K559" t="s">
        <v>767</v>
      </c>
      <c r="L559">
        <v>9002</v>
      </c>
      <c r="M559" t="s">
        <v>2114</v>
      </c>
      <c r="O559">
        <v>0.3</v>
      </c>
      <c r="P559" s="80" t="s">
        <v>3066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50</v>
      </c>
      <c r="AD559">
        <v>1</v>
      </c>
      <c r="AE559">
        <v>8000</v>
      </c>
      <c r="AF559">
        <v>1870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3073</v>
      </c>
      <c r="E560">
        <v>150</v>
      </c>
      <c r="G560" s="90" t="s">
        <v>3074</v>
      </c>
      <c r="I560">
        <v>57970</v>
      </c>
      <c r="J560" s="80" t="s">
        <v>3065</v>
      </c>
      <c r="K560" t="s">
        <v>767</v>
      </c>
      <c r="L560">
        <v>9008</v>
      </c>
      <c r="M560" t="s">
        <v>1709</v>
      </c>
      <c r="O560">
        <v>0.5</v>
      </c>
      <c r="P560" s="80" t="s">
        <v>3066</v>
      </c>
      <c r="Q560" t="s">
        <v>769</v>
      </c>
      <c r="R560">
        <v>9008</v>
      </c>
      <c r="S560" t="s">
        <v>2177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50</v>
      </c>
      <c r="AD560">
        <v>1</v>
      </c>
      <c r="AE560">
        <v>8000</v>
      </c>
      <c r="AF560">
        <v>1870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3075</v>
      </c>
      <c r="E561">
        <v>150</v>
      </c>
      <c r="G561" s="90" t="s">
        <v>3076</v>
      </c>
      <c r="I561">
        <v>58095</v>
      </c>
      <c r="J561" s="80" t="s">
        <v>3065</v>
      </c>
      <c r="K561" t="s">
        <v>767</v>
      </c>
      <c r="L561">
        <v>9007</v>
      </c>
      <c r="M561" t="s">
        <v>1768</v>
      </c>
      <c r="O561">
        <v>0.6</v>
      </c>
      <c r="P561" s="80" t="s">
        <v>3066</v>
      </c>
      <c r="Q561" t="s">
        <v>769</v>
      </c>
      <c r="R561">
        <v>9004</v>
      </c>
      <c r="S561" t="s">
        <v>2231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50</v>
      </c>
      <c r="AD561">
        <v>1</v>
      </c>
      <c r="AE561">
        <v>8000</v>
      </c>
      <c r="AF561">
        <v>1880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3077</v>
      </c>
      <c r="E562">
        <v>150</v>
      </c>
      <c r="G562" s="90" t="s">
        <v>3078</v>
      </c>
      <c r="I562">
        <v>58220</v>
      </c>
      <c r="J562" s="80" t="s">
        <v>3065</v>
      </c>
      <c r="K562" t="s">
        <v>767</v>
      </c>
      <c r="L562">
        <v>9005</v>
      </c>
      <c r="M562" t="s">
        <v>2005</v>
      </c>
      <c r="O562">
        <v>0.3</v>
      </c>
      <c r="P562" s="80" t="s">
        <v>3066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50</v>
      </c>
      <c r="AD562">
        <v>1</v>
      </c>
      <c r="AE562">
        <v>8000</v>
      </c>
      <c r="AF562">
        <v>1880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3079</v>
      </c>
      <c r="E563">
        <v>150</v>
      </c>
      <c r="G563" s="90" t="s">
        <v>3080</v>
      </c>
      <c r="I563">
        <v>58345</v>
      </c>
      <c r="J563" s="80" t="s">
        <v>3065</v>
      </c>
      <c r="K563" t="s">
        <v>767</v>
      </c>
      <c r="L563">
        <v>9007</v>
      </c>
      <c r="M563">
        <v>11</v>
      </c>
      <c r="O563">
        <v>0.5</v>
      </c>
      <c r="P563" s="80" t="s">
        <v>3066</v>
      </c>
      <c r="Q563" t="s">
        <v>769</v>
      </c>
      <c r="R563">
        <v>9011</v>
      </c>
      <c r="S563" t="s">
        <v>2238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50</v>
      </c>
      <c r="AD563">
        <v>1</v>
      </c>
      <c r="AE563">
        <v>8000</v>
      </c>
      <c r="AF563">
        <v>1890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3081</v>
      </c>
      <c r="E564">
        <v>150</v>
      </c>
      <c r="G564" s="90" t="s">
        <v>3078</v>
      </c>
      <c r="I564">
        <v>58470</v>
      </c>
      <c r="J564" s="80" t="s">
        <v>3065</v>
      </c>
      <c r="K564" t="s">
        <v>767</v>
      </c>
      <c r="L564">
        <v>9002</v>
      </c>
      <c r="M564" t="s">
        <v>1928</v>
      </c>
      <c r="O564">
        <v>0.3</v>
      </c>
      <c r="P564" s="80" t="s">
        <v>3066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50</v>
      </c>
      <c r="AD564">
        <v>1</v>
      </c>
      <c r="AE564">
        <v>8000</v>
      </c>
      <c r="AF564">
        <v>1890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3082</v>
      </c>
      <c r="E565">
        <v>150</v>
      </c>
      <c r="G565" s="90" t="s">
        <v>3083</v>
      </c>
      <c r="I565">
        <v>58595</v>
      </c>
      <c r="J565" s="80" t="s">
        <v>3065</v>
      </c>
      <c r="K565" t="s">
        <v>767</v>
      </c>
      <c r="L565">
        <v>9001</v>
      </c>
      <c r="M565" t="s">
        <v>2089</v>
      </c>
      <c r="O565">
        <v>0.1</v>
      </c>
      <c r="P565" s="80" t="s">
        <v>3066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50</v>
      </c>
      <c r="AD565">
        <v>1</v>
      </c>
      <c r="AE565">
        <v>8000</v>
      </c>
      <c r="AF565">
        <v>1900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3084</v>
      </c>
      <c r="E566">
        <v>150</v>
      </c>
      <c r="G566" s="90" t="s">
        <v>3085</v>
      </c>
      <c r="I566">
        <v>58720</v>
      </c>
      <c r="J566" s="80" t="s">
        <v>3065</v>
      </c>
      <c r="K566" t="s">
        <v>767</v>
      </c>
      <c r="L566">
        <v>9001</v>
      </c>
      <c r="M566" t="s">
        <v>1968</v>
      </c>
      <c r="O566">
        <v>0.7</v>
      </c>
      <c r="P566" s="80" t="s">
        <v>3066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50</v>
      </c>
      <c r="AD566">
        <v>1</v>
      </c>
      <c r="AE566">
        <v>8000</v>
      </c>
      <c r="AF566">
        <v>1900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3086</v>
      </c>
      <c r="E567">
        <v>150</v>
      </c>
      <c r="G567" s="90" t="s">
        <v>3087</v>
      </c>
      <c r="I567">
        <v>58845</v>
      </c>
      <c r="J567" s="80" t="s">
        <v>3065</v>
      </c>
      <c r="K567" t="s">
        <v>767</v>
      </c>
      <c r="L567">
        <v>9002</v>
      </c>
      <c r="M567" t="s">
        <v>2258</v>
      </c>
      <c r="O567">
        <v>0.7</v>
      </c>
      <c r="P567" s="80" t="s">
        <v>3066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50</v>
      </c>
      <c r="AD567">
        <v>1</v>
      </c>
      <c r="AE567">
        <v>8000</v>
      </c>
      <c r="AF567">
        <v>1910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3088</v>
      </c>
      <c r="E568">
        <v>150</v>
      </c>
      <c r="G568" s="90" t="s">
        <v>3089</v>
      </c>
      <c r="I568">
        <v>58970</v>
      </c>
      <c r="J568" s="80" t="s">
        <v>3065</v>
      </c>
      <c r="K568" t="s">
        <v>767</v>
      </c>
      <c r="L568">
        <v>9012</v>
      </c>
      <c r="M568">
        <v>8</v>
      </c>
      <c r="O568">
        <v>0.5</v>
      </c>
      <c r="P568" s="80" t="s">
        <v>3066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50</v>
      </c>
      <c r="AD568">
        <v>1</v>
      </c>
      <c r="AE568">
        <v>8000</v>
      </c>
      <c r="AF568">
        <v>1910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3090</v>
      </c>
      <c r="E569">
        <v>150</v>
      </c>
      <c r="G569" s="90" t="s">
        <v>3091</v>
      </c>
      <c r="I569">
        <v>59095</v>
      </c>
      <c r="J569" s="80" t="s">
        <v>3065</v>
      </c>
      <c r="K569" t="s">
        <v>767</v>
      </c>
      <c r="L569">
        <v>9005</v>
      </c>
      <c r="M569" t="s">
        <v>1696</v>
      </c>
      <c r="O569">
        <v>1</v>
      </c>
      <c r="P569" s="80" t="s">
        <v>3066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50</v>
      </c>
      <c r="AD569">
        <v>1</v>
      </c>
      <c r="AE569">
        <v>8000</v>
      </c>
      <c r="AF569">
        <v>1920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3092</v>
      </c>
      <c r="E570">
        <v>150</v>
      </c>
      <c r="G570" s="90" t="s">
        <v>3093</v>
      </c>
      <c r="I570">
        <v>59220</v>
      </c>
      <c r="J570" s="80" t="s">
        <v>3065</v>
      </c>
      <c r="K570" t="s">
        <v>767</v>
      </c>
      <c r="L570">
        <v>9007</v>
      </c>
      <c r="M570" t="s">
        <v>3094</v>
      </c>
      <c r="O570">
        <v>0.6</v>
      </c>
      <c r="P570" s="80" t="s">
        <v>3066</v>
      </c>
      <c r="Q570" t="s">
        <v>769</v>
      </c>
      <c r="R570">
        <v>9011</v>
      </c>
      <c r="S570" t="s">
        <v>3095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50</v>
      </c>
      <c r="AD570">
        <v>1</v>
      </c>
      <c r="AE570">
        <v>8000</v>
      </c>
      <c r="AF570">
        <v>1920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3096</v>
      </c>
      <c r="E571">
        <v>150</v>
      </c>
      <c r="G571" s="90" t="s">
        <v>3097</v>
      </c>
      <c r="I571">
        <v>59345</v>
      </c>
      <c r="J571" s="80" t="s">
        <v>3065</v>
      </c>
      <c r="K571" t="s">
        <v>767</v>
      </c>
      <c r="L571">
        <v>9007</v>
      </c>
      <c r="M571" t="s">
        <v>2134</v>
      </c>
      <c r="O571">
        <v>0.4</v>
      </c>
      <c r="P571" s="80" t="s">
        <v>3066</v>
      </c>
      <c r="Q571" t="s">
        <v>769</v>
      </c>
      <c r="R571">
        <v>9008</v>
      </c>
      <c r="S571" t="s">
        <v>2332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50</v>
      </c>
      <c r="AD571">
        <v>1</v>
      </c>
      <c r="AE571">
        <v>8000</v>
      </c>
      <c r="AF571">
        <v>1930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3098</v>
      </c>
      <c r="E572">
        <v>150</v>
      </c>
      <c r="G572" s="90" t="s">
        <v>3099</v>
      </c>
      <c r="I572">
        <v>59470</v>
      </c>
      <c r="J572" s="80" t="s">
        <v>3065</v>
      </c>
      <c r="K572" t="s">
        <v>767</v>
      </c>
      <c r="L572">
        <v>9006</v>
      </c>
      <c r="M572">
        <v>8</v>
      </c>
      <c r="O572">
        <v>0.4</v>
      </c>
      <c r="P572" s="80" t="s">
        <v>3066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50</v>
      </c>
      <c r="AD572">
        <v>1</v>
      </c>
      <c r="AE572">
        <v>8000</v>
      </c>
      <c r="AF572">
        <v>1940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3100</v>
      </c>
      <c r="E573">
        <v>150</v>
      </c>
      <c r="G573" s="90" t="s">
        <v>3101</v>
      </c>
      <c r="I573">
        <v>59595</v>
      </c>
      <c r="J573" s="80" t="s">
        <v>3065</v>
      </c>
      <c r="K573" t="s">
        <v>767</v>
      </c>
      <c r="L573">
        <v>9001</v>
      </c>
      <c r="M573">
        <v>11</v>
      </c>
      <c r="O573">
        <v>0.9</v>
      </c>
      <c r="P573" s="80" t="s">
        <v>3066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50</v>
      </c>
      <c r="AD573">
        <v>1</v>
      </c>
      <c r="AE573">
        <v>8000</v>
      </c>
      <c r="AF573">
        <v>1940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3102</v>
      </c>
      <c r="E574">
        <v>150</v>
      </c>
      <c r="G574" s="90" t="s">
        <v>3103</v>
      </c>
      <c r="I574">
        <v>59720</v>
      </c>
      <c r="J574" s="80" t="s">
        <v>3065</v>
      </c>
      <c r="K574" t="s">
        <v>767</v>
      </c>
      <c r="L574">
        <v>9011</v>
      </c>
      <c r="M574" t="s">
        <v>2187</v>
      </c>
      <c r="O574">
        <v>0.7</v>
      </c>
      <c r="P574" s="80" t="s">
        <v>3066</v>
      </c>
      <c r="Q574" t="s">
        <v>769</v>
      </c>
      <c r="R574">
        <v>9003</v>
      </c>
      <c r="S574" t="s">
        <v>2231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50</v>
      </c>
      <c r="AD574">
        <v>1</v>
      </c>
      <c r="AE574">
        <v>8000</v>
      </c>
      <c r="AF574">
        <v>1950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3104</v>
      </c>
      <c r="E575">
        <v>150</v>
      </c>
      <c r="G575" s="90" t="s">
        <v>3105</v>
      </c>
      <c r="I575">
        <v>59845</v>
      </c>
      <c r="J575" s="80" t="s">
        <v>3065</v>
      </c>
      <c r="K575" t="s">
        <v>767</v>
      </c>
      <c r="L575">
        <v>9005</v>
      </c>
      <c r="M575" t="s">
        <v>3106</v>
      </c>
      <c r="O575">
        <v>0.5</v>
      </c>
      <c r="P575" s="80" t="s">
        <v>3066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50</v>
      </c>
      <c r="AD575">
        <v>1</v>
      </c>
      <c r="AE575">
        <v>8000</v>
      </c>
      <c r="AF575">
        <v>1950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3107</v>
      </c>
      <c r="E576">
        <v>150</v>
      </c>
      <c r="G576" s="90" t="s">
        <v>3108</v>
      </c>
      <c r="I576">
        <v>59970</v>
      </c>
      <c r="J576" s="80" t="s">
        <v>3065</v>
      </c>
      <c r="K576" t="s">
        <v>767</v>
      </c>
      <c r="L576">
        <v>9008</v>
      </c>
      <c r="M576">
        <v>12</v>
      </c>
      <c r="O576">
        <v>0.1</v>
      </c>
      <c r="P576" s="80" t="s">
        <v>3066</v>
      </c>
      <c r="Q576" t="s">
        <v>769</v>
      </c>
      <c r="R576">
        <v>9003</v>
      </c>
      <c r="S576" t="s">
        <v>3109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50</v>
      </c>
      <c r="AD576">
        <v>1</v>
      </c>
      <c r="AE576">
        <v>8000</v>
      </c>
      <c r="AF576">
        <v>1960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3110</v>
      </c>
      <c r="E577">
        <v>150</v>
      </c>
      <c r="G577" s="90" t="s">
        <v>3111</v>
      </c>
      <c r="I577">
        <v>60095</v>
      </c>
      <c r="J577" s="80" t="s">
        <v>3065</v>
      </c>
      <c r="K577" t="s">
        <v>767</v>
      </c>
      <c r="L577">
        <v>9011</v>
      </c>
      <c r="M577" t="s">
        <v>1719</v>
      </c>
      <c r="O577">
        <v>0.7</v>
      </c>
      <c r="P577" s="80" t="s">
        <v>3066</v>
      </c>
      <c r="Q577" t="s">
        <v>769</v>
      </c>
      <c r="R577">
        <v>9011</v>
      </c>
      <c r="S577" t="s">
        <v>2468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50</v>
      </c>
      <c r="AD577">
        <v>1</v>
      </c>
      <c r="AE577">
        <v>8000</v>
      </c>
      <c r="AF577">
        <v>1960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3112</v>
      </c>
      <c r="E578">
        <v>150</v>
      </c>
      <c r="G578" s="90" t="s">
        <v>3113</v>
      </c>
      <c r="I578">
        <v>60220</v>
      </c>
      <c r="J578" s="80" t="s">
        <v>3065</v>
      </c>
      <c r="K578" t="s">
        <v>767</v>
      </c>
      <c r="L578">
        <v>9005</v>
      </c>
      <c r="M578" t="s">
        <v>2698</v>
      </c>
      <c r="O578">
        <v>0.2</v>
      </c>
      <c r="P578" s="80" t="s">
        <v>3066</v>
      </c>
      <c r="Q578" t="s">
        <v>769</v>
      </c>
      <c r="R578">
        <v>9007</v>
      </c>
      <c r="S578" t="s">
        <v>3114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50</v>
      </c>
      <c r="AD578">
        <v>1</v>
      </c>
      <c r="AE578">
        <v>8000</v>
      </c>
      <c r="AF578">
        <v>1970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3115</v>
      </c>
      <c r="E579">
        <v>150</v>
      </c>
      <c r="G579" s="90" t="s">
        <v>3116</v>
      </c>
      <c r="I579">
        <v>60345</v>
      </c>
      <c r="J579" s="80" t="s">
        <v>3065</v>
      </c>
      <c r="K579" t="s">
        <v>767</v>
      </c>
      <c r="L579">
        <v>9011</v>
      </c>
      <c r="M579" t="s">
        <v>1839</v>
      </c>
      <c r="O579">
        <v>0.1</v>
      </c>
      <c r="P579" s="80" t="s">
        <v>3066</v>
      </c>
      <c r="Q579" t="s">
        <v>769</v>
      </c>
      <c r="R579">
        <v>9010</v>
      </c>
      <c r="S579" t="s">
        <v>3117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50</v>
      </c>
      <c r="AD579">
        <v>1</v>
      </c>
      <c r="AE579">
        <v>8000</v>
      </c>
      <c r="AF579">
        <v>1970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3118</v>
      </c>
      <c r="E580">
        <v>150</v>
      </c>
      <c r="G580" s="90" t="s">
        <v>3119</v>
      </c>
      <c r="I580">
        <v>60470</v>
      </c>
      <c r="J580" s="80" t="s">
        <v>3065</v>
      </c>
      <c r="K580" t="s">
        <v>767</v>
      </c>
      <c r="L580">
        <v>9005</v>
      </c>
      <c r="M580">
        <v>8</v>
      </c>
      <c r="O580">
        <v>0.3</v>
      </c>
      <c r="P580" s="80" t="s">
        <v>3066</v>
      </c>
      <c r="Q580" t="s">
        <v>769</v>
      </c>
      <c r="R580">
        <v>9007</v>
      </c>
      <c r="S580" t="s">
        <v>2353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50</v>
      </c>
      <c r="AD580">
        <v>1</v>
      </c>
      <c r="AE580">
        <v>8000</v>
      </c>
      <c r="AF580">
        <v>1980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3120</v>
      </c>
      <c r="E581">
        <v>150</v>
      </c>
      <c r="G581" s="90" t="s">
        <v>3121</v>
      </c>
      <c r="I581">
        <v>60595</v>
      </c>
      <c r="J581" s="80" t="s">
        <v>3065</v>
      </c>
      <c r="K581" t="s">
        <v>767</v>
      </c>
      <c r="L581">
        <v>9002</v>
      </c>
      <c r="M581" t="s">
        <v>2698</v>
      </c>
      <c r="O581">
        <v>0.3</v>
      </c>
      <c r="P581" s="80" t="s">
        <v>3066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50</v>
      </c>
      <c r="AD581">
        <v>1</v>
      </c>
      <c r="AE581">
        <v>8000</v>
      </c>
      <c r="AF581">
        <v>1980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3122</v>
      </c>
      <c r="E582">
        <v>150</v>
      </c>
      <c r="G582" s="90" t="s">
        <v>3123</v>
      </c>
      <c r="I582">
        <v>60720</v>
      </c>
      <c r="J582" s="80" t="s">
        <v>3065</v>
      </c>
      <c r="K582" t="s">
        <v>767</v>
      </c>
      <c r="L582">
        <v>9006</v>
      </c>
      <c r="M582" t="s">
        <v>2468</v>
      </c>
      <c r="O582">
        <v>0.5</v>
      </c>
      <c r="P582" s="80" t="s">
        <v>3066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50</v>
      </c>
      <c r="AD582">
        <v>1</v>
      </c>
      <c r="AE582">
        <v>8000</v>
      </c>
      <c r="AF582">
        <v>1990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3124</v>
      </c>
      <c r="E583">
        <v>150</v>
      </c>
      <c r="G583" s="90" t="s">
        <v>3125</v>
      </c>
      <c r="I583">
        <v>60845</v>
      </c>
      <c r="J583" s="80" t="s">
        <v>3065</v>
      </c>
      <c r="K583" t="s">
        <v>767</v>
      </c>
      <c r="L583">
        <v>9012</v>
      </c>
      <c r="M583">
        <v>9</v>
      </c>
      <c r="O583">
        <v>0.3</v>
      </c>
      <c r="P583" s="80" t="s">
        <v>3066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50</v>
      </c>
      <c r="AD583">
        <v>1</v>
      </c>
      <c r="AE583">
        <v>8000</v>
      </c>
      <c r="AF583">
        <v>2000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3126</v>
      </c>
      <c r="E584">
        <v>150</v>
      </c>
      <c r="G584" s="90" t="s">
        <v>3127</v>
      </c>
      <c r="I584">
        <v>60970</v>
      </c>
      <c r="J584" s="80" t="s">
        <v>3065</v>
      </c>
      <c r="K584" t="s">
        <v>767</v>
      </c>
      <c r="L584">
        <v>9011</v>
      </c>
      <c r="M584">
        <v>3</v>
      </c>
      <c r="O584">
        <v>0.9</v>
      </c>
      <c r="P584" s="80" t="s">
        <v>3066</v>
      </c>
      <c r="Q584" t="s">
        <v>769</v>
      </c>
      <c r="R584">
        <v>9011</v>
      </c>
      <c r="S584" t="s">
        <v>2465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50</v>
      </c>
      <c r="AD584">
        <v>1</v>
      </c>
      <c r="AE584">
        <v>8000</v>
      </c>
      <c r="AF584">
        <v>2000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3128</v>
      </c>
      <c r="E585">
        <v>150</v>
      </c>
      <c r="G585" s="90" t="s">
        <v>3129</v>
      </c>
      <c r="I585">
        <v>61095</v>
      </c>
      <c r="J585" s="80" t="s">
        <v>3065</v>
      </c>
      <c r="K585" t="s">
        <v>767</v>
      </c>
      <c r="L585">
        <v>9008</v>
      </c>
      <c r="M585" t="s">
        <v>3130</v>
      </c>
      <c r="O585">
        <v>0.8</v>
      </c>
      <c r="P585" s="80" t="s">
        <v>3066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</v>
      </c>
      <c r="AD585">
        <v>1</v>
      </c>
      <c r="AE585">
        <v>8000</v>
      </c>
      <c r="AF585">
        <v>2010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3131</v>
      </c>
      <c r="E586">
        <v>150</v>
      </c>
      <c r="G586" s="90" t="s">
        <v>3132</v>
      </c>
      <c r="I586">
        <v>61220</v>
      </c>
      <c r="J586" s="80" t="s">
        <v>3065</v>
      </c>
      <c r="K586" t="s">
        <v>767</v>
      </c>
      <c r="L586">
        <v>9006</v>
      </c>
      <c r="M586" t="s">
        <v>2390</v>
      </c>
      <c r="O586">
        <v>0.2</v>
      </c>
      <c r="P586" s="80" t="s">
        <v>3066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50</v>
      </c>
      <c r="AD586">
        <v>1</v>
      </c>
      <c r="AE586">
        <v>8000</v>
      </c>
      <c r="AF586">
        <v>2010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3133</v>
      </c>
      <c r="E587">
        <v>150</v>
      </c>
      <c r="G587" s="90" t="s">
        <v>3134</v>
      </c>
      <c r="I587">
        <v>61345</v>
      </c>
      <c r="J587" s="80" t="s">
        <v>3065</v>
      </c>
      <c r="K587" t="s">
        <v>767</v>
      </c>
      <c r="L587">
        <v>9007</v>
      </c>
      <c r="M587">
        <v>12</v>
      </c>
      <c r="O587">
        <v>0.9</v>
      </c>
      <c r="P587" s="80" t="s">
        <v>3066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50</v>
      </c>
      <c r="AD587">
        <v>1</v>
      </c>
      <c r="AE587">
        <v>8000</v>
      </c>
      <c r="AF587">
        <v>2020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3135</v>
      </c>
      <c r="E588">
        <v>150</v>
      </c>
      <c r="G588" s="90" t="s">
        <v>3136</v>
      </c>
      <c r="I588">
        <v>61470</v>
      </c>
      <c r="J588" s="80" t="s">
        <v>3065</v>
      </c>
      <c r="K588" t="s">
        <v>767</v>
      </c>
      <c r="L588">
        <v>9011</v>
      </c>
      <c r="M588" t="s">
        <v>1780</v>
      </c>
      <c r="O588">
        <v>0.6</v>
      </c>
      <c r="P588" s="80" t="s">
        <v>3066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50</v>
      </c>
      <c r="AD588">
        <v>1</v>
      </c>
      <c r="AE588">
        <v>8000</v>
      </c>
      <c r="AF588">
        <v>2020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3137</v>
      </c>
      <c r="E589">
        <v>150</v>
      </c>
      <c r="G589" s="90" t="s">
        <v>3138</v>
      </c>
      <c r="I589">
        <v>61595</v>
      </c>
      <c r="J589" s="80" t="s">
        <v>3065</v>
      </c>
      <c r="K589" t="s">
        <v>767</v>
      </c>
      <c r="L589">
        <v>9005</v>
      </c>
      <c r="M589" t="s">
        <v>1734</v>
      </c>
      <c r="O589">
        <v>0.7</v>
      </c>
      <c r="P589" s="80" t="s">
        <v>3066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50</v>
      </c>
      <c r="AD589">
        <v>1</v>
      </c>
      <c r="AE589">
        <v>8000</v>
      </c>
      <c r="AF589">
        <v>2030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3139</v>
      </c>
      <c r="E590">
        <v>150</v>
      </c>
      <c r="G590" s="90" t="s">
        <v>3140</v>
      </c>
      <c r="I590">
        <v>61720</v>
      </c>
      <c r="J590" s="80" t="s">
        <v>3065</v>
      </c>
      <c r="K590" t="s">
        <v>767</v>
      </c>
      <c r="L590">
        <v>9005</v>
      </c>
      <c r="M590">
        <v>10</v>
      </c>
      <c r="O590">
        <v>0.4</v>
      </c>
      <c r="P590" s="80" t="s">
        <v>3066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50</v>
      </c>
      <c r="AD590">
        <v>1</v>
      </c>
      <c r="AE590">
        <v>8000</v>
      </c>
      <c r="AF590">
        <v>2030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3141</v>
      </c>
      <c r="E591">
        <v>150</v>
      </c>
      <c r="G591" s="90" t="s">
        <v>3142</v>
      </c>
      <c r="I591">
        <v>61845</v>
      </c>
      <c r="J591" s="80" t="s">
        <v>3065</v>
      </c>
      <c r="K591" t="s">
        <v>767</v>
      </c>
      <c r="L591">
        <v>9006</v>
      </c>
      <c r="M591" t="s">
        <v>2644</v>
      </c>
      <c r="O591">
        <v>0.4</v>
      </c>
      <c r="P591" s="80" t="s">
        <v>3066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50</v>
      </c>
      <c r="AD591">
        <v>1</v>
      </c>
      <c r="AE591">
        <v>8000</v>
      </c>
      <c r="AF591">
        <v>2040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3143</v>
      </c>
      <c r="E592">
        <v>150</v>
      </c>
      <c r="G592" s="90" t="s">
        <v>3144</v>
      </c>
      <c r="I592">
        <v>61970</v>
      </c>
      <c r="J592" s="80" t="s">
        <v>3065</v>
      </c>
      <c r="K592" t="s">
        <v>767</v>
      </c>
      <c r="L592">
        <v>9001</v>
      </c>
      <c r="M592" t="s">
        <v>2698</v>
      </c>
      <c r="O592">
        <v>0.3</v>
      </c>
      <c r="P592" s="80" t="s">
        <v>3066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50</v>
      </c>
      <c r="AD592">
        <v>1</v>
      </c>
      <c r="AE592">
        <v>8000</v>
      </c>
      <c r="AF592">
        <v>2040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3145</v>
      </c>
      <c r="E593">
        <v>150</v>
      </c>
      <c r="G593" s="90" t="s">
        <v>3146</v>
      </c>
      <c r="I593">
        <v>62095</v>
      </c>
      <c r="J593" s="80" t="s">
        <v>3065</v>
      </c>
      <c r="K593" t="s">
        <v>767</v>
      </c>
      <c r="L593">
        <v>9001</v>
      </c>
      <c r="M593">
        <v>5</v>
      </c>
      <c r="O593">
        <v>0.5</v>
      </c>
      <c r="P593" s="80" t="s">
        <v>3066</v>
      </c>
      <c r="Q593" t="s">
        <v>769</v>
      </c>
      <c r="R593">
        <v>9011</v>
      </c>
      <c r="S593" t="s">
        <v>2360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50</v>
      </c>
      <c r="AD593">
        <v>1</v>
      </c>
      <c r="AE593">
        <v>8000</v>
      </c>
      <c r="AF593">
        <v>2050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3147</v>
      </c>
      <c r="E594">
        <v>150</v>
      </c>
      <c r="G594" s="90" t="s">
        <v>3148</v>
      </c>
      <c r="I594">
        <v>62220</v>
      </c>
      <c r="J594" s="80" t="s">
        <v>3065</v>
      </c>
      <c r="K594" t="s">
        <v>767</v>
      </c>
      <c r="L594">
        <v>9002</v>
      </c>
      <c r="M594" t="s">
        <v>3149</v>
      </c>
      <c r="O594">
        <v>0.5</v>
      </c>
      <c r="P594" s="80" t="s">
        <v>3066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50</v>
      </c>
      <c r="AD594">
        <v>1</v>
      </c>
      <c r="AE594">
        <v>8000</v>
      </c>
      <c r="AF594">
        <v>2060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3150</v>
      </c>
      <c r="E595">
        <v>150</v>
      </c>
      <c r="G595" s="90" t="s">
        <v>3151</v>
      </c>
      <c r="I595">
        <v>62345</v>
      </c>
      <c r="J595" s="80" t="s">
        <v>3065</v>
      </c>
      <c r="K595" t="s">
        <v>767</v>
      </c>
      <c r="L595">
        <v>9005</v>
      </c>
      <c r="M595" t="s">
        <v>2489</v>
      </c>
      <c r="O595">
        <v>0.6</v>
      </c>
      <c r="P595" s="80" t="s">
        <v>3066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50</v>
      </c>
      <c r="AD595">
        <v>1</v>
      </c>
      <c r="AE595">
        <v>8000</v>
      </c>
      <c r="AF595">
        <v>2060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3152</v>
      </c>
      <c r="E596">
        <v>150</v>
      </c>
      <c r="G596" s="90" t="s">
        <v>3153</v>
      </c>
      <c r="I596">
        <v>62470</v>
      </c>
      <c r="J596" s="80" t="s">
        <v>3065</v>
      </c>
      <c r="K596" t="s">
        <v>767</v>
      </c>
      <c r="L596">
        <v>9005</v>
      </c>
      <c r="M596" t="s">
        <v>1713</v>
      </c>
      <c r="O596">
        <v>0.6</v>
      </c>
      <c r="P596" s="80" t="s">
        <v>3066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50</v>
      </c>
      <c r="AD596">
        <v>1</v>
      </c>
      <c r="AE596">
        <v>8000</v>
      </c>
      <c r="AF596">
        <v>2070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3154</v>
      </c>
      <c r="E597">
        <v>150</v>
      </c>
      <c r="G597" s="90" t="s">
        <v>3155</v>
      </c>
      <c r="I597">
        <v>62595</v>
      </c>
      <c r="J597" s="80" t="s">
        <v>3065</v>
      </c>
      <c r="K597" t="s">
        <v>767</v>
      </c>
      <c r="L597">
        <v>9007</v>
      </c>
      <c r="M597" t="s">
        <v>1978</v>
      </c>
      <c r="O597">
        <v>0.4</v>
      </c>
      <c r="P597" s="80" t="s">
        <v>3066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50</v>
      </c>
      <c r="AD597">
        <v>1</v>
      </c>
      <c r="AE597">
        <v>8000</v>
      </c>
      <c r="AF597">
        <v>2070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3156</v>
      </c>
      <c r="E598">
        <v>150</v>
      </c>
      <c r="G598" s="90" t="s">
        <v>3157</v>
      </c>
      <c r="I598">
        <v>62720</v>
      </c>
      <c r="J598" s="80" t="s">
        <v>3065</v>
      </c>
      <c r="K598" t="s">
        <v>767</v>
      </c>
      <c r="L598">
        <v>9007</v>
      </c>
      <c r="M598" t="s">
        <v>1729</v>
      </c>
      <c r="O598">
        <v>0.3</v>
      </c>
      <c r="P598" s="80" t="s">
        <v>3066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50</v>
      </c>
      <c r="AD598">
        <v>1</v>
      </c>
      <c r="AE598">
        <v>8000</v>
      </c>
      <c r="AF598">
        <v>2080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3158</v>
      </c>
      <c r="E599">
        <v>150</v>
      </c>
      <c r="G599" s="90" t="s">
        <v>3159</v>
      </c>
      <c r="I599">
        <v>62845</v>
      </c>
      <c r="J599" s="80" t="s">
        <v>3065</v>
      </c>
      <c r="K599" t="s">
        <v>767</v>
      </c>
      <c r="L599">
        <v>9012</v>
      </c>
      <c r="M599">
        <v>6</v>
      </c>
      <c r="O599">
        <v>0.9</v>
      </c>
      <c r="P599" s="80" t="s">
        <v>3066</v>
      </c>
      <c r="Q599" t="s">
        <v>769</v>
      </c>
      <c r="R599">
        <v>9003</v>
      </c>
      <c r="S599" t="s">
        <v>2194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50</v>
      </c>
      <c r="AD599">
        <v>1</v>
      </c>
      <c r="AE599">
        <v>8000</v>
      </c>
      <c r="AF599">
        <v>2080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3160</v>
      </c>
      <c r="E600">
        <v>150</v>
      </c>
      <c r="G600" s="90" t="s">
        <v>3161</v>
      </c>
      <c r="I600">
        <v>62970</v>
      </c>
      <c r="J600" s="80" t="s">
        <v>3065</v>
      </c>
      <c r="K600" t="s">
        <v>767</v>
      </c>
      <c r="L600">
        <v>9006</v>
      </c>
      <c r="M600" t="s">
        <v>1669</v>
      </c>
      <c r="O600">
        <v>0.7</v>
      </c>
      <c r="P600" s="80" t="s">
        <v>3066</v>
      </c>
      <c r="Q600" t="s">
        <v>769</v>
      </c>
      <c r="R600">
        <v>9012</v>
      </c>
      <c r="S600" t="s">
        <v>2476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50</v>
      </c>
      <c r="AD600">
        <v>1</v>
      </c>
      <c r="AE600">
        <v>8000</v>
      </c>
      <c r="AF600">
        <v>2090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3162</v>
      </c>
      <c r="E601">
        <v>150</v>
      </c>
      <c r="G601" s="90" t="s">
        <v>3163</v>
      </c>
      <c r="I601">
        <v>63095</v>
      </c>
      <c r="J601" s="80" t="s">
        <v>3065</v>
      </c>
      <c r="K601" t="s">
        <v>767</v>
      </c>
      <c r="L601">
        <v>9006</v>
      </c>
      <c r="M601" t="s">
        <v>2296</v>
      </c>
      <c r="O601">
        <v>0.9</v>
      </c>
      <c r="P601" s="80" t="s">
        <v>3066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50</v>
      </c>
      <c r="AD601">
        <v>1</v>
      </c>
      <c r="AE601">
        <v>8000</v>
      </c>
      <c r="AF601">
        <v>2090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3164</v>
      </c>
      <c r="E602">
        <v>150</v>
      </c>
      <c r="G602" s="90" t="s">
        <v>3165</v>
      </c>
      <c r="I602">
        <v>63220</v>
      </c>
      <c r="J602" s="80" t="s">
        <v>3065</v>
      </c>
      <c r="K602" t="s">
        <v>767</v>
      </c>
      <c r="L602">
        <v>9002</v>
      </c>
      <c r="M602">
        <v>11</v>
      </c>
      <c r="O602">
        <v>0.9</v>
      </c>
      <c r="P602" s="80" t="s">
        <v>3066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50</v>
      </c>
      <c r="AD602">
        <v>1</v>
      </c>
      <c r="AE602">
        <v>8000</v>
      </c>
      <c r="AF602">
        <v>2100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3166</v>
      </c>
      <c r="E603">
        <v>150</v>
      </c>
      <c r="G603" s="90" t="s">
        <v>3167</v>
      </c>
      <c r="I603">
        <v>63345</v>
      </c>
      <c r="J603" s="80" t="s">
        <v>3065</v>
      </c>
      <c r="K603" t="s">
        <v>767</v>
      </c>
      <c r="L603">
        <v>9007</v>
      </c>
      <c r="M603">
        <v>13</v>
      </c>
      <c r="O603">
        <v>0.4</v>
      </c>
      <c r="P603" s="80" t="s">
        <v>3066</v>
      </c>
      <c r="Q603" t="s">
        <v>769</v>
      </c>
      <c r="R603">
        <v>9003</v>
      </c>
      <c r="S603" t="s">
        <v>2155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50</v>
      </c>
      <c r="AD603">
        <v>1</v>
      </c>
      <c r="AE603">
        <v>8000</v>
      </c>
      <c r="AF603">
        <v>2100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3168</v>
      </c>
      <c r="E604">
        <v>150</v>
      </c>
      <c r="G604" s="90" t="s">
        <v>3169</v>
      </c>
      <c r="I604">
        <v>63470</v>
      </c>
      <c r="J604" s="80" t="s">
        <v>3065</v>
      </c>
      <c r="K604" t="s">
        <v>767</v>
      </c>
      <c r="L604">
        <v>9007</v>
      </c>
      <c r="M604">
        <v>13</v>
      </c>
      <c r="O604">
        <v>0.4</v>
      </c>
      <c r="P604" s="80" t="s">
        <v>3066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50</v>
      </c>
      <c r="AD604">
        <v>1</v>
      </c>
      <c r="AE604">
        <v>8000</v>
      </c>
      <c r="AF604">
        <v>2110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3170</v>
      </c>
      <c r="E605">
        <v>150</v>
      </c>
      <c r="G605" s="90" t="s">
        <v>3171</v>
      </c>
      <c r="I605">
        <v>63595</v>
      </c>
      <c r="J605" s="80" t="s">
        <v>3065</v>
      </c>
      <c r="K605" t="s">
        <v>767</v>
      </c>
      <c r="L605">
        <v>9002</v>
      </c>
      <c r="M605" t="s">
        <v>3172</v>
      </c>
      <c r="O605">
        <v>0.7</v>
      </c>
      <c r="P605" s="80" t="s">
        <v>3066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50</v>
      </c>
      <c r="AD605">
        <v>1</v>
      </c>
      <c r="AE605">
        <v>8000</v>
      </c>
      <c r="AF605">
        <v>2120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3173</v>
      </c>
      <c r="E606">
        <v>150</v>
      </c>
      <c r="G606" s="90" t="s">
        <v>3174</v>
      </c>
      <c r="I606">
        <v>63720</v>
      </c>
      <c r="J606" s="80" t="s">
        <v>3175</v>
      </c>
      <c r="K606" t="s">
        <v>767</v>
      </c>
      <c r="L606">
        <v>9006</v>
      </c>
      <c r="M606">
        <v>7</v>
      </c>
      <c r="O606">
        <v>0.7</v>
      </c>
      <c r="P606" s="80" t="s">
        <v>3176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50</v>
      </c>
      <c r="AD606">
        <v>1</v>
      </c>
      <c r="AE606">
        <v>8000</v>
      </c>
      <c r="AF606">
        <v>2120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3177</v>
      </c>
      <c r="E607">
        <v>150</v>
      </c>
      <c r="G607" s="90" t="s">
        <v>3178</v>
      </c>
      <c r="I607">
        <v>63845</v>
      </c>
      <c r="J607" s="80" t="s">
        <v>3175</v>
      </c>
      <c r="K607" t="s">
        <v>767</v>
      </c>
      <c r="L607">
        <v>9007</v>
      </c>
      <c r="M607" t="s">
        <v>3179</v>
      </c>
      <c r="O607">
        <v>0.9</v>
      </c>
      <c r="P607" s="80" t="s">
        <v>3176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50</v>
      </c>
      <c r="AD607">
        <v>1</v>
      </c>
      <c r="AE607">
        <v>8000</v>
      </c>
      <c r="AF607">
        <v>2130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3180</v>
      </c>
      <c r="E608">
        <v>150</v>
      </c>
      <c r="G608" s="90" t="s">
        <v>3181</v>
      </c>
      <c r="I608">
        <v>63970</v>
      </c>
      <c r="J608" s="80" t="s">
        <v>3175</v>
      </c>
      <c r="K608" t="s">
        <v>767</v>
      </c>
      <c r="L608">
        <v>9005</v>
      </c>
      <c r="M608" t="s">
        <v>2924</v>
      </c>
      <c r="O608">
        <v>0.9</v>
      </c>
      <c r="P608" s="80" t="s">
        <v>3176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50</v>
      </c>
      <c r="AD608">
        <v>1</v>
      </c>
      <c r="AE608">
        <v>8000</v>
      </c>
      <c r="AF608">
        <v>2130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3182</v>
      </c>
      <c r="E609">
        <v>150</v>
      </c>
      <c r="G609" s="90" t="s">
        <v>3183</v>
      </c>
      <c r="I609">
        <v>64095</v>
      </c>
      <c r="J609" s="80" t="s">
        <v>3175</v>
      </c>
      <c r="K609" t="s">
        <v>767</v>
      </c>
      <c r="L609">
        <v>9012</v>
      </c>
      <c r="M609" t="s">
        <v>1836</v>
      </c>
      <c r="O609">
        <v>0.9</v>
      </c>
      <c r="P609" s="80" t="s">
        <v>3176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50</v>
      </c>
      <c r="AD609">
        <v>1</v>
      </c>
      <c r="AE609">
        <v>8000</v>
      </c>
      <c r="AF609">
        <v>2140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3184</v>
      </c>
      <c r="E610">
        <v>150</v>
      </c>
      <c r="G610" s="90" t="s">
        <v>3185</v>
      </c>
      <c r="I610">
        <v>64220</v>
      </c>
      <c r="J610" s="80" t="s">
        <v>3175</v>
      </c>
      <c r="K610" t="s">
        <v>767</v>
      </c>
      <c r="L610">
        <v>9012</v>
      </c>
      <c r="M610">
        <v>13</v>
      </c>
      <c r="O610">
        <v>0.6</v>
      </c>
      <c r="P610" s="80" t="s">
        <v>3176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50</v>
      </c>
      <c r="AD610">
        <v>1</v>
      </c>
      <c r="AE610">
        <v>8000</v>
      </c>
      <c r="AF610">
        <v>2140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3186</v>
      </c>
      <c r="E611">
        <v>150</v>
      </c>
      <c r="G611" s="90" t="s">
        <v>3187</v>
      </c>
      <c r="I611">
        <v>64345</v>
      </c>
      <c r="J611" s="80" t="s">
        <v>3175</v>
      </c>
      <c r="K611" t="s">
        <v>767</v>
      </c>
      <c r="L611">
        <v>9002</v>
      </c>
      <c r="M611">
        <v>1</v>
      </c>
      <c r="O611">
        <v>0.9</v>
      </c>
      <c r="P611" s="80" t="s">
        <v>3176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50</v>
      </c>
      <c r="AD611">
        <v>1</v>
      </c>
      <c r="AE611">
        <v>8000</v>
      </c>
      <c r="AF611">
        <v>2150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3188</v>
      </c>
      <c r="E612">
        <v>150</v>
      </c>
      <c r="G612" s="90" t="s">
        <v>3189</v>
      </c>
      <c r="I612">
        <v>64470</v>
      </c>
      <c r="J612" s="80" t="s">
        <v>3175</v>
      </c>
      <c r="K612" t="s">
        <v>767</v>
      </c>
      <c r="L612">
        <v>9007</v>
      </c>
      <c r="M612" t="s">
        <v>3190</v>
      </c>
      <c r="O612">
        <v>0.2</v>
      </c>
      <c r="P612" s="80" t="s">
        <v>3176</v>
      </c>
      <c r="Q612" t="s">
        <v>769</v>
      </c>
      <c r="R612">
        <v>9003</v>
      </c>
      <c r="S612" t="s">
        <v>2698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50</v>
      </c>
      <c r="AD612">
        <v>1</v>
      </c>
      <c r="AE612">
        <v>8000</v>
      </c>
      <c r="AF612">
        <v>2150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3191</v>
      </c>
      <c r="E613">
        <v>150</v>
      </c>
      <c r="G613" s="90" t="s">
        <v>3192</v>
      </c>
      <c r="I613">
        <v>64595</v>
      </c>
      <c r="J613" s="80" t="s">
        <v>3175</v>
      </c>
      <c r="K613" t="s">
        <v>767</v>
      </c>
      <c r="L613">
        <v>9001</v>
      </c>
      <c r="M613" t="s">
        <v>1808</v>
      </c>
      <c r="O613">
        <v>0.6</v>
      </c>
      <c r="P613" s="80" t="s">
        <v>3176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50</v>
      </c>
      <c r="AD613">
        <v>1</v>
      </c>
      <c r="AE613">
        <v>8000</v>
      </c>
      <c r="AF613">
        <v>2160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3193</v>
      </c>
      <c r="E614">
        <v>150</v>
      </c>
      <c r="G614" s="90" t="s">
        <v>3194</v>
      </c>
      <c r="I614">
        <v>64720</v>
      </c>
      <c r="J614" s="80" t="s">
        <v>3175</v>
      </c>
      <c r="K614" t="s">
        <v>767</v>
      </c>
      <c r="L614">
        <v>9011</v>
      </c>
      <c r="M614" t="s">
        <v>3195</v>
      </c>
      <c r="O614">
        <v>0.6</v>
      </c>
      <c r="P614" s="80" t="s">
        <v>3176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50</v>
      </c>
      <c r="AD614">
        <v>1</v>
      </c>
      <c r="AE614">
        <v>8000</v>
      </c>
      <c r="AF614">
        <v>2170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3196</v>
      </c>
      <c r="E615">
        <v>150</v>
      </c>
      <c r="G615" s="90" t="s">
        <v>3187</v>
      </c>
      <c r="I615">
        <v>64845</v>
      </c>
      <c r="J615" s="80" t="s">
        <v>3175</v>
      </c>
      <c r="K615" t="s">
        <v>767</v>
      </c>
      <c r="L615">
        <v>9012</v>
      </c>
      <c r="M615">
        <v>3</v>
      </c>
      <c r="O615">
        <v>0.3</v>
      </c>
      <c r="P615" s="80" t="s">
        <v>3176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</v>
      </c>
      <c r="AD615">
        <v>1</v>
      </c>
      <c r="AE615">
        <v>8000</v>
      </c>
      <c r="AF615">
        <v>2170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3197</v>
      </c>
      <c r="E616">
        <v>150</v>
      </c>
      <c r="G616" s="90" t="s">
        <v>3198</v>
      </c>
      <c r="I616">
        <v>64970</v>
      </c>
      <c r="J616" s="80" t="s">
        <v>3175</v>
      </c>
      <c r="K616" t="s">
        <v>767</v>
      </c>
      <c r="L616">
        <v>9006</v>
      </c>
      <c r="M616" t="s">
        <v>2415</v>
      </c>
      <c r="O616">
        <v>0.3</v>
      </c>
      <c r="P616" s="80" t="s">
        <v>3176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50</v>
      </c>
      <c r="AD616">
        <v>1</v>
      </c>
      <c r="AE616">
        <v>8000</v>
      </c>
      <c r="AF616">
        <v>2180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3199</v>
      </c>
      <c r="E617">
        <v>150</v>
      </c>
      <c r="G617" s="90" t="s">
        <v>3200</v>
      </c>
      <c r="I617">
        <v>65095</v>
      </c>
      <c r="J617" s="80" t="s">
        <v>3175</v>
      </c>
      <c r="K617" t="s">
        <v>767</v>
      </c>
      <c r="L617">
        <v>9011</v>
      </c>
      <c r="M617">
        <v>8</v>
      </c>
      <c r="O617">
        <v>0.3</v>
      </c>
      <c r="P617" s="80" t="s">
        <v>3176</v>
      </c>
      <c r="Q617" t="s">
        <v>769</v>
      </c>
      <c r="R617">
        <v>9008</v>
      </c>
      <c r="S617" t="s">
        <v>2243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50</v>
      </c>
      <c r="AD617">
        <v>1</v>
      </c>
      <c r="AE617">
        <v>8000</v>
      </c>
      <c r="AF617">
        <v>2180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3201</v>
      </c>
      <c r="E618">
        <v>150</v>
      </c>
      <c r="G618" s="90" t="s">
        <v>3202</v>
      </c>
      <c r="I618">
        <v>65220</v>
      </c>
      <c r="J618" s="80" t="s">
        <v>3175</v>
      </c>
      <c r="K618" t="s">
        <v>767</v>
      </c>
      <c r="L618">
        <v>9001</v>
      </c>
      <c r="M618" t="s">
        <v>2612</v>
      </c>
      <c r="O618">
        <v>0.5</v>
      </c>
      <c r="P618" s="80" t="s">
        <v>3176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50</v>
      </c>
      <c r="AD618">
        <v>1</v>
      </c>
      <c r="AE618">
        <v>8000</v>
      </c>
      <c r="AF618">
        <v>2190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3203</v>
      </c>
      <c r="E619">
        <v>150</v>
      </c>
      <c r="G619" s="90" t="s">
        <v>3204</v>
      </c>
      <c r="I619">
        <v>65345</v>
      </c>
      <c r="J619" s="80" t="s">
        <v>3175</v>
      </c>
      <c r="K619" t="s">
        <v>767</v>
      </c>
      <c r="L619">
        <v>9007</v>
      </c>
      <c r="M619" t="s">
        <v>3205</v>
      </c>
      <c r="O619">
        <v>0.5</v>
      </c>
      <c r="P619" s="80" t="s">
        <v>3176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50</v>
      </c>
      <c r="AD619">
        <v>1</v>
      </c>
      <c r="AE619">
        <v>8000</v>
      </c>
      <c r="AF619">
        <v>2190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3206</v>
      </c>
      <c r="E620">
        <v>150</v>
      </c>
      <c r="G620" s="90" t="s">
        <v>3207</v>
      </c>
      <c r="I620">
        <v>65470</v>
      </c>
      <c r="J620" s="80" t="s">
        <v>3175</v>
      </c>
      <c r="K620" t="s">
        <v>767</v>
      </c>
      <c r="L620">
        <v>9001</v>
      </c>
      <c r="M620" t="s">
        <v>2438</v>
      </c>
      <c r="O620">
        <v>0.2</v>
      </c>
      <c r="P620" s="80" t="s">
        <v>3176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50</v>
      </c>
      <c r="AD620">
        <v>1</v>
      </c>
      <c r="AE620">
        <v>8000</v>
      </c>
      <c r="AF620">
        <v>2200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3208</v>
      </c>
      <c r="E621">
        <v>150</v>
      </c>
      <c r="G621" s="90" t="s">
        <v>3209</v>
      </c>
      <c r="I621">
        <v>65595</v>
      </c>
      <c r="J621" s="80" t="s">
        <v>3175</v>
      </c>
      <c r="K621" t="s">
        <v>767</v>
      </c>
      <c r="L621">
        <v>9011</v>
      </c>
      <c r="M621">
        <v>3</v>
      </c>
      <c r="O621">
        <v>0.5</v>
      </c>
      <c r="P621" s="80" t="s">
        <v>3176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50</v>
      </c>
      <c r="AD621">
        <v>1</v>
      </c>
      <c r="AE621">
        <v>8000</v>
      </c>
      <c r="AF621">
        <v>2200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3210</v>
      </c>
      <c r="E622">
        <v>150</v>
      </c>
      <c r="G622" s="90" t="s">
        <v>3211</v>
      </c>
      <c r="I622">
        <v>65720</v>
      </c>
      <c r="J622" s="80" t="s">
        <v>3175</v>
      </c>
      <c r="K622" t="s">
        <v>767</v>
      </c>
      <c r="L622">
        <v>9011</v>
      </c>
      <c r="M622" t="s">
        <v>3212</v>
      </c>
      <c r="O622">
        <v>0.2</v>
      </c>
      <c r="P622" s="80" t="s">
        <v>3176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50</v>
      </c>
      <c r="AD622">
        <v>1</v>
      </c>
      <c r="AE622">
        <v>8000</v>
      </c>
      <c r="AF622">
        <v>2210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3213</v>
      </c>
      <c r="E623">
        <v>150</v>
      </c>
      <c r="G623" s="90" t="s">
        <v>3214</v>
      </c>
      <c r="I623">
        <v>65845</v>
      </c>
      <c r="J623" s="80" t="s">
        <v>3175</v>
      </c>
      <c r="K623" t="s">
        <v>767</v>
      </c>
      <c r="L623">
        <v>9011</v>
      </c>
      <c r="M623" t="s">
        <v>1758</v>
      </c>
      <c r="O623">
        <v>0.2</v>
      </c>
      <c r="P623" s="80" t="s">
        <v>3176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50</v>
      </c>
      <c r="AD623">
        <v>1</v>
      </c>
      <c r="AE623">
        <v>8000</v>
      </c>
      <c r="AF623">
        <v>2220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3215</v>
      </c>
      <c r="E624">
        <v>150</v>
      </c>
      <c r="G624" s="90" t="s">
        <v>3216</v>
      </c>
      <c r="I624">
        <v>65970</v>
      </c>
      <c r="J624" s="80" t="s">
        <v>3175</v>
      </c>
      <c r="K624" t="s">
        <v>767</v>
      </c>
      <c r="L624">
        <v>9008</v>
      </c>
      <c r="M624">
        <v>6</v>
      </c>
      <c r="O624">
        <v>0.1</v>
      </c>
      <c r="P624" s="80" t="s">
        <v>3176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50</v>
      </c>
      <c r="AD624">
        <v>1</v>
      </c>
      <c r="AE624">
        <v>8000</v>
      </c>
      <c r="AF624">
        <v>2220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3217</v>
      </c>
      <c r="E625">
        <v>150</v>
      </c>
      <c r="G625" s="90" t="s">
        <v>3218</v>
      </c>
      <c r="I625">
        <v>66095</v>
      </c>
      <c r="J625" s="80" t="s">
        <v>3175</v>
      </c>
      <c r="K625" t="s">
        <v>767</v>
      </c>
      <c r="L625">
        <v>9005</v>
      </c>
      <c r="M625" t="s">
        <v>2079</v>
      </c>
      <c r="O625">
        <v>0.7</v>
      </c>
      <c r="P625" s="80" t="s">
        <v>3176</v>
      </c>
      <c r="Q625" t="s">
        <v>769</v>
      </c>
      <c r="R625">
        <v>9012</v>
      </c>
      <c r="S625" t="s">
        <v>2441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50</v>
      </c>
      <c r="AD625">
        <v>1</v>
      </c>
      <c r="AE625">
        <v>8000</v>
      </c>
      <c r="AF625">
        <v>2230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3219</v>
      </c>
      <c r="E626">
        <v>150</v>
      </c>
      <c r="G626" s="90" t="s">
        <v>3220</v>
      </c>
      <c r="I626">
        <v>66220</v>
      </c>
      <c r="J626" s="80" t="s">
        <v>3175</v>
      </c>
      <c r="K626" t="s">
        <v>767</v>
      </c>
      <c r="L626">
        <v>9012</v>
      </c>
      <c r="M626" t="s">
        <v>2231</v>
      </c>
      <c r="O626">
        <v>0.4</v>
      </c>
      <c r="P626" s="80" t="s">
        <v>3176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50</v>
      </c>
      <c r="AD626">
        <v>1</v>
      </c>
      <c r="AE626">
        <v>8000</v>
      </c>
      <c r="AF626">
        <v>2230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3221</v>
      </c>
      <c r="E627">
        <v>150</v>
      </c>
      <c r="G627" s="90" t="s">
        <v>3222</v>
      </c>
      <c r="I627">
        <v>66345</v>
      </c>
      <c r="J627" s="80" t="s">
        <v>3175</v>
      </c>
      <c r="K627" t="s">
        <v>767</v>
      </c>
      <c r="L627">
        <v>9006</v>
      </c>
      <c r="M627" t="s">
        <v>2561</v>
      </c>
      <c r="O627">
        <v>0.3</v>
      </c>
      <c r="P627" s="80" t="s">
        <v>3176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50</v>
      </c>
      <c r="AD627">
        <v>1</v>
      </c>
      <c r="AE627">
        <v>8000</v>
      </c>
      <c r="AF627">
        <v>2240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3223</v>
      </c>
      <c r="E628">
        <v>150</v>
      </c>
      <c r="G628" s="90" t="s">
        <v>3224</v>
      </c>
      <c r="I628">
        <v>66470</v>
      </c>
      <c r="J628" s="80" t="s">
        <v>3175</v>
      </c>
      <c r="K628" t="s">
        <v>767</v>
      </c>
      <c r="L628">
        <v>9005</v>
      </c>
      <c r="M628">
        <v>12</v>
      </c>
      <c r="O628">
        <v>0.9</v>
      </c>
      <c r="P628" s="80" t="s">
        <v>3176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50</v>
      </c>
      <c r="AD628">
        <v>1</v>
      </c>
      <c r="AE628">
        <v>8000</v>
      </c>
      <c r="AF628">
        <v>2240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3225</v>
      </c>
      <c r="E629">
        <v>150</v>
      </c>
      <c r="G629" s="90" t="s">
        <v>3226</v>
      </c>
      <c r="I629">
        <v>66595</v>
      </c>
      <c r="J629" s="80" t="s">
        <v>3175</v>
      </c>
      <c r="K629" t="s">
        <v>767</v>
      </c>
      <c r="L629">
        <v>9008</v>
      </c>
      <c r="M629">
        <v>5</v>
      </c>
      <c r="O629">
        <v>0.6</v>
      </c>
      <c r="P629" s="80" t="s">
        <v>3176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50</v>
      </c>
      <c r="AD629">
        <v>1</v>
      </c>
      <c r="AE629">
        <v>8000</v>
      </c>
      <c r="AF629">
        <v>2250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3227</v>
      </c>
      <c r="E630">
        <v>150</v>
      </c>
      <c r="G630" s="90" t="s">
        <v>3228</v>
      </c>
      <c r="I630">
        <v>66720</v>
      </c>
      <c r="J630" s="80" t="s">
        <v>3175</v>
      </c>
      <c r="K630" t="s">
        <v>767</v>
      </c>
      <c r="L630">
        <v>9001</v>
      </c>
      <c r="M630" t="s">
        <v>3229</v>
      </c>
      <c r="O630">
        <v>0.9</v>
      </c>
      <c r="P630" s="80" t="s">
        <v>3176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50</v>
      </c>
      <c r="AD630">
        <v>1</v>
      </c>
      <c r="AE630">
        <v>8000</v>
      </c>
      <c r="AF630">
        <v>2250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3230</v>
      </c>
      <c r="E631">
        <v>150</v>
      </c>
      <c r="G631" s="90" t="s">
        <v>3231</v>
      </c>
      <c r="I631">
        <v>66845</v>
      </c>
      <c r="J631" s="80" t="s">
        <v>3175</v>
      </c>
      <c r="K631" t="s">
        <v>767</v>
      </c>
      <c r="L631">
        <v>9011</v>
      </c>
      <c r="M631">
        <v>3</v>
      </c>
      <c r="O631">
        <v>0.2</v>
      </c>
      <c r="P631" s="80" t="s">
        <v>3176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50</v>
      </c>
      <c r="AD631">
        <v>1</v>
      </c>
      <c r="AE631">
        <v>8000</v>
      </c>
      <c r="AF631">
        <v>2260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3232</v>
      </c>
      <c r="E632">
        <v>150</v>
      </c>
      <c r="G632" s="90" t="s">
        <v>3233</v>
      </c>
      <c r="I632">
        <v>66970</v>
      </c>
      <c r="J632" s="80" t="s">
        <v>3175</v>
      </c>
      <c r="K632" t="s">
        <v>767</v>
      </c>
      <c r="L632">
        <v>9008</v>
      </c>
      <c r="M632" t="s">
        <v>1652</v>
      </c>
      <c r="O632">
        <v>0.4</v>
      </c>
      <c r="P632" s="80" t="s">
        <v>3176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50</v>
      </c>
      <c r="AD632">
        <v>1</v>
      </c>
      <c r="AE632">
        <v>8000</v>
      </c>
      <c r="AF632">
        <v>2270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3234</v>
      </c>
      <c r="E633">
        <v>150</v>
      </c>
      <c r="G633" s="90" t="s">
        <v>3235</v>
      </c>
      <c r="I633">
        <v>67095</v>
      </c>
      <c r="J633" s="80" t="s">
        <v>3175</v>
      </c>
      <c r="K633" t="s">
        <v>767</v>
      </c>
      <c r="L633">
        <v>9011</v>
      </c>
      <c r="M633" t="s">
        <v>3236</v>
      </c>
      <c r="O633">
        <v>0.7</v>
      </c>
      <c r="P633" s="80" t="s">
        <v>3176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50</v>
      </c>
      <c r="AD633">
        <v>1</v>
      </c>
      <c r="AE633">
        <v>8000</v>
      </c>
      <c r="AF633">
        <v>2270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3237</v>
      </c>
      <c r="E634">
        <v>150</v>
      </c>
      <c r="G634" s="90" t="s">
        <v>3238</v>
      </c>
      <c r="I634">
        <v>67220</v>
      </c>
      <c r="J634" s="80" t="s">
        <v>3175</v>
      </c>
      <c r="K634" t="s">
        <v>767</v>
      </c>
      <c r="L634">
        <v>9007</v>
      </c>
      <c r="M634" t="s">
        <v>2264</v>
      </c>
      <c r="O634">
        <v>0.8</v>
      </c>
      <c r="P634" s="80" t="s">
        <v>3176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50</v>
      </c>
      <c r="AD634">
        <v>1</v>
      </c>
      <c r="AE634">
        <v>8000</v>
      </c>
      <c r="AF634">
        <v>2280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3239</v>
      </c>
      <c r="E635">
        <v>150</v>
      </c>
      <c r="G635" s="90" t="s">
        <v>3240</v>
      </c>
      <c r="I635">
        <v>67345</v>
      </c>
      <c r="J635" s="80" t="s">
        <v>3175</v>
      </c>
      <c r="K635" t="s">
        <v>767</v>
      </c>
      <c r="L635">
        <v>9005</v>
      </c>
      <c r="M635" t="s">
        <v>3034</v>
      </c>
      <c r="O635">
        <v>0.8</v>
      </c>
      <c r="P635" s="80" t="s">
        <v>3176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50</v>
      </c>
      <c r="AD635">
        <v>1</v>
      </c>
      <c r="AE635">
        <v>8000</v>
      </c>
      <c r="AF635">
        <v>2280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3241</v>
      </c>
      <c r="E636">
        <v>150</v>
      </c>
      <c r="G636" s="90" t="s">
        <v>3242</v>
      </c>
      <c r="I636">
        <v>67470</v>
      </c>
      <c r="J636" s="80" t="s">
        <v>3175</v>
      </c>
      <c r="K636" t="s">
        <v>767</v>
      </c>
      <c r="L636">
        <v>9007</v>
      </c>
      <c r="M636" t="s">
        <v>3243</v>
      </c>
      <c r="O636">
        <v>0.7</v>
      </c>
      <c r="P636" s="80" t="s">
        <v>3176</v>
      </c>
      <c r="Q636" t="s">
        <v>769</v>
      </c>
      <c r="R636">
        <v>9007</v>
      </c>
      <c r="S636" t="s">
        <v>2404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50</v>
      </c>
      <c r="AD636">
        <v>1</v>
      </c>
      <c r="AE636">
        <v>8000</v>
      </c>
      <c r="AF636">
        <v>2290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3244</v>
      </c>
      <c r="E637">
        <v>150</v>
      </c>
      <c r="G637" s="90" t="s">
        <v>3245</v>
      </c>
      <c r="I637">
        <v>67595</v>
      </c>
      <c r="J637" s="80" t="s">
        <v>3175</v>
      </c>
      <c r="K637" t="s">
        <v>767</v>
      </c>
      <c r="L637">
        <v>9002</v>
      </c>
      <c r="M637" t="s">
        <v>3229</v>
      </c>
      <c r="O637">
        <v>0.2</v>
      </c>
      <c r="P637" s="80" t="s">
        <v>3176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50</v>
      </c>
      <c r="AD637">
        <v>1</v>
      </c>
      <c r="AE637">
        <v>8000</v>
      </c>
      <c r="AF637">
        <v>2290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3246</v>
      </c>
      <c r="E638">
        <v>150</v>
      </c>
      <c r="G638" s="90" t="s">
        <v>3247</v>
      </c>
      <c r="I638">
        <v>67720</v>
      </c>
      <c r="J638" s="80" t="s">
        <v>3175</v>
      </c>
      <c r="K638" t="s">
        <v>767</v>
      </c>
      <c r="L638">
        <v>9007</v>
      </c>
      <c r="M638">
        <v>10</v>
      </c>
      <c r="O638">
        <v>0.8</v>
      </c>
      <c r="P638" s="80" t="s">
        <v>3176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50</v>
      </c>
      <c r="AD638">
        <v>1</v>
      </c>
      <c r="AE638">
        <v>8000</v>
      </c>
      <c r="AF638">
        <v>2300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3248</v>
      </c>
      <c r="E639">
        <v>150</v>
      </c>
      <c r="G639" s="90" t="s">
        <v>3249</v>
      </c>
      <c r="I639">
        <v>67845</v>
      </c>
      <c r="J639" s="80" t="s">
        <v>3175</v>
      </c>
      <c r="K639" t="s">
        <v>767</v>
      </c>
      <c r="L639">
        <v>9007</v>
      </c>
      <c r="M639">
        <v>9</v>
      </c>
      <c r="O639">
        <v>0.9</v>
      </c>
      <c r="P639" s="80" t="s">
        <v>3176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50</v>
      </c>
      <c r="AD639">
        <v>1</v>
      </c>
      <c r="AE639">
        <v>8000</v>
      </c>
      <c r="AF639">
        <v>2300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3250</v>
      </c>
      <c r="E640">
        <v>150</v>
      </c>
      <c r="G640" s="90" t="s">
        <v>3251</v>
      </c>
      <c r="I640">
        <v>67970</v>
      </c>
      <c r="J640" s="80" t="s">
        <v>3175</v>
      </c>
      <c r="K640" t="s">
        <v>767</v>
      </c>
      <c r="L640">
        <v>9005</v>
      </c>
      <c r="M640" t="s">
        <v>1952</v>
      </c>
      <c r="O640">
        <v>0.1</v>
      </c>
      <c r="P640" s="80" t="s">
        <v>3176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50</v>
      </c>
      <c r="AD640">
        <v>1</v>
      </c>
      <c r="AE640">
        <v>8000</v>
      </c>
      <c r="AF640">
        <v>2310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3252</v>
      </c>
      <c r="E641">
        <v>150</v>
      </c>
      <c r="G641" s="90" t="s">
        <v>3253</v>
      </c>
      <c r="I641">
        <v>68095</v>
      </c>
      <c r="J641" s="80" t="s">
        <v>3175</v>
      </c>
      <c r="K641" t="s">
        <v>767</v>
      </c>
      <c r="L641">
        <v>9012</v>
      </c>
      <c r="M641">
        <v>7</v>
      </c>
      <c r="O641">
        <v>0.8</v>
      </c>
      <c r="P641" s="80" t="s">
        <v>3176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50</v>
      </c>
      <c r="AD641">
        <v>1</v>
      </c>
      <c r="AE641">
        <v>8000</v>
      </c>
      <c r="AF641">
        <v>2320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3254</v>
      </c>
      <c r="E642">
        <v>150</v>
      </c>
      <c r="G642" s="90" t="s">
        <v>3255</v>
      </c>
      <c r="I642">
        <v>68220</v>
      </c>
      <c r="J642" s="80" t="s">
        <v>3175</v>
      </c>
      <c r="K642" t="s">
        <v>767</v>
      </c>
      <c r="L642">
        <v>9008</v>
      </c>
      <c r="M642">
        <v>11</v>
      </c>
      <c r="O642">
        <v>0.2</v>
      </c>
      <c r="P642" s="80" t="s">
        <v>3176</v>
      </c>
      <c r="Q642" t="s">
        <v>769</v>
      </c>
      <c r="R642">
        <v>9004</v>
      </c>
      <c r="S642" t="s">
        <v>3256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50</v>
      </c>
      <c r="AD642">
        <v>1</v>
      </c>
      <c r="AE642">
        <v>8000</v>
      </c>
      <c r="AF642">
        <v>2320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3257</v>
      </c>
      <c r="E643">
        <v>150</v>
      </c>
      <c r="G643" s="90" t="s">
        <v>3258</v>
      </c>
      <c r="I643">
        <v>68345</v>
      </c>
      <c r="J643" s="80" t="s">
        <v>3175</v>
      </c>
      <c r="K643" t="s">
        <v>767</v>
      </c>
      <c r="L643">
        <v>9002</v>
      </c>
      <c r="M643" t="s">
        <v>1690</v>
      </c>
      <c r="O643">
        <v>0.8</v>
      </c>
      <c r="P643" s="80" t="s">
        <v>3176</v>
      </c>
      <c r="Q643" t="s">
        <v>769</v>
      </c>
      <c r="R643">
        <v>9007</v>
      </c>
      <c r="S643" t="s">
        <v>2289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50</v>
      </c>
      <c r="AD643">
        <v>1</v>
      </c>
      <c r="AE643">
        <v>8000</v>
      </c>
      <c r="AF643">
        <v>2330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3259</v>
      </c>
      <c r="E644">
        <v>150</v>
      </c>
      <c r="G644" s="90" t="s">
        <v>3260</v>
      </c>
      <c r="I644">
        <v>68470</v>
      </c>
      <c r="J644" s="80" t="s">
        <v>3175</v>
      </c>
      <c r="K644" t="s">
        <v>767</v>
      </c>
      <c r="L644">
        <v>9012</v>
      </c>
      <c r="M644" t="s">
        <v>1730</v>
      </c>
      <c r="O644">
        <v>0.5</v>
      </c>
      <c r="P644" s="80" t="s">
        <v>3176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50</v>
      </c>
      <c r="AD644">
        <v>1</v>
      </c>
      <c r="AE644">
        <v>8000</v>
      </c>
      <c r="AF644">
        <v>2330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3261</v>
      </c>
      <c r="E645">
        <v>150</v>
      </c>
      <c r="G645" s="90" t="s">
        <v>3262</v>
      </c>
      <c r="I645">
        <v>68595</v>
      </c>
      <c r="J645" s="80" t="s">
        <v>3175</v>
      </c>
      <c r="K645" t="s">
        <v>767</v>
      </c>
      <c r="L645">
        <v>9002</v>
      </c>
      <c r="M645" t="s">
        <v>1890</v>
      </c>
      <c r="O645">
        <v>0.6</v>
      </c>
      <c r="P645" s="80" t="s">
        <v>3176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</v>
      </c>
      <c r="AD645">
        <v>1</v>
      </c>
      <c r="AE645">
        <v>8000</v>
      </c>
      <c r="AF645">
        <v>2340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3263</v>
      </c>
      <c r="E646">
        <v>150</v>
      </c>
      <c r="G646" s="90" t="s">
        <v>3264</v>
      </c>
      <c r="I646">
        <v>68720</v>
      </c>
      <c r="J646" s="80" t="s">
        <v>3175</v>
      </c>
      <c r="K646" t="s">
        <v>767</v>
      </c>
      <c r="L646">
        <v>9005</v>
      </c>
      <c r="M646">
        <v>6</v>
      </c>
      <c r="O646">
        <v>0.6</v>
      </c>
      <c r="P646" s="80" t="s">
        <v>3176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50</v>
      </c>
      <c r="AD646">
        <v>1</v>
      </c>
      <c r="AE646">
        <v>8000</v>
      </c>
      <c r="AF646">
        <v>2340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3265</v>
      </c>
      <c r="E647">
        <v>150</v>
      </c>
      <c r="G647" s="90" t="s">
        <v>3266</v>
      </c>
      <c r="I647">
        <v>68845</v>
      </c>
      <c r="J647" s="80" t="s">
        <v>3175</v>
      </c>
      <c r="K647" t="s">
        <v>767</v>
      </c>
      <c r="L647">
        <v>9012</v>
      </c>
      <c r="M647" t="s">
        <v>1900</v>
      </c>
      <c r="O647">
        <v>0.9</v>
      </c>
      <c r="P647" s="80" t="s">
        <v>3176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50</v>
      </c>
      <c r="AD647">
        <v>1</v>
      </c>
      <c r="AE647">
        <v>8000</v>
      </c>
      <c r="AF647">
        <v>2350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3267</v>
      </c>
      <c r="E648">
        <v>150</v>
      </c>
      <c r="G648" s="90" t="s">
        <v>3268</v>
      </c>
      <c r="I648">
        <v>68970</v>
      </c>
      <c r="J648" s="80" t="s">
        <v>3175</v>
      </c>
      <c r="K648" t="s">
        <v>767</v>
      </c>
      <c r="L648">
        <v>9011</v>
      </c>
      <c r="M648" t="s">
        <v>1864</v>
      </c>
      <c r="O648">
        <v>0.7</v>
      </c>
      <c r="P648" s="80" t="s">
        <v>3176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50</v>
      </c>
      <c r="AD648">
        <v>1</v>
      </c>
      <c r="AE648">
        <v>8000</v>
      </c>
      <c r="AF648">
        <v>2360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3269</v>
      </c>
      <c r="E649">
        <v>150</v>
      </c>
      <c r="G649" s="90" t="s">
        <v>3270</v>
      </c>
      <c r="I649">
        <v>69095</v>
      </c>
      <c r="J649" s="80" t="s">
        <v>3175</v>
      </c>
      <c r="K649" t="s">
        <v>767</v>
      </c>
      <c r="L649">
        <v>9002</v>
      </c>
      <c r="M649" t="s">
        <v>3271</v>
      </c>
      <c r="O649">
        <v>0.5</v>
      </c>
      <c r="P649" s="80" t="s">
        <v>3176</v>
      </c>
      <c r="Q649" t="s">
        <v>769</v>
      </c>
      <c r="R649">
        <v>9010</v>
      </c>
      <c r="S649" t="s">
        <v>2331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50</v>
      </c>
      <c r="AD649">
        <v>1</v>
      </c>
      <c r="AE649">
        <v>8000</v>
      </c>
      <c r="AF649">
        <v>2360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3272</v>
      </c>
      <c r="E650">
        <v>150</v>
      </c>
      <c r="G650" s="90" t="s">
        <v>3273</v>
      </c>
      <c r="I650">
        <v>69220</v>
      </c>
      <c r="J650" s="80" t="s">
        <v>3175</v>
      </c>
      <c r="K650" t="s">
        <v>767</v>
      </c>
      <c r="L650">
        <v>9001</v>
      </c>
      <c r="M650">
        <v>13</v>
      </c>
      <c r="O650">
        <v>0.3</v>
      </c>
      <c r="P650" s="80" t="s">
        <v>3176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50</v>
      </c>
      <c r="AD650">
        <v>1</v>
      </c>
      <c r="AE650">
        <v>8000</v>
      </c>
      <c r="AF650">
        <v>2370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3274</v>
      </c>
      <c r="E651">
        <v>150</v>
      </c>
      <c r="G651" s="90" t="s">
        <v>3275</v>
      </c>
      <c r="I651">
        <v>69345</v>
      </c>
      <c r="J651" s="80" t="s">
        <v>3175</v>
      </c>
      <c r="K651" t="s">
        <v>767</v>
      </c>
      <c r="L651">
        <v>9012</v>
      </c>
      <c r="M651">
        <v>8</v>
      </c>
      <c r="O651">
        <v>0.8</v>
      </c>
      <c r="P651" s="80" t="s">
        <v>3176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50</v>
      </c>
      <c r="AD651">
        <v>1</v>
      </c>
      <c r="AE651">
        <v>8000</v>
      </c>
      <c r="AF651">
        <v>2370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3276</v>
      </c>
      <c r="E652">
        <v>150</v>
      </c>
      <c r="G652" s="90" t="s">
        <v>3277</v>
      </c>
      <c r="I652">
        <v>69470</v>
      </c>
      <c r="J652" s="80" t="s">
        <v>3175</v>
      </c>
      <c r="K652" t="s">
        <v>767</v>
      </c>
      <c r="L652">
        <v>9006</v>
      </c>
      <c r="M652" t="s">
        <v>2231</v>
      </c>
      <c r="O652">
        <v>0.7</v>
      </c>
      <c r="P652" s="80" t="s">
        <v>3176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50</v>
      </c>
      <c r="AD652">
        <v>1</v>
      </c>
      <c r="AE652">
        <v>8000</v>
      </c>
      <c r="AF652">
        <v>2380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3278</v>
      </c>
      <c r="E653">
        <v>150</v>
      </c>
      <c r="G653" s="90" t="s">
        <v>3279</v>
      </c>
      <c r="I653">
        <v>69595</v>
      </c>
      <c r="J653" s="80" t="s">
        <v>3175</v>
      </c>
      <c r="K653" t="s">
        <v>767</v>
      </c>
      <c r="L653">
        <v>9002</v>
      </c>
      <c r="M653">
        <v>8</v>
      </c>
      <c r="O653">
        <v>0.8</v>
      </c>
      <c r="P653" s="80" t="s">
        <v>3176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50</v>
      </c>
      <c r="AD653">
        <v>1</v>
      </c>
      <c r="AE653">
        <v>8000</v>
      </c>
      <c r="AF653">
        <v>2380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3280</v>
      </c>
      <c r="E654">
        <v>150</v>
      </c>
      <c r="G654" s="90" t="s">
        <v>3281</v>
      </c>
      <c r="I654">
        <v>69720</v>
      </c>
      <c r="J654" s="80" t="s">
        <v>3175</v>
      </c>
      <c r="K654" t="s">
        <v>767</v>
      </c>
      <c r="L654">
        <v>9011</v>
      </c>
      <c r="M654">
        <v>8</v>
      </c>
      <c r="O654">
        <v>0.9</v>
      </c>
      <c r="P654" s="80" t="s">
        <v>3176</v>
      </c>
      <c r="Q654" t="s">
        <v>769</v>
      </c>
      <c r="R654">
        <v>9004</v>
      </c>
      <c r="S654" t="s">
        <v>3051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50</v>
      </c>
      <c r="AD654">
        <v>1</v>
      </c>
      <c r="AE654">
        <v>8000</v>
      </c>
      <c r="AF654">
        <v>2390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3282</v>
      </c>
      <c r="E655">
        <v>150</v>
      </c>
      <c r="G655" s="90" t="s">
        <v>3283</v>
      </c>
      <c r="I655">
        <v>69845</v>
      </c>
      <c r="J655" s="80" t="s">
        <v>3175</v>
      </c>
      <c r="K655" t="s">
        <v>767</v>
      </c>
      <c r="L655">
        <v>9005</v>
      </c>
      <c r="M655" t="s">
        <v>2415</v>
      </c>
      <c r="O655">
        <v>0.5</v>
      </c>
      <c r="P655" s="80" t="s">
        <v>3176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50</v>
      </c>
      <c r="AD655">
        <v>1</v>
      </c>
      <c r="AE655">
        <v>8000</v>
      </c>
      <c r="AF655">
        <v>2400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3284</v>
      </c>
      <c r="E656">
        <v>150</v>
      </c>
      <c r="G656" s="90" t="s">
        <v>3285</v>
      </c>
      <c r="I656">
        <v>69970</v>
      </c>
      <c r="J656" s="80" t="s">
        <v>3286</v>
      </c>
      <c r="K656" t="s">
        <v>767</v>
      </c>
      <c r="L656">
        <v>9012</v>
      </c>
      <c r="M656" t="s">
        <v>3236</v>
      </c>
      <c r="O656">
        <v>0.7</v>
      </c>
      <c r="P656" s="80" t="s">
        <v>3287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50</v>
      </c>
      <c r="AD656">
        <v>1</v>
      </c>
      <c r="AE656">
        <v>8000</v>
      </c>
      <c r="AF656">
        <v>2400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3288</v>
      </c>
      <c r="E657">
        <v>150</v>
      </c>
      <c r="G657" s="90" t="s">
        <v>3289</v>
      </c>
      <c r="I657">
        <v>70095</v>
      </c>
      <c r="J657" s="80" t="s">
        <v>3286</v>
      </c>
      <c r="K657" t="s">
        <v>767</v>
      </c>
      <c r="L657">
        <v>9002</v>
      </c>
      <c r="M657" t="s">
        <v>1824</v>
      </c>
      <c r="O657">
        <v>0.7</v>
      </c>
      <c r="P657" s="80" t="s">
        <v>3287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50</v>
      </c>
      <c r="AD657">
        <v>1</v>
      </c>
      <c r="AE657">
        <v>8000</v>
      </c>
      <c r="AF657">
        <v>2410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3290</v>
      </c>
      <c r="E658">
        <v>150</v>
      </c>
      <c r="G658" s="90" t="s">
        <v>3291</v>
      </c>
      <c r="I658">
        <v>70220</v>
      </c>
      <c r="J658" s="80" t="s">
        <v>3286</v>
      </c>
      <c r="K658" t="s">
        <v>767</v>
      </c>
      <c r="L658">
        <v>9001</v>
      </c>
      <c r="M658" t="s">
        <v>3048</v>
      </c>
      <c r="O658">
        <v>0.5</v>
      </c>
      <c r="P658" s="80" t="s">
        <v>3287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50</v>
      </c>
      <c r="AD658">
        <v>1</v>
      </c>
      <c r="AE658">
        <v>8000</v>
      </c>
      <c r="AF658">
        <v>2410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3292</v>
      </c>
      <c r="E659">
        <v>150</v>
      </c>
      <c r="G659" s="90" t="s">
        <v>3293</v>
      </c>
      <c r="I659">
        <v>70345</v>
      </c>
      <c r="J659" s="80" t="s">
        <v>3286</v>
      </c>
      <c r="K659" t="s">
        <v>767</v>
      </c>
      <c r="L659">
        <v>9007</v>
      </c>
      <c r="M659" t="s">
        <v>2152</v>
      </c>
      <c r="O659">
        <v>0.3</v>
      </c>
      <c r="P659" s="80" t="s">
        <v>3287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50</v>
      </c>
      <c r="AD659">
        <v>1</v>
      </c>
      <c r="AE659">
        <v>8000</v>
      </c>
      <c r="AF659">
        <v>2420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3294</v>
      </c>
      <c r="E660">
        <v>150</v>
      </c>
      <c r="G660" s="90" t="s">
        <v>3289</v>
      </c>
      <c r="I660">
        <v>70470</v>
      </c>
      <c r="J660" s="80" t="s">
        <v>3286</v>
      </c>
      <c r="K660" t="s">
        <v>767</v>
      </c>
      <c r="L660">
        <v>9011</v>
      </c>
      <c r="M660">
        <v>2</v>
      </c>
      <c r="O660">
        <v>0.3</v>
      </c>
      <c r="P660" s="80" t="s">
        <v>3287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50</v>
      </c>
      <c r="AD660">
        <v>1</v>
      </c>
      <c r="AE660">
        <v>8000</v>
      </c>
      <c r="AF660">
        <v>2420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3295</v>
      </c>
      <c r="E661">
        <v>150</v>
      </c>
      <c r="G661" s="90" t="s">
        <v>3296</v>
      </c>
      <c r="I661">
        <v>70595</v>
      </c>
      <c r="J661" s="80" t="s">
        <v>3286</v>
      </c>
      <c r="K661" t="s">
        <v>767</v>
      </c>
      <c r="L661">
        <v>9012</v>
      </c>
      <c r="M661" t="s">
        <v>1893</v>
      </c>
      <c r="O661">
        <v>0.2</v>
      </c>
      <c r="P661" s="80" t="s">
        <v>3287</v>
      </c>
      <c r="Q661" t="s">
        <v>769</v>
      </c>
      <c r="R661">
        <v>9004</v>
      </c>
      <c r="S661" t="s">
        <v>2301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50</v>
      </c>
      <c r="AD661">
        <v>1</v>
      </c>
      <c r="AE661">
        <v>8000</v>
      </c>
      <c r="AF661">
        <v>2430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3297</v>
      </c>
      <c r="E662">
        <v>150</v>
      </c>
      <c r="G662" s="90" t="s">
        <v>3298</v>
      </c>
      <c r="I662">
        <v>70720</v>
      </c>
      <c r="J662" s="80" t="s">
        <v>3286</v>
      </c>
      <c r="K662" t="s">
        <v>767</v>
      </c>
      <c r="L662">
        <v>9011</v>
      </c>
      <c r="M662">
        <v>1</v>
      </c>
      <c r="O662">
        <v>0.8</v>
      </c>
      <c r="P662" s="80" t="s">
        <v>3287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50</v>
      </c>
      <c r="AD662">
        <v>1</v>
      </c>
      <c r="AE662">
        <v>8000</v>
      </c>
      <c r="AF662">
        <v>2440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3299</v>
      </c>
      <c r="E663">
        <v>150</v>
      </c>
      <c r="G663" s="90" t="s">
        <v>3300</v>
      </c>
      <c r="I663">
        <v>70845</v>
      </c>
      <c r="J663" s="80" t="s">
        <v>3286</v>
      </c>
      <c r="K663" t="s">
        <v>767</v>
      </c>
      <c r="L663">
        <v>9001</v>
      </c>
      <c r="M663">
        <v>3</v>
      </c>
      <c r="O663">
        <v>0.8</v>
      </c>
      <c r="P663" s="80" t="s">
        <v>3287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50</v>
      </c>
      <c r="AD663">
        <v>1</v>
      </c>
      <c r="AE663">
        <v>8000</v>
      </c>
      <c r="AF663">
        <v>2440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3301</v>
      </c>
      <c r="E664">
        <v>150</v>
      </c>
      <c r="G664" s="90" t="s">
        <v>3302</v>
      </c>
      <c r="I664">
        <v>70970</v>
      </c>
      <c r="J664" s="80" t="s">
        <v>3286</v>
      </c>
      <c r="K664" t="s">
        <v>767</v>
      </c>
      <c r="L664">
        <v>9001</v>
      </c>
      <c r="M664">
        <v>13</v>
      </c>
      <c r="O664">
        <v>0.8</v>
      </c>
      <c r="P664" s="80" t="s">
        <v>3287</v>
      </c>
      <c r="Q664" t="s">
        <v>769</v>
      </c>
      <c r="R664">
        <v>9011</v>
      </c>
      <c r="S664" t="s">
        <v>2468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50</v>
      </c>
      <c r="AD664">
        <v>1</v>
      </c>
      <c r="AE664">
        <v>8000</v>
      </c>
      <c r="AF664">
        <v>2450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3303</v>
      </c>
      <c r="E665">
        <v>150</v>
      </c>
      <c r="G665" s="90" t="s">
        <v>3304</v>
      </c>
      <c r="I665">
        <v>71095</v>
      </c>
      <c r="J665" s="80" t="s">
        <v>3286</v>
      </c>
      <c r="K665" t="s">
        <v>767</v>
      </c>
      <c r="L665">
        <v>9001</v>
      </c>
      <c r="M665" t="s">
        <v>1652</v>
      </c>
      <c r="O665">
        <v>0.1</v>
      </c>
      <c r="P665" s="80" t="s">
        <v>3287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50</v>
      </c>
      <c r="AD665">
        <v>1</v>
      </c>
      <c r="AE665">
        <v>8000</v>
      </c>
      <c r="AF665">
        <v>2450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3305</v>
      </c>
      <c r="E666">
        <v>150</v>
      </c>
      <c r="G666" s="90" t="s">
        <v>3306</v>
      </c>
      <c r="I666">
        <v>71220</v>
      </c>
      <c r="J666" s="80" t="s">
        <v>3286</v>
      </c>
      <c r="K666" t="s">
        <v>767</v>
      </c>
      <c r="L666">
        <v>9007</v>
      </c>
      <c r="M666" t="s">
        <v>3307</v>
      </c>
      <c r="O666">
        <v>0.7</v>
      </c>
      <c r="P666" s="80" t="s">
        <v>3287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50</v>
      </c>
      <c r="AD666">
        <v>1</v>
      </c>
      <c r="AE666">
        <v>8000</v>
      </c>
      <c r="AF666">
        <v>2460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3308</v>
      </c>
      <c r="E667">
        <v>150</v>
      </c>
      <c r="G667" s="90" t="s">
        <v>3309</v>
      </c>
      <c r="I667">
        <v>71345</v>
      </c>
      <c r="J667" s="80" t="s">
        <v>3286</v>
      </c>
      <c r="K667" t="s">
        <v>767</v>
      </c>
      <c r="L667">
        <v>9005</v>
      </c>
      <c r="M667" t="s">
        <v>2155</v>
      </c>
      <c r="O667">
        <v>0.2</v>
      </c>
      <c r="P667" s="80" t="s">
        <v>3287</v>
      </c>
      <c r="Q667" t="s">
        <v>769</v>
      </c>
      <c r="R667">
        <v>9011</v>
      </c>
      <c r="S667" t="s">
        <v>2163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50</v>
      </c>
      <c r="AD667">
        <v>1</v>
      </c>
      <c r="AE667">
        <v>8000</v>
      </c>
      <c r="AF667">
        <v>2460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3310</v>
      </c>
      <c r="E668">
        <v>150</v>
      </c>
      <c r="G668" s="90" t="s">
        <v>3311</v>
      </c>
      <c r="I668">
        <v>71470</v>
      </c>
      <c r="J668" s="80" t="s">
        <v>3286</v>
      </c>
      <c r="K668" t="s">
        <v>767</v>
      </c>
      <c r="L668">
        <v>9011</v>
      </c>
      <c r="M668" t="s">
        <v>2668</v>
      </c>
      <c r="O668">
        <v>0.6</v>
      </c>
      <c r="P668" s="80" t="s">
        <v>3287</v>
      </c>
      <c r="Q668" t="s">
        <v>769</v>
      </c>
      <c r="R668">
        <v>9012</v>
      </c>
      <c r="S668" t="s">
        <v>2476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50</v>
      </c>
      <c r="AD668">
        <v>1</v>
      </c>
      <c r="AE668">
        <v>8000</v>
      </c>
      <c r="AF668">
        <v>2470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3312</v>
      </c>
      <c r="E669">
        <v>150</v>
      </c>
      <c r="G669" s="90" t="s">
        <v>3313</v>
      </c>
      <c r="I669">
        <v>71595</v>
      </c>
      <c r="J669" s="80" t="s">
        <v>3286</v>
      </c>
      <c r="K669" t="s">
        <v>767</v>
      </c>
      <c r="L669">
        <v>9007</v>
      </c>
      <c r="M669" t="s">
        <v>3130</v>
      </c>
      <c r="O669">
        <v>0.1</v>
      </c>
      <c r="P669" s="80" t="s">
        <v>3287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50</v>
      </c>
      <c r="AD669">
        <v>1</v>
      </c>
      <c r="AE669">
        <v>8000</v>
      </c>
      <c r="AF669">
        <v>2470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3314</v>
      </c>
      <c r="E670">
        <v>150</v>
      </c>
      <c r="G670" s="90" t="s">
        <v>3315</v>
      </c>
      <c r="I670">
        <v>71720</v>
      </c>
      <c r="J670" s="80" t="s">
        <v>3286</v>
      </c>
      <c r="K670" t="s">
        <v>767</v>
      </c>
      <c r="L670">
        <v>9001</v>
      </c>
      <c r="M670" t="s">
        <v>2279</v>
      </c>
      <c r="O670">
        <v>0.6</v>
      </c>
      <c r="P670" s="80" t="s">
        <v>3287</v>
      </c>
      <c r="Q670" t="s">
        <v>769</v>
      </c>
      <c r="R670">
        <v>9004</v>
      </c>
      <c r="S670" t="s">
        <v>3051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50</v>
      </c>
      <c r="AD670">
        <v>1</v>
      </c>
      <c r="AE670">
        <v>8000</v>
      </c>
      <c r="AF670">
        <v>2480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3316</v>
      </c>
      <c r="E671">
        <v>150</v>
      </c>
      <c r="G671" s="90" t="s">
        <v>3317</v>
      </c>
      <c r="I671">
        <v>71845</v>
      </c>
      <c r="J671" s="80" t="s">
        <v>3286</v>
      </c>
      <c r="K671" t="s">
        <v>767</v>
      </c>
      <c r="L671">
        <v>9007</v>
      </c>
      <c r="M671" t="s">
        <v>2542</v>
      </c>
      <c r="O671">
        <v>0.8</v>
      </c>
      <c r="P671" s="80" t="s">
        <v>3287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50</v>
      </c>
      <c r="AD671">
        <v>1</v>
      </c>
      <c r="AE671">
        <v>8000</v>
      </c>
      <c r="AF671">
        <v>2490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3318</v>
      </c>
      <c r="E672">
        <v>150</v>
      </c>
      <c r="G672" s="90" t="s">
        <v>3319</v>
      </c>
      <c r="I672">
        <v>71970</v>
      </c>
      <c r="J672" s="80" t="s">
        <v>3286</v>
      </c>
      <c r="K672" t="s">
        <v>767</v>
      </c>
      <c r="L672">
        <v>9008</v>
      </c>
      <c r="M672">
        <v>12</v>
      </c>
      <c r="O672">
        <v>0.5</v>
      </c>
      <c r="P672" s="80" t="s">
        <v>3287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50</v>
      </c>
      <c r="AD672">
        <v>1</v>
      </c>
      <c r="AE672">
        <v>8000</v>
      </c>
      <c r="AF672">
        <v>2490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3320</v>
      </c>
      <c r="E673">
        <v>150</v>
      </c>
      <c r="G673" s="90" t="s">
        <v>3321</v>
      </c>
      <c r="I673">
        <v>72095</v>
      </c>
      <c r="J673" s="80" t="s">
        <v>3286</v>
      </c>
      <c r="K673" t="s">
        <v>767</v>
      </c>
      <c r="L673">
        <v>9007</v>
      </c>
      <c r="M673" t="s">
        <v>2354</v>
      </c>
      <c r="O673">
        <v>0.4</v>
      </c>
      <c r="P673" s="80" t="s">
        <v>3287</v>
      </c>
      <c r="Q673" t="s">
        <v>769</v>
      </c>
      <c r="R673">
        <v>9010</v>
      </c>
      <c r="S673" t="s">
        <v>2182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50</v>
      </c>
      <c r="AD673">
        <v>1</v>
      </c>
      <c r="AE673">
        <v>8000</v>
      </c>
      <c r="AF673">
        <v>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3322</v>
      </c>
      <c r="E674">
        <v>150</v>
      </c>
      <c r="G674" s="90" t="s">
        <v>3323</v>
      </c>
      <c r="I674">
        <v>72220</v>
      </c>
      <c r="J674" s="80" t="s">
        <v>3286</v>
      </c>
      <c r="K674" t="s">
        <v>767</v>
      </c>
      <c r="L674">
        <v>9002</v>
      </c>
      <c r="M674" t="s">
        <v>1677</v>
      </c>
      <c r="O674">
        <v>0.2</v>
      </c>
      <c r="P674" s="80" t="s">
        <v>3287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50</v>
      </c>
      <c r="AD674">
        <v>1</v>
      </c>
      <c r="AE674">
        <v>8000</v>
      </c>
      <c r="AF674">
        <v>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3324</v>
      </c>
      <c r="E675">
        <v>150</v>
      </c>
      <c r="G675" s="90" t="s">
        <v>3325</v>
      </c>
      <c r="I675">
        <v>72345</v>
      </c>
      <c r="J675" s="80" t="s">
        <v>3286</v>
      </c>
      <c r="K675" t="s">
        <v>767</v>
      </c>
      <c r="L675">
        <v>9001</v>
      </c>
      <c r="M675" t="s">
        <v>1972</v>
      </c>
      <c r="O675">
        <v>0.8</v>
      </c>
      <c r="P675" s="80" t="s">
        <v>3287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</v>
      </c>
      <c r="AD675">
        <v>1</v>
      </c>
      <c r="AE675">
        <v>8000</v>
      </c>
      <c r="AF675">
        <v>2510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3326</v>
      </c>
      <c r="E676">
        <v>150</v>
      </c>
      <c r="G676" s="90" t="s">
        <v>3327</v>
      </c>
      <c r="I676">
        <v>72470</v>
      </c>
      <c r="J676" s="80" t="s">
        <v>3286</v>
      </c>
      <c r="K676" t="s">
        <v>767</v>
      </c>
      <c r="L676">
        <v>9008</v>
      </c>
      <c r="M676">
        <v>5</v>
      </c>
      <c r="O676">
        <v>0.7</v>
      </c>
      <c r="P676" s="80" t="s">
        <v>3287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50</v>
      </c>
      <c r="AD676">
        <v>1</v>
      </c>
      <c r="AE676">
        <v>8000</v>
      </c>
      <c r="AF676">
        <v>2520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3328</v>
      </c>
      <c r="E677">
        <v>150</v>
      </c>
      <c r="G677" s="90" t="s">
        <v>3329</v>
      </c>
      <c r="I677">
        <v>72595</v>
      </c>
      <c r="J677" s="80" t="s">
        <v>3286</v>
      </c>
      <c r="K677" t="s">
        <v>767</v>
      </c>
      <c r="L677">
        <v>9012</v>
      </c>
      <c r="M677" t="s">
        <v>1712</v>
      </c>
      <c r="O677">
        <v>0.5</v>
      </c>
      <c r="P677" s="80" t="s">
        <v>3287</v>
      </c>
      <c r="Q677" t="s">
        <v>769</v>
      </c>
      <c r="R677">
        <v>9010</v>
      </c>
      <c r="S677" t="s">
        <v>3330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50</v>
      </c>
      <c r="AD677">
        <v>1</v>
      </c>
      <c r="AE677">
        <v>8000</v>
      </c>
      <c r="AF677">
        <v>2520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3331</v>
      </c>
      <c r="E678">
        <v>150</v>
      </c>
      <c r="G678" s="90" t="s">
        <v>3332</v>
      </c>
      <c r="I678">
        <v>72720</v>
      </c>
      <c r="J678" s="80" t="s">
        <v>3286</v>
      </c>
      <c r="K678" t="s">
        <v>767</v>
      </c>
      <c r="L678">
        <v>9007</v>
      </c>
      <c r="M678">
        <v>6</v>
      </c>
      <c r="O678">
        <v>0.6</v>
      </c>
      <c r="P678" s="80" t="s">
        <v>3287</v>
      </c>
      <c r="Q678" t="s">
        <v>769</v>
      </c>
      <c r="R678">
        <v>9011</v>
      </c>
      <c r="S678" t="s">
        <v>2149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50</v>
      </c>
      <c r="AD678">
        <v>1</v>
      </c>
      <c r="AE678">
        <v>8000</v>
      </c>
      <c r="AF678">
        <v>2530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3333</v>
      </c>
      <c r="E679">
        <v>150</v>
      </c>
      <c r="G679" s="90" t="s">
        <v>3334</v>
      </c>
      <c r="I679">
        <v>72845</v>
      </c>
      <c r="J679" s="80" t="s">
        <v>3286</v>
      </c>
      <c r="K679" t="s">
        <v>767</v>
      </c>
      <c r="L679">
        <v>9007</v>
      </c>
      <c r="M679">
        <v>2</v>
      </c>
      <c r="O679">
        <v>0.4</v>
      </c>
      <c r="P679" s="80" t="s">
        <v>3287</v>
      </c>
      <c r="Q679" t="s">
        <v>769</v>
      </c>
      <c r="R679">
        <v>9010</v>
      </c>
      <c r="S679" t="s">
        <v>2353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50</v>
      </c>
      <c r="AD679">
        <v>1</v>
      </c>
      <c r="AE679">
        <v>8000</v>
      </c>
      <c r="AF679">
        <v>2530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3335</v>
      </c>
      <c r="E680">
        <v>150</v>
      </c>
      <c r="G680" s="90" t="s">
        <v>3336</v>
      </c>
      <c r="I680">
        <v>72970</v>
      </c>
      <c r="J680" s="80" t="s">
        <v>3286</v>
      </c>
      <c r="K680" t="s">
        <v>767</v>
      </c>
      <c r="L680">
        <v>9011</v>
      </c>
      <c r="M680" t="s">
        <v>1762</v>
      </c>
      <c r="O680">
        <v>0.5</v>
      </c>
      <c r="P680" s="80" t="s">
        <v>3287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50</v>
      </c>
      <c r="AD680">
        <v>1</v>
      </c>
      <c r="AE680">
        <v>8000</v>
      </c>
      <c r="AF680">
        <v>2540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3337</v>
      </c>
      <c r="E681">
        <v>150</v>
      </c>
      <c r="G681" s="90" t="s">
        <v>3338</v>
      </c>
      <c r="I681">
        <v>73095</v>
      </c>
      <c r="J681" s="80" t="s">
        <v>3286</v>
      </c>
      <c r="K681" t="s">
        <v>767</v>
      </c>
      <c r="L681">
        <v>9006</v>
      </c>
      <c r="M681">
        <v>2</v>
      </c>
      <c r="O681">
        <v>0.4</v>
      </c>
      <c r="P681" s="80" t="s">
        <v>3287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50</v>
      </c>
      <c r="AD681">
        <v>1</v>
      </c>
      <c r="AE681">
        <v>8000</v>
      </c>
      <c r="AF681">
        <v>2540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3339</v>
      </c>
      <c r="E682">
        <v>150</v>
      </c>
      <c r="G682" s="90" t="s">
        <v>3340</v>
      </c>
      <c r="I682">
        <v>73220</v>
      </c>
      <c r="J682" s="80" t="s">
        <v>3286</v>
      </c>
      <c r="K682" t="s">
        <v>767</v>
      </c>
      <c r="L682">
        <v>9008</v>
      </c>
      <c r="M682">
        <v>11</v>
      </c>
      <c r="O682">
        <v>0.7</v>
      </c>
      <c r="P682" s="80" t="s">
        <v>3287</v>
      </c>
      <c r="Q682" t="s">
        <v>769</v>
      </c>
      <c r="R682">
        <v>9004</v>
      </c>
      <c r="S682" t="s">
        <v>2279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50</v>
      </c>
      <c r="AD682">
        <v>1</v>
      </c>
      <c r="AE682">
        <v>8000</v>
      </c>
      <c r="AF682">
        <v>2550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3341</v>
      </c>
      <c r="E683">
        <v>150</v>
      </c>
      <c r="G683" s="90" t="s">
        <v>3342</v>
      </c>
      <c r="I683">
        <v>73345</v>
      </c>
      <c r="J683" s="80" t="s">
        <v>3286</v>
      </c>
      <c r="K683" t="s">
        <v>767</v>
      </c>
      <c r="L683">
        <v>9007</v>
      </c>
      <c r="M683" t="s">
        <v>1981</v>
      </c>
      <c r="O683">
        <v>0.2</v>
      </c>
      <c r="P683" s="80" t="s">
        <v>3287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50</v>
      </c>
      <c r="AD683">
        <v>1</v>
      </c>
      <c r="AE683">
        <v>8000</v>
      </c>
      <c r="AF683">
        <v>2560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3343</v>
      </c>
      <c r="E684">
        <v>150</v>
      </c>
      <c r="G684" s="90" t="s">
        <v>3344</v>
      </c>
      <c r="I684">
        <v>73470</v>
      </c>
      <c r="J684" s="80" t="s">
        <v>3286</v>
      </c>
      <c r="K684" t="s">
        <v>767</v>
      </c>
      <c r="L684">
        <v>9011</v>
      </c>
      <c r="M684" t="s">
        <v>1753</v>
      </c>
      <c r="O684">
        <v>0.3</v>
      </c>
      <c r="P684" s="80" t="s">
        <v>3287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50</v>
      </c>
      <c r="AD684">
        <v>1</v>
      </c>
      <c r="AE684">
        <v>8000</v>
      </c>
      <c r="AF684">
        <v>2560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3345</v>
      </c>
      <c r="E685">
        <v>150</v>
      </c>
      <c r="G685" s="90" t="s">
        <v>3346</v>
      </c>
      <c r="I685">
        <v>73595</v>
      </c>
      <c r="J685" s="80" t="s">
        <v>3286</v>
      </c>
      <c r="K685" t="s">
        <v>767</v>
      </c>
      <c r="L685">
        <v>9001</v>
      </c>
      <c r="M685" t="s">
        <v>2349</v>
      </c>
      <c r="O685">
        <v>0.7</v>
      </c>
      <c r="P685" s="80" t="s">
        <v>3287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50</v>
      </c>
      <c r="AD685">
        <v>1</v>
      </c>
      <c r="AE685">
        <v>8000</v>
      </c>
      <c r="AF685">
        <v>2570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3347</v>
      </c>
      <c r="E686">
        <v>150</v>
      </c>
      <c r="G686" s="90" t="s">
        <v>3348</v>
      </c>
      <c r="I686">
        <v>73720</v>
      </c>
      <c r="J686" s="80" t="s">
        <v>3286</v>
      </c>
      <c r="K686" t="s">
        <v>767</v>
      </c>
      <c r="L686">
        <v>9001</v>
      </c>
      <c r="M686" t="s">
        <v>2050</v>
      </c>
      <c r="O686">
        <v>1</v>
      </c>
      <c r="P686" s="80" t="s">
        <v>3287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50</v>
      </c>
      <c r="AD686">
        <v>1</v>
      </c>
      <c r="AE686">
        <v>8000</v>
      </c>
      <c r="AF686">
        <v>2570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3349</v>
      </c>
      <c r="E687">
        <v>150</v>
      </c>
      <c r="G687" s="90" t="s">
        <v>3350</v>
      </c>
      <c r="I687">
        <v>73845</v>
      </c>
      <c r="J687" s="80" t="s">
        <v>3286</v>
      </c>
      <c r="K687" t="s">
        <v>767</v>
      </c>
      <c r="L687">
        <v>9001</v>
      </c>
      <c r="M687" t="s">
        <v>2134</v>
      </c>
      <c r="O687">
        <v>0.4</v>
      </c>
      <c r="P687" s="80" t="s">
        <v>3287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50</v>
      </c>
      <c r="AD687">
        <v>1</v>
      </c>
      <c r="AE687">
        <v>8000</v>
      </c>
      <c r="AF687">
        <v>2580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3351</v>
      </c>
      <c r="E688">
        <v>150</v>
      </c>
      <c r="G688" s="90" t="s">
        <v>3352</v>
      </c>
      <c r="I688">
        <v>73970</v>
      </c>
      <c r="J688" s="80" t="s">
        <v>3286</v>
      </c>
      <c r="K688" t="s">
        <v>767</v>
      </c>
      <c r="L688">
        <v>9002</v>
      </c>
      <c r="M688" t="s">
        <v>1729</v>
      </c>
      <c r="O688">
        <v>0.3</v>
      </c>
      <c r="P688" s="80" t="s">
        <v>3287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50</v>
      </c>
      <c r="AD688">
        <v>1</v>
      </c>
      <c r="AE688">
        <v>8000</v>
      </c>
      <c r="AF688">
        <v>2580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3353</v>
      </c>
      <c r="E689">
        <v>150</v>
      </c>
      <c r="G689" s="90" t="s">
        <v>3354</v>
      </c>
      <c r="I689">
        <v>74095</v>
      </c>
      <c r="J689" s="80" t="s">
        <v>3286</v>
      </c>
      <c r="K689" t="s">
        <v>767</v>
      </c>
      <c r="L689">
        <v>9005</v>
      </c>
      <c r="M689" t="s">
        <v>2080</v>
      </c>
      <c r="O689">
        <v>0.3</v>
      </c>
      <c r="P689" s="80" t="s">
        <v>3287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50</v>
      </c>
      <c r="AD689">
        <v>1</v>
      </c>
      <c r="AE689">
        <v>8000</v>
      </c>
      <c r="AF689">
        <v>2590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3355</v>
      </c>
      <c r="E690">
        <v>150</v>
      </c>
      <c r="G690" s="90" t="s">
        <v>3356</v>
      </c>
      <c r="I690">
        <v>74220</v>
      </c>
      <c r="J690" s="80" t="s">
        <v>3286</v>
      </c>
      <c r="K690" t="s">
        <v>767</v>
      </c>
      <c r="L690">
        <v>9002</v>
      </c>
      <c r="M690" t="s">
        <v>1730</v>
      </c>
      <c r="O690">
        <v>0.7</v>
      </c>
      <c r="P690" s="80" t="s">
        <v>3287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50</v>
      </c>
      <c r="AD690">
        <v>1</v>
      </c>
      <c r="AE690">
        <v>8000</v>
      </c>
      <c r="AF690">
        <v>2600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3357</v>
      </c>
      <c r="E691">
        <v>150</v>
      </c>
      <c r="G691" s="90" t="s">
        <v>3358</v>
      </c>
      <c r="I691">
        <v>74345</v>
      </c>
      <c r="J691" s="80" t="s">
        <v>3286</v>
      </c>
      <c r="K691" t="s">
        <v>767</v>
      </c>
      <c r="L691">
        <v>9001</v>
      </c>
      <c r="M691" t="s">
        <v>1668</v>
      </c>
      <c r="O691">
        <v>0.3</v>
      </c>
      <c r="P691" s="80" t="s">
        <v>3287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50</v>
      </c>
      <c r="AD691">
        <v>1</v>
      </c>
      <c r="AE691">
        <v>8000</v>
      </c>
      <c r="AF691">
        <v>2600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3359</v>
      </c>
      <c r="E692">
        <v>150</v>
      </c>
      <c r="G692" s="90" t="s">
        <v>3360</v>
      </c>
      <c r="I692">
        <v>74470</v>
      </c>
      <c r="J692" s="80" t="s">
        <v>3286</v>
      </c>
      <c r="K692" t="s">
        <v>767</v>
      </c>
      <c r="L692">
        <v>9005</v>
      </c>
      <c r="M692" t="s">
        <v>1824</v>
      </c>
      <c r="O692">
        <v>0.6</v>
      </c>
      <c r="P692" s="80" t="s">
        <v>3287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50</v>
      </c>
      <c r="AD692">
        <v>1</v>
      </c>
      <c r="AE692">
        <v>8000</v>
      </c>
      <c r="AF692">
        <v>2610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3361</v>
      </c>
      <c r="E693">
        <v>150</v>
      </c>
      <c r="G693" s="90" t="s">
        <v>3362</v>
      </c>
      <c r="I693">
        <v>74595</v>
      </c>
      <c r="J693" s="80" t="s">
        <v>3286</v>
      </c>
      <c r="K693" t="s">
        <v>767</v>
      </c>
      <c r="L693">
        <v>9011</v>
      </c>
      <c r="M693" t="s">
        <v>1734</v>
      </c>
      <c r="O693">
        <v>0.8</v>
      </c>
      <c r="P693" s="80" t="s">
        <v>3287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50</v>
      </c>
      <c r="AD693">
        <v>1</v>
      </c>
      <c r="AE693">
        <v>8000</v>
      </c>
      <c r="AF693">
        <v>2610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3363</v>
      </c>
      <c r="E694">
        <v>150</v>
      </c>
      <c r="G694" s="90" t="s">
        <v>3364</v>
      </c>
      <c r="I694">
        <v>74720</v>
      </c>
      <c r="J694" s="80" t="s">
        <v>3286</v>
      </c>
      <c r="K694" t="s">
        <v>767</v>
      </c>
      <c r="L694">
        <v>9005</v>
      </c>
      <c r="M694">
        <v>4</v>
      </c>
      <c r="O694">
        <v>0.7</v>
      </c>
      <c r="P694" s="80" t="s">
        <v>3287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50</v>
      </c>
      <c r="AD694">
        <v>1</v>
      </c>
      <c r="AE694">
        <v>8000</v>
      </c>
      <c r="AF694">
        <v>2620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3365</v>
      </c>
      <c r="E695">
        <v>150</v>
      </c>
      <c r="G695" s="90" t="s">
        <v>3366</v>
      </c>
      <c r="I695">
        <v>74845</v>
      </c>
      <c r="J695" s="80" t="s">
        <v>3286</v>
      </c>
      <c r="K695" t="s">
        <v>767</v>
      </c>
      <c r="L695">
        <v>9008</v>
      </c>
      <c r="M695" t="s">
        <v>2350</v>
      </c>
      <c r="O695">
        <v>0.7</v>
      </c>
      <c r="P695" s="80" t="s">
        <v>3287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50</v>
      </c>
      <c r="AD695">
        <v>1</v>
      </c>
      <c r="AE695">
        <v>8000</v>
      </c>
      <c r="AF695">
        <v>2620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3367</v>
      </c>
      <c r="E696">
        <v>150</v>
      </c>
      <c r="G696" s="90" t="s">
        <v>3368</v>
      </c>
      <c r="I696">
        <v>74970</v>
      </c>
      <c r="J696" s="80" t="s">
        <v>3286</v>
      </c>
      <c r="K696" t="s">
        <v>767</v>
      </c>
      <c r="L696">
        <v>9006</v>
      </c>
      <c r="M696" t="s">
        <v>3109</v>
      </c>
      <c r="O696">
        <v>0.7</v>
      </c>
      <c r="P696" s="80" t="s">
        <v>3287</v>
      </c>
      <c r="Q696" t="s">
        <v>769</v>
      </c>
      <c r="R696">
        <v>9011</v>
      </c>
      <c r="S696" t="s">
        <v>3369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50</v>
      </c>
      <c r="AD696">
        <v>1</v>
      </c>
      <c r="AE696">
        <v>8000</v>
      </c>
      <c r="AF696">
        <v>2630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3370</v>
      </c>
      <c r="E697">
        <v>150</v>
      </c>
      <c r="G697" s="90" t="s">
        <v>3371</v>
      </c>
      <c r="I697">
        <v>75095</v>
      </c>
      <c r="J697" s="80" t="s">
        <v>3286</v>
      </c>
      <c r="K697" t="s">
        <v>767</v>
      </c>
      <c r="L697">
        <v>9006</v>
      </c>
      <c r="M697" t="s">
        <v>2360</v>
      </c>
      <c r="O697">
        <v>0.8</v>
      </c>
      <c r="P697" s="80" t="s">
        <v>3287</v>
      </c>
      <c r="Q697" t="s">
        <v>769</v>
      </c>
      <c r="R697">
        <v>9011</v>
      </c>
      <c r="S697" t="s">
        <v>2483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50</v>
      </c>
      <c r="AD697">
        <v>1</v>
      </c>
      <c r="AE697">
        <v>8000</v>
      </c>
      <c r="AF697">
        <v>2640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3372</v>
      </c>
      <c r="E698">
        <v>150</v>
      </c>
      <c r="G698" s="90" t="s">
        <v>3373</v>
      </c>
      <c r="I698">
        <v>75220</v>
      </c>
      <c r="J698" s="80" t="s">
        <v>3286</v>
      </c>
      <c r="K698" t="s">
        <v>767</v>
      </c>
      <c r="L698">
        <v>9002</v>
      </c>
      <c r="M698">
        <v>3</v>
      </c>
      <c r="O698">
        <v>0.8</v>
      </c>
      <c r="P698" s="80" t="s">
        <v>3287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50</v>
      </c>
      <c r="AD698">
        <v>1</v>
      </c>
      <c r="AE698">
        <v>8000</v>
      </c>
      <c r="AF698">
        <v>2640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3374</v>
      </c>
      <c r="E699">
        <v>150</v>
      </c>
      <c r="G699" s="90" t="s">
        <v>3375</v>
      </c>
      <c r="I699">
        <v>75345</v>
      </c>
      <c r="J699" s="80" t="s">
        <v>3286</v>
      </c>
      <c r="K699" t="s">
        <v>767</v>
      </c>
      <c r="L699">
        <v>9001</v>
      </c>
      <c r="M699" t="s">
        <v>1848</v>
      </c>
      <c r="O699">
        <v>0.7</v>
      </c>
      <c r="P699" s="80" t="s">
        <v>3287</v>
      </c>
      <c r="Q699" t="s">
        <v>769</v>
      </c>
      <c r="R699">
        <v>9003</v>
      </c>
      <c r="S699" t="s">
        <v>2612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50</v>
      </c>
      <c r="AD699">
        <v>1</v>
      </c>
      <c r="AE699">
        <v>8000</v>
      </c>
      <c r="AF699">
        <v>2650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3376</v>
      </c>
      <c r="E700">
        <v>150</v>
      </c>
      <c r="G700" s="90" t="s">
        <v>3377</v>
      </c>
      <c r="I700">
        <v>75470</v>
      </c>
      <c r="J700" s="80" t="s">
        <v>3286</v>
      </c>
      <c r="K700" t="s">
        <v>767</v>
      </c>
      <c r="L700">
        <v>9001</v>
      </c>
      <c r="M700" t="s">
        <v>2008</v>
      </c>
      <c r="O700">
        <v>0.1</v>
      </c>
      <c r="P700" s="80" t="s">
        <v>3287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50</v>
      </c>
      <c r="AD700">
        <v>1</v>
      </c>
      <c r="AE700">
        <v>8000</v>
      </c>
      <c r="AF700">
        <v>2650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3378</v>
      </c>
      <c r="E701">
        <v>150</v>
      </c>
      <c r="G701" s="90" t="s">
        <v>3379</v>
      </c>
      <c r="I701">
        <v>75595</v>
      </c>
      <c r="J701" s="80" t="s">
        <v>3286</v>
      </c>
      <c r="K701" t="s">
        <v>767</v>
      </c>
      <c r="L701">
        <v>9011</v>
      </c>
      <c r="M701" t="s">
        <v>2314</v>
      </c>
      <c r="O701">
        <v>0.8</v>
      </c>
      <c r="P701" s="80" t="s">
        <v>3287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50</v>
      </c>
      <c r="AD701">
        <v>1</v>
      </c>
      <c r="AE701">
        <v>8000</v>
      </c>
      <c r="AF701">
        <v>2660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3380</v>
      </c>
      <c r="E702">
        <v>150</v>
      </c>
      <c r="G702" s="90" t="s">
        <v>3381</v>
      </c>
      <c r="I702">
        <v>75720</v>
      </c>
      <c r="J702" s="80" t="s">
        <v>3286</v>
      </c>
      <c r="K702" t="s">
        <v>767</v>
      </c>
      <c r="L702">
        <v>9001</v>
      </c>
      <c r="M702" t="s">
        <v>2521</v>
      </c>
      <c r="O702">
        <v>0.9</v>
      </c>
      <c r="P702" s="80" t="s">
        <v>3287</v>
      </c>
      <c r="Q702" t="s">
        <v>769</v>
      </c>
      <c r="R702">
        <v>9010</v>
      </c>
      <c r="S702" t="s">
        <v>3382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50</v>
      </c>
      <c r="AD702">
        <v>1</v>
      </c>
      <c r="AE702">
        <v>8000</v>
      </c>
      <c r="AF702">
        <v>2670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3383</v>
      </c>
      <c r="E703">
        <v>150</v>
      </c>
      <c r="G703" s="90" t="s">
        <v>3384</v>
      </c>
      <c r="I703">
        <v>75845</v>
      </c>
      <c r="J703" s="80" t="s">
        <v>3286</v>
      </c>
      <c r="K703" t="s">
        <v>767</v>
      </c>
      <c r="L703">
        <v>9002</v>
      </c>
      <c r="M703">
        <v>12</v>
      </c>
      <c r="O703">
        <v>0.9</v>
      </c>
      <c r="P703" s="80" t="s">
        <v>3287</v>
      </c>
      <c r="Q703" t="s">
        <v>769</v>
      </c>
      <c r="R703">
        <v>9007</v>
      </c>
      <c r="S703" t="s">
        <v>2641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50</v>
      </c>
      <c r="AD703">
        <v>1</v>
      </c>
      <c r="AE703">
        <v>8000</v>
      </c>
      <c r="AF703">
        <v>2670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3385</v>
      </c>
      <c r="E704">
        <v>150</v>
      </c>
      <c r="G704" s="90" t="s">
        <v>3386</v>
      </c>
      <c r="I704">
        <v>75970</v>
      </c>
      <c r="J704" s="80" t="s">
        <v>3286</v>
      </c>
      <c r="K704" t="s">
        <v>767</v>
      </c>
      <c r="L704">
        <v>9001</v>
      </c>
      <c r="M704" t="s">
        <v>2526</v>
      </c>
      <c r="O704">
        <v>0.3</v>
      </c>
      <c r="P704" s="80" t="s">
        <v>3287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50</v>
      </c>
      <c r="AD704">
        <v>1</v>
      </c>
      <c r="AE704">
        <v>8000</v>
      </c>
      <c r="AF704">
        <v>2680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3387</v>
      </c>
      <c r="E705">
        <v>150</v>
      </c>
      <c r="G705" s="90" t="s">
        <v>3388</v>
      </c>
      <c r="I705">
        <v>76095</v>
      </c>
      <c r="J705" s="80" t="s">
        <v>3286</v>
      </c>
      <c r="K705" t="s">
        <v>767</v>
      </c>
      <c r="L705">
        <v>9012</v>
      </c>
      <c r="M705">
        <v>10</v>
      </c>
      <c r="O705">
        <v>0.2</v>
      </c>
      <c r="P705" s="80" t="s">
        <v>3287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</v>
      </c>
      <c r="AD705">
        <v>1</v>
      </c>
      <c r="AE705">
        <v>8000</v>
      </c>
      <c r="AF705">
        <v>2680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3389</v>
      </c>
      <c r="D708" s="80" t="s">
        <v>3390</v>
      </c>
      <c r="E708">
        <v>20</v>
      </c>
      <c r="F708">
        <v>62</v>
      </c>
      <c r="G708" s="90" t="s">
        <v>3391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3389</v>
      </c>
      <c r="D709" s="80" t="s">
        <v>3392</v>
      </c>
      <c r="E709">
        <v>20</v>
      </c>
      <c r="F709">
        <v>63</v>
      </c>
      <c r="G709" s="90" t="s">
        <v>3393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3389</v>
      </c>
      <c r="D710" s="80" t="s">
        <v>3394</v>
      </c>
      <c r="E710">
        <v>20</v>
      </c>
      <c r="F710">
        <v>64</v>
      </c>
      <c r="G710" s="90" t="s">
        <v>3395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3389</v>
      </c>
      <c r="D711" s="80" t="s">
        <v>3396</v>
      </c>
      <c r="E711">
        <v>20</v>
      </c>
      <c r="F711">
        <v>65</v>
      </c>
      <c r="G711" s="90" t="s">
        <v>3397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3389</v>
      </c>
      <c r="D712" s="80" t="s">
        <v>3398</v>
      </c>
      <c r="E712">
        <v>20</v>
      </c>
      <c r="F712">
        <v>66</v>
      </c>
      <c r="G712" s="90" t="s">
        <v>3399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3389</v>
      </c>
      <c r="D713" s="80" t="s">
        <v>3400</v>
      </c>
      <c r="E713">
        <v>20</v>
      </c>
      <c r="F713">
        <v>67</v>
      </c>
      <c r="G713" s="90" t="s">
        <v>3401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3389</v>
      </c>
      <c r="D714" s="80" t="s">
        <v>3402</v>
      </c>
      <c r="E714">
        <v>20</v>
      </c>
      <c r="F714">
        <v>68</v>
      </c>
      <c r="G714" s="90" t="s">
        <v>3403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3389</v>
      </c>
      <c r="D715" s="80" t="s">
        <v>3404</v>
      </c>
      <c r="E715">
        <v>20</v>
      </c>
      <c r="F715">
        <v>69</v>
      </c>
      <c r="G715" s="90" t="s">
        <v>3405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3389</v>
      </c>
      <c r="D716" s="80" t="s">
        <v>3406</v>
      </c>
      <c r="E716">
        <v>50</v>
      </c>
      <c r="F716">
        <v>62</v>
      </c>
      <c r="G716" s="90" t="s">
        <v>3391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3389</v>
      </c>
      <c r="D717" s="80" t="s">
        <v>3407</v>
      </c>
      <c r="E717">
        <v>50</v>
      </c>
      <c r="F717">
        <v>63</v>
      </c>
      <c r="G717" s="90" t="s">
        <v>3393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3389</v>
      </c>
      <c r="D718" s="80" t="s">
        <v>3408</v>
      </c>
      <c r="E718">
        <v>50</v>
      </c>
      <c r="F718">
        <v>64</v>
      </c>
      <c r="G718" s="90" t="s">
        <v>3395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3389</v>
      </c>
      <c r="D719" s="80" t="s">
        <v>3409</v>
      </c>
      <c r="E719">
        <v>50</v>
      </c>
      <c r="F719">
        <v>65</v>
      </c>
      <c r="G719" s="90" t="s">
        <v>3397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3389</v>
      </c>
      <c r="D720" s="80" t="s">
        <v>3410</v>
      </c>
      <c r="E720">
        <v>50</v>
      </c>
      <c r="F720">
        <v>66</v>
      </c>
      <c r="G720" s="90" t="s">
        <v>3399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3389</v>
      </c>
      <c r="D721" s="80" t="s">
        <v>3411</v>
      </c>
      <c r="E721">
        <v>50</v>
      </c>
      <c r="F721">
        <v>67</v>
      </c>
      <c r="G721" s="90" t="s">
        <v>3401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3389</v>
      </c>
      <c r="D722" s="80" t="s">
        <v>3412</v>
      </c>
      <c r="E722">
        <v>50</v>
      </c>
      <c r="F722">
        <v>68</v>
      </c>
      <c r="G722" s="90" t="s">
        <v>3403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3389</v>
      </c>
      <c r="D723" s="80" t="s">
        <v>3413</v>
      </c>
      <c r="E723">
        <v>50</v>
      </c>
      <c r="F723">
        <v>69</v>
      </c>
      <c r="G723" s="90" t="s">
        <v>3405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3389</v>
      </c>
      <c r="D724" s="80" t="s">
        <v>3414</v>
      </c>
      <c r="E724">
        <v>75</v>
      </c>
      <c r="F724">
        <v>62</v>
      </c>
      <c r="G724" s="90" t="s">
        <v>3391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3389</v>
      </c>
      <c r="D725" s="80" t="s">
        <v>3415</v>
      </c>
      <c r="E725">
        <v>75</v>
      </c>
      <c r="F725">
        <v>63</v>
      </c>
      <c r="G725" s="90" t="s">
        <v>3393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3389</v>
      </c>
      <c r="D726" s="80" t="s">
        <v>3416</v>
      </c>
      <c r="E726">
        <v>75</v>
      </c>
      <c r="F726">
        <v>64</v>
      </c>
      <c r="G726" s="90" t="s">
        <v>3395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3389</v>
      </c>
      <c r="D727" s="80" t="s">
        <v>3417</v>
      </c>
      <c r="E727">
        <v>75</v>
      </c>
      <c r="F727">
        <v>65</v>
      </c>
      <c r="G727" s="90" t="s">
        <v>3397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3389</v>
      </c>
      <c r="D728" s="80" t="s">
        <v>3418</v>
      </c>
      <c r="E728">
        <v>75</v>
      </c>
      <c r="F728">
        <v>66</v>
      </c>
      <c r="G728" s="90" t="s">
        <v>3399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3389</v>
      </c>
      <c r="D729" s="80" t="s">
        <v>3419</v>
      </c>
      <c r="E729">
        <v>75</v>
      </c>
      <c r="F729">
        <v>67</v>
      </c>
      <c r="G729" s="90" t="s">
        <v>3401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3389</v>
      </c>
      <c r="D730" s="80" t="s">
        <v>3420</v>
      </c>
      <c r="E730">
        <v>75</v>
      </c>
      <c r="F730">
        <v>68</v>
      </c>
      <c r="G730" s="90" t="s">
        <v>3403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3389</v>
      </c>
      <c r="D731" s="80" t="s">
        <v>3421</v>
      </c>
      <c r="E731">
        <v>75</v>
      </c>
      <c r="F731">
        <v>69</v>
      </c>
      <c r="G731" s="90" t="s">
        <v>3405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3389</v>
      </c>
      <c r="D732" s="80" t="s">
        <v>3422</v>
      </c>
      <c r="E732">
        <v>100</v>
      </c>
      <c r="F732">
        <v>62</v>
      </c>
      <c r="G732" s="90" t="s">
        <v>3391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3389</v>
      </c>
      <c r="D733" s="80" t="s">
        <v>3423</v>
      </c>
      <c r="E733">
        <v>100</v>
      </c>
      <c r="F733">
        <v>63</v>
      </c>
      <c r="G733" s="90" t="s">
        <v>3393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3389</v>
      </c>
      <c r="D734" s="80" t="s">
        <v>3424</v>
      </c>
      <c r="E734">
        <v>100</v>
      </c>
      <c r="F734">
        <v>64</v>
      </c>
      <c r="G734" s="90" t="s">
        <v>3395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3389</v>
      </c>
      <c r="D735" s="80" t="s">
        <v>3425</v>
      </c>
      <c r="E735">
        <v>100</v>
      </c>
      <c r="F735">
        <v>65</v>
      </c>
      <c r="G735" s="90" t="s">
        <v>3397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3389</v>
      </c>
      <c r="D736" s="80" t="s">
        <v>3426</v>
      </c>
      <c r="E736">
        <v>100</v>
      </c>
      <c r="F736">
        <v>66</v>
      </c>
      <c r="G736" s="90" t="s">
        <v>3399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3389</v>
      </c>
      <c r="D737" s="80" t="s">
        <v>3427</v>
      </c>
      <c r="E737">
        <v>100</v>
      </c>
      <c r="F737">
        <v>67</v>
      </c>
      <c r="G737" s="90" t="s">
        <v>3401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3389</v>
      </c>
      <c r="D738" s="80" t="s">
        <v>3428</v>
      </c>
      <c r="E738">
        <v>100</v>
      </c>
      <c r="F738">
        <v>68</v>
      </c>
      <c r="G738" s="90" t="s">
        <v>3403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3389</v>
      </c>
      <c r="D739" s="80" t="s">
        <v>3429</v>
      </c>
      <c r="E739">
        <v>100</v>
      </c>
      <c r="F739">
        <v>69</v>
      </c>
      <c r="G739" s="90" t="s">
        <v>3405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3430</v>
      </c>
      <c r="G742" s="90" t="s">
        <v>3431</v>
      </c>
      <c r="I742">
        <v>1000</v>
      </c>
      <c r="J742" s="80" t="s">
        <v>2049</v>
      </c>
      <c r="K742" t="s">
        <v>767</v>
      </c>
      <c r="L742">
        <v>9009</v>
      </c>
      <c r="M742" t="s">
        <v>2285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2972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3432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3433</v>
      </c>
      <c r="G743" s="90" t="s">
        <v>3434</v>
      </c>
      <c r="I743">
        <v>2000</v>
      </c>
      <c r="J743" s="80" t="s">
        <v>2049</v>
      </c>
      <c r="K743" t="s">
        <v>767</v>
      </c>
      <c r="L743">
        <v>9009</v>
      </c>
      <c r="M743" t="s">
        <v>2285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2972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3432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3435</v>
      </c>
      <c r="G744" s="90" t="s">
        <v>3436</v>
      </c>
      <c r="I744">
        <v>3000</v>
      </c>
      <c r="J744" s="80" t="s">
        <v>2049</v>
      </c>
      <c r="K744" t="s">
        <v>767</v>
      </c>
      <c r="L744">
        <v>9009</v>
      </c>
      <c r="M744" t="s">
        <v>2285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2972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3432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3437</v>
      </c>
      <c r="G745" s="90" t="s">
        <v>3438</v>
      </c>
      <c r="I745">
        <v>4000</v>
      </c>
      <c r="J745" s="80" t="s">
        <v>2049</v>
      </c>
      <c r="K745" t="s">
        <v>767</v>
      </c>
      <c r="L745">
        <v>9009</v>
      </c>
      <c r="M745" t="s">
        <v>2285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2972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3432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3439</v>
      </c>
      <c r="G746" s="90" t="s">
        <v>3440</v>
      </c>
      <c r="I746">
        <v>5000</v>
      </c>
      <c r="J746" s="80" t="s">
        <v>2049</v>
      </c>
      <c r="K746" t="s">
        <v>767</v>
      </c>
      <c r="L746">
        <v>9009</v>
      </c>
      <c r="M746" t="s">
        <v>2285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2972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3432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3441</v>
      </c>
      <c r="G747" s="90" t="s">
        <v>3442</v>
      </c>
      <c r="I747">
        <v>6000</v>
      </c>
      <c r="J747" s="80" t="s">
        <v>2049</v>
      </c>
      <c r="K747" t="s">
        <v>767</v>
      </c>
      <c r="L747">
        <v>9009</v>
      </c>
      <c r="M747" t="s">
        <v>2285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2972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3432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3443</v>
      </c>
      <c r="G748" s="90" t="s">
        <v>3444</v>
      </c>
      <c r="I748">
        <v>7000</v>
      </c>
      <c r="J748" s="80" t="s">
        <v>2049</v>
      </c>
      <c r="K748" t="s">
        <v>767</v>
      </c>
      <c r="L748">
        <v>9009</v>
      </c>
      <c r="M748" t="s">
        <v>2285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2972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3432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3445</v>
      </c>
      <c r="G749" s="90" t="s">
        <v>3446</v>
      </c>
      <c r="I749">
        <v>8000</v>
      </c>
      <c r="J749" s="80" t="s">
        <v>2049</v>
      </c>
      <c r="K749" t="s">
        <v>767</v>
      </c>
      <c r="L749">
        <v>9009</v>
      </c>
      <c r="M749" t="s">
        <v>2285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2972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3432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3447</v>
      </c>
      <c r="G750" s="90" t="s">
        <v>3448</v>
      </c>
      <c r="I750">
        <v>9000</v>
      </c>
      <c r="J750" s="80" t="s">
        <v>2049</v>
      </c>
      <c r="K750" t="s">
        <v>767</v>
      </c>
      <c r="L750">
        <v>9009</v>
      </c>
      <c r="M750" t="s">
        <v>2285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2972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3432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3449</v>
      </c>
      <c r="G751" s="90" t="s">
        <v>3450</v>
      </c>
      <c r="I751">
        <v>10000</v>
      </c>
      <c r="J751" s="80" t="s">
        <v>2049</v>
      </c>
      <c r="K751" t="s">
        <v>767</v>
      </c>
      <c r="L751">
        <v>9009</v>
      </c>
      <c r="M751" t="s">
        <v>2285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2972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3432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3451</v>
      </c>
      <c r="G752" s="90" t="s">
        <v>3452</v>
      </c>
      <c r="I752">
        <v>11000</v>
      </c>
      <c r="J752" s="80" t="s">
        <v>2049</v>
      </c>
      <c r="K752" t="s">
        <v>767</v>
      </c>
      <c r="L752">
        <v>9009</v>
      </c>
      <c r="M752" t="s">
        <v>2285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2972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3432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3453</v>
      </c>
      <c r="G753" s="90" t="s">
        <v>3454</v>
      </c>
      <c r="I753">
        <v>12000</v>
      </c>
      <c r="J753" s="80" t="s">
        <v>2049</v>
      </c>
      <c r="K753" t="s">
        <v>767</v>
      </c>
      <c r="L753">
        <v>9009</v>
      </c>
      <c r="M753" t="s">
        <v>2285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2972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3432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3455</v>
      </c>
      <c r="G754" s="90" t="s">
        <v>3456</v>
      </c>
      <c r="I754">
        <v>13000</v>
      </c>
      <c r="J754" s="80" t="s">
        <v>2049</v>
      </c>
      <c r="K754" t="s">
        <v>767</v>
      </c>
      <c r="L754">
        <v>9009</v>
      </c>
      <c r="M754" t="s">
        <v>2285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2972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3432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3457</v>
      </c>
      <c r="G755" s="90" t="s">
        <v>3458</v>
      </c>
      <c r="I755">
        <v>14000</v>
      </c>
      <c r="J755" s="80" t="s">
        <v>2049</v>
      </c>
      <c r="K755" t="s">
        <v>767</v>
      </c>
      <c r="L755">
        <v>9009</v>
      </c>
      <c r="M755" t="s">
        <v>2285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2972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3432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3459</v>
      </c>
      <c r="G756" s="90" t="s">
        <v>3460</v>
      </c>
      <c r="I756">
        <v>15000</v>
      </c>
      <c r="J756" s="80" t="s">
        <v>2049</v>
      </c>
      <c r="K756" t="s">
        <v>767</v>
      </c>
      <c r="L756">
        <v>9009</v>
      </c>
      <c r="M756" t="s">
        <v>2285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2972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3432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3461</v>
      </c>
      <c r="C759">
        <v>3</v>
      </c>
      <c r="D759" s="80" t="s">
        <v>3462</v>
      </c>
      <c r="G759" s="90" t="s">
        <v>3463</v>
      </c>
      <c r="V759">
        <v>8000</v>
      </c>
      <c r="W759">
        <v>1000</v>
      </c>
      <c r="AB759" t="s">
        <v>3464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3461</v>
      </c>
      <c r="C760">
        <v>3</v>
      </c>
      <c r="D760" s="80" t="s">
        <v>3465</v>
      </c>
      <c r="G760" s="90" t="s">
        <v>3466</v>
      </c>
      <c r="V760">
        <v>8000</v>
      </c>
      <c r="W760">
        <v>1000</v>
      </c>
      <c r="AB760" t="s">
        <v>3464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3461</v>
      </c>
      <c r="C761">
        <v>3</v>
      </c>
      <c r="D761" s="80" t="s">
        <v>3467</v>
      </c>
      <c r="G761" s="90" t="s">
        <v>3468</v>
      </c>
      <c r="V761">
        <v>8000</v>
      </c>
      <c r="W761">
        <v>1000</v>
      </c>
      <c r="AB761" t="s">
        <v>3464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3461</v>
      </c>
      <c r="C762">
        <v>3</v>
      </c>
      <c r="D762" s="80" t="s">
        <v>3469</v>
      </c>
      <c r="G762" s="90" t="s">
        <v>3463</v>
      </c>
      <c r="V762">
        <v>8000</v>
      </c>
      <c r="W762">
        <v>1000</v>
      </c>
      <c r="AB762" t="s">
        <v>3464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3470</v>
      </c>
      <c r="C763">
        <v>3</v>
      </c>
      <c r="D763" s="80" t="s">
        <v>3471</v>
      </c>
      <c r="G763" s="90" t="s">
        <v>3463</v>
      </c>
      <c r="V763">
        <v>8000</v>
      </c>
      <c r="W763">
        <v>1000</v>
      </c>
      <c r="AB763" t="s">
        <v>3464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3470</v>
      </c>
      <c r="C764">
        <v>3</v>
      </c>
      <c r="D764" s="80" t="s">
        <v>3472</v>
      </c>
      <c r="G764" s="90" t="s">
        <v>3466</v>
      </c>
      <c r="V764">
        <v>8000</v>
      </c>
      <c r="W764">
        <v>1000</v>
      </c>
      <c r="AB764" t="s">
        <v>3464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3470</v>
      </c>
      <c r="C765">
        <v>3</v>
      </c>
      <c r="D765" s="80" t="s">
        <v>3473</v>
      </c>
      <c r="G765" s="90" t="s">
        <v>3468</v>
      </c>
      <c r="V765">
        <v>8000</v>
      </c>
      <c r="W765">
        <v>1000</v>
      </c>
      <c r="AB765" t="s">
        <v>3464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3470</v>
      </c>
      <c r="C766">
        <v>3</v>
      </c>
      <c r="D766" s="80" t="s">
        <v>3474</v>
      </c>
      <c r="G766" s="90" t="s">
        <v>3463</v>
      </c>
      <c r="V766">
        <v>8000</v>
      </c>
      <c r="W766">
        <v>1000</v>
      </c>
      <c r="AB766" t="s">
        <v>3464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3475</v>
      </c>
      <c r="C767">
        <v>3</v>
      </c>
      <c r="D767" s="80" t="s">
        <v>3476</v>
      </c>
      <c r="G767" s="90" t="s">
        <v>3463</v>
      </c>
      <c r="V767">
        <v>8000</v>
      </c>
      <c r="W767">
        <v>1000</v>
      </c>
      <c r="AB767" t="s">
        <v>3464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3475</v>
      </c>
      <c r="C768">
        <v>3</v>
      </c>
      <c r="D768" s="80" t="s">
        <v>3477</v>
      </c>
      <c r="G768" s="90" t="s">
        <v>3466</v>
      </c>
      <c r="V768">
        <v>8000</v>
      </c>
      <c r="W768">
        <v>1000</v>
      </c>
      <c r="AB768" t="s">
        <v>3464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3475</v>
      </c>
      <c r="C769">
        <v>3</v>
      </c>
      <c r="D769" s="80" t="s">
        <v>3478</v>
      </c>
      <c r="G769" s="90" t="s">
        <v>3468</v>
      </c>
      <c r="V769">
        <v>8000</v>
      </c>
      <c r="W769">
        <v>1000</v>
      </c>
      <c r="AB769" t="s">
        <v>3464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3475</v>
      </c>
      <c r="C770">
        <v>3</v>
      </c>
      <c r="D770" s="80" t="s">
        <v>3479</v>
      </c>
      <c r="G770" s="90" t="s">
        <v>3463</v>
      </c>
      <c r="V770">
        <v>8000</v>
      </c>
      <c r="W770">
        <v>1000</v>
      </c>
      <c r="AB770" t="s">
        <v>3464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3480</v>
      </c>
      <c r="C771">
        <v>3</v>
      </c>
      <c r="D771" s="80" t="s">
        <v>3481</v>
      </c>
      <c r="J771" s="80" t="s">
        <v>3482</v>
      </c>
      <c r="K771" t="s">
        <v>3483</v>
      </c>
      <c r="L771">
        <v>1001</v>
      </c>
      <c r="M771" t="s">
        <v>3484</v>
      </c>
      <c r="V771">
        <v>8000</v>
      </c>
      <c r="W771">
        <v>1000</v>
      </c>
    </row>
    <row r="772" spans="1:33">
      <c r="A772">
        <v>814</v>
      </c>
      <c r="B772" t="s">
        <v>3480</v>
      </c>
      <c r="C772">
        <v>3</v>
      </c>
      <c r="D772" s="80" t="s">
        <v>3485</v>
      </c>
      <c r="J772" s="80" t="s">
        <v>3482</v>
      </c>
      <c r="K772" t="s">
        <v>3483</v>
      </c>
      <c r="L772">
        <v>1002</v>
      </c>
      <c r="M772" t="s">
        <v>3484</v>
      </c>
      <c r="V772">
        <v>8000</v>
      </c>
      <c r="W772">
        <v>1000</v>
      </c>
    </row>
    <row r="773" spans="1:33">
      <c r="A773">
        <v>815</v>
      </c>
      <c r="B773" t="s">
        <v>3480</v>
      </c>
      <c r="C773">
        <v>3</v>
      </c>
      <c r="D773" s="80" t="s">
        <v>3486</v>
      </c>
      <c r="J773" s="80" t="s">
        <v>3482</v>
      </c>
      <c r="K773" t="s">
        <v>3483</v>
      </c>
      <c r="L773">
        <v>1003</v>
      </c>
      <c r="M773" t="s">
        <v>3484</v>
      </c>
      <c r="V773">
        <v>8000</v>
      </c>
      <c r="W773">
        <v>1000</v>
      </c>
    </row>
    <row r="774" spans="1:33">
      <c r="A774">
        <v>816</v>
      </c>
      <c r="B774" t="s">
        <v>3480</v>
      </c>
      <c r="C774">
        <v>3</v>
      </c>
      <c r="D774" s="80" t="s">
        <v>3487</v>
      </c>
      <c r="J774" s="80" t="s">
        <v>3482</v>
      </c>
      <c r="K774" t="s">
        <v>3483</v>
      </c>
      <c r="L774">
        <v>1004</v>
      </c>
      <c r="M774" t="s">
        <v>3484</v>
      </c>
      <c r="V774">
        <v>8000</v>
      </c>
      <c r="W774">
        <v>1000</v>
      </c>
    </row>
  </sheetData>
  <phoneticPr fontId="29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3488</v>
      </c>
      <c r="B1" s="23" t="s">
        <v>3489</v>
      </c>
      <c r="C1" s="23" t="s">
        <v>3490</v>
      </c>
      <c r="D1" s="23" t="s">
        <v>3491</v>
      </c>
      <c r="E1" s="7"/>
      <c r="F1" s="7"/>
    </row>
    <row r="2" spans="1:6" ht="14.25" customHeight="1">
      <c r="A2" s="2" t="s">
        <v>3492</v>
      </c>
      <c r="B2" s="2" t="str">
        <f>"{map_red},{map_blue},{map_purple},{map_yellow}"</f>
        <v>{map_red},{map_blue},{map_purple},{map_yellow}</v>
      </c>
      <c r="C2" s="2">
        <v>600</v>
      </c>
      <c r="D2" s="2"/>
    </row>
    <row r="3" spans="1:6" ht="14.25" customHeight="1">
      <c r="A3" s="2" t="s">
        <v>3493</v>
      </c>
      <c r="B3" s="2" t="str">
        <f>"{map_blue},{map_purple},{map_red},{map_yellow}"</f>
        <v>{map_blue},{map_purple},{map_red},{map_yellow}</v>
      </c>
      <c r="C3" s="7">
        <v>600</v>
      </c>
      <c r="D3" s="2"/>
    </row>
    <row r="4" spans="1:6" ht="14.25" customHeight="1">
      <c r="A4" s="2" t="s">
        <v>3494</v>
      </c>
      <c r="B4" s="2" t="str">
        <f>"{map_red},{map_blue},{map_purple},{0}"</f>
        <v>{map_red},{map_blue},{map_purple},{0}</v>
      </c>
      <c r="C4" s="2">
        <v>1500</v>
      </c>
      <c r="D4" s="2"/>
    </row>
    <row r="5" spans="1:6" ht="14.25" customHeight="1">
      <c r="A5" s="2" t="s">
        <v>3495</v>
      </c>
      <c r="B5" s="2" t="str">
        <f>"{map_red},{0},{map_purple},{map_yellow}"</f>
        <v>{map_red},{0},{map_purple},{map_yellow}</v>
      </c>
      <c r="C5" s="2">
        <v>2000</v>
      </c>
      <c r="D5" s="2"/>
    </row>
    <row r="6" spans="1:6" ht="14.25" customHeight="1">
      <c r="A6" s="2" t="s">
        <v>3496</v>
      </c>
      <c r="B6" s="2" t="str">
        <f>"{map_red},{map_blue},{0},{map_yellow}"</f>
        <v>{map_red},{map_blue},{0},{map_yellow}</v>
      </c>
      <c r="C6" s="2">
        <v>2000</v>
      </c>
      <c r="D6" s="2"/>
    </row>
    <row r="7" spans="1:6" ht="14.25" customHeight="1">
      <c r="A7" s="2" t="s">
        <v>3497</v>
      </c>
      <c r="B7" s="2" t="str">
        <f>"{map_yellow},{0},{map_blue},{0}"</f>
        <v>{map_yellow},{0},{map_blue},{0}</v>
      </c>
      <c r="C7" s="2">
        <v>1500</v>
      </c>
      <c r="D7" s="2"/>
    </row>
    <row r="8" spans="1:6" ht="14.25" customHeight="1">
      <c r="A8" s="2" t="s">
        <v>3498</v>
      </c>
      <c r="B8" s="2" t="str">
        <f>"{map_red},{0},{map_purple},{0}"</f>
        <v>{map_red},{0},{map_purple},{0}</v>
      </c>
      <c r="C8" s="2">
        <v>1000</v>
      </c>
      <c r="D8" s="2"/>
    </row>
    <row r="9" spans="1:6" ht="14.25" customHeight="1">
      <c r="A9" s="2" t="s">
        <v>3499</v>
      </c>
      <c r="B9" s="2" t="str">
        <f>"{0},{0},{map_purple},{map_yellow}"</f>
        <v>{0},{0},{map_purple},{map_yellow}</v>
      </c>
      <c r="C9" s="2">
        <v>800</v>
      </c>
      <c r="D9" s="2"/>
    </row>
    <row r="10" spans="1:6" ht="14.25" customHeight="1">
      <c r="A10" s="2" t="s">
        <v>3500</v>
      </c>
      <c r="B10" s="2" t="str">
        <f>"{0},{0},{map_blue},{0}"</f>
        <v>{0},{0},{map_blue},{0}</v>
      </c>
      <c r="C10" s="2"/>
      <c r="D10" s="2">
        <v>1</v>
      </c>
    </row>
    <row r="11" spans="1:6" ht="14.25" customHeight="1">
      <c r="A11" s="2" t="s">
        <v>3501</v>
      </c>
      <c r="B11" s="2" t="str">
        <f>"{0},{0},{map_red},{0}"</f>
        <v>{0},{0},{map_red},{0}</v>
      </c>
      <c r="C11" s="2"/>
      <c r="D11" s="2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zoomScaleNormal="100" workbookViewId="0">
      <selection activeCell="D9" sqref="D9"/>
    </sheetView>
  </sheetViews>
  <sheetFormatPr defaultColWidth="12.5703125" defaultRowHeight="12.75"/>
  <cols>
    <col min="4" max="4" width="51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3502</v>
      </c>
      <c r="D1" s="7" t="s">
        <v>1</v>
      </c>
      <c r="E1" s="3" t="s">
        <v>3503</v>
      </c>
    </row>
    <row r="2" spans="1:5" ht="42.75" customHeight="1">
      <c r="A2" s="47"/>
      <c r="B2" s="47" t="s">
        <v>3504</v>
      </c>
      <c r="C2" s="47"/>
      <c r="D2" s="7" t="s">
        <v>3505</v>
      </c>
      <c r="E2" s="106" t="s">
        <v>3506</v>
      </c>
    </row>
    <row r="3" spans="1:5" ht="57" customHeight="1">
      <c r="A3" s="47">
        <v>100</v>
      </c>
      <c r="B3" s="47" t="s">
        <v>3507</v>
      </c>
      <c r="C3" s="47" t="s">
        <v>3508</v>
      </c>
      <c r="D3" s="107" t="s">
        <v>3509</v>
      </c>
      <c r="E3" s="108" t="s">
        <v>3510</v>
      </c>
    </row>
    <row r="4" spans="1:5" ht="85.5" customHeight="1">
      <c r="A4" s="47"/>
      <c r="B4" s="47" t="s">
        <v>3504</v>
      </c>
      <c r="C4" s="47"/>
      <c r="D4" s="7" t="s">
        <v>3511</v>
      </c>
      <c r="E4" s="107" t="s">
        <v>3512</v>
      </c>
    </row>
    <row r="5" spans="1:5" ht="128.25" customHeight="1">
      <c r="A5" s="47">
        <v>100</v>
      </c>
      <c r="B5" s="47" t="s">
        <v>3507</v>
      </c>
      <c r="C5" s="47" t="s">
        <v>3513</v>
      </c>
      <c r="D5" s="107" t="s">
        <v>3514</v>
      </c>
      <c r="E5" s="109" t="s">
        <v>3515</v>
      </c>
    </row>
    <row r="6" spans="1:5" ht="180" customHeight="1">
      <c r="A6" s="47">
        <v>100</v>
      </c>
      <c r="B6" s="47" t="s">
        <v>3507</v>
      </c>
      <c r="C6" s="47" t="s">
        <v>3513</v>
      </c>
      <c r="D6" s="130" t="s">
        <v>3516</v>
      </c>
      <c r="E6" s="110" t="s">
        <v>3517</v>
      </c>
    </row>
    <row r="7" spans="1:5" ht="42.75" customHeight="1">
      <c r="A7" s="47"/>
      <c r="B7" s="47" t="s">
        <v>3504</v>
      </c>
      <c r="C7" s="47"/>
      <c r="D7" s="131" t="s">
        <v>3518</v>
      </c>
      <c r="E7" s="107" t="s">
        <v>3519</v>
      </c>
    </row>
    <row r="8" spans="1:5" ht="15" customHeight="1">
      <c r="A8" s="47">
        <v>100</v>
      </c>
      <c r="B8" s="47" t="s">
        <v>3507</v>
      </c>
      <c r="C8" s="47" t="s">
        <v>3513</v>
      </c>
      <c r="E8" s="111" t="s">
        <v>3520</v>
      </c>
    </row>
    <row r="9" spans="1:5" ht="285.75" customHeight="1">
      <c r="A9" s="47"/>
      <c r="B9" s="47" t="s">
        <v>3504</v>
      </c>
      <c r="C9" s="47"/>
      <c r="D9" s="130" t="s">
        <v>3521</v>
      </c>
      <c r="E9" s="107" t="s">
        <v>3522</v>
      </c>
    </row>
    <row r="10" spans="1:5" ht="228" customHeight="1">
      <c r="A10" s="47"/>
      <c r="B10" s="47" t="s">
        <v>3504</v>
      </c>
      <c r="C10" s="47"/>
      <c r="D10" s="107" t="s">
        <v>3523</v>
      </c>
      <c r="E10" s="82" t="s">
        <v>3524</v>
      </c>
    </row>
    <row r="11" spans="1:5" ht="42.75" customHeight="1">
      <c r="A11" s="47"/>
      <c r="B11" s="47" t="s">
        <v>3504</v>
      </c>
      <c r="C11" s="47"/>
      <c r="D11" s="7" t="s">
        <v>3525</v>
      </c>
      <c r="E11" s="107" t="s">
        <v>3526</v>
      </c>
    </row>
    <row r="12" spans="1:5" ht="99.75" customHeight="1">
      <c r="A12" s="47">
        <v>200</v>
      </c>
      <c r="B12" s="47" t="s">
        <v>3507</v>
      </c>
      <c r="C12" s="47" t="s">
        <v>3508</v>
      </c>
      <c r="D12" s="107" t="s">
        <v>3527</v>
      </c>
    </row>
    <row r="13" spans="1:5" ht="142.5" customHeight="1">
      <c r="A13" s="47">
        <v>209</v>
      </c>
      <c r="B13" s="47" t="s">
        <v>3507</v>
      </c>
      <c r="C13" s="47" t="s">
        <v>3513</v>
      </c>
      <c r="D13" s="107" t="s">
        <v>3528</v>
      </c>
    </row>
    <row r="14" spans="1:5" ht="128.25" customHeight="1">
      <c r="A14" s="47"/>
      <c r="B14" s="7" t="s">
        <v>3507</v>
      </c>
      <c r="C14" s="7" t="s">
        <v>3513</v>
      </c>
      <c r="D14" s="107" t="s">
        <v>3529</v>
      </c>
    </row>
    <row r="15" spans="1:5" ht="142.5" customHeight="1">
      <c r="B15" s="7" t="s">
        <v>3507</v>
      </c>
      <c r="C15" s="7" t="s">
        <v>3508</v>
      </c>
      <c r="D15" s="107" t="s">
        <v>3530</v>
      </c>
    </row>
    <row r="16" spans="1:5" ht="128.25" customHeight="1">
      <c r="A16" s="47"/>
      <c r="B16" s="7" t="s">
        <v>3507</v>
      </c>
      <c r="C16" s="7" t="s">
        <v>3513</v>
      </c>
      <c r="D16" s="107" t="s">
        <v>3531</v>
      </c>
    </row>
    <row r="17" spans="1:4" ht="114" customHeight="1">
      <c r="A17" s="47"/>
      <c r="B17" s="7" t="s">
        <v>3507</v>
      </c>
      <c r="C17" s="7" t="s">
        <v>3513</v>
      </c>
      <c r="D17" s="107" t="s">
        <v>3532</v>
      </c>
    </row>
    <row r="18" spans="1:4" ht="85.5" customHeight="1">
      <c r="A18" s="83" t="s">
        <v>3533</v>
      </c>
      <c r="B18" s="7" t="s">
        <v>3507</v>
      </c>
      <c r="C18" s="7" t="s">
        <v>3513</v>
      </c>
      <c r="D18" s="107" t="s">
        <v>3534</v>
      </c>
    </row>
    <row r="19" spans="1:4" ht="128.25" customHeight="1">
      <c r="A19" s="47"/>
      <c r="B19" s="7" t="s">
        <v>3507</v>
      </c>
      <c r="C19" s="7" t="s">
        <v>3513</v>
      </c>
      <c r="D19" s="107" t="s">
        <v>3535</v>
      </c>
    </row>
    <row r="20" spans="1:4" ht="114" customHeight="1">
      <c r="A20" s="47"/>
      <c r="B20" s="7" t="s">
        <v>3507</v>
      </c>
      <c r="C20" s="7" t="s">
        <v>3513</v>
      </c>
      <c r="D20" s="107" t="s">
        <v>3536</v>
      </c>
    </row>
    <row r="21" spans="1:4" ht="128.25" customHeight="1">
      <c r="A21" s="47"/>
      <c r="B21" s="7" t="s">
        <v>3507</v>
      </c>
      <c r="C21" s="7" t="s">
        <v>3508</v>
      </c>
      <c r="D21" s="107" t="s">
        <v>3537</v>
      </c>
    </row>
    <row r="22" spans="1:4" ht="85.5" customHeight="1">
      <c r="A22" s="47"/>
      <c r="B22" s="7" t="s">
        <v>3507</v>
      </c>
      <c r="C22" s="7" t="s">
        <v>3513</v>
      </c>
      <c r="D22" s="107" t="s">
        <v>3538</v>
      </c>
    </row>
    <row r="23" spans="1:4" ht="85.5" customHeight="1">
      <c r="A23" s="47"/>
      <c r="B23" s="7" t="s">
        <v>3507</v>
      </c>
      <c r="C23" s="7" t="s">
        <v>3513</v>
      </c>
      <c r="D23" s="107" t="s">
        <v>3539</v>
      </c>
    </row>
    <row r="24" spans="1:4" ht="99.75" customHeight="1">
      <c r="A24" s="83" t="s">
        <v>3540</v>
      </c>
      <c r="B24" s="7" t="s">
        <v>3507</v>
      </c>
      <c r="C24" s="7" t="s">
        <v>3508</v>
      </c>
      <c r="D24" s="107" t="s">
        <v>3541</v>
      </c>
    </row>
    <row r="25" spans="1:4" ht="114" customHeight="1">
      <c r="A25" s="47"/>
      <c r="B25" s="7" t="s">
        <v>3507</v>
      </c>
      <c r="C25" s="7" t="s">
        <v>3513</v>
      </c>
      <c r="D25" s="107" t="s">
        <v>3542</v>
      </c>
    </row>
    <row r="26" spans="1:4" ht="114" customHeight="1">
      <c r="A26" s="47"/>
      <c r="B26" s="7" t="s">
        <v>3507</v>
      </c>
      <c r="C26" s="7" t="s">
        <v>3513</v>
      </c>
      <c r="D26" s="107" t="s">
        <v>3543</v>
      </c>
    </row>
    <row r="27" spans="1:4" ht="114" customHeight="1">
      <c r="A27" s="47"/>
      <c r="B27" s="7" t="s">
        <v>3507</v>
      </c>
      <c r="C27" s="7" t="s">
        <v>3513</v>
      </c>
      <c r="D27" s="107" t="s">
        <v>3544</v>
      </c>
    </row>
    <row r="28" spans="1:4" ht="114" customHeight="1">
      <c r="A28" s="47"/>
      <c r="B28" s="7" t="s">
        <v>3507</v>
      </c>
      <c r="C28" s="7" t="s">
        <v>3513</v>
      </c>
      <c r="D28" s="107" t="s">
        <v>3545</v>
      </c>
    </row>
    <row r="29" spans="1:4" ht="57" customHeight="1">
      <c r="A29" s="47"/>
      <c r="B29" s="7" t="s">
        <v>3507</v>
      </c>
      <c r="C29" s="7" t="s">
        <v>3513</v>
      </c>
      <c r="D29" s="107" t="s">
        <v>3546</v>
      </c>
    </row>
    <row r="30" spans="1:4" ht="85.5" customHeight="1">
      <c r="A30" s="83" t="s">
        <v>3547</v>
      </c>
      <c r="B30" s="7" t="s">
        <v>3507</v>
      </c>
      <c r="C30" s="7" t="s">
        <v>3513</v>
      </c>
      <c r="D30" s="107" t="s">
        <v>3548</v>
      </c>
    </row>
    <row r="31" spans="1:4" ht="156.75" customHeight="1">
      <c r="A31" s="47"/>
      <c r="B31" s="7" t="s">
        <v>3507</v>
      </c>
      <c r="C31" s="7" t="s">
        <v>3513</v>
      </c>
      <c r="D31" s="107" t="s">
        <v>3549</v>
      </c>
    </row>
    <row r="32" spans="1:4" ht="156.75" customHeight="1">
      <c r="A32" s="47"/>
      <c r="B32" s="7" t="s">
        <v>3507</v>
      </c>
      <c r="C32" s="7" t="s">
        <v>3513</v>
      </c>
      <c r="D32" s="107" t="s">
        <v>3550</v>
      </c>
    </row>
    <row r="33" spans="1:4" ht="156.75" customHeight="1">
      <c r="A33" s="47"/>
      <c r="B33" s="7" t="s">
        <v>3507</v>
      </c>
      <c r="C33" s="7" t="s">
        <v>3513</v>
      </c>
      <c r="D33" s="107" t="s">
        <v>3551</v>
      </c>
    </row>
    <row r="34" spans="1:4" ht="114" customHeight="1">
      <c r="A34" s="47"/>
      <c r="B34" s="7" t="s">
        <v>3507</v>
      </c>
      <c r="C34" s="7" t="s">
        <v>3513</v>
      </c>
      <c r="D34" s="107" t="s">
        <v>3552</v>
      </c>
    </row>
    <row r="35" spans="1:4" ht="99.75" customHeight="1">
      <c r="A35" s="47"/>
      <c r="B35" s="7" t="s">
        <v>3507</v>
      </c>
      <c r="C35" s="7" t="s">
        <v>3513</v>
      </c>
      <c r="D35" s="107" t="s">
        <v>3553</v>
      </c>
    </row>
    <row r="36" spans="1:4" ht="85.5" customHeight="1">
      <c r="A36" s="83" t="s">
        <v>3554</v>
      </c>
      <c r="B36" s="7" t="s">
        <v>3507</v>
      </c>
      <c r="C36" s="7" t="s">
        <v>3508</v>
      </c>
      <c r="D36" s="107" t="s">
        <v>3555</v>
      </c>
    </row>
    <row r="37" spans="1:4" ht="156.75" customHeight="1">
      <c r="A37" s="47"/>
      <c r="B37" s="7" t="s">
        <v>3507</v>
      </c>
      <c r="C37" s="7" t="s">
        <v>3513</v>
      </c>
      <c r="D37" s="107" t="s">
        <v>3556</v>
      </c>
    </row>
    <row r="38" spans="1:4" ht="156.75" customHeight="1">
      <c r="A38" s="47"/>
      <c r="B38" s="7" t="s">
        <v>3507</v>
      </c>
      <c r="C38" s="7" t="s">
        <v>3513</v>
      </c>
      <c r="D38" s="107" t="s">
        <v>3557</v>
      </c>
    </row>
    <row r="39" spans="1:4" ht="156.75" customHeight="1">
      <c r="A39" s="47"/>
      <c r="B39" s="7" t="s">
        <v>3507</v>
      </c>
      <c r="C39" s="7" t="s">
        <v>3513</v>
      </c>
      <c r="D39" s="107" t="s">
        <v>3558</v>
      </c>
    </row>
    <row r="40" spans="1:4" ht="128.25" customHeight="1">
      <c r="A40" s="47"/>
      <c r="B40" s="7" t="s">
        <v>3507</v>
      </c>
      <c r="C40" s="7" t="s">
        <v>3513</v>
      </c>
      <c r="D40" s="107" t="s">
        <v>3559</v>
      </c>
    </row>
    <row r="41" spans="1:4" ht="99.75" customHeight="1">
      <c r="A41" s="47"/>
      <c r="B41" s="7" t="s">
        <v>3507</v>
      </c>
      <c r="C41" s="7" t="s">
        <v>3513</v>
      </c>
      <c r="D41" s="107" t="s">
        <v>3560</v>
      </c>
    </row>
    <row r="42" spans="1:4" ht="85.5" customHeight="1">
      <c r="A42" s="83" t="s">
        <v>3561</v>
      </c>
      <c r="B42" s="7" t="s">
        <v>3507</v>
      </c>
      <c r="C42" s="7" t="s">
        <v>3513</v>
      </c>
      <c r="D42" s="107" t="s">
        <v>3562</v>
      </c>
    </row>
    <row r="43" spans="1:4" ht="156.75" customHeight="1">
      <c r="A43" s="47"/>
      <c r="B43" s="7" t="s">
        <v>3507</v>
      </c>
      <c r="C43" s="7" t="s">
        <v>3513</v>
      </c>
      <c r="D43" s="107" t="s">
        <v>3563</v>
      </c>
    </row>
    <row r="44" spans="1:4" ht="156.75" customHeight="1">
      <c r="A44" s="47"/>
      <c r="B44" s="7" t="s">
        <v>3507</v>
      </c>
      <c r="C44" s="7" t="s">
        <v>3513</v>
      </c>
      <c r="D44" s="107" t="s">
        <v>3564</v>
      </c>
    </row>
    <row r="45" spans="1:4" ht="156.75" customHeight="1">
      <c r="A45" s="47"/>
      <c r="B45" s="7" t="s">
        <v>3507</v>
      </c>
      <c r="C45" s="7" t="s">
        <v>3513</v>
      </c>
      <c r="D45" s="107" t="s">
        <v>3565</v>
      </c>
    </row>
    <row r="46" spans="1:4" ht="128.25" customHeight="1">
      <c r="A46" s="47"/>
      <c r="B46" s="7" t="s">
        <v>3507</v>
      </c>
      <c r="C46" s="7" t="s">
        <v>3513</v>
      </c>
      <c r="D46" s="107" t="s">
        <v>3566</v>
      </c>
    </row>
    <row r="47" spans="1:4" ht="99.75" customHeight="1">
      <c r="A47" s="47"/>
      <c r="B47" s="7" t="s">
        <v>3507</v>
      </c>
      <c r="C47" s="7" t="s">
        <v>3513</v>
      </c>
      <c r="D47" s="107" t="s">
        <v>3553</v>
      </c>
    </row>
    <row r="48" spans="1:4" ht="76.5" customHeight="1">
      <c r="A48" s="80" t="s">
        <v>3567</v>
      </c>
      <c r="B48" t="s">
        <v>3507</v>
      </c>
      <c r="C48" t="s">
        <v>3508</v>
      </c>
      <c r="D48" s="112" t="s">
        <v>3568</v>
      </c>
    </row>
    <row r="49" spans="1:4" ht="140.25" customHeight="1">
      <c r="B49" t="s">
        <v>3507</v>
      </c>
      <c r="C49" t="s">
        <v>3513</v>
      </c>
      <c r="D49" s="112" t="s">
        <v>3569</v>
      </c>
    </row>
    <row r="50" spans="1:4" ht="140.25" customHeight="1">
      <c r="B50" t="s">
        <v>3507</v>
      </c>
      <c r="C50" t="s">
        <v>3513</v>
      </c>
      <c r="D50" s="112" t="s">
        <v>3570</v>
      </c>
    </row>
    <row r="51" spans="1:4" ht="140.25" customHeight="1">
      <c r="B51" t="s">
        <v>3507</v>
      </c>
      <c r="C51" t="s">
        <v>3513</v>
      </c>
      <c r="D51" s="112" t="s">
        <v>3571</v>
      </c>
    </row>
    <row r="52" spans="1:4" ht="114.75" customHeight="1">
      <c r="B52" t="s">
        <v>3507</v>
      </c>
      <c r="C52" t="s">
        <v>3513</v>
      </c>
      <c r="D52" s="112" t="s">
        <v>3572</v>
      </c>
    </row>
    <row r="53" spans="1:4" ht="89.25" customHeight="1">
      <c r="B53" t="s">
        <v>3507</v>
      </c>
      <c r="C53" t="s">
        <v>3513</v>
      </c>
      <c r="D53" s="112" t="s">
        <v>3573</v>
      </c>
    </row>
    <row r="54" spans="1:4" ht="76.5" customHeight="1">
      <c r="A54" s="80" t="s">
        <v>3574</v>
      </c>
      <c r="B54" t="s">
        <v>3507</v>
      </c>
      <c r="C54" t="s">
        <v>3508</v>
      </c>
      <c r="D54" s="112" t="s">
        <v>3575</v>
      </c>
    </row>
    <row r="55" spans="1:4" ht="140.25" customHeight="1">
      <c r="B55" t="s">
        <v>3507</v>
      </c>
      <c r="C55" t="s">
        <v>3513</v>
      </c>
      <c r="D55" s="112" t="s">
        <v>3576</v>
      </c>
    </row>
    <row r="56" spans="1:4" ht="140.25" customHeight="1">
      <c r="B56" t="s">
        <v>3507</v>
      </c>
      <c r="C56" t="s">
        <v>3513</v>
      </c>
      <c r="D56" s="112" t="s">
        <v>3577</v>
      </c>
    </row>
    <row r="57" spans="1:4" ht="140.25" customHeight="1">
      <c r="B57" t="s">
        <v>3507</v>
      </c>
      <c r="C57" t="s">
        <v>3513</v>
      </c>
      <c r="D57" s="112" t="s">
        <v>3578</v>
      </c>
    </row>
    <row r="58" spans="1:4" ht="114.75" customHeight="1">
      <c r="B58" t="s">
        <v>3507</v>
      </c>
      <c r="C58" t="s">
        <v>3513</v>
      </c>
      <c r="D58" s="112" t="s">
        <v>3579</v>
      </c>
    </row>
    <row r="59" spans="1:4" ht="89.25" customHeight="1">
      <c r="B59" t="s">
        <v>3507</v>
      </c>
      <c r="C59" t="s">
        <v>3513</v>
      </c>
      <c r="D59" s="112" t="s">
        <v>3580</v>
      </c>
    </row>
    <row r="60" spans="1:4" ht="76.5" customHeight="1">
      <c r="A60" s="80" t="s">
        <v>3581</v>
      </c>
      <c r="B60" t="s">
        <v>3507</v>
      </c>
      <c r="C60" t="s">
        <v>3508</v>
      </c>
      <c r="D60" s="112" t="s">
        <v>3582</v>
      </c>
    </row>
    <row r="61" spans="1:4" ht="140.25" customHeight="1">
      <c r="B61" t="s">
        <v>3507</v>
      </c>
      <c r="C61" t="s">
        <v>3513</v>
      </c>
      <c r="D61" s="112" t="s">
        <v>3583</v>
      </c>
    </row>
    <row r="62" spans="1:4" ht="140.25" customHeight="1">
      <c r="B62" t="s">
        <v>3507</v>
      </c>
      <c r="C62" t="s">
        <v>3513</v>
      </c>
      <c r="D62" s="112" t="s">
        <v>3584</v>
      </c>
    </row>
    <row r="63" spans="1:4" ht="140.25" customHeight="1">
      <c r="B63" t="s">
        <v>3507</v>
      </c>
      <c r="C63" t="s">
        <v>3513</v>
      </c>
      <c r="D63" s="112" t="s">
        <v>3585</v>
      </c>
    </row>
    <row r="64" spans="1:4" ht="114.75" customHeight="1">
      <c r="B64" t="s">
        <v>3507</v>
      </c>
      <c r="C64" t="s">
        <v>3513</v>
      </c>
      <c r="D64" s="112" t="s">
        <v>3586</v>
      </c>
    </row>
    <row r="65" spans="1:4" ht="89.25" customHeight="1">
      <c r="B65" t="s">
        <v>3507</v>
      </c>
      <c r="C65" t="s">
        <v>3513</v>
      </c>
      <c r="D65" s="112" t="s">
        <v>3573</v>
      </c>
    </row>
    <row r="66" spans="1:4" ht="76.5" customHeight="1">
      <c r="A66" s="80" t="s">
        <v>3587</v>
      </c>
      <c r="B66" t="s">
        <v>3507</v>
      </c>
      <c r="C66" t="s">
        <v>3508</v>
      </c>
      <c r="D66" s="112" t="s">
        <v>3588</v>
      </c>
    </row>
    <row r="67" spans="1:4" ht="140.25" customHeight="1">
      <c r="B67" t="s">
        <v>3507</v>
      </c>
      <c r="C67" t="s">
        <v>3513</v>
      </c>
      <c r="D67" s="112" t="s">
        <v>3589</v>
      </c>
    </row>
    <row r="68" spans="1:4" ht="140.25" customHeight="1">
      <c r="B68" t="s">
        <v>3507</v>
      </c>
      <c r="C68" t="s">
        <v>3513</v>
      </c>
      <c r="D68" s="112" t="s">
        <v>3590</v>
      </c>
    </row>
    <row r="69" spans="1:4" ht="140.25" customHeight="1">
      <c r="B69" t="s">
        <v>3507</v>
      </c>
      <c r="C69" t="s">
        <v>3513</v>
      </c>
      <c r="D69" s="112" t="s">
        <v>3591</v>
      </c>
    </row>
    <row r="70" spans="1:4" ht="114.75" customHeight="1">
      <c r="B70" t="s">
        <v>3507</v>
      </c>
      <c r="C70" t="s">
        <v>3513</v>
      </c>
      <c r="D70" s="112" t="s">
        <v>3592</v>
      </c>
    </row>
    <row r="71" spans="1:4" ht="89.25" customHeight="1">
      <c r="B71" t="s">
        <v>3507</v>
      </c>
      <c r="C71" t="s">
        <v>3513</v>
      </c>
      <c r="D71" s="112" t="s">
        <v>3580</v>
      </c>
    </row>
    <row r="72" spans="1:4" ht="76.5" customHeight="1">
      <c r="A72" s="80" t="s">
        <v>3593</v>
      </c>
      <c r="B72" t="s">
        <v>3507</v>
      </c>
      <c r="C72" t="s">
        <v>3508</v>
      </c>
      <c r="D72" s="112" t="s">
        <v>3594</v>
      </c>
    </row>
    <row r="73" spans="1:4" ht="140.25" customHeight="1">
      <c r="B73" t="s">
        <v>3507</v>
      </c>
      <c r="C73" t="s">
        <v>3513</v>
      </c>
      <c r="D73" s="112" t="s">
        <v>3595</v>
      </c>
    </row>
    <row r="74" spans="1:4" ht="140.25" customHeight="1">
      <c r="B74" t="s">
        <v>3507</v>
      </c>
      <c r="C74" t="s">
        <v>3513</v>
      </c>
      <c r="D74" s="112" t="s">
        <v>3596</v>
      </c>
    </row>
    <row r="75" spans="1:4" ht="140.25" customHeight="1">
      <c r="B75" t="s">
        <v>3507</v>
      </c>
      <c r="C75" t="s">
        <v>3513</v>
      </c>
      <c r="D75" s="112" t="s">
        <v>3597</v>
      </c>
    </row>
    <row r="76" spans="1:4" ht="140.25" customHeight="1">
      <c r="B76" t="s">
        <v>3507</v>
      </c>
      <c r="C76" t="s">
        <v>3513</v>
      </c>
      <c r="D76" s="112" t="s">
        <v>3598</v>
      </c>
    </row>
    <row r="77" spans="1:4" ht="114.75" customHeight="1">
      <c r="B77" t="s">
        <v>3507</v>
      </c>
      <c r="C77" t="s">
        <v>3513</v>
      </c>
      <c r="D77" s="112" t="s">
        <v>3599</v>
      </c>
    </row>
    <row r="78" spans="1:4" ht="89.25" customHeight="1">
      <c r="B78" t="s">
        <v>3507</v>
      </c>
      <c r="C78" t="s">
        <v>3513</v>
      </c>
      <c r="D78" s="112" t="s">
        <v>3573</v>
      </c>
    </row>
    <row r="79" spans="1:4" ht="76.5" customHeight="1">
      <c r="A79" s="80" t="s">
        <v>3600</v>
      </c>
      <c r="B79" t="s">
        <v>3507</v>
      </c>
      <c r="C79" t="s">
        <v>3508</v>
      </c>
      <c r="D79" s="112" t="s">
        <v>3601</v>
      </c>
    </row>
    <row r="80" spans="1:4" ht="140.25" customHeight="1">
      <c r="B80" t="s">
        <v>3507</v>
      </c>
      <c r="C80" t="s">
        <v>3513</v>
      </c>
      <c r="D80" s="112" t="s">
        <v>3602</v>
      </c>
    </row>
    <row r="81" spans="1:4" ht="140.25" customHeight="1">
      <c r="B81" t="s">
        <v>3507</v>
      </c>
      <c r="C81" t="s">
        <v>3513</v>
      </c>
      <c r="D81" s="112" t="s">
        <v>3603</v>
      </c>
    </row>
    <row r="82" spans="1:4" ht="140.25" customHeight="1">
      <c r="B82" t="s">
        <v>3507</v>
      </c>
      <c r="C82" t="s">
        <v>3513</v>
      </c>
      <c r="D82" s="112" t="s">
        <v>3604</v>
      </c>
    </row>
    <row r="83" spans="1:4" ht="140.25" customHeight="1">
      <c r="B83" t="s">
        <v>3507</v>
      </c>
      <c r="C83" t="s">
        <v>3513</v>
      </c>
      <c r="D83" s="112" t="s">
        <v>3605</v>
      </c>
    </row>
    <row r="84" spans="1:4" ht="114.75" customHeight="1">
      <c r="B84" t="s">
        <v>3507</v>
      </c>
      <c r="C84" t="s">
        <v>3513</v>
      </c>
      <c r="D84" s="112" t="s">
        <v>3606</v>
      </c>
    </row>
    <row r="85" spans="1:4" ht="89.25" customHeight="1">
      <c r="B85" t="s">
        <v>3507</v>
      </c>
      <c r="C85" t="s">
        <v>3513</v>
      </c>
      <c r="D85" s="112" t="s">
        <v>3580</v>
      </c>
    </row>
    <row r="86" spans="1:4" ht="76.5" customHeight="1">
      <c r="A86" s="80" t="s">
        <v>3607</v>
      </c>
      <c r="B86" t="s">
        <v>3507</v>
      </c>
      <c r="C86" t="s">
        <v>3508</v>
      </c>
      <c r="D86" s="112" t="s">
        <v>3608</v>
      </c>
    </row>
    <row r="87" spans="1:4" ht="140.25" customHeight="1">
      <c r="B87" t="s">
        <v>3507</v>
      </c>
      <c r="C87" t="s">
        <v>3513</v>
      </c>
      <c r="D87" s="112" t="s">
        <v>3609</v>
      </c>
    </row>
    <row r="88" spans="1:4" ht="140.25" customHeight="1">
      <c r="B88" t="s">
        <v>3507</v>
      </c>
      <c r="C88" t="s">
        <v>3513</v>
      </c>
      <c r="D88" s="112" t="s">
        <v>3610</v>
      </c>
    </row>
    <row r="89" spans="1:4" ht="140.25" customHeight="1">
      <c r="B89" t="s">
        <v>3507</v>
      </c>
      <c r="C89" t="s">
        <v>3513</v>
      </c>
      <c r="D89" s="112" t="s">
        <v>3611</v>
      </c>
    </row>
    <row r="90" spans="1:4" ht="140.25" customHeight="1">
      <c r="B90" t="s">
        <v>3507</v>
      </c>
      <c r="C90" t="s">
        <v>3513</v>
      </c>
      <c r="D90" s="112" t="s">
        <v>3612</v>
      </c>
    </row>
    <row r="91" spans="1:4" ht="114.75" customHeight="1">
      <c r="B91" t="s">
        <v>3507</v>
      </c>
      <c r="C91" t="s">
        <v>3513</v>
      </c>
      <c r="D91" s="112" t="s">
        <v>3613</v>
      </c>
    </row>
    <row r="92" spans="1:4" ht="89.25" customHeight="1">
      <c r="B92" t="s">
        <v>3507</v>
      </c>
      <c r="C92" t="s">
        <v>3513</v>
      </c>
      <c r="D92" s="112" t="s">
        <v>3580</v>
      </c>
    </row>
    <row r="93" spans="1:4" ht="76.5" customHeight="1">
      <c r="A93" s="80" t="s">
        <v>3614</v>
      </c>
      <c r="B93" t="s">
        <v>3507</v>
      </c>
      <c r="C93" t="s">
        <v>3508</v>
      </c>
      <c r="D93" s="112" t="s">
        <v>3615</v>
      </c>
    </row>
    <row r="94" spans="1:4" ht="140.25" customHeight="1">
      <c r="B94" t="s">
        <v>3507</v>
      </c>
      <c r="C94" t="s">
        <v>3513</v>
      </c>
      <c r="D94" s="112" t="s">
        <v>3616</v>
      </c>
    </row>
    <row r="95" spans="1:4" ht="140.25" customHeight="1">
      <c r="B95" t="s">
        <v>3507</v>
      </c>
      <c r="C95" t="s">
        <v>3513</v>
      </c>
      <c r="D95" s="112" t="s">
        <v>3617</v>
      </c>
    </row>
    <row r="96" spans="1:4" ht="140.25" customHeight="1">
      <c r="B96" t="s">
        <v>3507</v>
      </c>
      <c r="C96" t="s">
        <v>3513</v>
      </c>
      <c r="D96" s="112" t="s">
        <v>3618</v>
      </c>
    </row>
    <row r="97" spans="1:5" ht="140.25" customHeight="1">
      <c r="B97" t="s">
        <v>3507</v>
      </c>
      <c r="C97" t="s">
        <v>3513</v>
      </c>
      <c r="D97" s="112" t="s">
        <v>3619</v>
      </c>
    </row>
    <row r="98" spans="1:5" ht="114.75" customHeight="1">
      <c r="B98" t="s">
        <v>3507</v>
      </c>
      <c r="C98" t="s">
        <v>3513</v>
      </c>
      <c r="D98" s="112" t="s">
        <v>3620</v>
      </c>
    </row>
    <row r="99" spans="1:5" ht="89.25" customHeight="1">
      <c r="B99" t="s">
        <v>3507</v>
      </c>
      <c r="C99" t="s">
        <v>3513</v>
      </c>
      <c r="D99" s="112" t="s">
        <v>3573</v>
      </c>
    </row>
    <row r="100" spans="1:5" ht="76.5" customHeight="1">
      <c r="A100" s="80" t="s">
        <v>3621</v>
      </c>
      <c r="B100" t="s">
        <v>3507</v>
      </c>
      <c r="C100" t="s">
        <v>3508</v>
      </c>
      <c r="D100" s="112" t="s">
        <v>3622</v>
      </c>
    </row>
    <row r="101" spans="1:5" ht="140.25" customHeight="1">
      <c r="B101" t="s">
        <v>3507</v>
      </c>
      <c r="C101" t="s">
        <v>3513</v>
      </c>
      <c r="D101" s="112" t="s">
        <v>3623</v>
      </c>
    </row>
    <row r="102" spans="1:5" ht="140.25" customHeight="1">
      <c r="B102" t="s">
        <v>3507</v>
      </c>
      <c r="C102" t="s">
        <v>3513</v>
      </c>
      <c r="D102" s="112" t="s">
        <v>3624</v>
      </c>
    </row>
    <row r="103" spans="1:5" ht="140.25" customHeight="1">
      <c r="B103" t="s">
        <v>3507</v>
      </c>
      <c r="C103" t="s">
        <v>3513</v>
      </c>
      <c r="D103" s="112" t="s">
        <v>3625</v>
      </c>
    </row>
    <row r="104" spans="1:5" ht="140.25" customHeight="1">
      <c r="B104" t="s">
        <v>3507</v>
      </c>
      <c r="C104" t="s">
        <v>3513</v>
      </c>
      <c r="D104" s="112" t="s">
        <v>3626</v>
      </c>
    </row>
    <row r="105" spans="1:5" ht="140.25" customHeight="1">
      <c r="B105" t="s">
        <v>3507</v>
      </c>
      <c r="C105" t="s">
        <v>3513</v>
      </c>
      <c r="D105" s="112" t="s">
        <v>3627</v>
      </c>
    </row>
    <row r="106" spans="1:5" ht="89.25" customHeight="1">
      <c r="B106" t="s">
        <v>3507</v>
      </c>
      <c r="C106" t="s">
        <v>3513</v>
      </c>
      <c r="D106" s="112" t="s">
        <v>3580</v>
      </c>
    </row>
    <row r="107" spans="1:5">
      <c r="A107">
        <v>1002</v>
      </c>
      <c r="B107" t="s">
        <v>3504</v>
      </c>
      <c r="C107" t="s">
        <v>3628</v>
      </c>
      <c r="D107" t="s">
        <v>3629</v>
      </c>
      <c r="E107" t="s">
        <v>3630</v>
      </c>
    </row>
    <row r="108" spans="1:5">
      <c r="A108">
        <v>1004</v>
      </c>
      <c r="B108" t="s">
        <v>3504</v>
      </c>
      <c r="C108" t="s">
        <v>3631</v>
      </c>
      <c r="D108" t="s">
        <v>3632</v>
      </c>
      <c r="E108" t="s">
        <v>3630</v>
      </c>
    </row>
    <row r="109" spans="1:5">
      <c r="A109">
        <v>1014</v>
      </c>
      <c r="B109" t="s">
        <v>3504</v>
      </c>
      <c r="C109" t="s">
        <v>3633</v>
      </c>
      <c r="D109" t="s">
        <v>3634</v>
      </c>
      <c r="E109" t="s">
        <v>3630</v>
      </c>
    </row>
    <row r="110" spans="1:5">
      <c r="A110">
        <v>1019</v>
      </c>
      <c r="B110" t="s">
        <v>3504</v>
      </c>
      <c r="C110" t="s">
        <v>3635</v>
      </c>
      <c r="D110" t="s">
        <v>3636</v>
      </c>
      <c r="E110" t="s">
        <v>3630</v>
      </c>
    </row>
    <row r="111" spans="1:5">
      <c r="A111">
        <v>1029</v>
      </c>
      <c r="B111" t="s">
        <v>3504</v>
      </c>
      <c r="C111" t="s">
        <v>3637</v>
      </c>
      <c r="D111" t="s">
        <v>3638</v>
      </c>
      <c r="E111" t="s">
        <v>3630</v>
      </c>
    </row>
    <row r="112" spans="1:5">
      <c r="A112">
        <v>1044</v>
      </c>
      <c r="B112" t="s">
        <v>3504</v>
      </c>
      <c r="C112" t="s">
        <v>3639</v>
      </c>
      <c r="D112" t="s">
        <v>3640</v>
      </c>
      <c r="E112" t="s">
        <v>3630</v>
      </c>
    </row>
    <row r="113" spans="1:5">
      <c r="A113">
        <v>1049</v>
      </c>
      <c r="B113" t="s">
        <v>3504</v>
      </c>
      <c r="C113" t="s">
        <v>3641</v>
      </c>
      <c r="D113" t="s">
        <v>3642</v>
      </c>
      <c r="E113" t="s">
        <v>3630</v>
      </c>
    </row>
    <row r="114" spans="1:5">
      <c r="A114">
        <v>1059</v>
      </c>
      <c r="B114" t="s">
        <v>3504</v>
      </c>
      <c r="C114" t="s">
        <v>1601</v>
      </c>
      <c r="D114" t="s">
        <v>3643</v>
      </c>
      <c r="E114" t="s">
        <v>3630</v>
      </c>
    </row>
    <row r="115" spans="1:5">
      <c r="A115">
        <v>1069</v>
      </c>
      <c r="B115" t="s">
        <v>3504</v>
      </c>
      <c r="C115" t="s">
        <v>3644</v>
      </c>
      <c r="D115" t="s">
        <v>3645</v>
      </c>
      <c r="E115" t="s">
        <v>3630</v>
      </c>
    </row>
    <row r="116" spans="1:5">
      <c r="A116">
        <v>1069</v>
      </c>
      <c r="B116" t="s">
        <v>3504</v>
      </c>
      <c r="C116" t="s">
        <v>3646</v>
      </c>
      <c r="D116" t="s">
        <v>3647</v>
      </c>
      <c r="E116" t="s">
        <v>3630</v>
      </c>
    </row>
    <row r="117" spans="1:5">
      <c r="A117">
        <v>1079</v>
      </c>
      <c r="B117" t="s">
        <v>3504</v>
      </c>
      <c r="C117" t="s">
        <v>3648</v>
      </c>
      <c r="D117" t="s">
        <v>3649</v>
      </c>
      <c r="E117" t="s">
        <v>3630</v>
      </c>
    </row>
    <row r="118" spans="1:5">
      <c r="A118">
        <v>1079</v>
      </c>
      <c r="B118" t="s">
        <v>3504</v>
      </c>
      <c r="C118" t="s">
        <v>3650</v>
      </c>
      <c r="D118" t="s">
        <v>3651</v>
      </c>
      <c r="E118" t="s">
        <v>3630</v>
      </c>
    </row>
    <row r="119" spans="1:5">
      <c r="A119">
        <v>1089</v>
      </c>
      <c r="B119" t="s">
        <v>3504</v>
      </c>
      <c r="C119" t="s">
        <v>3652</v>
      </c>
      <c r="D119" t="s">
        <v>3653</v>
      </c>
      <c r="E119" t="s">
        <v>3630</v>
      </c>
    </row>
    <row r="120" spans="1:5">
      <c r="A120">
        <v>1119</v>
      </c>
      <c r="B120" t="s">
        <v>3504</v>
      </c>
      <c r="C120" t="s">
        <v>1602</v>
      </c>
      <c r="D120" t="s">
        <v>3654</v>
      </c>
      <c r="E120" t="s">
        <v>3630</v>
      </c>
    </row>
    <row r="121" spans="1:5">
      <c r="A121">
        <v>1149</v>
      </c>
      <c r="B121" t="s">
        <v>3504</v>
      </c>
      <c r="C121" t="s">
        <v>3655</v>
      </c>
      <c r="D121" t="s">
        <v>3656</v>
      </c>
      <c r="E121" t="s">
        <v>3630</v>
      </c>
    </row>
    <row r="122" spans="1:5">
      <c r="A122">
        <v>1179</v>
      </c>
      <c r="B122" t="s">
        <v>3504</v>
      </c>
      <c r="C122" t="s">
        <v>3657</v>
      </c>
      <c r="D122" t="s">
        <v>3658</v>
      </c>
      <c r="E122" t="s">
        <v>3630</v>
      </c>
    </row>
  </sheetData>
  <phoneticPr fontId="29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3659</v>
      </c>
      <c r="C1" s="7" t="s">
        <v>3660</v>
      </c>
      <c r="D1" s="7" t="s">
        <v>3661</v>
      </c>
      <c r="E1" s="7" t="s">
        <v>3662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9" si="12">(0.4-A98*0.001)/7</f>
        <v>4.2000000000000003E-2</v>
      </c>
      <c r="C98" s="7">
        <f t="shared" ref="C98:C129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3663</v>
      </c>
      <c r="N2" s="40" t="s">
        <v>3664</v>
      </c>
      <c r="O2" s="40" t="s">
        <v>3665</v>
      </c>
      <c r="P2" s="50" t="s">
        <v>3666</v>
      </c>
      <c r="Q2" s="50" t="s">
        <v>3667</v>
      </c>
      <c r="R2" s="50" t="s">
        <v>3668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3669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3669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3669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3669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3669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3669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3669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3669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3669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3669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3669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3669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3669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3669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3669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3669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3669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3669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3669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3669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3669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3669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3669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3669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3669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3669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3669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3669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3669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3669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3669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3669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3669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3669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3669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3669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3669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3669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3669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3669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3669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3669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3669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3669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3669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3669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3669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3669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3669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3669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3669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3669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3669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3669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3669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3669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3669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3669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3669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3669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3669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3669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3669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3669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3669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3669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3669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3669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3669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3669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3669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3669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3669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3669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3669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3669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3669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3669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3669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3669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3670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3671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3672</v>
      </c>
      <c r="C86" s="8" t="s">
        <v>3673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3674</v>
      </c>
      <c r="C87" s="8" t="s">
        <v>3675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3676</v>
      </c>
      <c r="C88" s="8" t="s">
        <v>3677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3678</v>
      </c>
      <c r="C89" s="8" t="s">
        <v>3679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3680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3671</v>
      </c>
      <c r="C91" s="8" t="s">
        <v>3681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3672</v>
      </c>
      <c r="C92" s="8" t="s">
        <v>3682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3674</v>
      </c>
      <c r="C93" s="8" t="s">
        <v>3683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3676</v>
      </c>
      <c r="C94" s="8" t="s">
        <v>3684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3678</v>
      </c>
      <c r="C95" s="8" t="s">
        <v>3685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3686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3671</v>
      </c>
      <c r="C97" s="8" t="s">
        <v>3687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3672</v>
      </c>
      <c r="C98" s="8" t="s">
        <v>3688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3674</v>
      </c>
      <c r="C99" s="8" t="s">
        <v>3689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3676</v>
      </c>
      <c r="C100" s="8" t="s">
        <v>3690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3678</v>
      </c>
      <c r="C101" s="8" t="s">
        <v>3691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3692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3671</v>
      </c>
      <c r="C103" s="8" t="s">
        <v>3693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3672</v>
      </c>
      <c r="C104" s="8" t="s">
        <v>3694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3674</v>
      </c>
      <c r="C105" s="8" t="s">
        <v>3695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3676</v>
      </c>
      <c r="C106" s="8" t="s">
        <v>3696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3678</v>
      </c>
      <c r="C107" s="8" t="s">
        <v>3697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3698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3671</v>
      </c>
      <c r="C109" s="8" t="s">
        <v>3699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3672</v>
      </c>
      <c r="C110" s="8" t="s">
        <v>3700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3674</v>
      </c>
      <c r="C111" s="8" t="s">
        <v>3701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3676</v>
      </c>
      <c r="C112" s="8" t="s">
        <v>3702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3678</v>
      </c>
      <c r="C113" s="8" t="s">
        <v>3703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3704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3671</v>
      </c>
      <c r="C115" s="8" t="s">
        <v>3705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3672</v>
      </c>
      <c r="C116" s="8" t="s">
        <v>3706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3674</v>
      </c>
      <c r="C117" s="8" t="s">
        <v>3707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3676</v>
      </c>
      <c r="C118" s="8" t="s">
        <v>3708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3678</v>
      </c>
      <c r="C119" s="8" t="s">
        <v>3709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3710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3671</v>
      </c>
      <c r="C121" s="8" t="s">
        <v>3711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3672</v>
      </c>
      <c r="C122" s="8" t="s">
        <v>3712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3674</v>
      </c>
      <c r="C123" s="8" t="s">
        <v>3713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3676</v>
      </c>
      <c r="C124" s="8" t="s">
        <v>3714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3678</v>
      </c>
      <c r="C125" s="8" t="s">
        <v>3715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3716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3671</v>
      </c>
      <c r="C127" s="8" t="s">
        <v>3717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3672</v>
      </c>
      <c r="C128" s="8" t="s">
        <v>3718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3674</v>
      </c>
      <c r="C129" s="8" t="s">
        <v>3719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3676</v>
      </c>
      <c r="C130" s="8" t="s">
        <v>3720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3678</v>
      </c>
      <c r="C131" s="8" t="s">
        <v>3721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3722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3671</v>
      </c>
      <c r="C133" s="8" t="s">
        <v>3723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3672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3674</v>
      </c>
      <c r="C135" s="8" t="s">
        <v>3724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3676</v>
      </c>
      <c r="C136" s="8" t="s">
        <v>3725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3678</v>
      </c>
      <c r="C137" s="8" t="s">
        <v>3726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3727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3671</v>
      </c>
      <c r="C139" s="8" t="s">
        <v>3728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3672</v>
      </c>
      <c r="C140" s="114" t="s">
        <v>3729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3674</v>
      </c>
      <c r="C141" s="8" t="s">
        <v>3730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3676</v>
      </c>
      <c r="C142" s="8" t="s">
        <v>3731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3678</v>
      </c>
      <c r="C143" s="8" t="s">
        <v>3732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3733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3671</v>
      </c>
      <c r="C145" s="8" t="s">
        <v>3734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3672</v>
      </c>
      <c r="C146" s="8" t="s">
        <v>3735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3674</v>
      </c>
      <c r="C147" s="8" t="s">
        <v>3736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3676</v>
      </c>
      <c r="C148" s="8" t="s">
        <v>3737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3678</v>
      </c>
      <c r="C149" s="8" t="s">
        <v>3738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3739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3671</v>
      </c>
      <c r="C151" s="8" t="s">
        <v>3740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3672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3674</v>
      </c>
      <c r="C153" s="8" t="s">
        <v>3741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85" si="25">A148+1</f>
        <v>84012</v>
      </c>
      <c r="B154" s="6" t="s">
        <v>3676</v>
      </c>
      <c r="C154" s="8" t="s">
        <v>3742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3678</v>
      </c>
      <c r="C155" s="8" t="s">
        <v>3743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3663</v>
      </c>
      <c r="N156" s="40" t="s">
        <v>3664</v>
      </c>
      <c r="O156" s="40" t="s">
        <v>3665</v>
      </c>
      <c r="P156" s="50" t="s">
        <v>3666</v>
      </c>
      <c r="Q156" s="50" t="s">
        <v>3667</v>
      </c>
      <c r="R156" s="50" t="s">
        <v>3668</v>
      </c>
    </row>
    <row r="157" spans="1:18" ht="14.25" customHeight="1">
      <c r="A157" s="2">
        <v>88000</v>
      </c>
      <c r="B157" s="6" t="s">
        <v>1457</v>
      </c>
      <c r="C157" s="4" t="s">
        <v>3744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3745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3746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3671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3672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3674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3676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3678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3671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3672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3674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3676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3678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3671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3672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3674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3676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3678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3671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3672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3674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3676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3678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3671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3672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3674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3676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3678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3747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3748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3749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3671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3672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3674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3676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3678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9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3750</v>
      </c>
      <c r="B1" s="6" t="s">
        <v>3490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3751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42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3752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/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3753</v>
      </c>
      <c r="C1" s="40" t="s">
        <v>3754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3755</v>
      </c>
      <c r="C4" s="6">
        <v>9999</v>
      </c>
    </row>
    <row r="5" spans="1:3" ht="15" customHeight="1">
      <c r="A5" s="6">
        <v>8003</v>
      </c>
      <c r="B5" s="124" t="s">
        <v>3756</v>
      </c>
      <c r="C5" s="6">
        <v>9999</v>
      </c>
    </row>
    <row r="6" spans="1:3" ht="15" customHeight="1">
      <c r="A6" s="6">
        <v>8003</v>
      </c>
      <c r="B6" s="124" t="s">
        <v>3757</v>
      </c>
      <c r="C6" s="6">
        <v>9999</v>
      </c>
    </row>
    <row r="7" spans="1:3" ht="15" customHeight="1">
      <c r="A7" s="6">
        <v>1000</v>
      </c>
      <c r="B7" s="124" t="s">
        <v>3758</v>
      </c>
      <c r="C7" s="6">
        <v>99</v>
      </c>
    </row>
    <row r="8" spans="1:3" ht="15" customHeight="1">
      <c r="A8" s="6">
        <v>1001</v>
      </c>
      <c r="B8" s="124" t="s">
        <v>3759</v>
      </c>
      <c r="C8" s="6">
        <v>99</v>
      </c>
    </row>
    <row r="9" spans="1:3" ht="15" customHeight="1">
      <c r="A9" s="6">
        <v>2000</v>
      </c>
      <c r="B9" s="124" t="s">
        <v>3760</v>
      </c>
      <c r="C9" s="6">
        <v>1</v>
      </c>
    </row>
    <row r="10" spans="1:3" ht="15" customHeight="1">
      <c r="A10" s="6">
        <v>2001</v>
      </c>
      <c r="B10" s="124" t="s">
        <v>3761</v>
      </c>
      <c r="C10" s="6">
        <v>1</v>
      </c>
    </row>
    <row r="11" spans="1:3" ht="15" customHeight="1">
      <c r="A11" s="6">
        <v>2002</v>
      </c>
      <c r="B11" s="124" t="s">
        <v>3762</v>
      </c>
      <c r="C11" s="6">
        <v>1</v>
      </c>
    </row>
    <row r="12" spans="1:3" ht="15" customHeight="1">
      <c r="A12" s="6">
        <v>2003</v>
      </c>
      <c r="B12" s="124" t="s">
        <v>3763</v>
      </c>
      <c r="C12" s="6">
        <v>1</v>
      </c>
    </row>
    <row r="13" spans="1:3" ht="15" customHeight="1">
      <c r="A13" s="6">
        <v>2004</v>
      </c>
      <c r="B13" s="124" t="s">
        <v>3764</v>
      </c>
      <c r="C13" s="6">
        <v>1</v>
      </c>
    </row>
    <row r="14" spans="1:3" ht="15" customHeight="1">
      <c r="A14" s="6">
        <v>2005</v>
      </c>
      <c r="B14" s="124" t="s">
        <v>3765</v>
      </c>
      <c r="C14" s="6">
        <v>1</v>
      </c>
    </row>
    <row r="15" spans="1:3" ht="15" customHeight="1">
      <c r="A15" s="6">
        <v>2006</v>
      </c>
      <c r="B15" s="124" t="s">
        <v>3766</v>
      </c>
      <c r="C15" s="6">
        <v>1</v>
      </c>
    </row>
    <row r="16" spans="1:3" ht="15" customHeight="1">
      <c r="A16" s="6">
        <v>2007</v>
      </c>
      <c r="B16" s="124" t="s">
        <v>3767</v>
      </c>
      <c r="C16" s="6">
        <v>1</v>
      </c>
    </row>
    <row r="17" spans="1:3" ht="15" customHeight="1">
      <c r="A17" s="6">
        <v>2008</v>
      </c>
      <c r="B17" s="124" t="s">
        <v>3768</v>
      </c>
      <c r="C17" s="6">
        <v>1</v>
      </c>
    </row>
    <row r="18" spans="1:3" ht="15" customHeight="1">
      <c r="A18" s="6">
        <v>2009</v>
      </c>
      <c r="B18" s="124" t="s">
        <v>3769</v>
      </c>
      <c r="C18" s="6">
        <v>1</v>
      </c>
    </row>
    <row r="19" spans="1:3" ht="15" customHeight="1">
      <c r="A19" s="6">
        <v>9000</v>
      </c>
      <c r="B19" s="124" t="s">
        <v>3770</v>
      </c>
      <c r="C19" s="6">
        <v>100</v>
      </c>
    </row>
    <row r="20" spans="1:3" ht="15" customHeight="1">
      <c r="A20" s="6">
        <f>card!A3-900</f>
        <v>9101</v>
      </c>
      <c r="B20" s="124" t="s">
        <v>3771</v>
      </c>
      <c r="C20" s="6">
        <v>100</v>
      </c>
    </row>
    <row r="21" spans="1:3" ht="15" customHeight="1">
      <c r="A21" s="6">
        <f>card!A4-900</f>
        <v>9102</v>
      </c>
      <c r="B21" s="124" t="s">
        <v>3772</v>
      </c>
      <c r="C21" s="6">
        <v>100</v>
      </c>
    </row>
    <row r="22" spans="1:3" ht="15" customHeight="1">
      <c r="A22" s="6">
        <f>card!A5-900</f>
        <v>9103</v>
      </c>
      <c r="B22" s="124" t="s">
        <v>3773</v>
      </c>
      <c r="C22" s="6">
        <v>100</v>
      </c>
    </row>
    <row r="23" spans="1:3" ht="15" customHeight="1">
      <c r="A23" s="6">
        <f>card!A6-900</f>
        <v>9104</v>
      </c>
      <c r="B23" s="124" t="s">
        <v>3774</v>
      </c>
      <c r="C23" s="6">
        <v>100</v>
      </c>
    </row>
    <row r="24" spans="1:3" ht="15" customHeight="1">
      <c r="A24" s="6">
        <f>card!A7-900</f>
        <v>9105</v>
      </c>
      <c r="B24" s="124" t="s">
        <v>3775</v>
      </c>
      <c r="C24" s="6">
        <v>100</v>
      </c>
    </row>
    <row r="25" spans="1:3" ht="15" customHeight="1">
      <c r="A25" s="6">
        <f>card!A8-900</f>
        <v>9106</v>
      </c>
      <c r="B25" s="124" t="s">
        <v>3776</v>
      </c>
      <c r="C25" s="6">
        <v>100</v>
      </c>
    </row>
    <row r="26" spans="1:3" ht="15" customHeight="1">
      <c r="A26" s="6">
        <f>card!A9-900</f>
        <v>9107</v>
      </c>
      <c r="B26" s="124" t="s">
        <v>3777</v>
      </c>
      <c r="C26" s="6">
        <v>100</v>
      </c>
    </row>
    <row r="27" spans="1:3" ht="15" customHeight="1">
      <c r="A27" s="6">
        <f>card!A10-900</f>
        <v>9108</v>
      </c>
      <c r="B27" s="124" t="s">
        <v>3778</v>
      </c>
      <c r="C27" s="6">
        <v>100</v>
      </c>
    </row>
    <row r="28" spans="1:3" ht="15" customHeight="1">
      <c r="A28" s="6">
        <f>card!A11-900</f>
        <v>9109</v>
      </c>
      <c r="B28" s="124" t="s">
        <v>3779</v>
      </c>
      <c r="C28" s="6">
        <v>100</v>
      </c>
    </row>
    <row r="29" spans="1:3" ht="15" customHeight="1">
      <c r="A29" s="6">
        <f>card!A12-900</f>
        <v>9110</v>
      </c>
      <c r="B29" s="124" t="s">
        <v>3780</v>
      </c>
      <c r="C29" s="6">
        <v>100</v>
      </c>
    </row>
    <row r="30" spans="1:3" ht="15" customHeight="1">
      <c r="A30" s="6">
        <f>card!A13-900</f>
        <v>9111</v>
      </c>
      <c r="B30" s="124" t="s">
        <v>3781</v>
      </c>
      <c r="C30" s="6">
        <v>100</v>
      </c>
    </row>
    <row r="31" spans="1:3" ht="15" customHeight="1">
      <c r="A31" s="6">
        <f>card!A14-900</f>
        <v>9112</v>
      </c>
      <c r="B31" s="124" t="s">
        <v>3782</v>
      </c>
      <c r="C31" s="6">
        <v>100</v>
      </c>
    </row>
    <row r="32" spans="1:3" ht="15" customHeight="1">
      <c r="A32" s="6">
        <f>card!A15-900</f>
        <v>9113</v>
      </c>
      <c r="B32" s="124" t="s">
        <v>3783</v>
      </c>
      <c r="C32" s="6">
        <v>100</v>
      </c>
    </row>
    <row r="33" spans="1:3" ht="15" customHeight="1">
      <c r="A33" s="6">
        <f>card!A16-900</f>
        <v>9114</v>
      </c>
      <c r="B33" s="124" t="s">
        <v>3784</v>
      </c>
      <c r="C33" s="6">
        <v>100</v>
      </c>
    </row>
    <row r="34" spans="1:3" ht="15" customHeight="1">
      <c r="A34" s="6">
        <f>card!A17-900</f>
        <v>9115</v>
      </c>
      <c r="B34" s="124" t="s">
        <v>3785</v>
      </c>
      <c r="C34" s="6">
        <v>100</v>
      </c>
    </row>
    <row r="35" spans="1:3" ht="15" customHeight="1">
      <c r="A35" s="6">
        <f>card!A18-900</f>
        <v>9116</v>
      </c>
      <c r="B35" s="124" t="s">
        <v>3786</v>
      </c>
      <c r="C35" s="6">
        <v>100</v>
      </c>
    </row>
    <row r="36" spans="1:3" ht="15" customHeight="1">
      <c r="A36" s="6">
        <f>card!A19-900</f>
        <v>9117</v>
      </c>
      <c r="B36" s="124" t="s">
        <v>3787</v>
      </c>
      <c r="C36" s="6">
        <v>100</v>
      </c>
    </row>
    <row r="37" spans="1:3" ht="15" customHeight="1">
      <c r="A37" s="6">
        <f>card!A20-900</f>
        <v>9118</v>
      </c>
      <c r="B37" s="124" t="s">
        <v>3788</v>
      </c>
      <c r="C37" s="6">
        <v>100</v>
      </c>
    </row>
    <row r="38" spans="1:3" ht="15" customHeight="1">
      <c r="A38" s="6">
        <f>card!A21-900</f>
        <v>9119</v>
      </c>
      <c r="B38" s="124" t="s">
        <v>3789</v>
      </c>
      <c r="C38" s="6">
        <v>100</v>
      </c>
    </row>
    <row r="39" spans="1:3" ht="15" customHeight="1">
      <c r="A39" s="6">
        <f>card!A22-900</f>
        <v>9120</v>
      </c>
      <c r="B39" s="124" t="s">
        <v>3790</v>
      </c>
      <c r="C39" s="6">
        <v>100</v>
      </c>
    </row>
    <row r="40" spans="1:3" ht="15" customHeight="1">
      <c r="A40" s="6">
        <f>card!A23-900</f>
        <v>9121</v>
      </c>
      <c r="B40" s="124" t="s">
        <v>3791</v>
      </c>
      <c r="C40" s="6">
        <v>100</v>
      </c>
    </row>
    <row r="41" spans="1:3" ht="15" customHeight="1">
      <c r="A41" s="6">
        <f>card!A24-900</f>
        <v>9122</v>
      </c>
      <c r="B41" s="124" t="s">
        <v>3792</v>
      </c>
      <c r="C41" s="6">
        <v>100</v>
      </c>
    </row>
    <row r="42" spans="1:3" ht="15" customHeight="1">
      <c r="A42" s="6">
        <f>card!A25-900</f>
        <v>9123</v>
      </c>
      <c r="B42" s="124" t="s">
        <v>3793</v>
      </c>
      <c r="C42" s="6">
        <v>100</v>
      </c>
    </row>
    <row r="43" spans="1:3" ht="15" customHeight="1">
      <c r="A43" s="6">
        <f>card!A26-900</f>
        <v>9124</v>
      </c>
      <c r="B43" s="124" t="s">
        <v>3794</v>
      </c>
      <c r="C43" s="6">
        <v>100</v>
      </c>
    </row>
    <row r="44" spans="1:3" ht="15" customHeight="1">
      <c r="A44" s="6">
        <f>card!A27-900</f>
        <v>9125</v>
      </c>
      <c r="B44" s="124" t="s">
        <v>3795</v>
      </c>
      <c r="C44" s="6">
        <v>100</v>
      </c>
    </row>
    <row r="45" spans="1:3" ht="15" customHeight="1">
      <c r="A45" s="6">
        <f>card!A28-900</f>
        <v>9126</v>
      </c>
      <c r="B45" s="124" t="s">
        <v>3796</v>
      </c>
      <c r="C45" s="6">
        <v>100</v>
      </c>
    </row>
    <row r="46" spans="1:3" ht="15" customHeight="1">
      <c r="A46" s="6">
        <f>card!A29-900</f>
        <v>9127</v>
      </c>
      <c r="B46" s="124" t="s">
        <v>3797</v>
      </c>
      <c r="C46" s="6">
        <v>100</v>
      </c>
    </row>
    <row r="47" spans="1:3" ht="15" customHeight="1">
      <c r="A47" s="6">
        <f>card!A30-900</f>
        <v>9128</v>
      </c>
      <c r="B47" s="124" t="s">
        <v>3798</v>
      </c>
      <c r="C47" s="6">
        <v>100</v>
      </c>
    </row>
    <row r="48" spans="1:3" ht="15" customHeight="1">
      <c r="A48" s="6">
        <f>card!A31-900</f>
        <v>9129</v>
      </c>
      <c r="B48" s="124" t="s">
        <v>3799</v>
      </c>
      <c r="C48" s="6">
        <v>100</v>
      </c>
    </row>
    <row r="49" spans="1:3" ht="15" customHeight="1">
      <c r="A49" s="6">
        <f>card!A32-900</f>
        <v>9130</v>
      </c>
      <c r="B49" s="124" t="s">
        <v>3800</v>
      </c>
      <c r="C49" s="6">
        <v>100</v>
      </c>
    </row>
    <row r="50" spans="1:3" ht="14.25" customHeight="1">
      <c r="A50" s="6">
        <f>card!A33-900</f>
        <v>9131</v>
      </c>
      <c r="B50" s="8" t="s">
        <v>3801</v>
      </c>
      <c r="C50" s="6">
        <v>100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3802</v>
      </c>
      <c r="C1" s="2" t="s">
        <v>63</v>
      </c>
      <c r="D1" s="2" t="s">
        <v>3803</v>
      </c>
      <c r="E1" s="2" t="s">
        <v>3804</v>
      </c>
      <c r="F1" s="2" t="s">
        <v>3805</v>
      </c>
      <c r="G1" s="2" t="s">
        <v>3806</v>
      </c>
      <c r="H1" s="2" t="s">
        <v>3807</v>
      </c>
      <c r="I1" s="2" t="s">
        <v>3808</v>
      </c>
      <c r="J1" s="2" t="s">
        <v>3809</v>
      </c>
      <c r="K1" s="2" t="s">
        <v>3810</v>
      </c>
      <c r="L1" s="2" t="s">
        <v>3811</v>
      </c>
      <c r="M1" s="2" t="s">
        <v>3812</v>
      </c>
      <c r="N1" s="2" t="s">
        <v>3813</v>
      </c>
      <c r="O1" s="2" t="s">
        <v>3814</v>
      </c>
      <c r="P1" t="s">
        <v>3815</v>
      </c>
      <c r="Q1" t="s">
        <v>3816</v>
      </c>
      <c r="R1" t="s">
        <v>3817</v>
      </c>
      <c r="S1" t="s">
        <v>3818</v>
      </c>
      <c r="T1" t="s">
        <v>3819</v>
      </c>
      <c r="U1" t="s">
        <v>3820</v>
      </c>
      <c r="V1" t="s">
        <v>3821</v>
      </c>
      <c r="W1" t="s">
        <v>3822</v>
      </c>
      <c r="X1" t="s">
        <v>3823</v>
      </c>
      <c r="Y1" t="s">
        <v>3824</v>
      </c>
      <c r="Z1" t="s">
        <v>3825</v>
      </c>
      <c r="AA1" t="s">
        <v>3826</v>
      </c>
    </row>
    <row r="2" spans="1:27" ht="14.25" customHeight="1">
      <c r="A2" s="2">
        <v>1000</v>
      </c>
      <c r="B2" s="52" t="s">
        <v>3827</v>
      </c>
      <c r="C2" s="2">
        <v>1</v>
      </c>
      <c r="D2" s="151" t="s">
        <v>4536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3829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3830</v>
      </c>
      <c r="C3" s="2">
        <v>1</v>
      </c>
      <c r="D3" s="2" t="s">
        <v>3828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3829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3831</v>
      </c>
      <c r="C4" s="2">
        <v>2</v>
      </c>
      <c r="D4" s="2" t="s">
        <v>3828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3829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3832</v>
      </c>
      <c r="C5" s="2">
        <v>2</v>
      </c>
      <c r="D5" s="2" t="s">
        <v>3828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3829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3833</v>
      </c>
      <c r="C6" s="2">
        <v>3</v>
      </c>
      <c r="D6" s="2" t="s">
        <v>3828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3829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3834</v>
      </c>
      <c r="C7" s="2">
        <v>3</v>
      </c>
      <c r="D7" s="2" t="s">
        <v>3828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3829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3835</v>
      </c>
      <c r="C8" s="2">
        <v>4</v>
      </c>
      <c r="D8" s="2" t="s">
        <v>3828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3829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3836</v>
      </c>
      <c r="C9" s="2">
        <v>4</v>
      </c>
      <c r="D9" s="2" t="s">
        <v>3828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3829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3837</v>
      </c>
      <c r="C10" s="2">
        <v>5</v>
      </c>
      <c r="D10" s="2" t="s">
        <v>3828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3829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3838</v>
      </c>
      <c r="C11" s="2">
        <v>5</v>
      </c>
      <c r="D11" s="2" t="s">
        <v>3828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3829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3839</v>
      </c>
      <c r="C12" s="2">
        <v>6</v>
      </c>
      <c r="D12" s="2" t="s">
        <v>3828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3829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3840</v>
      </c>
      <c r="C13" s="2">
        <v>6</v>
      </c>
      <c r="D13" s="2" t="s">
        <v>3828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3829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3841</v>
      </c>
      <c r="C14" s="2">
        <v>7</v>
      </c>
      <c r="D14" s="2" t="s">
        <v>3828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3829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3842</v>
      </c>
      <c r="C15" s="2">
        <v>7</v>
      </c>
      <c r="D15" s="2" t="s">
        <v>3828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3829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3843</v>
      </c>
      <c r="C16" s="2">
        <v>8</v>
      </c>
      <c r="D16" s="2" t="s">
        <v>3828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3829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3844</v>
      </c>
      <c r="C17" s="2">
        <v>8</v>
      </c>
      <c r="D17" s="2" t="s">
        <v>3828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3829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3845</v>
      </c>
      <c r="C18" s="2">
        <v>9</v>
      </c>
      <c r="D18" s="2" t="s">
        <v>3828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3829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3846</v>
      </c>
      <c r="C19" s="2">
        <v>9</v>
      </c>
      <c r="D19" s="2" t="s">
        <v>3828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3829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3847</v>
      </c>
      <c r="C20" s="2">
        <v>10</v>
      </c>
      <c r="D20" s="2" t="s">
        <v>3828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3829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3848</v>
      </c>
      <c r="C21" s="2">
        <v>10</v>
      </c>
      <c r="D21" s="2" t="s">
        <v>3828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3829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3849</v>
      </c>
      <c r="C22" s="2">
        <v>11</v>
      </c>
      <c r="D22" s="2" t="s">
        <v>3828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3829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3850</v>
      </c>
      <c r="C23" s="2">
        <v>11</v>
      </c>
      <c r="D23" s="2" t="s">
        <v>3828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3829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3851</v>
      </c>
      <c r="C24" s="2">
        <v>12</v>
      </c>
      <c r="D24" s="2" t="s">
        <v>3828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3829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3852</v>
      </c>
      <c r="C25" s="2">
        <v>12</v>
      </c>
      <c r="D25" s="2" t="s">
        <v>3828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3829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3853</v>
      </c>
      <c r="C26" s="2">
        <v>13</v>
      </c>
      <c r="D26" s="2" t="s">
        <v>3828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3829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3854</v>
      </c>
      <c r="C27" s="2">
        <v>13</v>
      </c>
      <c r="D27" s="2" t="s">
        <v>3828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3829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3855</v>
      </c>
      <c r="C28" s="2">
        <v>14</v>
      </c>
      <c r="D28" s="2" t="s">
        <v>3828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3829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3856</v>
      </c>
      <c r="C29" s="2">
        <v>14</v>
      </c>
      <c r="D29" s="2" t="s">
        <v>3828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3829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3857</v>
      </c>
      <c r="C30" s="2">
        <v>15</v>
      </c>
      <c r="D30" s="2" t="s">
        <v>3828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3829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3858</v>
      </c>
      <c r="C31" s="2">
        <v>15</v>
      </c>
      <c r="D31" s="2" t="s">
        <v>3828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3829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3859</v>
      </c>
      <c r="C32" s="2">
        <v>16</v>
      </c>
      <c r="D32" s="2" t="s">
        <v>3828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3829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3860</v>
      </c>
      <c r="C33" s="2">
        <v>16</v>
      </c>
      <c r="D33" s="2" t="s">
        <v>3828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3829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3861</v>
      </c>
      <c r="C34" s="2">
        <v>17</v>
      </c>
      <c r="D34" s="2" t="s">
        <v>3828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3829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3862</v>
      </c>
      <c r="C35" s="2">
        <v>17</v>
      </c>
      <c r="D35" s="2" t="s">
        <v>3828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3829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3863</v>
      </c>
      <c r="C36" s="2">
        <v>18</v>
      </c>
      <c r="D36" s="2" t="s">
        <v>3828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3829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3864</v>
      </c>
      <c r="C37" s="2">
        <v>18</v>
      </c>
      <c r="D37" s="2" t="s">
        <v>3828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3829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3865</v>
      </c>
      <c r="C38" s="2">
        <v>19</v>
      </c>
      <c r="D38" s="2" t="s">
        <v>3828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3829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3866</v>
      </c>
      <c r="C39" s="2">
        <v>19</v>
      </c>
      <c r="D39" s="2" t="s">
        <v>3828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3829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3867</v>
      </c>
      <c r="C40" s="2">
        <v>20</v>
      </c>
      <c r="D40" s="2" t="s">
        <v>3828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3829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3868</v>
      </c>
      <c r="C41" s="2">
        <v>20</v>
      </c>
      <c r="D41" s="2" t="s">
        <v>3828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3829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3869</v>
      </c>
      <c r="C42" s="2">
        <v>21</v>
      </c>
      <c r="D42" s="2" t="s">
        <v>3828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3829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3870</v>
      </c>
      <c r="C43" s="2">
        <v>21</v>
      </c>
      <c r="D43" s="2" t="s">
        <v>3828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3829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3871</v>
      </c>
      <c r="C44" s="2">
        <v>22</v>
      </c>
      <c r="D44" s="2" t="s">
        <v>3828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3829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3872</v>
      </c>
      <c r="C45" s="2">
        <v>22</v>
      </c>
      <c r="D45" s="2" t="s">
        <v>3828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3829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3873</v>
      </c>
      <c r="C46" s="2">
        <v>23</v>
      </c>
      <c r="D46" s="2" t="s">
        <v>3828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3829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3868</v>
      </c>
      <c r="C47" s="2">
        <v>23</v>
      </c>
      <c r="D47" s="2" t="s">
        <v>3828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3829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3874</v>
      </c>
      <c r="C48" s="2">
        <v>24</v>
      </c>
      <c r="D48" s="2" t="s">
        <v>3828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3829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3875</v>
      </c>
      <c r="C49" s="2">
        <v>24</v>
      </c>
      <c r="D49" s="2" t="s">
        <v>3828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3829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3876</v>
      </c>
      <c r="C50" s="2">
        <v>25</v>
      </c>
      <c r="D50" s="2" t="s">
        <v>3828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3829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3877</v>
      </c>
      <c r="C51" s="2">
        <v>25</v>
      </c>
      <c r="D51" s="2" t="s">
        <v>3828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3829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3878</v>
      </c>
      <c r="C52" s="2">
        <v>26</v>
      </c>
      <c r="D52" s="2" t="s">
        <v>3828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3829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3879</v>
      </c>
      <c r="C53" s="2">
        <v>26</v>
      </c>
      <c r="D53" s="2" t="s">
        <v>3828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3829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3880</v>
      </c>
      <c r="C54" s="2">
        <v>27</v>
      </c>
      <c r="D54" s="2" t="s">
        <v>3828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3829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3881</v>
      </c>
      <c r="C55" s="2">
        <v>27</v>
      </c>
      <c r="D55" s="2" t="s">
        <v>3828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3829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3882</v>
      </c>
      <c r="C56" s="2">
        <v>28</v>
      </c>
      <c r="D56" s="2" t="s">
        <v>3828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3829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3883</v>
      </c>
      <c r="C57" s="2">
        <v>28</v>
      </c>
      <c r="D57" s="2" t="s">
        <v>3828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3829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3884</v>
      </c>
      <c r="C58" s="2">
        <v>29</v>
      </c>
      <c r="D58" s="2" t="s">
        <v>3828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3829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3885</v>
      </c>
      <c r="C59" s="2">
        <v>29</v>
      </c>
      <c r="D59" s="2" t="s">
        <v>3828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3829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3886</v>
      </c>
      <c r="C60" s="2">
        <v>30</v>
      </c>
      <c r="D60" s="2" t="s">
        <v>3828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3829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3887</v>
      </c>
      <c r="C61" s="2">
        <v>30</v>
      </c>
      <c r="D61" s="2" t="s">
        <v>3828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3829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3888</v>
      </c>
      <c r="C62">
        <v>31</v>
      </c>
      <c r="D62" t="s">
        <v>3828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3829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3889</v>
      </c>
      <c r="C63">
        <v>31</v>
      </c>
      <c r="D63" t="s">
        <v>3828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3829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3890</v>
      </c>
      <c r="C64">
        <v>32</v>
      </c>
      <c r="D64" t="s">
        <v>3828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3829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3891</v>
      </c>
      <c r="C65">
        <v>32</v>
      </c>
      <c r="D65" t="s">
        <v>3828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3829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3892</v>
      </c>
      <c r="C66">
        <v>33</v>
      </c>
      <c r="D66" t="s">
        <v>3828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3829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3893</v>
      </c>
      <c r="C67">
        <v>33</v>
      </c>
      <c r="D67" t="s">
        <v>3828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3829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3894</v>
      </c>
      <c r="C68">
        <v>34</v>
      </c>
      <c r="D68" t="s">
        <v>3828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3829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3895</v>
      </c>
      <c r="C69">
        <v>34</v>
      </c>
      <c r="D69" t="s">
        <v>3828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3829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3888</v>
      </c>
      <c r="C70">
        <v>35</v>
      </c>
      <c r="D70" t="s">
        <v>3828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3829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3896</v>
      </c>
      <c r="C71">
        <v>35</v>
      </c>
      <c r="D71" t="s">
        <v>3828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3829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3897</v>
      </c>
      <c r="C72">
        <v>36</v>
      </c>
      <c r="D72" t="s">
        <v>3828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3829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3898</v>
      </c>
      <c r="C73">
        <v>36</v>
      </c>
      <c r="D73" t="s">
        <v>3828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3829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3899</v>
      </c>
      <c r="C74">
        <v>37</v>
      </c>
      <c r="D74" t="s">
        <v>3828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3829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3900</v>
      </c>
      <c r="C75">
        <v>37</v>
      </c>
      <c r="D75" t="s">
        <v>3828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3829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3901</v>
      </c>
      <c r="C76">
        <v>38</v>
      </c>
      <c r="D76" t="s">
        <v>3828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3829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3902</v>
      </c>
      <c r="C77">
        <v>38</v>
      </c>
      <c r="D77" t="s">
        <v>3828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3829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3903</v>
      </c>
      <c r="C78">
        <v>39</v>
      </c>
      <c r="D78" t="s">
        <v>3828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3829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3904</v>
      </c>
      <c r="C79">
        <v>39</v>
      </c>
      <c r="D79" t="s">
        <v>3828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3829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3905</v>
      </c>
      <c r="C80">
        <v>40</v>
      </c>
      <c r="D80" t="s">
        <v>3828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3829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3906</v>
      </c>
      <c r="C81">
        <v>40</v>
      </c>
      <c r="D81" t="s">
        <v>3828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3829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3907</v>
      </c>
      <c r="C82">
        <v>41</v>
      </c>
      <c r="D82" t="s">
        <v>3828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3829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3908</v>
      </c>
      <c r="C83">
        <v>41</v>
      </c>
      <c r="D83" t="s">
        <v>3828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3829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3909</v>
      </c>
      <c r="C84">
        <v>42</v>
      </c>
      <c r="D84" t="s">
        <v>3828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3829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3910</v>
      </c>
      <c r="C85">
        <v>42</v>
      </c>
      <c r="D85" t="s">
        <v>3828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3829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3911</v>
      </c>
      <c r="C86">
        <v>43</v>
      </c>
      <c r="D86" t="s">
        <v>3828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3829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3912</v>
      </c>
      <c r="C87">
        <v>43</v>
      </c>
      <c r="D87" t="s">
        <v>3828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3829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3893</v>
      </c>
      <c r="C88">
        <v>44</v>
      </c>
      <c r="D88" t="s">
        <v>3828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3829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3913</v>
      </c>
      <c r="C89">
        <v>44</v>
      </c>
      <c r="D89" t="s">
        <v>3828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3829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3904</v>
      </c>
      <c r="C90">
        <v>45</v>
      </c>
      <c r="D90" t="s">
        <v>3828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3829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3914</v>
      </c>
      <c r="C91">
        <v>45</v>
      </c>
      <c r="D91" t="s">
        <v>3828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3829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3915</v>
      </c>
      <c r="C92">
        <v>46</v>
      </c>
      <c r="D92" t="s">
        <v>3828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3829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3916</v>
      </c>
      <c r="C93">
        <v>46</v>
      </c>
      <c r="D93" t="s">
        <v>3828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3829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3917</v>
      </c>
      <c r="C94">
        <v>47</v>
      </c>
      <c r="D94" t="s">
        <v>3828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3829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3918</v>
      </c>
      <c r="C95">
        <v>47</v>
      </c>
      <c r="D95" t="s">
        <v>3828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3829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3919</v>
      </c>
      <c r="C96">
        <v>48</v>
      </c>
      <c r="D96" t="s">
        <v>3828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3829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3920</v>
      </c>
      <c r="C97">
        <v>48</v>
      </c>
      <c r="D97" t="s">
        <v>3828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3829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3919</v>
      </c>
      <c r="C98">
        <v>49</v>
      </c>
      <c r="D98" t="s">
        <v>3828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3829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3921</v>
      </c>
      <c r="C99">
        <v>49</v>
      </c>
      <c r="D99" t="s">
        <v>3828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3829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3922</v>
      </c>
      <c r="C100">
        <v>50</v>
      </c>
      <c r="D100" t="s">
        <v>3828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3829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3923</v>
      </c>
      <c r="C101">
        <v>50</v>
      </c>
      <c r="D101" t="s">
        <v>3828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3829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3924</v>
      </c>
      <c r="C102">
        <v>51</v>
      </c>
      <c r="D102" t="s">
        <v>3828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3829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3925</v>
      </c>
      <c r="C103">
        <v>51</v>
      </c>
      <c r="D103" t="s">
        <v>3828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3829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3926</v>
      </c>
      <c r="C104">
        <v>52</v>
      </c>
      <c r="D104" t="s">
        <v>3828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3829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3927</v>
      </c>
      <c r="C105">
        <v>52</v>
      </c>
      <c r="D105" t="s">
        <v>3828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3829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3928</v>
      </c>
      <c r="C106">
        <v>53</v>
      </c>
      <c r="D106" t="s">
        <v>3828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3829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3929</v>
      </c>
      <c r="C107">
        <v>53</v>
      </c>
      <c r="D107" t="s">
        <v>3828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3829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3930</v>
      </c>
      <c r="C108">
        <v>54</v>
      </c>
      <c r="D108" t="s">
        <v>3828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3829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3931</v>
      </c>
      <c r="C109">
        <v>54</v>
      </c>
      <c r="D109" t="s">
        <v>3828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3829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3932</v>
      </c>
      <c r="C110">
        <v>55</v>
      </c>
      <c r="D110" t="s">
        <v>3828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3829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3933</v>
      </c>
      <c r="C111">
        <v>55</v>
      </c>
      <c r="D111" t="s">
        <v>3828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3829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3934</v>
      </c>
      <c r="C112">
        <v>56</v>
      </c>
      <c r="D112" t="s">
        <v>3828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3829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3935</v>
      </c>
      <c r="C113">
        <v>56</v>
      </c>
      <c r="D113" t="s">
        <v>3828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3829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3936</v>
      </c>
      <c r="C114">
        <v>57</v>
      </c>
      <c r="D114" t="s">
        <v>3828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3829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3937</v>
      </c>
      <c r="C115">
        <v>57</v>
      </c>
      <c r="D115" t="s">
        <v>3828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3829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3922</v>
      </c>
      <c r="C116">
        <v>58</v>
      </c>
      <c r="D116" t="s">
        <v>3828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3829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3938</v>
      </c>
      <c r="C117">
        <v>58</v>
      </c>
      <c r="D117" t="s">
        <v>3828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3829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3939</v>
      </c>
      <c r="C118">
        <v>59</v>
      </c>
      <c r="D118" t="s">
        <v>3828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3829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3921</v>
      </c>
      <c r="C119">
        <v>59</v>
      </c>
      <c r="D119" t="s">
        <v>3828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3829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3940</v>
      </c>
      <c r="C120">
        <v>60</v>
      </c>
      <c r="D120" t="s">
        <v>3828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3829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3941</v>
      </c>
      <c r="C121">
        <v>60</v>
      </c>
      <c r="D121" t="s">
        <v>3828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3829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3942</v>
      </c>
      <c r="C122">
        <v>61</v>
      </c>
      <c r="D122" t="s">
        <v>3828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3829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3943</v>
      </c>
      <c r="C123">
        <v>61</v>
      </c>
      <c r="D123" t="s">
        <v>3828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3829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3944</v>
      </c>
      <c r="C124">
        <v>62</v>
      </c>
      <c r="D124" t="s">
        <v>3828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3829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3945</v>
      </c>
      <c r="C125">
        <v>62</v>
      </c>
      <c r="D125" t="s">
        <v>3828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3829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3946</v>
      </c>
      <c r="C126">
        <v>63</v>
      </c>
      <c r="D126" t="s">
        <v>3828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3829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3947</v>
      </c>
      <c r="C127">
        <v>63</v>
      </c>
      <c r="D127" t="s">
        <v>3828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3829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3948</v>
      </c>
      <c r="C128">
        <v>64</v>
      </c>
      <c r="D128" t="s">
        <v>3828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3829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3949</v>
      </c>
      <c r="C129">
        <v>64</v>
      </c>
      <c r="D129" t="s">
        <v>3828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3829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3950</v>
      </c>
      <c r="C130">
        <v>65</v>
      </c>
      <c r="D130" t="s">
        <v>3828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3829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3951</v>
      </c>
      <c r="C131">
        <v>65</v>
      </c>
      <c r="D131" t="s">
        <v>3828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3829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3952</v>
      </c>
      <c r="C132">
        <v>66</v>
      </c>
      <c r="D132" t="s">
        <v>3828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3829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3953</v>
      </c>
      <c r="C133">
        <v>66</v>
      </c>
      <c r="D133" t="s">
        <v>3828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3829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3954</v>
      </c>
      <c r="C134">
        <v>67</v>
      </c>
      <c r="D134" t="s">
        <v>3828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3829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3955</v>
      </c>
      <c r="C135">
        <v>67</v>
      </c>
      <c r="D135" t="s">
        <v>3828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3829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3956</v>
      </c>
      <c r="C136">
        <v>68</v>
      </c>
      <c r="D136" t="s">
        <v>3828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3829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3957</v>
      </c>
      <c r="C137">
        <v>68</v>
      </c>
      <c r="D137" t="s">
        <v>3828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3829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3958</v>
      </c>
      <c r="C138">
        <v>69</v>
      </c>
      <c r="D138" t="s">
        <v>3828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3829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3959</v>
      </c>
      <c r="C139">
        <v>69</v>
      </c>
      <c r="D139" t="s">
        <v>3828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3829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3958</v>
      </c>
      <c r="C140">
        <v>70</v>
      </c>
      <c r="D140" t="s">
        <v>3828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3829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3953</v>
      </c>
      <c r="C141">
        <v>70</v>
      </c>
      <c r="D141" t="s">
        <v>3828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3829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3960</v>
      </c>
      <c r="C142">
        <v>71</v>
      </c>
      <c r="D142" t="s">
        <v>3828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3829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3953</v>
      </c>
      <c r="C143">
        <v>71</v>
      </c>
      <c r="D143" t="s">
        <v>3828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3829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3961</v>
      </c>
      <c r="C144">
        <v>72</v>
      </c>
      <c r="D144" t="s">
        <v>3828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3829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3962</v>
      </c>
      <c r="C145">
        <v>72</v>
      </c>
      <c r="D145" t="s">
        <v>3828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3829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3963</v>
      </c>
      <c r="C146">
        <v>73</v>
      </c>
      <c r="D146" t="s">
        <v>3828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3829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3964</v>
      </c>
      <c r="C147">
        <v>73</v>
      </c>
      <c r="D147" t="s">
        <v>3828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3829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3960</v>
      </c>
      <c r="C148">
        <v>74</v>
      </c>
      <c r="D148" t="s">
        <v>3828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3829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3965</v>
      </c>
      <c r="C149">
        <v>74</v>
      </c>
      <c r="D149" t="s">
        <v>3828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3829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3966</v>
      </c>
      <c r="C150">
        <v>75</v>
      </c>
      <c r="D150" t="s">
        <v>3828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3829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3967</v>
      </c>
      <c r="C151">
        <v>75</v>
      </c>
      <c r="D151" t="s">
        <v>3828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3829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3968</v>
      </c>
      <c r="C152">
        <v>76</v>
      </c>
      <c r="D152" t="s">
        <v>3828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3829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3969</v>
      </c>
      <c r="C153">
        <v>76</v>
      </c>
      <c r="D153" t="s">
        <v>3828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3829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3970</v>
      </c>
      <c r="C154">
        <v>77</v>
      </c>
      <c r="D154" t="s">
        <v>3828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3829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3971</v>
      </c>
      <c r="C155">
        <v>77</v>
      </c>
      <c r="D155" t="s">
        <v>3828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3829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3972</v>
      </c>
      <c r="C156">
        <v>78</v>
      </c>
      <c r="D156" t="s">
        <v>3828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3829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3973</v>
      </c>
      <c r="C157">
        <v>78</v>
      </c>
      <c r="D157" t="s">
        <v>3828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3829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3974</v>
      </c>
      <c r="C158">
        <v>79</v>
      </c>
      <c r="D158" t="s">
        <v>3828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3829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3975</v>
      </c>
      <c r="C159">
        <v>79</v>
      </c>
      <c r="D159" t="s">
        <v>3828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3829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3976</v>
      </c>
      <c r="C160">
        <v>80</v>
      </c>
      <c r="D160" t="s">
        <v>3828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3829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3977</v>
      </c>
      <c r="C161">
        <v>80</v>
      </c>
      <c r="D161" t="s">
        <v>3828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3829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3978</v>
      </c>
      <c r="C162">
        <v>81</v>
      </c>
      <c r="D162" t="s">
        <v>3828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3829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3979</v>
      </c>
      <c r="C163">
        <v>81</v>
      </c>
      <c r="D163" t="s">
        <v>3828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3829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3980</v>
      </c>
      <c r="C164">
        <v>82</v>
      </c>
      <c r="D164" t="s">
        <v>3828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3829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3981</v>
      </c>
      <c r="C165">
        <v>82</v>
      </c>
      <c r="D165" t="s">
        <v>3828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3829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3982</v>
      </c>
      <c r="C166">
        <v>83</v>
      </c>
      <c r="D166" t="s">
        <v>3828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3829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3983</v>
      </c>
      <c r="C167">
        <v>83</v>
      </c>
      <c r="D167" t="s">
        <v>3828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3829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3984</v>
      </c>
      <c r="C168">
        <v>84</v>
      </c>
      <c r="D168" t="s">
        <v>3828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3829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3985</v>
      </c>
      <c r="C169">
        <v>84</v>
      </c>
      <c r="D169" t="s">
        <v>3828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3829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3986</v>
      </c>
      <c r="C170">
        <v>85</v>
      </c>
      <c r="D170" t="s">
        <v>3828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3829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3987</v>
      </c>
      <c r="C171">
        <v>85</v>
      </c>
      <c r="D171" t="s">
        <v>3828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3829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3988</v>
      </c>
      <c r="C172">
        <v>86</v>
      </c>
      <c r="D172" t="s">
        <v>3828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3829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3989</v>
      </c>
      <c r="C173">
        <v>86</v>
      </c>
      <c r="D173" t="s">
        <v>3828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3829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3990</v>
      </c>
      <c r="C174">
        <v>87</v>
      </c>
      <c r="D174" t="s">
        <v>3828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3829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3991</v>
      </c>
      <c r="C175">
        <v>87</v>
      </c>
      <c r="D175" t="s">
        <v>3828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3829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3975</v>
      </c>
      <c r="C176">
        <v>88</v>
      </c>
      <c r="D176" t="s">
        <v>3828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3829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3992</v>
      </c>
      <c r="C177">
        <v>88</v>
      </c>
      <c r="D177" t="s">
        <v>3828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3829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3993</v>
      </c>
      <c r="C178">
        <v>89</v>
      </c>
      <c r="D178" t="s">
        <v>3828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3829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3994</v>
      </c>
      <c r="C179">
        <v>89</v>
      </c>
      <c r="D179" t="s">
        <v>3828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3829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3995</v>
      </c>
      <c r="C180">
        <v>90</v>
      </c>
      <c r="D180" t="s">
        <v>3828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3829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3996</v>
      </c>
      <c r="C181">
        <v>90</v>
      </c>
      <c r="D181" t="s">
        <v>3828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3829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3997</v>
      </c>
      <c r="C182">
        <v>91</v>
      </c>
      <c r="D182" t="s">
        <v>3828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3829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3998</v>
      </c>
      <c r="C183">
        <v>91</v>
      </c>
      <c r="D183" t="s">
        <v>3828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3829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3999</v>
      </c>
      <c r="C184">
        <v>92</v>
      </c>
      <c r="D184" t="s">
        <v>3828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3829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4000</v>
      </c>
      <c r="C185">
        <v>92</v>
      </c>
      <c r="D185" t="s">
        <v>3828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3829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4001</v>
      </c>
      <c r="C186">
        <v>93</v>
      </c>
      <c r="D186" t="s">
        <v>3828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3829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4002</v>
      </c>
      <c r="C187">
        <v>93</v>
      </c>
      <c r="D187" t="s">
        <v>3828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3829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4003</v>
      </c>
      <c r="C188">
        <v>94</v>
      </c>
      <c r="D188" t="s">
        <v>3828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3829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4004</v>
      </c>
      <c r="C189">
        <v>94</v>
      </c>
      <c r="D189" t="s">
        <v>3828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3829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4005</v>
      </c>
      <c r="C190">
        <v>95</v>
      </c>
      <c r="D190" t="s">
        <v>3828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3829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4006</v>
      </c>
      <c r="C191">
        <v>95</v>
      </c>
      <c r="D191" t="s">
        <v>3828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3829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4007</v>
      </c>
      <c r="C192">
        <v>96</v>
      </c>
      <c r="D192" t="s">
        <v>3828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3829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4008</v>
      </c>
      <c r="C193">
        <v>96</v>
      </c>
      <c r="D193" t="s">
        <v>3828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3829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4009</v>
      </c>
      <c r="C194">
        <v>97</v>
      </c>
      <c r="D194" t="s">
        <v>3828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3829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4010</v>
      </c>
      <c r="C195">
        <v>97</v>
      </c>
      <c r="D195" t="s">
        <v>3828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3829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4011</v>
      </c>
      <c r="C196">
        <v>98</v>
      </c>
      <c r="D196" t="s">
        <v>3828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3829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4012</v>
      </c>
      <c r="C197">
        <v>98</v>
      </c>
      <c r="D197" t="s">
        <v>3828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3829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4013</v>
      </c>
      <c r="C198">
        <v>99</v>
      </c>
      <c r="D198" t="s">
        <v>3828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3829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4014</v>
      </c>
      <c r="C199">
        <v>99</v>
      </c>
      <c r="D199" t="s">
        <v>3828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3829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4015</v>
      </c>
      <c r="C200">
        <v>100</v>
      </c>
      <c r="D200" t="s">
        <v>3828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3829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4016</v>
      </c>
      <c r="C201">
        <v>100</v>
      </c>
      <c r="D201" t="s">
        <v>3828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3829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4017</v>
      </c>
      <c r="C202">
        <v>101</v>
      </c>
      <c r="D202" t="s">
        <v>3828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3829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4018</v>
      </c>
      <c r="C203">
        <v>101</v>
      </c>
      <c r="D203" t="s">
        <v>3828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3829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4019</v>
      </c>
      <c r="C204">
        <v>102</v>
      </c>
      <c r="D204" t="s">
        <v>3828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3829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4020</v>
      </c>
      <c r="C205">
        <v>102</v>
      </c>
      <c r="D205" t="s">
        <v>3828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3829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4012</v>
      </c>
      <c r="C206">
        <v>103</v>
      </c>
      <c r="D206" t="s">
        <v>3828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3829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4021</v>
      </c>
      <c r="C207">
        <v>103</v>
      </c>
      <c r="D207" t="s">
        <v>3828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3829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4022</v>
      </c>
      <c r="C208">
        <v>104</v>
      </c>
      <c r="D208" t="s">
        <v>3828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3829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4023</v>
      </c>
      <c r="C209">
        <v>104</v>
      </c>
      <c r="D209" t="s">
        <v>3828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3829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4024</v>
      </c>
      <c r="C210">
        <v>105</v>
      </c>
      <c r="D210" t="s">
        <v>3828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3829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4025</v>
      </c>
      <c r="C211">
        <v>105</v>
      </c>
      <c r="D211" t="s">
        <v>3828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3829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4026</v>
      </c>
      <c r="C212">
        <v>106</v>
      </c>
      <c r="D212" t="s">
        <v>3828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3829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4027</v>
      </c>
      <c r="C213">
        <v>106</v>
      </c>
      <c r="D213" t="s">
        <v>3828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3829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4028</v>
      </c>
      <c r="C214">
        <v>107</v>
      </c>
      <c r="D214" t="s">
        <v>3828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3829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4029</v>
      </c>
      <c r="C215">
        <v>107</v>
      </c>
      <c r="D215" t="s">
        <v>3828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3829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4030</v>
      </c>
      <c r="C216">
        <v>108</v>
      </c>
      <c r="D216" t="s">
        <v>3828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3829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4031</v>
      </c>
      <c r="C217">
        <v>108</v>
      </c>
      <c r="D217" t="s">
        <v>3828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3829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4032</v>
      </c>
      <c r="C218">
        <v>109</v>
      </c>
      <c r="D218" t="s">
        <v>3828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3829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4017</v>
      </c>
      <c r="C219">
        <v>109</v>
      </c>
      <c r="D219" t="s">
        <v>3828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3829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4033</v>
      </c>
      <c r="C220">
        <v>110</v>
      </c>
      <c r="D220" t="s">
        <v>3828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3829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4034</v>
      </c>
      <c r="C221">
        <v>110</v>
      </c>
      <c r="D221" t="s">
        <v>3828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3829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4016</v>
      </c>
      <c r="C222">
        <v>111</v>
      </c>
      <c r="D222" t="s">
        <v>3828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3829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4035</v>
      </c>
      <c r="C223">
        <v>111</v>
      </c>
      <c r="D223" t="s">
        <v>3828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3829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4036</v>
      </c>
      <c r="C224">
        <v>112</v>
      </c>
      <c r="D224" t="s">
        <v>3828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3829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4037</v>
      </c>
      <c r="C225">
        <v>112</v>
      </c>
      <c r="D225" t="s">
        <v>3828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3829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4038</v>
      </c>
      <c r="C226">
        <v>113</v>
      </c>
      <c r="D226" t="s">
        <v>3828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3829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4029</v>
      </c>
      <c r="C227">
        <v>113</v>
      </c>
      <c r="D227" t="s">
        <v>3828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3829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4039</v>
      </c>
      <c r="C228">
        <v>114</v>
      </c>
      <c r="D228" t="s">
        <v>3828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3829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4040</v>
      </c>
      <c r="C229">
        <v>114</v>
      </c>
      <c r="D229" t="s">
        <v>3828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3829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4041</v>
      </c>
      <c r="C230">
        <v>115</v>
      </c>
      <c r="D230" t="s">
        <v>3828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3829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4042</v>
      </c>
      <c r="C231">
        <v>115</v>
      </c>
      <c r="D231" t="s">
        <v>3828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3829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4043</v>
      </c>
      <c r="C232">
        <v>116</v>
      </c>
      <c r="D232" t="s">
        <v>3828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3829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4044</v>
      </c>
      <c r="C233">
        <v>116</v>
      </c>
      <c r="D233" t="s">
        <v>3828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3829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4045</v>
      </c>
      <c r="C234">
        <v>117</v>
      </c>
      <c r="D234" t="s">
        <v>3828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3829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4046</v>
      </c>
      <c r="C235">
        <v>117</v>
      </c>
      <c r="D235" t="s">
        <v>3828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3829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4047</v>
      </c>
      <c r="C236">
        <v>118</v>
      </c>
      <c r="D236" t="s">
        <v>3828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3829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4047</v>
      </c>
      <c r="C237">
        <v>118</v>
      </c>
      <c r="D237" t="s">
        <v>3828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3829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4044</v>
      </c>
      <c r="C238">
        <v>119</v>
      </c>
      <c r="D238" t="s">
        <v>3828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3829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4048</v>
      </c>
      <c r="C239">
        <v>119</v>
      </c>
      <c r="D239" t="s">
        <v>3828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3829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4048</v>
      </c>
      <c r="C240">
        <v>120</v>
      </c>
      <c r="D240" t="s">
        <v>3828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3829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4049</v>
      </c>
      <c r="C241">
        <v>120</v>
      </c>
      <c r="D241" t="s">
        <v>3828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3829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4050</v>
      </c>
      <c r="C242">
        <v>121</v>
      </c>
      <c r="D242" t="s">
        <v>3828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3829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4051</v>
      </c>
      <c r="C243">
        <v>121</v>
      </c>
      <c r="D243" t="s">
        <v>3828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3829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4052</v>
      </c>
      <c r="C244">
        <v>122</v>
      </c>
      <c r="D244" t="s">
        <v>3828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3829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4053</v>
      </c>
      <c r="C245">
        <v>122</v>
      </c>
      <c r="D245" t="s">
        <v>3828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3829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4054</v>
      </c>
      <c r="C246">
        <v>123</v>
      </c>
      <c r="D246" t="s">
        <v>3828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3829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4055</v>
      </c>
      <c r="C247">
        <v>123</v>
      </c>
      <c r="D247" t="s">
        <v>3828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3829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4056</v>
      </c>
      <c r="C248">
        <v>124</v>
      </c>
      <c r="D248" t="s">
        <v>3828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3829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4057</v>
      </c>
      <c r="C249">
        <v>124</v>
      </c>
      <c r="D249" t="s">
        <v>3828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3829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4058</v>
      </c>
      <c r="C250">
        <v>125</v>
      </c>
      <c r="D250" t="s">
        <v>3828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3829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4059</v>
      </c>
      <c r="C251">
        <v>125</v>
      </c>
      <c r="D251" t="s">
        <v>3828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3829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4057</v>
      </c>
      <c r="C252">
        <v>126</v>
      </c>
      <c r="D252" t="s">
        <v>3828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3829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4060</v>
      </c>
      <c r="C253">
        <v>126</v>
      </c>
      <c r="D253" t="s">
        <v>3828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3829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4061</v>
      </c>
      <c r="C254">
        <v>127</v>
      </c>
      <c r="D254" t="s">
        <v>3828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3829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4062</v>
      </c>
      <c r="C255">
        <v>127</v>
      </c>
      <c r="D255" t="s">
        <v>3828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3829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4063</v>
      </c>
      <c r="C256">
        <v>128</v>
      </c>
      <c r="D256" t="s">
        <v>3828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3829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4064</v>
      </c>
      <c r="C257">
        <v>128</v>
      </c>
      <c r="D257" t="s">
        <v>3828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3829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4065</v>
      </c>
      <c r="C258">
        <v>129</v>
      </c>
      <c r="D258" t="s">
        <v>3828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3829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4066</v>
      </c>
      <c r="C259">
        <v>129</v>
      </c>
      <c r="D259" t="s">
        <v>3828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3829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4067</v>
      </c>
      <c r="C260">
        <v>130</v>
      </c>
      <c r="D260" t="s">
        <v>3828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3829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4068</v>
      </c>
      <c r="C261">
        <v>130</v>
      </c>
      <c r="D261" t="s">
        <v>3828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3829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4069</v>
      </c>
      <c r="C262">
        <v>131</v>
      </c>
      <c r="D262" t="s">
        <v>3828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3829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4070</v>
      </c>
      <c r="C263">
        <v>131</v>
      </c>
      <c r="D263" t="s">
        <v>3828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3829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4071</v>
      </c>
      <c r="C264">
        <v>132</v>
      </c>
      <c r="D264" t="s">
        <v>3828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3829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4072</v>
      </c>
      <c r="C265">
        <v>132</v>
      </c>
      <c r="D265" t="s">
        <v>3828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3829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4073</v>
      </c>
      <c r="C266">
        <v>133</v>
      </c>
      <c r="D266" t="s">
        <v>3828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3829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4065</v>
      </c>
      <c r="C267">
        <v>133</v>
      </c>
      <c r="D267" t="s">
        <v>3828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3829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4074</v>
      </c>
      <c r="C268">
        <v>134</v>
      </c>
      <c r="D268" t="s">
        <v>3828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3829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4075</v>
      </c>
      <c r="C269">
        <v>134</v>
      </c>
      <c r="D269" t="s">
        <v>3828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3829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4076</v>
      </c>
      <c r="C270">
        <v>135</v>
      </c>
      <c r="D270" t="s">
        <v>3828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3829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4077</v>
      </c>
      <c r="C271">
        <v>135</v>
      </c>
      <c r="D271" t="s">
        <v>3828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3829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4078</v>
      </c>
      <c r="C272">
        <v>136</v>
      </c>
      <c r="D272" t="s">
        <v>3828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3829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4079</v>
      </c>
      <c r="C273">
        <v>136</v>
      </c>
      <c r="D273" t="s">
        <v>3828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3829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4079</v>
      </c>
      <c r="C274">
        <v>137</v>
      </c>
      <c r="D274" t="s">
        <v>3828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3829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4080</v>
      </c>
      <c r="C275">
        <v>137</v>
      </c>
      <c r="D275" t="s">
        <v>3828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3829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4081</v>
      </c>
      <c r="C276">
        <v>138</v>
      </c>
      <c r="D276" t="s">
        <v>3828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3829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4082</v>
      </c>
      <c r="C277">
        <v>138</v>
      </c>
      <c r="D277" t="s">
        <v>3828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3829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4083</v>
      </c>
      <c r="C278">
        <v>139</v>
      </c>
      <c r="D278" t="s">
        <v>3828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3829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4084</v>
      </c>
      <c r="C279">
        <v>139</v>
      </c>
      <c r="D279" t="s">
        <v>3828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3829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4085</v>
      </c>
      <c r="C280">
        <v>140</v>
      </c>
      <c r="D280" t="s">
        <v>3828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3829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4086</v>
      </c>
      <c r="C281">
        <v>140</v>
      </c>
      <c r="D281" t="s">
        <v>3828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3829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4087</v>
      </c>
      <c r="C282">
        <v>141</v>
      </c>
      <c r="D282" t="s">
        <v>3828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3829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4088</v>
      </c>
      <c r="C283">
        <v>141</v>
      </c>
      <c r="D283" t="s">
        <v>3828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3829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4083</v>
      </c>
      <c r="C284">
        <v>142</v>
      </c>
      <c r="D284" t="s">
        <v>3828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3829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4089</v>
      </c>
      <c r="C285">
        <v>142</v>
      </c>
      <c r="D285" t="s">
        <v>3828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3829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4081</v>
      </c>
      <c r="C286">
        <v>143</v>
      </c>
      <c r="D286" t="s">
        <v>3828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3829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4090</v>
      </c>
      <c r="C287">
        <v>143</v>
      </c>
      <c r="D287" t="s">
        <v>3828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3829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4091</v>
      </c>
      <c r="C288">
        <v>144</v>
      </c>
      <c r="D288" t="s">
        <v>3828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3829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4092</v>
      </c>
      <c r="C289">
        <v>144</v>
      </c>
      <c r="D289" t="s">
        <v>3828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3829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4093</v>
      </c>
      <c r="C290">
        <v>145</v>
      </c>
      <c r="D290" t="s">
        <v>3828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3829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4094</v>
      </c>
      <c r="C291">
        <v>145</v>
      </c>
      <c r="D291" t="s">
        <v>3828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3829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4095</v>
      </c>
      <c r="C292">
        <v>146</v>
      </c>
      <c r="D292" t="s">
        <v>3828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3829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4096</v>
      </c>
      <c r="C293">
        <v>146</v>
      </c>
      <c r="D293" t="s">
        <v>3828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3829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4097</v>
      </c>
      <c r="C294">
        <v>147</v>
      </c>
      <c r="D294" t="s">
        <v>3828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3829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4098</v>
      </c>
      <c r="C295">
        <v>147</v>
      </c>
      <c r="D295" t="s">
        <v>3828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3829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4099</v>
      </c>
      <c r="C296">
        <v>148</v>
      </c>
      <c r="D296" t="s">
        <v>3828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3829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4100</v>
      </c>
      <c r="C297">
        <v>148</v>
      </c>
      <c r="D297" t="s">
        <v>3828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3829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4101</v>
      </c>
      <c r="C298">
        <v>149</v>
      </c>
      <c r="D298" t="s">
        <v>3828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3829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4102</v>
      </c>
      <c r="C299">
        <v>149</v>
      </c>
      <c r="D299" t="s">
        <v>3828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3829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4103</v>
      </c>
      <c r="C300">
        <v>150</v>
      </c>
      <c r="D300" t="s">
        <v>3828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3829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4104</v>
      </c>
      <c r="C301">
        <v>150</v>
      </c>
      <c r="D301" t="s">
        <v>3828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3829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4084</v>
      </c>
      <c r="C302">
        <v>150</v>
      </c>
      <c r="D302" t="s">
        <v>3828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3829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4105</v>
      </c>
      <c r="C303">
        <v>150</v>
      </c>
      <c r="D303" t="s">
        <v>3828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3829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4106</v>
      </c>
      <c r="C304">
        <v>150</v>
      </c>
      <c r="D304" t="s">
        <v>3828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3829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4107</v>
      </c>
      <c r="C305">
        <v>150</v>
      </c>
      <c r="D305" t="s">
        <v>3828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3829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4108</v>
      </c>
      <c r="C306">
        <v>150</v>
      </c>
      <c r="D306" t="s">
        <v>3828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3829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4109</v>
      </c>
      <c r="C307">
        <v>150</v>
      </c>
      <c r="D307" t="s">
        <v>3828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3829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4110</v>
      </c>
      <c r="C308">
        <v>150</v>
      </c>
      <c r="D308" t="s">
        <v>3828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3829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4111</v>
      </c>
      <c r="C309">
        <v>150</v>
      </c>
      <c r="D309" t="s">
        <v>3828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3829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4088</v>
      </c>
      <c r="C310">
        <v>150</v>
      </c>
      <c r="D310" t="s">
        <v>3828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3829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4112</v>
      </c>
      <c r="C311">
        <v>150</v>
      </c>
      <c r="D311" t="s">
        <v>3828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3829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4113</v>
      </c>
      <c r="C312">
        <v>150</v>
      </c>
      <c r="D312" t="s">
        <v>3828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3829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4114</v>
      </c>
      <c r="C313">
        <v>150</v>
      </c>
      <c r="D313" t="s">
        <v>3828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3829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4115</v>
      </c>
      <c r="C314">
        <v>150</v>
      </c>
      <c r="D314" t="s">
        <v>3828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3829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4116</v>
      </c>
      <c r="C315">
        <v>150</v>
      </c>
      <c r="D315" t="s">
        <v>3828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3829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4117</v>
      </c>
      <c r="C316">
        <v>150</v>
      </c>
      <c r="D316" t="s">
        <v>3828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3829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4118</v>
      </c>
      <c r="C317">
        <v>150</v>
      </c>
      <c r="D317" t="s">
        <v>3828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3829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4119</v>
      </c>
      <c r="C318">
        <v>150</v>
      </c>
      <c r="D318" t="s">
        <v>3828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3829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4120</v>
      </c>
      <c r="C319">
        <v>150</v>
      </c>
      <c r="D319" t="s">
        <v>3828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3829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4114</v>
      </c>
      <c r="C320">
        <v>150</v>
      </c>
      <c r="D320" t="s">
        <v>3828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3829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4121</v>
      </c>
      <c r="C321">
        <v>150</v>
      </c>
      <c r="D321" t="s">
        <v>3828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3829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4122</v>
      </c>
      <c r="C322">
        <v>150</v>
      </c>
      <c r="D322" t="s">
        <v>3828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3829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4123</v>
      </c>
      <c r="C323">
        <v>150</v>
      </c>
      <c r="D323" t="s">
        <v>3828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3829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4124</v>
      </c>
      <c r="C324">
        <v>150</v>
      </c>
      <c r="D324" t="s">
        <v>3828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3829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4125</v>
      </c>
      <c r="C325">
        <v>150</v>
      </c>
      <c r="D325" t="s">
        <v>3828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3829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4126</v>
      </c>
      <c r="C326">
        <v>150</v>
      </c>
      <c r="D326" t="s">
        <v>3828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3829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4127</v>
      </c>
      <c r="C327">
        <v>150</v>
      </c>
      <c r="D327" t="s">
        <v>3828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3829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4128</v>
      </c>
      <c r="C328">
        <v>150</v>
      </c>
      <c r="D328" t="s">
        <v>3828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3829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4129</v>
      </c>
      <c r="C329">
        <v>150</v>
      </c>
      <c r="D329" t="s">
        <v>3828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3829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4130</v>
      </c>
      <c r="C330">
        <v>150</v>
      </c>
      <c r="D330" t="s">
        <v>3828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3829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4131</v>
      </c>
      <c r="C331">
        <v>150</v>
      </c>
      <c r="D331" t="s">
        <v>3828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3829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4132</v>
      </c>
      <c r="C332">
        <v>150</v>
      </c>
      <c r="D332" t="s">
        <v>3828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3829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4133</v>
      </c>
      <c r="C333">
        <v>150</v>
      </c>
      <c r="D333" t="s">
        <v>3828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3829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4134</v>
      </c>
      <c r="C334">
        <v>150</v>
      </c>
      <c r="D334" t="s">
        <v>3828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3829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4135</v>
      </c>
      <c r="C335">
        <v>150</v>
      </c>
      <c r="D335" t="s">
        <v>3828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3829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4136</v>
      </c>
      <c r="C336">
        <v>150</v>
      </c>
      <c r="D336" t="s">
        <v>3828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3829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4137</v>
      </c>
      <c r="C337">
        <v>150</v>
      </c>
      <c r="D337" t="s">
        <v>3828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3829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4138</v>
      </c>
      <c r="C338">
        <v>150</v>
      </c>
      <c r="D338" t="s">
        <v>3828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3829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4139</v>
      </c>
      <c r="C339">
        <v>150</v>
      </c>
      <c r="D339" t="s">
        <v>3828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3829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4140</v>
      </c>
      <c r="C340">
        <v>150</v>
      </c>
      <c r="D340" t="s">
        <v>3828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3829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4141</v>
      </c>
      <c r="C341">
        <v>150</v>
      </c>
      <c r="D341" t="s">
        <v>3828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3829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4142</v>
      </c>
      <c r="C342">
        <v>150</v>
      </c>
      <c r="D342" t="s">
        <v>3828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3829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4143</v>
      </c>
      <c r="C343">
        <v>150</v>
      </c>
      <c r="D343" t="s">
        <v>3828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3829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4144</v>
      </c>
      <c r="C344">
        <v>150</v>
      </c>
      <c r="D344" t="s">
        <v>3828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3829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4145</v>
      </c>
      <c r="C345">
        <v>150</v>
      </c>
      <c r="D345" t="s">
        <v>3828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3829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4146</v>
      </c>
      <c r="C346">
        <v>150</v>
      </c>
      <c r="D346" t="s">
        <v>3828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3829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4147</v>
      </c>
      <c r="C347">
        <v>150</v>
      </c>
      <c r="D347" t="s">
        <v>3828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3829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4121</v>
      </c>
      <c r="C348">
        <v>150</v>
      </c>
      <c r="D348" t="s">
        <v>3828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3829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4148</v>
      </c>
      <c r="C349">
        <v>150</v>
      </c>
      <c r="D349" t="s">
        <v>3828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3829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4149</v>
      </c>
      <c r="C350">
        <v>150</v>
      </c>
      <c r="D350" t="s">
        <v>3828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3829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4150</v>
      </c>
      <c r="C351">
        <v>150</v>
      </c>
      <c r="D351" t="s">
        <v>3828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3829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4151</v>
      </c>
      <c r="C352">
        <v>150</v>
      </c>
      <c r="D352" t="s">
        <v>3828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3829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4152</v>
      </c>
      <c r="C353">
        <v>150</v>
      </c>
      <c r="D353" t="s">
        <v>3828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3829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4153</v>
      </c>
      <c r="C354">
        <v>150</v>
      </c>
      <c r="D354" t="s">
        <v>3828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3829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4154</v>
      </c>
      <c r="C355">
        <v>150</v>
      </c>
      <c r="D355" t="s">
        <v>3828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3829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4151</v>
      </c>
      <c r="C356">
        <v>150</v>
      </c>
      <c r="D356" t="s">
        <v>3828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3829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4155</v>
      </c>
      <c r="C357">
        <v>150</v>
      </c>
      <c r="D357" t="s">
        <v>3828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3829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4155</v>
      </c>
      <c r="C358">
        <v>150</v>
      </c>
      <c r="D358" t="s">
        <v>3828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3829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4156</v>
      </c>
      <c r="C359">
        <v>150</v>
      </c>
      <c r="D359" t="s">
        <v>3828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3829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4157</v>
      </c>
      <c r="C360">
        <v>150</v>
      </c>
      <c r="D360" t="s">
        <v>3828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3829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4158</v>
      </c>
      <c r="C361">
        <v>150</v>
      </c>
      <c r="D361" t="s">
        <v>3828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3829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4159</v>
      </c>
      <c r="C362">
        <v>150</v>
      </c>
      <c r="D362" t="s">
        <v>3828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3829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4160</v>
      </c>
      <c r="C363">
        <v>150</v>
      </c>
      <c r="D363" t="s">
        <v>3828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3829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4161</v>
      </c>
      <c r="C364">
        <v>150</v>
      </c>
      <c r="D364" t="s">
        <v>3828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3829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4162</v>
      </c>
      <c r="C365">
        <v>150</v>
      </c>
      <c r="D365" t="s">
        <v>3828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3829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4163</v>
      </c>
      <c r="C366">
        <v>150</v>
      </c>
      <c r="D366" t="s">
        <v>3828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3829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4163</v>
      </c>
      <c r="C367">
        <v>150</v>
      </c>
      <c r="D367" t="s">
        <v>3828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3829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4164</v>
      </c>
      <c r="C368">
        <v>150</v>
      </c>
      <c r="D368" t="s">
        <v>3828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3829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4165</v>
      </c>
      <c r="C369">
        <v>150</v>
      </c>
      <c r="D369" t="s">
        <v>3828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3829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4166</v>
      </c>
      <c r="C370">
        <v>150</v>
      </c>
      <c r="D370" t="s">
        <v>3828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3829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4167</v>
      </c>
      <c r="C371">
        <v>150</v>
      </c>
      <c r="D371" t="s">
        <v>3828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3829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4168</v>
      </c>
      <c r="C372">
        <v>150</v>
      </c>
      <c r="D372" t="s">
        <v>3828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3829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4169</v>
      </c>
      <c r="C373">
        <v>150</v>
      </c>
      <c r="D373" t="s">
        <v>3828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3829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4170</v>
      </c>
      <c r="C374">
        <v>150</v>
      </c>
      <c r="D374" t="s">
        <v>3828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3829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4171</v>
      </c>
      <c r="C375">
        <v>150</v>
      </c>
      <c r="D375" t="s">
        <v>3828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3829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4172</v>
      </c>
      <c r="C376">
        <v>150</v>
      </c>
      <c r="D376" t="s">
        <v>3828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3829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4173</v>
      </c>
      <c r="C377">
        <v>150</v>
      </c>
      <c r="D377" t="s">
        <v>3828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3829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4174</v>
      </c>
      <c r="C378">
        <v>150</v>
      </c>
      <c r="D378" t="s">
        <v>3828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3829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4175</v>
      </c>
      <c r="C379">
        <v>150</v>
      </c>
      <c r="D379" t="s">
        <v>3828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3829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4176</v>
      </c>
      <c r="C380">
        <v>150</v>
      </c>
      <c r="D380" t="s">
        <v>3828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3829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4177</v>
      </c>
      <c r="C381">
        <v>150</v>
      </c>
      <c r="D381" t="s">
        <v>3828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3829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4178</v>
      </c>
      <c r="C382">
        <v>150</v>
      </c>
      <c r="D382" t="s">
        <v>3828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3829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4179</v>
      </c>
      <c r="C383">
        <v>150</v>
      </c>
      <c r="D383" t="s">
        <v>3828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3829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4180</v>
      </c>
      <c r="C384">
        <v>150</v>
      </c>
      <c r="D384" t="s">
        <v>3828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3829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4181</v>
      </c>
      <c r="C385">
        <v>150</v>
      </c>
      <c r="D385" t="s">
        <v>3828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3829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4182</v>
      </c>
      <c r="C386">
        <v>150</v>
      </c>
      <c r="D386" t="s">
        <v>3828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3829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4183</v>
      </c>
      <c r="C387">
        <v>150</v>
      </c>
      <c r="D387" t="s">
        <v>3828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3829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4184</v>
      </c>
      <c r="C388">
        <v>150</v>
      </c>
      <c r="D388" t="s">
        <v>3828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3829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4185</v>
      </c>
      <c r="C389">
        <v>150</v>
      </c>
      <c r="D389" t="s">
        <v>3828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3829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4186</v>
      </c>
      <c r="C390">
        <v>150</v>
      </c>
      <c r="D390" t="s">
        <v>3828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3829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4187</v>
      </c>
      <c r="C391">
        <v>150</v>
      </c>
      <c r="D391" t="s">
        <v>3828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3829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4188</v>
      </c>
      <c r="C392">
        <v>150</v>
      </c>
      <c r="D392" t="s">
        <v>3828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3829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4189</v>
      </c>
      <c r="C393">
        <v>150</v>
      </c>
      <c r="D393" t="s">
        <v>3828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3829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4190</v>
      </c>
      <c r="C394">
        <v>150</v>
      </c>
      <c r="D394" t="s">
        <v>3828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3829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4191</v>
      </c>
      <c r="C395">
        <v>150</v>
      </c>
      <c r="D395" t="s">
        <v>3828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3829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4192</v>
      </c>
      <c r="C396">
        <v>150</v>
      </c>
      <c r="D396" t="s">
        <v>3828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3829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4193</v>
      </c>
      <c r="C397">
        <v>150</v>
      </c>
      <c r="D397" t="s">
        <v>3828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3829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4194</v>
      </c>
      <c r="C398">
        <v>150</v>
      </c>
      <c r="D398" t="s">
        <v>3828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3829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4195</v>
      </c>
      <c r="C399">
        <v>150</v>
      </c>
      <c r="D399" t="s">
        <v>3828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3829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4196</v>
      </c>
      <c r="C400">
        <v>150</v>
      </c>
      <c r="D400" t="s">
        <v>3828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3829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4197</v>
      </c>
      <c r="C401">
        <v>150</v>
      </c>
      <c r="D401" t="s">
        <v>3828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3829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4198</v>
      </c>
      <c r="C402">
        <v>150</v>
      </c>
      <c r="D402" t="s">
        <v>3828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3829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4199</v>
      </c>
      <c r="C403">
        <v>150</v>
      </c>
      <c r="D403" t="s">
        <v>3828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3829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4200</v>
      </c>
      <c r="C404">
        <v>150</v>
      </c>
      <c r="D404" t="s">
        <v>3828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3829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4198</v>
      </c>
      <c r="C405">
        <v>150</v>
      </c>
      <c r="D405" t="s">
        <v>3828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3829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4200</v>
      </c>
      <c r="C406">
        <v>150</v>
      </c>
      <c r="D406" t="s">
        <v>3828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3829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4200</v>
      </c>
      <c r="C407">
        <v>150</v>
      </c>
      <c r="D407" t="s">
        <v>3828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3829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4201</v>
      </c>
      <c r="C408">
        <v>150</v>
      </c>
      <c r="D408" t="s">
        <v>3828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3829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4202</v>
      </c>
      <c r="C409">
        <v>150</v>
      </c>
      <c r="D409" t="s">
        <v>3828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3829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4203</v>
      </c>
      <c r="C410">
        <v>150</v>
      </c>
      <c r="D410" t="s">
        <v>3828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3829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4204</v>
      </c>
      <c r="C411">
        <v>150</v>
      </c>
      <c r="D411" t="s">
        <v>3828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3829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4205</v>
      </c>
      <c r="C412">
        <v>150</v>
      </c>
      <c r="D412" t="s">
        <v>3828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3829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4201</v>
      </c>
      <c r="C413">
        <v>150</v>
      </c>
      <c r="D413" t="s">
        <v>3828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3829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4206</v>
      </c>
      <c r="C414">
        <v>150</v>
      </c>
      <c r="D414" t="s">
        <v>3828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3829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4207</v>
      </c>
      <c r="C415">
        <v>150</v>
      </c>
      <c r="D415" t="s">
        <v>3828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3829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4208</v>
      </c>
      <c r="C416">
        <v>150</v>
      </c>
      <c r="D416" t="s">
        <v>3828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3829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4209</v>
      </c>
      <c r="C417">
        <v>150</v>
      </c>
      <c r="D417" t="s">
        <v>3828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3829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4210</v>
      </c>
      <c r="C418">
        <v>150</v>
      </c>
      <c r="D418" t="s">
        <v>3828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3829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4211</v>
      </c>
      <c r="C419">
        <v>150</v>
      </c>
      <c r="D419" t="s">
        <v>3828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3829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4212</v>
      </c>
      <c r="C420">
        <v>150</v>
      </c>
      <c r="D420" t="s">
        <v>3828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3829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4213</v>
      </c>
      <c r="C421">
        <v>150</v>
      </c>
      <c r="D421" t="s">
        <v>3828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3829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4214</v>
      </c>
      <c r="C422">
        <v>150</v>
      </c>
      <c r="D422" t="s">
        <v>3828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3829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4215</v>
      </c>
      <c r="C423">
        <v>150</v>
      </c>
      <c r="D423" t="s">
        <v>3828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3829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4216</v>
      </c>
      <c r="C424">
        <v>150</v>
      </c>
      <c r="D424" t="s">
        <v>3828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3829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4217</v>
      </c>
      <c r="C425">
        <v>150</v>
      </c>
      <c r="D425" t="s">
        <v>3828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3829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4208</v>
      </c>
      <c r="C426">
        <v>150</v>
      </c>
      <c r="D426" t="s">
        <v>3828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3829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4212</v>
      </c>
      <c r="C427">
        <v>150</v>
      </c>
      <c r="D427" t="s">
        <v>3828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3829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4218</v>
      </c>
      <c r="C428">
        <v>150</v>
      </c>
      <c r="D428" t="s">
        <v>3828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3829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4219</v>
      </c>
      <c r="C429">
        <v>150</v>
      </c>
      <c r="D429" t="s">
        <v>3828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3829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4220</v>
      </c>
      <c r="C430">
        <v>150</v>
      </c>
      <c r="D430" t="s">
        <v>3828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3829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4221</v>
      </c>
      <c r="C431">
        <v>150</v>
      </c>
      <c r="D431" t="s">
        <v>3828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3829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4222</v>
      </c>
      <c r="C432">
        <v>150</v>
      </c>
      <c r="D432" t="s">
        <v>3828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3829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4223</v>
      </c>
      <c r="C433">
        <v>150</v>
      </c>
      <c r="D433" t="s">
        <v>3828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3829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4224</v>
      </c>
      <c r="C434">
        <v>150</v>
      </c>
      <c r="D434" t="s">
        <v>3828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3829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4198</v>
      </c>
      <c r="C435">
        <v>150</v>
      </c>
      <c r="D435" t="s">
        <v>3828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3829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4203</v>
      </c>
      <c r="C436">
        <v>150</v>
      </c>
      <c r="D436" t="s">
        <v>3828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3829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4225</v>
      </c>
      <c r="C437">
        <v>150</v>
      </c>
      <c r="D437" t="s">
        <v>3828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3829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4226</v>
      </c>
      <c r="C438">
        <v>150</v>
      </c>
      <c r="D438" t="s">
        <v>3828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3829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4227</v>
      </c>
      <c r="C439">
        <v>150</v>
      </c>
      <c r="D439" t="s">
        <v>3828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3829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4228</v>
      </c>
      <c r="C440">
        <v>150</v>
      </c>
      <c r="D440" t="s">
        <v>3828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3829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4229</v>
      </c>
      <c r="C441">
        <v>150</v>
      </c>
      <c r="D441" t="s">
        <v>3828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3829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4216</v>
      </c>
      <c r="C442">
        <v>150</v>
      </c>
      <c r="D442" t="s">
        <v>3828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3829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4230</v>
      </c>
      <c r="C443">
        <v>150</v>
      </c>
      <c r="D443" t="s">
        <v>3828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3829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4231</v>
      </c>
      <c r="C444">
        <v>150</v>
      </c>
      <c r="D444" t="s">
        <v>3828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3829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4232</v>
      </c>
      <c r="C445">
        <v>150</v>
      </c>
      <c r="D445" t="s">
        <v>3828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3829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4233</v>
      </c>
      <c r="C446">
        <v>150</v>
      </c>
      <c r="D446" t="s">
        <v>3828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3829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4234</v>
      </c>
      <c r="C447">
        <v>150</v>
      </c>
      <c r="D447" t="s">
        <v>3828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3829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4235</v>
      </c>
      <c r="C448">
        <v>150</v>
      </c>
      <c r="D448" t="s">
        <v>3828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3829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4236</v>
      </c>
      <c r="C449">
        <v>150</v>
      </c>
      <c r="D449" t="s">
        <v>3828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3829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4237</v>
      </c>
      <c r="C450">
        <v>150</v>
      </c>
      <c r="D450" t="s">
        <v>3828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3829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4238</v>
      </c>
      <c r="C451">
        <v>150</v>
      </c>
      <c r="D451" t="s">
        <v>3828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3829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4239</v>
      </c>
      <c r="C452">
        <v>150</v>
      </c>
      <c r="D452" t="s">
        <v>3828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3829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4240</v>
      </c>
      <c r="C453">
        <v>150</v>
      </c>
      <c r="D453" t="s">
        <v>3828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3829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4241</v>
      </c>
      <c r="C454">
        <v>150</v>
      </c>
      <c r="D454" t="s">
        <v>3828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3829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4242</v>
      </c>
      <c r="C455">
        <v>150</v>
      </c>
      <c r="D455" t="s">
        <v>3828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3829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4243</v>
      </c>
      <c r="C456">
        <v>150</v>
      </c>
      <c r="D456" t="s">
        <v>3828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3829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4244</v>
      </c>
      <c r="C457">
        <v>150</v>
      </c>
      <c r="D457" t="s">
        <v>3828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3829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4245</v>
      </c>
      <c r="C458">
        <v>150</v>
      </c>
      <c r="D458" t="s">
        <v>3828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3829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4246</v>
      </c>
      <c r="C459">
        <v>150</v>
      </c>
      <c r="D459" t="s">
        <v>3828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3829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4245</v>
      </c>
      <c r="C460">
        <v>150</v>
      </c>
      <c r="D460" t="s">
        <v>3828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3829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4247</v>
      </c>
      <c r="C461">
        <v>150</v>
      </c>
      <c r="D461" t="s">
        <v>3828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3829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4248</v>
      </c>
      <c r="C462">
        <v>150</v>
      </c>
      <c r="D462" t="s">
        <v>3828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3829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4249</v>
      </c>
      <c r="C463">
        <v>150</v>
      </c>
      <c r="D463" t="s">
        <v>3828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3829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4250</v>
      </c>
      <c r="C464">
        <v>150</v>
      </c>
      <c r="D464" t="s">
        <v>3828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3829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4251</v>
      </c>
      <c r="C465">
        <v>150</v>
      </c>
      <c r="D465" t="s">
        <v>3828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3829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4252</v>
      </c>
      <c r="C466">
        <v>150</v>
      </c>
      <c r="D466" t="s">
        <v>3828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3829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4253</v>
      </c>
      <c r="C467">
        <v>150</v>
      </c>
      <c r="D467" t="s">
        <v>3828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3829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4254</v>
      </c>
      <c r="C468">
        <v>150</v>
      </c>
      <c r="D468" t="s">
        <v>3828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3829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4255</v>
      </c>
      <c r="C469">
        <v>150</v>
      </c>
      <c r="D469" t="s">
        <v>3828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3829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4256</v>
      </c>
      <c r="C470">
        <v>150</v>
      </c>
      <c r="D470" t="s">
        <v>3828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3829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4246</v>
      </c>
      <c r="C471">
        <v>150</v>
      </c>
      <c r="D471" t="s">
        <v>3828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3829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4257</v>
      </c>
      <c r="C472">
        <v>150</v>
      </c>
      <c r="D472" t="s">
        <v>3828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3829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4258</v>
      </c>
      <c r="C473">
        <v>150</v>
      </c>
      <c r="D473" t="s">
        <v>3828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3829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4256</v>
      </c>
      <c r="C474">
        <v>150</v>
      </c>
      <c r="D474" t="s">
        <v>3828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3829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4259</v>
      </c>
      <c r="C475">
        <v>150</v>
      </c>
      <c r="D475" t="s">
        <v>3828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3829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4260</v>
      </c>
      <c r="C476">
        <v>150</v>
      </c>
      <c r="D476" t="s">
        <v>3828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3829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4261</v>
      </c>
      <c r="C477">
        <v>150</v>
      </c>
      <c r="D477" t="s">
        <v>3828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3829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4262</v>
      </c>
      <c r="C478">
        <v>150</v>
      </c>
      <c r="D478" t="s">
        <v>3828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3829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4263</v>
      </c>
      <c r="C479">
        <v>150</v>
      </c>
      <c r="D479" t="s">
        <v>3828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3829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4251</v>
      </c>
      <c r="C480">
        <v>150</v>
      </c>
      <c r="D480" t="s">
        <v>3828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3829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4264</v>
      </c>
      <c r="C481">
        <v>150</v>
      </c>
      <c r="D481" t="s">
        <v>3828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3829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4265</v>
      </c>
      <c r="C482">
        <v>150</v>
      </c>
      <c r="D482" t="s">
        <v>3828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3829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4266</v>
      </c>
      <c r="C483">
        <v>150</v>
      </c>
      <c r="D483" t="s">
        <v>3828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3829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4267</v>
      </c>
      <c r="C484">
        <v>150</v>
      </c>
      <c r="D484" t="s">
        <v>3828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3829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4268</v>
      </c>
      <c r="C485">
        <v>150</v>
      </c>
      <c r="D485" t="s">
        <v>3828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3829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4262</v>
      </c>
      <c r="C486">
        <v>150</v>
      </c>
      <c r="D486" t="s">
        <v>3828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3829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4269</v>
      </c>
      <c r="C487">
        <v>150</v>
      </c>
      <c r="D487" t="s">
        <v>3828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3829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4270</v>
      </c>
      <c r="C488">
        <v>150</v>
      </c>
      <c r="D488" t="s">
        <v>3828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3829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4271</v>
      </c>
      <c r="C489">
        <v>150</v>
      </c>
      <c r="D489" t="s">
        <v>3828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3829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4272</v>
      </c>
      <c r="C490">
        <v>150</v>
      </c>
      <c r="D490" t="s">
        <v>3828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3829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4273</v>
      </c>
      <c r="C491">
        <v>150</v>
      </c>
      <c r="D491" t="s">
        <v>3828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3829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4274</v>
      </c>
      <c r="C492">
        <v>150</v>
      </c>
      <c r="D492" t="s">
        <v>3828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3829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4275</v>
      </c>
      <c r="C493">
        <v>150</v>
      </c>
      <c r="D493" t="s">
        <v>3828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3829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4276</v>
      </c>
      <c r="C494">
        <v>150</v>
      </c>
      <c r="D494" t="s">
        <v>3828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3829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4277</v>
      </c>
      <c r="C495">
        <v>150</v>
      </c>
      <c r="D495" t="s">
        <v>3828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3829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4278</v>
      </c>
      <c r="C496">
        <v>150</v>
      </c>
      <c r="D496" t="s">
        <v>3828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3829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4279</v>
      </c>
      <c r="C497">
        <v>150</v>
      </c>
      <c r="D497" t="s">
        <v>3828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3829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4280</v>
      </c>
      <c r="C498">
        <v>150</v>
      </c>
      <c r="D498" t="s">
        <v>3828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3829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4264</v>
      </c>
      <c r="C499">
        <v>150</v>
      </c>
      <c r="D499" t="s">
        <v>3828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3829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4281</v>
      </c>
      <c r="C500">
        <v>150</v>
      </c>
      <c r="D500" t="s">
        <v>3828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3829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4282</v>
      </c>
      <c r="C501">
        <v>150</v>
      </c>
      <c r="D501" t="s">
        <v>3828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3829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4283</v>
      </c>
      <c r="C502">
        <v>150</v>
      </c>
      <c r="D502" t="s">
        <v>3828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3829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4284</v>
      </c>
      <c r="C503">
        <v>150</v>
      </c>
      <c r="D503" t="s">
        <v>3828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3829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4285</v>
      </c>
      <c r="C504">
        <v>150</v>
      </c>
      <c r="D504" t="s">
        <v>3828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3829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4286</v>
      </c>
      <c r="C505">
        <v>150</v>
      </c>
      <c r="D505" t="s">
        <v>3828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3829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4287</v>
      </c>
      <c r="C506">
        <v>150</v>
      </c>
      <c r="D506" t="s">
        <v>3828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3829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4288</v>
      </c>
      <c r="C507">
        <v>150</v>
      </c>
      <c r="D507" t="s">
        <v>3828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3829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4289</v>
      </c>
      <c r="C508">
        <v>150</v>
      </c>
      <c r="D508" t="s">
        <v>3828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3829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4290</v>
      </c>
      <c r="C509">
        <v>150</v>
      </c>
      <c r="D509" t="s">
        <v>3828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3829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4291</v>
      </c>
      <c r="C510">
        <v>150</v>
      </c>
      <c r="D510" t="s">
        <v>3828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3829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4288</v>
      </c>
      <c r="C511">
        <v>150</v>
      </c>
      <c r="D511" t="s">
        <v>3828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3829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4292</v>
      </c>
      <c r="C512">
        <v>150</v>
      </c>
      <c r="D512" t="s">
        <v>3828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3829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4293</v>
      </c>
      <c r="C513">
        <v>150</v>
      </c>
      <c r="D513" t="s">
        <v>3828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3829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4294</v>
      </c>
      <c r="C514">
        <v>150</v>
      </c>
      <c r="D514" t="s">
        <v>3828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3829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4288</v>
      </c>
      <c r="C515">
        <v>150</v>
      </c>
      <c r="D515" t="s">
        <v>3828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3829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4295</v>
      </c>
      <c r="C516">
        <v>150</v>
      </c>
      <c r="D516" t="s">
        <v>3828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3829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4296</v>
      </c>
      <c r="C517">
        <v>150</v>
      </c>
      <c r="D517" t="s">
        <v>3828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3829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4297</v>
      </c>
      <c r="C518">
        <v>150</v>
      </c>
      <c r="D518" t="s">
        <v>3828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3829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4298</v>
      </c>
      <c r="C519">
        <v>150</v>
      </c>
      <c r="D519" t="s">
        <v>3828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3829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4299</v>
      </c>
      <c r="C520">
        <v>150</v>
      </c>
      <c r="D520" t="s">
        <v>3828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3829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4297</v>
      </c>
      <c r="C521">
        <v>150</v>
      </c>
      <c r="D521" t="s">
        <v>3828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3829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4300</v>
      </c>
      <c r="C522">
        <v>150</v>
      </c>
      <c r="D522" t="s">
        <v>3828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3829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4301</v>
      </c>
      <c r="C523">
        <v>150</v>
      </c>
      <c r="D523" t="s">
        <v>3828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3829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4302</v>
      </c>
      <c r="C524">
        <v>150</v>
      </c>
      <c r="D524" t="s">
        <v>3828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3829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4289</v>
      </c>
      <c r="C525">
        <v>150</v>
      </c>
      <c r="D525" t="s">
        <v>3828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3829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4303</v>
      </c>
      <c r="C526">
        <v>150</v>
      </c>
      <c r="D526" t="s">
        <v>3828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3829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4296</v>
      </c>
      <c r="C527">
        <v>150</v>
      </c>
      <c r="D527" t="s">
        <v>3828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3829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4304</v>
      </c>
      <c r="C528">
        <v>150</v>
      </c>
      <c r="D528" t="s">
        <v>3828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3829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4303</v>
      </c>
      <c r="C529">
        <v>150</v>
      </c>
      <c r="D529" t="s">
        <v>3828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3829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4305</v>
      </c>
      <c r="C530">
        <v>150</v>
      </c>
      <c r="D530" t="s">
        <v>3828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3829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4297</v>
      </c>
      <c r="C531">
        <v>150</v>
      </c>
      <c r="D531" t="s">
        <v>3828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3829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4292</v>
      </c>
      <c r="C532">
        <v>150</v>
      </c>
      <c r="D532" t="s">
        <v>3828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3829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4306</v>
      </c>
      <c r="C533">
        <v>150</v>
      </c>
      <c r="D533" t="s">
        <v>3828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3829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4307</v>
      </c>
      <c r="C534">
        <v>150</v>
      </c>
      <c r="D534" t="s">
        <v>3828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3829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4308</v>
      </c>
      <c r="C535">
        <v>150</v>
      </c>
      <c r="D535" t="s">
        <v>3828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3829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4309</v>
      </c>
      <c r="C536">
        <v>150</v>
      </c>
      <c r="D536" t="s">
        <v>3828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3829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4310</v>
      </c>
      <c r="C537">
        <v>150</v>
      </c>
      <c r="D537" t="s">
        <v>3828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3829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4311</v>
      </c>
      <c r="C538">
        <v>150</v>
      </c>
      <c r="D538" t="s">
        <v>3828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3829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4312</v>
      </c>
      <c r="C539">
        <v>150</v>
      </c>
      <c r="D539" t="s">
        <v>3828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3829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4313</v>
      </c>
      <c r="C540">
        <v>150</v>
      </c>
      <c r="D540" t="s">
        <v>3828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3829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4296</v>
      </c>
      <c r="C541">
        <v>150</v>
      </c>
      <c r="D541" t="s">
        <v>3828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3829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4314</v>
      </c>
      <c r="C542">
        <v>150</v>
      </c>
      <c r="D542" t="s">
        <v>3828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3829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4315</v>
      </c>
      <c r="C543">
        <v>150</v>
      </c>
      <c r="D543" t="s">
        <v>3828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3829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4316</v>
      </c>
      <c r="C544">
        <v>150</v>
      </c>
      <c r="D544" t="s">
        <v>3828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3829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4317</v>
      </c>
      <c r="C545">
        <v>150</v>
      </c>
      <c r="D545" t="s">
        <v>3828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3829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4305</v>
      </c>
      <c r="C546">
        <v>150</v>
      </c>
      <c r="D546" t="s">
        <v>3828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3829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4318</v>
      </c>
      <c r="C547">
        <v>150</v>
      </c>
      <c r="D547" t="s">
        <v>3828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3829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4319</v>
      </c>
      <c r="C548">
        <v>150</v>
      </c>
      <c r="D548" t="s">
        <v>3828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3829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4315</v>
      </c>
      <c r="C549">
        <v>150</v>
      </c>
      <c r="D549" t="s">
        <v>3828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3829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4320</v>
      </c>
      <c r="C550">
        <v>150</v>
      </c>
      <c r="D550" t="s">
        <v>3828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3829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4321</v>
      </c>
      <c r="C551">
        <v>150</v>
      </c>
      <c r="D551" t="s">
        <v>3828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3829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4322</v>
      </c>
      <c r="C552">
        <v>150</v>
      </c>
      <c r="D552" t="s">
        <v>3828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3829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4323</v>
      </c>
      <c r="C553">
        <v>150</v>
      </c>
      <c r="D553" t="s">
        <v>3828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3829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4324</v>
      </c>
      <c r="C554">
        <v>150</v>
      </c>
      <c r="D554" t="s">
        <v>3828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3829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4325</v>
      </c>
      <c r="C555">
        <v>150</v>
      </c>
      <c r="D555" t="s">
        <v>3828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3829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4323</v>
      </c>
      <c r="C556">
        <v>150</v>
      </c>
      <c r="D556" t="s">
        <v>3828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3829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4326</v>
      </c>
      <c r="C557">
        <v>150</v>
      </c>
      <c r="D557" t="s">
        <v>3828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3829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4323</v>
      </c>
      <c r="C558">
        <v>150</v>
      </c>
      <c r="D558" t="s">
        <v>3828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3829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4327</v>
      </c>
      <c r="C559">
        <v>150</v>
      </c>
      <c r="D559" t="s">
        <v>3828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3829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4328</v>
      </c>
      <c r="C560">
        <v>150</v>
      </c>
      <c r="D560" t="s">
        <v>3828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3829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4329</v>
      </c>
      <c r="C561">
        <v>150</v>
      </c>
      <c r="D561" t="s">
        <v>3828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3829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4330</v>
      </c>
      <c r="C562">
        <v>150</v>
      </c>
      <c r="D562" t="s">
        <v>3828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3829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4331</v>
      </c>
      <c r="C563">
        <v>150</v>
      </c>
      <c r="D563" t="s">
        <v>3828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3829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4332</v>
      </c>
      <c r="C564">
        <v>150</v>
      </c>
      <c r="D564" t="s">
        <v>3828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3829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4333</v>
      </c>
      <c r="C565">
        <v>150</v>
      </c>
      <c r="D565" t="s">
        <v>3828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3829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4334</v>
      </c>
      <c r="C566">
        <v>150</v>
      </c>
      <c r="D566" t="s">
        <v>3828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3829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4335</v>
      </c>
      <c r="C567">
        <v>150</v>
      </c>
      <c r="D567" t="s">
        <v>3828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3829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4336</v>
      </c>
      <c r="C568">
        <v>150</v>
      </c>
      <c r="D568" t="s">
        <v>3828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3829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4337</v>
      </c>
      <c r="C569">
        <v>150</v>
      </c>
      <c r="D569" t="s">
        <v>3828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3829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4338</v>
      </c>
      <c r="C570">
        <v>150</v>
      </c>
      <c r="D570" t="s">
        <v>3828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3829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4339</v>
      </c>
      <c r="C571">
        <v>150</v>
      </c>
      <c r="D571" t="s">
        <v>3828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3829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4340</v>
      </c>
      <c r="C572">
        <v>150</v>
      </c>
      <c r="D572" t="s">
        <v>3828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3829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4341</v>
      </c>
      <c r="C573">
        <v>150</v>
      </c>
      <c r="D573" t="s">
        <v>3828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3829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4342</v>
      </c>
      <c r="C574">
        <v>150</v>
      </c>
      <c r="D574" t="s">
        <v>3828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3829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4343</v>
      </c>
      <c r="C575">
        <v>150</v>
      </c>
      <c r="D575" t="s">
        <v>3828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3829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4344</v>
      </c>
      <c r="C576">
        <v>150</v>
      </c>
      <c r="D576" t="s">
        <v>3828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3829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4345</v>
      </c>
      <c r="C577">
        <v>150</v>
      </c>
      <c r="D577" t="s">
        <v>3828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3829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4346</v>
      </c>
      <c r="C578">
        <v>150</v>
      </c>
      <c r="D578" t="s">
        <v>3828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3829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4347</v>
      </c>
      <c r="C579">
        <v>150</v>
      </c>
      <c r="D579" t="s">
        <v>3828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3829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4348</v>
      </c>
      <c r="C580">
        <v>150</v>
      </c>
      <c r="D580" t="s">
        <v>3828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3829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4349</v>
      </c>
      <c r="C581">
        <v>150</v>
      </c>
      <c r="D581" t="s">
        <v>3828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3829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4335</v>
      </c>
      <c r="C582">
        <v>150</v>
      </c>
      <c r="D582" t="s">
        <v>3828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3829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4350</v>
      </c>
      <c r="C583">
        <v>150</v>
      </c>
      <c r="D583" t="s">
        <v>3828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3829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4351</v>
      </c>
      <c r="C584">
        <v>150</v>
      </c>
      <c r="D584" t="s">
        <v>3828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3829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4352</v>
      </c>
      <c r="C585">
        <v>150</v>
      </c>
      <c r="D585" t="s">
        <v>3828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3829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4353</v>
      </c>
      <c r="C586">
        <v>150</v>
      </c>
      <c r="D586" t="s">
        <v>3828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3829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4354</v>
      </c>
      <c r="C587">
        <v>150</v>
      </c>
      <c r="D587" t="s">
        <v>3828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3829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4355</v>
      </c>
      <c r="C588">
        <v>150</v>
      </c>
      <c r="D588" t="s">
        <v>3828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3829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4356</v>
      </c>
      <c r="C589">
        <v>150</v>
      </c>
      <c r="D589" t="s">
        <v>3828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3829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4357</v>
      </c>
      <c r="C590">
        <v>150</v>
      </c>
      <c r="D590" t="s">
        <v>3828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3829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4358</v>
      </c>
      <c r="C591">
        <v>150</v>
      </c>
      <c r="D591" t="s">
        <v>3828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3829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4359</v>
      </c>
      <c r="C592">
        <v>150</v>
      </c>
      <c r="D592" t="s">
        <v>3828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3829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4357</v>
      </c>
      <c r="C593">
        <v>150</v>
      </c>
      <c r="D593" t="s">
        <v>3828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3829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4360</v>
      </c>
      <c r="C594">
        <v>150</v>
      </c>
      <c r="D594" t="s">
        <v>3828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3829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4361</v>
      </c>
      <c r="C595">
        <v>150</v>
      </c>
      <c r="D595" t="s">
        <v>3828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3829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4362</v>
      </c>
      <c r="C596">
        <v>150</v>
      </c>
      <c r="D596" t="s">
        <v>3828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3829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4363</v>
      </c>
      <c r="C597">
        <v>150</v>
      </c>
      <c r="D597" t="s">
        <v>3828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3829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4352</v>
      </c>
      <c r="C598">
        <v>150</v>
      </c>
      <c r="D598" t="s">
        <v>3828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3829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4364</v>
      </c>
      <c r="C599">
        <v>150</v>
      </c>
      <c r="D599" t="s">
        <v>3828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3829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4365</v>
      </c>
      <c r="C600">
        <v>150</v>
      </c>
      <c r="D600" t="s">
        <v>3828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3829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4366</v>
      </c>
      <c r="C601">
        <v>150</v>
      </c>
      <c r="D601" t="s">
        <v>3828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3829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4367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4368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4369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4370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4371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4372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4373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4374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4375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4376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4377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4378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4379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4380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4381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4382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4383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4384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4385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4386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4387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4387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4387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4387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4387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4387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4387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4387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4387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4387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4388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4389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4390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4391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4392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4393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4394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4395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4396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4397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4398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4399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4400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4401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4402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4403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4404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4405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4406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4407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4408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4409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4410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4411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4412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4413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4414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4415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4416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4417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4418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4419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4420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4421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4422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4423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4424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4425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4426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4427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4428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4429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4430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4431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4432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4433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4434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4435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4436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4437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4438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4439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4440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4441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4442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4443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4444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4445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4446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4447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4448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4449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4450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4451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4452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4453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4454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4455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4456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4457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4458</v>
      </c>
      <c r="E3" s="40" t="s">
        <v>4459</v>
      </c>
      <c r="F3" s="40" t="s">
        <v>4460</v>
      </c>
      <c r="G3" s="40" t="s">
        <v>4461</v>
      </c>
      <c r="H3" s="40" t="s">
        <v>4462</v>
      </c>
    </row>
    <row r="4" spans="1:8" ht="16.5" customHeight="1">
      <c r="A4" s="6">
        <v>700</v>
      </c>
      <c r="B4" s="8" t="s">
        <v>4367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4368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4369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4370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4371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4372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4373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4374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4375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4376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4377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4378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4379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4380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4381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4382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4383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4384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4385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4386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4387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4387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4387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4387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4387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4387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4387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4387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4387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4387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4458</v>
      </c>
      <c r="E35" s="40" t="s">
        <v>4459</v>
      </c>
      <c r="F35" s="40" t="s">
        <v>4460</v>
      </c>
      <c r="G35" s="40" t="s">
        <v>4461</v>
      </c>
      <c r="H35" s="40" t="s">
        <v>4462</v>
      </c>
    </row>
    <row r="36" spans="1:11" ht="16.5" customHeight="1">
      <c r="A36" s="6">
        <v>800</v>
      </c>
      <c r="B36" s="8" t="s">
        <v>4388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4389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4390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4391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4392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4393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4394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4395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4396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4397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4463</v>
      </c>
    </row>
    <row r="47" spans="1:11" ht="14.25" customHeight="1">
      <c r="K47" s="7" t="s">
        <v>4464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4458</v>
      </c>
      <c r="E48" s="40" t="s">
        <v>4459</v>
      </c>
      <c r="F48" s="40" t="s">
        <v>4460</v>
      </c>
      <c r="G48" s="40" t="s">
        <v>4461</v>
      </c>
      <c r="H48" s="40" t="s">
        <v>4462</v>
      </c>
    </row>
    <row r="49" spans="1:12" ht="16.5" customHeight="1">
      <c r="A49" s="6">
        <v>900</v>
      </c>
      <c r="B49" s="8" t="s">
        <v>4465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4466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4467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4468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4469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4470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4471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4472</v>
      </c>
      <c r="L55" s="8" t="s">
        <v>4473</v>
      </c>
    </row>
    <row r="56" spans="1:12" ht="16.5" customHeight="1">
      <c r="A56" s="6">
        <v>900</v>
      </c>
      <c r="B56" s="8" t="s">
        <v>4474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4475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4476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4458</v>
      </c>
      <c r="E61" s="40" t="s">
        <v>4459</v>
      </c>
      <c r="F61" s="40" t="s">
        <v>4460</v>
      </c>
      <c r="G61" s="40" t="s">
        <v>4461</v>
      </c>
      <c r="H61" s="40" t="s">
        <v>4462</v>
      </c>
    </row>
    <row r="62" spans="1:12" ht="16.5" customHeight="1">
      <c r="A62" s="6">
        <v>910</v>
      </c>
      <c r="B62" s="8" t="s">
        <v>4477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4466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4467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4468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4469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4470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4471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4474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4475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4476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4"/>
  <sheetViews>
    <sheetView topLeftCell="A12" zoomScaleNormal="100" workbookViewId="0">
      <selection activeCell="A42" sqref="A42"/>
    </sheetView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4478</v>
      </c>
    </row>
    <row r="2" spans="1:12" ht="15.75" customHeight="1">
      <c r="A2" s="6">
        <v>1</v>
      </c>
      <c r="B2" s="55" t="s">
        <v>337</v>
      </c>
      <c r="C2" s="6" t="s">
        <v>4479</v>
      </c>
    </row>
    <row r="3" spans="1:12" ht="14.25" customHeight="1">
      <c r="A3" s="6">
        <v>2</v>
      </c>
      <c r="B3" s="6" t="s">
        <v>298</v>
      </c>
      <c r="C3" s="8" t="s">
        <v>4480</v>
      </c>
    </row>
    <row r="4" spans="1:12" ht="14.25" customHeight="1">
      <c r="A4" s="6">
        <v>3</v>
      </c>
      <c r="B4" s="6" t="s">
        <v>272</v>
      </c>
      <c r="C4" s="6" t="s">
        <v>4481</v>
      </c>
    </row>
    <row r="5" spans="1:12" ht="15.75" customHeight="1">
      <c r="A5" s="6">
        <v>4</v>
      </c>
      <c r="B5" s="55" t="s">
        <v>338</v>
      </c>
      <c r="C5" s="6" t="s">
        <v>4482</v>
      </c>
    </row>
    <row r="6" spans="1:12" ht="14.25" customHeight="1">
      <c r="A6" s="6">
        <v>5</v>
      </c>
      <c r="B6" s="6" t="s">
        <v>4483</v>
      </c>
      <c r="C6" s="6" t="s">
        <v>4484</v>
      </c>
    </row>
    <row r="7" spans="1:12" ht="14.25" customHeight="1">
      <c r="A7" s="6">
        <v>6</v>
      </c>
      <c r="B7" s="6" t="s">
        <v>273</v>
      </c>
      <c r="C7" s="6" t="s">
        <v>4485</v>
      </c>
    </row>
    <row r="8" spans="1:12" ht="14.25" customHeight="1">
      <c r="A8" s="6">
        <v>7</v>
      </c>
      <c r="B8" s="6" t="s">
        <v>443</v>
      </c>
      <c r="C8" s="6" t="s">
        <v>4486</v>
      </c>
    </row>
    <row r="9" spans="1:12" ht="15.75" customHeight="1">
      <c r="A9" s="6">
        <v>8</v>
      </c>
      <c r="B9" s="55" t="s">
        <v>317</v>
      </c>
      <c r="C9" s="6" t="s">
        <v>4487</v>
      </c>
    </row>
    <row r="10" spans="1:12" ht="15.75" customHeight="1">
      <c r="A10" s="6">
        <v>9</v>
      </c>
      <c r="B10" s="55" t="s">
        <v>442</v>
      </c>
      <c r="C10" s="6" t="s">
        <v>4488</v>
      </c>
      <c r="L10" s="7"/>
    </row>
    <row r="11" spans="1:12" ht="15.75" customHeight="1">
      <c r="A11" s="6">
        <v>10</v>
      </c>
      <c r="B11" s="6" t="s">
        <v>458</v>
      </c>
      <c r="C11" s="6" t="s">
        <v>4489</v>
      </c>
      <c r="G11" s="85"/>
    </row>
    <row r="12" spans="1:12" ht="15.75" customHeight="1">
      <c r="A12" s="6">
        <v>11</v>
      </c>
      <c r="B12" s="6" t="s">
        <v>383</v>
      </c>
      <c r="C12" s="8" t="s">
        <v>4490</v>
      </c>
      <c r="G12" s="85"/>
    </row>
    <row r="13" spans="1:12" ht="15.75" customHeight="1">
      <c r="A13" s="6">
        <v>12</v>
      </c>
      <c r="B13" s="6" t="s">
        <v>4491</v>
      </c>
      <c r="C13" s="8" t="s">
        <v>4492</v>
      </c>
      <c r="G13" s="85"/>
    </row>
    <row r="14" spans="1:12" ht="15.75" customHeight="1">
      <c r="A14" s="6">
        <v>13</v>
      </c>
      <c r="B14" s="6" t="s">
        <v>271</v>
      </c>
      <c r="C14" s="8" t="s">
        <v>4493</v>
      </c>
      <c r="G14" s="85"/>
    </row>
    <row r="15" spans="1:12" ht="15.75" customHeight="1">
      <c r="A15" s="6">
        <v>14</v>
      </c>
      <c r="B15" s="6" t="s">
        <v>316</v>
      </c>
      <c r="C15" s="8" t="s">
        <v>4494</v>
      </c>
      <c r="G15" s="85"/>
    </row>
    <row r="16" spans="1:12" ht="15.75" customHeight="1">
      <c r="A16" s="6">
        <v>15</v>
      </c>
      <c r="B16" s="6" t="s">
        <v>367</v>
      </c>
      <c r="C16" s="8" t="s">
        <v>4495</v>
      </c>
      <c r="G16" s="85"/>
    </row>
    <row r="17" spans="1:7" ht="15.75" customHeight="1">
      <c r="A17" s="6">
        <v>16</v>
      </c>
      <c r="B17" s="6" t="s">
        <v>336</v>
      </c>
      <c r="C17" s="8" t="s">
        <v>4496</v>
      </c>
      <c r="G17" s="85"/>
    </row>
    <row r="18" spans="1:7" ht="15.75" customHeight="1">
      <c r="A18" s="6">
        <v>17</v>
      </c>
      <c r="B18" s="6" t="s">
        <v>270</v>
      </c>
      <c r="C18" s="8" t="s">
        <v>4497</v>
      </c>
      <c r="G18" s="85"/>
    </row>
    <row r="19" spans="1:7" ht="15.75" customHeight="1">
      <c r="A19" s="6">
        <v>18</v>
      </c>
      <c r="B19" s="6" t="s">
        <v>274</v>
      </c>
      <c r="C19" s="8" t="s">
        <v>4498</v>
      </c>
      <c r="G19" s="85"/>
    </row>
    <row r="20" spans="1:7" ht="15.75" customHeight="1">
      <c r="A20" s="6">
        <v>19</v>
      </c>
      <c r="B20" s="6" t="s">
        <v>299</v>
      </c>
      <c r="C20" s="8" t="s">
        <v>4499</v>
      </c>
      <c r="G20" s="85"/>
    </row>
    <row r="21" spans="1:7" ht="15.75" customHeight="1">
      <c r="A21" s="6">
        <v>20</v>
      </c>
      <c r="B21" s="6" t="s">
        <v>384</v>
      </c>
      <c r="C21" s="8" t="s">
        <v>4500</v>
      </c>
      <c r="G21" s="85"/>
    </row>
    <row r="22" spans="1:7" ht="15.75" customHeight="1">
      <c r="A22" s="6">
        <v>51</v>
      </c>
      <c r="B22" s="6" t="s">
        <v>366</v>
      </c>
      <c r="C22" s="8" t="s">
        <v>4501</v>
      </c>
      <c r="G22" s="85"/>
    </row>
    <row r="23" spans="1:7" ht="15.75" customHeight="1">
      <c r="A23" s="6">
        <v>52</v>
      </c>
      <c r="B23" s="6" t="s">
        <v>414</v>
      </c>
      <c r="C23" s="8" t="s">
        <v>4501</v>
      </c>
      <c r="G23" s="85"/>
    </row>
    <row r="24" spans="1:7" ht="15.75" customHeight="1">
      <c r="A24" s="6">
        <v>53</v>
      </c>
      <c r="B24" s="6" t="s">
        <v>300</v>
      </c>
      <c r="C24" s="8" t="s">
        <v>4501</v>
      </c>
      <c r="G24" s="85"/>
    </row>
    <row r="25" spans="1:7" ht="15.75" customHeight="1">
      <c r="A25" s="6">
        <v>54</v>
      </c>
      <c r="B25" s="55" t="s">
        <v>318</v>
      </c>
      <c r="C25" s="8" t="s">
        <v>4501</v>
      </c>
      <c r="G25" s="85"/>
    </row>
    <row r="26" spans="1:7" ht="15.75" customHeight="1">
      <c r="A26" s="6">
        <v>55</v>
      </c>
      <c r="B26" s="55" t="s">
        <v>290</v>
      </c>
      <c r="C26" s="8" t="s">
        <v>4501</v>
      </c>
      <c r="G26" s="85"/>
    </row>
    <row r="27" spans="1:7" ht="15.75" customHeight="1">
      <c r="A27" s="6">
        <v>56</v>
      </c>
      <c r="B27" s="6" t="s">
        <v>297</v>
      </c>
      <c r="C27" s="8" t="s">
        <v>4502</v>
      </c>
      <c r="G27" s="85"/>
    </row>
    <row r="28" spans="1:7" ht="15.75" customHeight="1">
      <c r="A28" s="6">
        <v>57</v>
      </c>
      <c r="B28" s="6" t="s">
        <v>335</v>
      </c>
      <c r="C28" s="8" t="s">
        <v>4502</v>
      </c>
      <c r="G28" s="85"/>
    </row>
    <row r="29" spans="1:7" ht="15.75" customHeight="1">
      <c r="A29" s="6">
        <v>58</v>
      </c>
      <c r="B29" s="6" t="s">
        <v>269</v>
      </c>
      <c r="C29" s="8" t="s">
        <v>4502</v>
      </c>
      <c r="G29" s="85"/>
    </row>
    <row r="30" spans="1:7" ht="14.25" customHeight="1">
      <c r="A30" s="6">
        <v>59</v>
      </c>
      <c r="B30" s="6" t="s">
        <v>400</v>
      </c>
      <c r="C30" s="8" t="s">
        <v>4502</v>
      </c>
    </row>
    <row r="31" spans="1:7" ht="15.75" customHeight="1">
      <c r="A31" s="6">
        <v>60</v>
      </c>
      <c r="B31" s="6" t="s">
        <v>605</v>
      </c>
      <c r="C31" s="8" t="s">
        <v>4502</v>
      </c>
      <c r="G31" s="85"/>
    </row>
    <row r="32" spans="1:7" ht="14.25" customHeight="1">
      <c r="A32" s="6">
        <v>61</v>
      </c>
      <c r="B32" s="6" t="s">
        <v>477</v>
      </c>
      <c r="C32" s="8" t="s">
        <v>4502</v>
      </c>
    </row>
    <row r="33" spans="1:7" ht="15.75" customHeight="1">
      <c r="G33" s="85"/>
    </row>
    <row r="34" spans="1:7">
      <c r="A34">
        <v>62</v>
      </c>
      <c r="B34" t="s">
        <v>4503</v>
      </c>
      <c r="C34" t="s">
        <v>4504</v>
      </c>
    </row>
    <row r="35" spans="1:7">
      <c r="A35">
        <v>63</v>
      </c>
      <c r="B35" t="s">
        <v>4505</v>
      </c>
      <c r="C35" t="s">
        <v>4504</v>
      </c>
    </row>
    <row r="36" spans="1:7">
      <c r="A36">
        <v>64</v>
      </c>
      <c r="B36" t="s">
        <v>4506</v>
      </c>
      <c r="C36" t="s">
        <v>4504</v>
      </c>
    </row>
    <row r="37" spans="1:7">
      <c r="A37">
        <v>65</v>
      </c>
      <c r="B37" t="s">
        <v>4507</v>
      </c>
      <c r="C37" t="s">
        <v>4504</v>
      </c>
    </row>
    <row r="38" spans="1:7">
      <c r="A38">
        <v>66</v>
      </c>
      <c r="B38" t="s">
        <v>4508</v>
      </c>
      <c r="C38" t="s">
        <v>4504</v>
      </c>
    </row>
    <row r="39" spans="1:7">
      <c r="A39">
        <v>67</v>
      </c>
      <c r="B39" t="s">
        <v>4509</v>
      </c>
      <c r="C39" t="s">
        <v>4504</v>
      </c>
    </row>
    <row r="40" spans="1:7">
      <c r="A40">
        <v>68</v>
      </c>
      <c r="B40" t="s">
        <v>4510</v>
      </c>
      <c r="C40" t="s">
        <v>4504</v>
      </c>
    </row>
    <row r="41" spans="1:7">
      <c r="A41">
        <v>69</v>
      </c>
      <c r="B41" t="s">
        <v>4511</v>
      </c>
      <c r="C41" t="s">
        <v>4504</v>
      </c>
    </row>
    <row r="42" spans="1:7" ht="13.5">
      <c r="A42">
        <v>21</v>
      </c>
      <c r="B42" s="163" t="s">
        <v>4548</v>
      </c>
    </row>
    <row r="43" spans="1:7" ht="13.5">
      <c r="A43">
        <v>22</v>
      </c>
      <c r="B43" s="163" t="s">
        <v>4549</v>
      </c>
    </row>
    <row r="44" spans="1:7" ht="13.5">
      <c r="A44">
        <v>23</v>
      </c>
      <c r="B44" s="163" t="s">
        <v>4550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4512</v>
      </c>
      <c r="B1" s="6" t="s">
        <v>1</v>
      </c>
      <c r="C1" s="6" t="s">
        <v>4513</v>
      </c>
    </row>
    <row r="2" spans="1:3" ht="14.25" customHeight="1">
      <c r="A2" s="6">
        <v>1</v>
      </c>
      <c r="B2" s="4" t="s">
        <v>4514</v>
      </c>
      <c r="C2" s="6">
        <v>90001</v>
      </c>
    </row>
    <row r="3" spans="1:3" ht="14.25" customHeight="1">
      <c r="A3" s="6">
        <v>2</v>
      </c>
      <c r="B3" s="4" t="s">
        <v>4515</v>
      </c>
      <c r="C3" s="6">
        <f>C2+1</f>
        <v>90002</v>
      </c>
    </row>
    <row r="4" spans="1:3" ht="14.25" customHeight="1">
      <c r="A4" s="6">
        <v>3</v>
      </c>
      <c r="B4" s="4" t="s">
        <v>4516</v>
      </c>
      <c r="C4" s="6">
        <f>C3+1</f>
        <v>90003</v>
      </c>
    </row>
    <row r="5" spans="1:3" ht="14.25" customHeight="1">
      <c r="A5" s="6">
        <v>4</v>
      </c>
      <c r="B5" s="4" t="s">
        <v>4517</v>
      </c>
      <c r="C5" s="6">
        <f>C4+1</f>
        <v>90004</v>
      </c>
    </row>
    <row r="6" spans="1:3" ht="14.25" customHeight="1">
      <c r="A6" s="6">
        <v>5</v>
      </c>
      <c r="B6" s="4" t="s">
        <v>4518</v>
      </c>
      <c r="C6" s="6">
        <f>C5+1</f>
        <v>90005</v>
      </c>
    </row>
    <row r="7" spans="1:3" ht="14.25" customHeight="1">
      <c r="A7" s="6">
        <v>6</v>
      </c>
      <c r="B7" s="4" t="s">
        <v>4519</v>
      </c>
      <c r="C7" s="6">
        <f>C6+1</f>
        <v>90006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4512</v>
      </c>
      <c r="C5" s="52" t="s">
        <v>4520</v>
      </c>
      <c r="D5" s="52" t="s">
        <v>4521</v>
      </c>
      <c r="E5" s="52" t="s">
        <v>4522</v>
      </c>
      <c r="F5" s="52" t="s">
        <v>4523</v>
      </c>
      <c r="G5" s="52" t="s">
        <v>3665</v>
      </c>
      <c r="H5" s="52" t="s">
        <v>4524</v>
      </c>
    </row>
    <row r="6" spans="1:10" ht="114" customHeight="1">
      <c r="A6" s="52">
        <v>100</v>
      </c>
      <c r="B6" s="52">
        <v>1</v>
      </c>
      <c r="C6" s="1" t="s">
        <v>4537</v>
      </c>
      <c r="D6" s="52"/>
      <c r="E6" s="159" t="s">
        <v>4544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60" t="s">
        <v>4538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60" t="s">
        <v>4539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60" t="s">
        <v>4540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60" t="s">
        <v>4541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60" t="s">
        <v>4542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60" t="s">
        <v>4543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61" t="s">
        <v>4545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60" t="s">
        <v>4546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4525</v>
      </c>
      <c r="D21" s="52"/>
      <c r="E21" s="125" t="s">
        <v>4526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4525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4525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4525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4525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4525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4525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4525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4525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4525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4525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4525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4525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4525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4525</v>
      </c>
      <c r="D36" s="52"/>
      <c r="E36" s="125" t="s">
        <v>4527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4525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4525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4525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4525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4525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4525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4525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4525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4525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4525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4525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4525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4525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4525</v>
      </c>
      <c r="D51" s="52"/>
      <c r="E51" s="125" t="s">
        <v>4528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4525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4525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4525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4525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4525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4525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4525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4525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4525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4525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4525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4525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4525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4529</v>
      </c>
      <c r="D66" s="52"/>
      <c r="E66" s="125" t="s">
        <v>4530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4529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4529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4529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4529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4529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4529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4529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4529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4529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4529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4529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4529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4529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4529</v>
      </c>
      <c r="D81" s="52"/>
      <c r="E81" s="125" t="s">
        <v>4531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4529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4529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4529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4529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4529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4529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4529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4529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4529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4529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4529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4529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4529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zoomScaleNormal="100" workbookViewId="0"/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4532</v>
      </c>
      <c r="C1" s="127" t="s">
        <v>4533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4534</v>
      </c>
      <c r="D1" s="2" t="s">
        <v>4535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3490</v>
      </c>
      <c r="C2" s="40" t="s">
        <v>0</v>
      </c>
      <c r="D2" s="40" t="s">
        <v>4478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3490</v>
      </c>
      <c r="C35" s="40" t="s">
        <v>0</v>
      </c>
      <c r="D35" s="40" t="s">
        <v>4478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3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3490</v>
      </c>
      <c r="C152" s="40" t="s">
        <v>0</v>
      </c>
      <c r="D152" s="40" t="s">
        <v>4478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9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zoomScaleNormal="100" workbookViewId="0">
      <selection activeCell="I23" sqref="I23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>
        <v>46245.999305555553</v>
      </c>
      <c r="H4" s="81">
        <v>46610.999305555553</v>
      </c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>
        <v>46245.999305555553</v>
      </c>
      <c r="H5" s="81">
        <v>46610.999305555553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dungeonprefeb</vt:lpstr>
      <vt:lpstr>text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2026-09-09T10:51:28Z</dcterms:modified>
  <dc:language>en-US</dc:language>
</cp:coreProperties>
</file>